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072562\Documents\PRICE LISTS\2019 Price Lists\"/>
    </mc:Choice>
  </mc:AlternateContent>
  <xr:revisionPtr revIDLastSave="0" documentId="13_ncr:1_{6BF377B4-7768-4E23-8A48-D4B1454EE664}" xr6:coauthVersionLast="36" xr6:coauthVersionMax="36" xr10:uidLastSave="{00000000-0000-0000-0000-000000000000}"/>
  <bookViews>
    <workbookView xWindow="0" yWindow="0" windowWidth="28800" windowHeight="12228" tabRatio="445" xr2:uid="{00000000-000D-0000-FFFF-FFFF00000000}"/>
  </bookViews>
  <sheets>
    <sheet name="TE Energy USA 5.1.19" sheetId="16" r:id="rId1"/>
  </sheets>
  <externalReferences>
    <externalReference r:id="rId2"/>
  </externalReferences>
  <definedNames>
    <definedName name="_xlnm._FilterDatabase" localSheetId="0" hidden="1">'TE Energy USA 5.1.19'!$A$5:$Y$3403</definedName>
    <definedName name="new">[1]Sheet2!$A:$IV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86" i="16" l="1"/>
  <c r="C78" i="16"/>
  <c r="C79" i="16"/>
  <c r="C80" i="16"/>
  <c r="C81" i="16"/>
  <c r="C82" i="16"/>
  <c r="C83" i="16"/>
  <c r="C84" i="16"/>
  <c r="C91" i="16"/>
  <c r="C409" i="16"/>
  <c r="C75" i="16"/>
  <c r="C76" i="16"/>
  <c r="C77" i="16"/>
  <c r="C88" i="16"/>
  <c r="C87" i="16"/>
  <c r="C90" i="16"/>
  <c r="C89" i="16"/>
  <c r="C73" i="16"/>
  <c r="C74" i="16"/>
  <c r="H74" i="16" l="1"/>
  <c r="H73" i="16"/>
  <c r="I69" i="16" l="1"/>
  <c r="I86" i="16"/>
  <c r="C85" i="16" l="1"/>
  <c r="C69" i="16" l="1"/>
  <c r="C70" i="16"/>
  <c r="C71" i="16"/>
  <c r="C68" i="16"/>
  <c r="C2988" i="16"/>
  <c r="C72" i="16"/>
  <c r="C405" i="16" l="1"/>
  <c r="H3403" i="16"/>
  <c r="H3402" i="16"/>
  <c r="H3401" i="16"/>
  <c r="H3400" i="16"/>
  <c r="H3399" i="16"/>
  <c r="H3398" i="16"/>
  <c r="H3397" i="16"/>
  <c r="H3396" i="16"/>
  <c r="H3395" i="16"/>
  <c r="H3394" i="16"/>
  <c r="H3393" i="16"/>
  <c r="H3392" i="16"/>
  <c r="H3391" i="16"/>
  <c r="H3390" i="16"/>
  <c r="H3389" i="16"/>
  <c r="H3388" i="16"/>
  <c r="H3387" i="16"/>
  <c r="H3386" i="16"/>
  <c r="H3385" i="16"/>
  <c r="H3384" i="16"/>
  <c r="H3383" i="16"/>
  <c r="H3382" i="16"/>
  <c r="H3381" i="16"/>
  <c r="H3380" i="16"/>
  <c r="H3379" i="16"/>
  <c r="H3378" i="16"/>
  <c r="H3377" i="16"/>
  <c r="H3376" i="16"/>
  <c r="H3375" i="16"/>
  <c r="H3374" i="16"/>
  <c r="H3373" i="16"/>
  <c r="H3372" i="16"/>
  <c r="H3371" i="16"/>
  <c r="H3370" i="16"/>
  <c r="H3369" i="16"/>
  <c r="H3368" i="16"/>
  <c r="H3367" i="16"/>
  <c r="H3366" i="16"/>
  <c r="H3365" i="16"/>
  <c r="H3364" i="16"/>
  <c r="H3363" i="16"/>
  <c r="H3362" i="16"/>
  <c r="H3361" i="16"/>
  <c r="H3360" i="16"/>
  <c r="H3359" i="16"/>
  <c r="H3358" i="16"/>
  <c r="H3357" i="16"/>
  <c r="H3356" i="16"/>
  <c r="H3355" i="16"/>
  <c r="H3354" i="16"/>
  <c r="H3353" i="16"/>
  <c r="H3352" i="16"/>
  <c r="H3351" i="16"/>
  <c r="H3350" i="16"/>
  <c r="H3349" i="16"/>
  <c r="H3348" i="16"/>
  <c r="H3347" i="16"/>
  <c r="H3346" i="16"/>
  <c r="H3345" i="16"/>
  <c r="H3344" i="16"/>
  <c r="H3343" i="16"/>
  <c r="H3342" i="16"/>
  <c r="H3341" i="16"/>
  <c r="H3340" i="16"/>
  <c r="H3339" i="16"/>
  <c r="H3338" i="16"/>
  <c r="H3337" i="16"/>
  <c r="H3336" i="16"/>
  <c r="H3335" i="16"/>
  <c r="H3334" i="16"/>
  <c r="H3333" i="16"/>
  <c r="H3332" i="16"/>
  <c r="H3331" i="16"/>
  <c r="H3330" i="16"/>
  <c r="H3329" i="16"/>
  <c r="H3328" i="16"/>
  <c r="H3327" i="16"/>
  <c r="H3326" i="16"/>
  <c r="H3325" i="16"/>
  <c r="H3324" i="16"/>
  <c r="H3323" i="16"/>
  <c r="H3322" i="16"/>
  <c r="H3321" i="16"/>
  <c r="H3320" i="16"/>
  <c r="H3319" i="16"/>
  <c r="H3318" i="16"/>
  <c r="H3317" i="16"/>
  <c r="H3316" i="16"/>
  <c r="H3315" i="16"/>
  <c r="H3314" i="16"/>
  <c r="H3313" i="16"/>
  <c r="H3312" i="16"/>
  <c r="H3311" i="16"/>
  <c r="H3310" i="16"/>
  <c r="H3309" i="16"/>
  <c r="H3308" i="16"/>
  <c r="H3307" i="16"/>
  <c r="H3306" i="16"/>
  <c r="H3236" i="16"/>
  <c r="H3235" i="16"/>
  <c r="H3224" i="16"/>
  <c r="H3223" i="16"/>
  <c r="H3222" i="16"/>
  <c r="H3221" i="16"/>
  <c r="H3220" i="16"/>
  <c r="H3219" i="16"/>
  <c r="H3218" i="16"/>
  <c r="H3217" i="16"/>
  <c r="H3216" i="16"/>
  <c r="H3215" i="16"/>
  <c r="H3214" i="16"/>
  <c r="H3213" i="16"/>
  <c r="H3212" i="16"/>
  <c r="H3211" i="16"/>
  <c r="H3210" i="16"/>
  <c r="H3209" i="16"/>
  <c r="H3208" i="16"/>
  <c r="H3207" i="16"/>
  <c r="H3206" i="16"/>
  <c r="H3205" i="16"/>
  <c r="H3204" i="16"/>
  <c r="H3203" i="16"/>
  <c r="H3202" i="16"/>
  <c r="H3201" i="16"/>
  <c r="H3200" i="16"/>
  <c r="H3199" i="16"/>
  <c r="H3198" i="16"/>
  <c r="H3197" i="16"/>
  <c r="H3196" i="16"/>
  <c r="H3195" i="16"/>
  <c r="H3194" i="16"/>
  <c r="H3193" i="16"/>
  <c r="H3192" i="16"/>
  <c r="H3191" i="16"/>
  <c r="H3190" i="16"/>
  <c r="H3189" i="16"/>
  <c r="H3188" i="16"/>
  <c r="H3187" i="16"/>
  <c r="H3186" i="16"/>
  <c r="H3185" i="16"/>
  <c r="H3184" i="16"/>
  <c r="H3183" i="16"/>
  <c r="H3182" i="16"/>
  <c r="H3181" i="16"/>
  <c r="H3180" i="16"/>
  <c r="H3179" i="16"/>
  <c r="H3178" i="16"/>
  <c r="H3177" i="16"/>
  <c r="H3176" i="16"/>
  <c r="H3175" i="16"/>
  <c r="H3174" i="16"/>
  <c r="H3173" i="16"/>
  <c r="H3172" i="16"/>
  <c r="H3171" i="16"/>
  <c r="H3169" i="16"/>
  <c r="H3168" i="16"/>
  <c r="H3167" i="16"/>
  <c r="H3166" i="16"/>
  <c r="H3165" i="16"/>
  <c r="H3153" i="16"/>
  <c r="H3152" i="16"/>
  <c r="H3151" i="16"/>
  <c r="H3150" i="16"/>
  <c r="H3149" i="16"/>
  <c r="H3148" i="16"/>
  <c r="H3147" i="16"/>
  <c r="H3146" i="16"/>
  <c r="H3145" i="16"/>
  <c r="H3142" i="16"/>
  <c r="H3140" i="16"/>
  <c r="H3139" i="16"/>
  <c r="H3138" i="16"/>
  <c r="H3137" i="16"/>
  <c r="H3136" i="16"/>
  <c r="H3135" i="16"/>
  <c r="H3134" i="16"/>
  <c r="H3133" i="16"/>
  <c r="H3132" i="16"/>
  <c r="H3131" i="16"/>
  <c r="H3130" i="16"/>
  <c r="H3129" i="16"/>
  <c r="H3128" i="16"/>
  <c r="H3127" i="16"/>
  <c r="H3126" i="16"/>
  <c r="H3125" i="16"/>
  <c r="H3124" i="16"/>
  <c r="H3116" i="16"/>
  <c r="H3115" i="16"/>
  <c r="H3114" i="16"/>
  <c r="H3113" i="16"/>
  <c r="H3112" i="16"/>
  <c r="H3111" i="16"/>
  <c r="H3110" i="16"/>
  <c r="H3109" i="16"/>
  <c r="H3108" i="16"/>
  <c r="H3107" i="16"/>
  <c r="H3106" i="16"/>
  <c r="H3105" i="16"/>
  <c r="H3104" i="16"/>
  <c r="H3103" i="16"/>
  <c r="H3102" i="16"/>
  <c r="H3101" i="16"/>
  <c r="H3100" i="16"/>
  <c r="H3099" i="16"/>
  <c r="H3098" i="16"/>
  <c r="H3097" i="16"/>
  <c r="H3096" i="16"/>
  <c r="H3095" i="16"/>
  <c r="H3094" i="16"/>
  <c r="H3093" i="16"/>
  <c r="H3092" i="16"/>
  <c r="H3091" i="16"/>
  <c r="H3090" i="16"/>
  <c r="H3089" i="16"/>
  <c r="H3088" i="16"/>
  <c r="H3087" i="16"/>
  <c r="H3086" i="16"/>
  <c r="H3085" i="16"/>
  <c r="H3084" i="16"/>
  <c r="H3083" i="16"/>
  <c r="H3082" i="16"/>
  <c r="H3081" i="16"/>
  <c r="H3080" i="16"/>
  <c r="H3079" i="16"/>
  <c r="H3078" i="16"/>
  <c r="H3077" i="16"/>
  <c r="H3076" i="16"/>
  <c r="H3075" i="16"/>
  <c r="H3074" i="16"/>
  <c r="H3073" i="16"/>
  <c r="H3072" i="16"/>
  <c r="H3071" i="16"/>
  <c r="H3070" i="16"/>
  <c r="H3069" i="16"/>
  <c r="H3068" i="16"/>
  <c r="H3067" i="16"/>
  <c r="H3066" i="16"/>
  <c r="H3065" i="16"/>
  <c r="H3064" i="16"/>
  <c r="H3063" i="16"/>
  <c r="H3062" i="16"/>
  <c r="H3061" i="16"/>
  <c r="H3060" i="16"/>
  <c r="H3059" i="16"/>
  <c r="H3058" i="16"/>
  <c r="H3057" i="16"/>
  <c r="H3056" i="16"/>
  <c r="H3055" i="16"/>
  <c r="H3054" i="16"/>
  <c r="H3053" i="16"/>
  <c r="H3052" i="16"/>
  <c r="H3051" i="16"/>
  <c r="H3050" i="16"/>
  <c r="H3049" i="16"/>
  <c r="H3048" i="16"/>
  <c r="H3047" i="16"/>
  <c r="H3046" i="16"/>
  <c r="H3045" i="16"/>
  <c r="H3044" i="16"/>
  <c r="H3043" i="16"/>
  <c r="H3042" i="16"/>
  <c r="H3041" i="16"/>
  <c r="H3038" i="16"/>
  <c r="H3037" i="16"/>
  <c r="H3036" i="16"/>
  <c r="H3035" i="16"/>
  <c r="H3034" i="16"/>
  <c r="H3033" i="16"/>
  <c r="H3032" i="16"/>
  <c r="H3031" i="16"/>
  <c r="H3030" i="16"/>
  <c r="H3029" i="16"/>
  <c r="H3028" i="16"/>
  <c r="H3027" i="16"/>
  <c r="H3026" i="16"/>
  <c r="H3025" i="16"/>
  <c r="H3024" i="16"/>
  <c r="H3023" i="16"/>
  <c r="H3022" i="16"/>
  <c r="H3021" i="16"/>
  <c r="H3000" i="16"/>
  <c r="H2999" i="16"/>
  <c r="H2998" i="16"/>
  <c r="H2997" i="16"/>
  <c r="H2996" i="16"/>
  <c r="H2971" i="16"/>
  <c r="H2970" i="16"/>
  <c r="H2969" i="16"/>
  <c r="H2968" i="16"/>
  <c r="H2967" i="16"/>
  <c r="H2966" i="16"/>
  <c r="H2965" i="16"/>
  <c r="H2964" i="16"/>
  <c r="H2963" i="16"/>
  <c r="H2962" i="16"/>
  <c r="H2961" i="16"/>
  <c r="H2960" i="16"/>
  <c r="H2959" i="16"/>
  <c r="H2958" i="16"/>
  <c r="H2952" i="16"/>
  <c r="H2951" i="16"/>
  <c r="H2950" i="16"/>
  <c r="H2949" i="16"/>
  <c r="H2948" i="16"/>
  <c r="H2947" i="16"/>
  <c r="H2946" i="16"/>
  <c r="H2945" i="16"/>
  <c r="H2944" i="16"/>
  <c r="H2943" i="16"/>
  <c r="H2942" i="16"/>
  <c r="H2941" i="16"/>
  <c r="H2940" i="16"/>
  <c r="H2939" i="16"/>
  <c r="H2938" i="16"/>
  <c r="H2937" i="16"/>
  <c r="H2936" i="16"/>
  <c r="H2935" i="16"/>
  <c r="H2934" i="16"/>
  <c r="H2933" i="16"/>
  <c r="H2932" i="16"/>
  <c r="H2931" i="16"/>
  <c r="H2930" i="16"/>
  <c r="H2920" i="16"/>
  <c r="H2919" i="16"/>
  <c r="H2918" i="16"/>
  <c r="H2917" i="16"/>
  <c r="H2916" i="16"/>
  <c r="H2915" i="16"/>
  <c r="H2914" i="16"/>
  <c r="H2913" i="16"/>
  <c r="H2912" i="16"/>
  <c r="H2911" i="16"/>
  <c r="H2910" i="16"/>
  <c r="H2909" i="16"/>
  <c r="H2908" i="16"/>
  <c r="H2907" i="16"/>
  <c r="H2906" i="16"/>
  <c r="H152" i="16"/>
  <c r="H2905" i="16"/>
  <c r="H2904" i="16"/>
  <c r="H2903" i="16"/>
  <c r="H2902" i="16"/>
  <c r="H2901" i="16"/>
  <c r="H2898" i="16"/>
  <c r="H2897" i="16"/>
  <c r="H2896" i="16"/>
  <c r="H2895" i="16"/>
  <c r="H2894" i="16"/>
  <c r="H2893" i="16"/>
  <c r="H2892" i="16"/>
  <c r="H2891" i="16"/>
  <c r="H2890" i="16"/>
  <c r="H2888" i="16"/>
  <c r="H2887" i="16"/>
  <c r="H2886" i="16"/>
  <c r="H2885" i="16"/>
  <c r="H2884" i="16"/>
  <c r="H2883" i="16"/>
  <c r="H2882" i="16"/>
  <c r="H2881" i="16"/>
  <c r="H2880" i="16"/>
  <c r="H2879" i="16"/>
  <c r="H2878" i="16"/>
  <c r="H2877" i="16"/>
  <c r="H2876" i="16"/>
  <c r="H2875" i="16"/>
  <c r="H2486" i="16"/>
  <c r="H2485" i="16"/>
  <c r="H2484" i="16"/>
  <c r="H2483" i="16"/>
  <c r="H2482" i="16"/>
  <c r="H2481" i="16"/>
  <c r="H2480" i="16"/>
  <c r="H2479" i="16"/>
  <c r="H2478" i="16"/>
  <c r="H2477" i="16"/>
  <c r="H2476" i="16"/>
  <c r="H2475" i="16"/>
  <c r="H2474" i="16"/>
  <c r="H2473" i="16"/>
  <c r="H2472" i="16"/>
  <c r="H2471" i="16"/>
  <c r="H2470" i="16"/>
  <c r="H2469" i="16"/>
  <c r="H2468" i="16"/>
  <c r="H2467" i="16"/>
  <c r="H2466" i="16"/>
  <c r="H2465" i="16"/>
  <c r="H2464" i="16"/>
  <c r="H2463" i="16"/>
  <c r="H2462" i="16"/>
  <c r="H2461" i="16"/>
  <c r="H2460" i="16"/>
  <c r="H2459" i="16"/>
  <c r="H2458" i="16"/>
  <c r="H2457" i="16"/>
  <c r="H2456" i="16"/>
  <c r="H2455" i="16"/>
  <c r="H2454" i="16"/>
  <c r="H2453" i="16"/>
  <c r="H2452" i="16"/>
  <c r="H2451" i="16"/>
  <c r="H2450" i="16"/>
  <c r="H2449" i="16"/>
  <c r="H2448" i="16"/>
  <c r="H2441" i="16"/>
  <c r="H2440" i="16"/>
  <c r="H2439" i="16"/>
  <c r="H2438" i="16"/>
  <c r="H2437" i="16"/>
  <c r="H2436" i="16"/>
  <c r="H2435" i="16"/>
  <c r="H2434" i="16"/>
  <c r="H2433" i="16"/>
  <c r="H2432" i="16"/>
  <c r="H2431" i="16"/>
  <c r="H2430" i="16"/>
  <c r="H2429" i="16"/>
  <c r="H2428" i="16"/>
  <c r="H2427" i="16"/>
  <c r="H2426" i="16"/>
  <c r="H2425" i="16"/>
  <c r="H2424" i="16"/>
  <c r="H2423" i="16"/>
  <c r="H2422" i="16"/>
  <c r="H2421" i="16"/>
  <c r="H2420" i="16"/>
  <c r="H2419" i="16"/>
  <c r="H2418" i="16"/>
  <c r="H2417" i="16"/>
  <c r="H2416" i="16"/>
  <c r="H2415" i="16"/>
  <c r="H2414" i="16"/>
  <c r="H2413" i="16"/>
  <c r="H2412" i="16"/>
  <c r="H2411" i="16"/>
  <c r="H2410" i="16"/>
  <c r="H2409" i="16"/>
  <c r="H2408" i="16"/>
  <c r="H2407" i="16"/>
  <c r="H2406" i="16"/>
  <c r="H2405" i="16"/>
  <c r="H2404" i="16"/>
  <c r="H2403" i="16"/>
  <c r="H2402" i="16"/>
  <c r="H2401" i="16"/>
  <c r="H2400" i="16"/>
  <c r="H2399" i="16"/>
  <c r="H2398" i="16"/>
  <c r="H2397" i="16"/>
  <c r="H2396" i="16"/>
  <c r="H2395" i="16"/>
  <c r="H2394" i="16"/>
  <c r="H2393" i="16"/>
  <c r="H2392" i="16"/>
  <c r="H2391" i="16"/>
  <c r="H2390" i="16"/>
  <c r="H2389" i="16"/>
  <c r="H2388" i="16"/>
  <c r="H2387" i="16"/>
  <c r="H2386" i="16"/>
  <c r="H2385" i="16"/>
  <c r="H2384" i="16"/>
  <c r="H2383" i="16"/>
  <c r="H2382" i="16"/>
  <c r="H2381" i="16"/>
  <c r="H2380" i="16"/>
  <c r="H2379" i="16"/>
  <c r="H2378" i="16"/>
  <c r="H2377" i="16"/>
  <c r="H2367" i="16"/>
  <c r="H2366" i="16"/>
  <c r="H2365" i="16"/>
  <c r="H2364" i="16"/>
  <c r="H2363" i="16"/>
  <c r="H2362" i="16"/>
  <c r="H2361" i="16"/>
  <c r="H2360" i="16"/>
  <c r="H2359" i="16"/>
  <c r="H2358" i="16"/>
  <c r="H2357" i="16"/>
  <c r="H2356" i="16"/>
  <c r="H2355" i="16"/>
  <c r="H2354" i="16"/>
  <c r="H2353" i="16"/>
  <c r="H2352" i="16"/>
  <c r="H2351" i="16"/>
  <c r="H2350" i="16"/>
  <c r="H2349" i="16"/>
  <c r="H2348" i="16"/>
  <c r="H2347" i="16"/>
  <c r="H2346" i="16"/>
  <c r="H2345" i="16"/>
  <c r="H2344" i="16"/>
  <c r="H2343" i="16"/>
  <c r="H2342" i="16"/>
  <c r="H2341" i="16"/>
  <c r="H2340" i="16"/>
  <c r="H2339" i="16"/>
  <c r="H2336" i="16"/>
  <c r="H2333" i="16"/>
  <c r="H2332" i="16"/>
  <c r="H2331" i="16"/>
  <c r="H2330" i="16"/>
  <c r="H2329" i="16"/>
  <c r="H2328" i="16"/>
  <c r="H2157" i="16"/>
  <c r="H2327" i="16"/>
  <c r="H2326" i="16"/>
  <c r="H2154" i="16"/>
  <c r="H2325" i="16"/>
  <c r="H2324" i="16"/>
  <c r="H2323" i="16"/>
  <c r="H2150" i="16"/>
  <c r="H2322" i="16"/>
  <c r="H2321" i="16"/>
  <c r="H2147" i="16"/>
  <c r="H2320" i="16"/>
  <c r="H2319" i="16"/>
  <c r="H2318" i="16"/>
  <c r="H1603" i="16"/>
  <c r="H1602" i="16"/>
  <c r="H1601" i="16"/>
  <c r="H1600" i="16"/>
  <c r="H1376" i="16"/>
  <c r="H1375" i="16"/>
  <c r="H1374" i="16"/>
  <c r="H1373" i="16"/>
  <c r="H1372" i="16"/>
  <c r="H1371" i="16"/>
  <c r="H1370" i="16"/>
  <c r="H1369" i="16"/>
  <c r="H1368" i="16"/>
  <c r="H1367" i="16"/>
  <c r="H1366" i="16"/>
  <c r="H1365" i="16"/>
  <c r="H1364" i="16"/>
  <c r="H1363" i="16"/>
  <c r="H1362" i="16"/>
  <c r="H1361" i="16"/>
  <c r="H1360" i="16"/>
  <c r="H1359" i="16"/>
  <c r="H1358" i="16"/>
  <c r="H1357" i="16"/>
  <c r="H1356" i="16"/>
  <c r="H1355" i="16"/>
  <c r="H1354" i="16"/>
  <c r="H1353" i="16"/>
  <c r="H1352" i="16"/>
  <c r="H1351" i="16"/>
  <c r="H1350" i="16"/>
  <c r="H1349" i="16"/>
  <c r="H1348" i="16"/>
  <c r="H1347" i="16"/>
  <c r="H1346" i="16"/>
  <c r="H1345" i="16"/>
  <c r="H1344" i="16"/>
  <c r="H1343" i="16"/>
  <c r="H1342" i="16"/>
  <c r="H1341" i="16"/>
  <c r="H1340" i="16"/>
  <c r="H1339" i="16"/>
  <c r="H1338" i="16"/>
  <c r="H1337" i="16"/>
  <c r="H1336" i="16"/>
  <c r="H1335" i="16"/>
  <c r="H1334" i="16"/>
  <c r="H1333" i="16"/>
  <c r="H1332" i="16"/>
  <c r="H1331" i="16"/>
  <c r="H1330" i="16"/>
  <c r="H1329" i="16"/>
  <c r="H1328" i="16"/>
  <c r="H1327" i="16"/>
  <c r="H1326" i="16"/>
  <c r="H1325" i="16"/>
  <c r="H1324" i="16"/>
  <c r="H1323" i="16"/>
  <c r="H1322" i="16"/>
  <c r="H1321" i="16"/>
  <c r="H1320" i="16"/>
  <c r="H1319" i="16"/>
  <c r="H1318" i="16"/>
  <c r="H1317" i="16"/>
  <c r="H1316" i="16"/>
  <c r="H1315" i="16"/>
  <c r="H1314" i="16"/>
  <c r="H1313" i="16"/>
  <c r="H1312" i="16"/>
  <c r="H1311" i="16"/>
  <c r="H1310" i="16"/>
  <c r="H1309" i="16"/>
  <c r="H1308" i="16"/>
  <c r="H1307" i="16"/>
  <c r="H1305" i="16"/>
  <c r="H1304" i="16"/>
  <c r="H1303" i="16"/>
  <c r="H1302" i="16"/>
  <c r="H1301" i="16"/>
  <c r="H1300" i="16"/>
  <c r="H1299" i="16"/>
  <c r="H1298" i="16"/>
  <c r="H1297" i="16"/>
  <c r="H1296" i="16"/>
  <c r="H1295" i="16"/>
  <c r="H1294" i="16"/>
  <c r="H1293" i="16"/>
  <c r="H1292" i="16"/>
  <c r="H1291" i="16"/>
  <c r="H1290" i="16"/>
  <c r="H1289" i="16"/>
  <c r="H1288" i="16"/>
  <c r="H1287" i="16"/>
  <c r="H1286" i="16"/>
  <c r="H1285" i="16"/>
  <c r="H1284" i="16"/>
  <c r="H1283" i="16"/>
  <c r="H1282" i="16"/>
  <c r="H1281" i="16"/>
  <c r="H1280" i="16"/>
  <c r="H1279" i="16"/>
  <c r="H1278" i="16"/>
  <c r="H1277" i="16"/>
  <c r="H1276" i="16"/>
  <c r="H1275" i="16"/>
  <c r="H1274" i="16"/>
  <c r="H1273" i="16"/>
  <c r="H1272" i="16"/>
  <c r="H1271" i="16"/>
  <c r="H1270" i="16"/>
  <c r="H1269" i="16"/>
  <c r="H1268" i="16"/>
  <c r="H1267" i="16"/>
  <c r="H1266" i="16"/>
  <c r="H1265" i="16"/>
  <c r="H1264" i="16"/>
  <c r="H1263" i="16"/>
  <c r="H1262" i="16"/>
  <c r="H1261" i="16"/>
  <c r="H1260" i="16"/>
  <c r="H1259" i="16"/>
  <c r="H1258" i="16"/>
  <c r="H1257" i="16"/>
  <c r="H1256" i="16"/>
  <c r="H1255" i="16"/>
  <c r="H1254" i="16"/>
  <c r="H1253" i="16"/>
  <c r="H1252" i="16"/>
  <c r="H1251" i="16"/>
  <c r="H1250" i="16"/>
  <c r="H1249" i="16"/>
  <c r="H1248" i="16"/>
  <c r="H1247" i="16"/>
  <c r="H1246" i="16"/>
  <c r="H1245" i="16"/>
  <c r="H1244" i="16"/>
  <c r="H1243" i="16"/>
  <c r="H1242" i="16"/>
  <c r="H1241" i="16"/>
  <c r="H1240" i="16"/>
  <c r="H1239" i="16"/>
  <c r="H1238" i="16"/>
  <c r="H1237" i="16"/>
  <c r="H1225" i="16"/>
  <c r="H1224" i="16"/>
  <c r="H1223" i="16"/>
  <c r="H1222" i="16"/>
  <c r="H1221" i="16"/>
  <c r="H1220" i="16"/>
  <c r="H1219" i="16"/>
  <c r="H1218" i="16"/>
  <c r="H1217" i="16"/>
  <c r="H1216" i="16"/>
  <c r="H1215" i="16"/>
  <c r="H1214" i="16"/>
  <c r="H1213" i="16"/>
  <c r="H1212" i="16"/>
  <c r="H1211" i="16"/>
  <c r="H1210" i="16"/>
  <c r="H1209" i="16"/>
  <c r="H1208" i="16"/>
  <c r="H1207" i="16"/>
  <c r="H1206" i="16"/>
  <c r="H1205" i="16"/>
  <c r="H1204" i="16"/>
  <c r="H1203" i="16"/>
  <c r="H1202" i="16"/>
  <c r="H1201" i="16"/>
  <c r="H1200" i="16"/>
  <c r="H1199" i="16"/>
  <c r="H1198" i="16"/>
  <c r="H1197" i="16"/>
  <c r="H1196" i="16"/>
  <c r="H1195" i="16"/>
  <c r="H1194" i="16"/>
  <c r="H1193" i="16"/>
  <c r="H1192" i="16"/>
  <c r="H1191" i="16"/>
  <c r="H1190" i="16"/>
  <c r="H1189" i="16"/>
  <c r="H1188" i="16"/>
  <c r="H1187" i="16"/>
  <c r="H1186" i="16"/>
  <c r="H1185" i="16"/>
  <c r="H1184" i="16"/>
  <c r="H1183" i="16"/>
  <c r="H1182" i="16"/>
  <c r="H1181" i="16"/>
  <c r="H1180" i="16"/>
  <c r="H1179" i="16"/>
  <c r="H1178" i="16"/>
  <c r="H1177" i="16"/>
  <c r="H1176" i="16"/>
  <c r="H1175" i="16"/>
  <c r="H1174" i="16"/>
  <c r="H1173" i="16"/>
  <c r="H1172" i="16"/>
  <c r="H1171" i="16"/>
  <c r="H1170" i="16"/>
  <c r="H1169" i="16"/>
  <c r="H1168" i="16"/>
  <c r="H1167" i="16"/>
  <c r="H1166" i="16"/>
  <c r="H1157" i="16"/>
  <c r="H1156" i="16"/>
  <c r="H1155" i="16"/>
  <c r="H1154" i="16"/>
  <c r="H1153" i="16"/>
  <c r="H1152" i="16"/>
  <c r="H1151" i="16"/>
  <c r="H1150" i="16"/>
  <c r="H1149" i="16"/>
  <c r="H1148" i="16"/>
  <c r="H1147" i="16"/>
  <c r="H1146" i="16"/>
  <c r="H1145" i="16"/>
  <c r="H1144" i="16"/>
  <c r="H1143" i="16"/>
  <c r="H1117" i="16"/>
  <c r="H1116" i="16"/>
  <c r="H1115" i="16"/>
  <c r="H1114" i="16"/>
  <c r="H1113" i="16"/>
  <c r="H1112" i="16"/>
  <c r="H1111" i="16"/>
  <c r="H1110" i="16"/>
  <c r="H1109" i="16"/>
  <c r="H1108" i="16"/>
  <c r="H1107" i="16"/>
  <c r="H1106" i="16"/>
  <c r="H1105" i="16"/>
  <c r="H1104" i="16"/>
  <c r="H1103" i="16"/>
  <c r="H1102" i="16"/>
  <c r="H1101" i="16"/>
  <c r="H1100" i="16"/>
  <c r="H1099" i="16"/>
  <c r="H1098" i="16"/>
  <c r="H1097" i="16"/>
  <c r="H1096" i="16"/>
  <c r="H1095" i="16"/>
  <c r="H1094" i="16"/>
  <c r="H1093" i="16"/>
  <c r="H1092" i="16"/>
  <c r="H1091" i="16"/>
  <c r="H420" i="16"/>
  <c r="H419" i="16"/>
  <c r="H418" i="16"/>
  <c r="H417" i="16"/>
  <c r="H416" i="16"/>
  <c r="C387" i="16" l="1"/>
  <c r="C410" i="16"/>
  <c r="C388" i="16"/>
  <c r="C411" i="16"/>
  <c r="C412" i="16"/>
  <c r="C413" i="16"/>
  <c r="C414" i="16"/>
  <c r="C415" i="16"/>
  <c r="C389" i="16"/>
  <c r="C390" i="16"/>
  <c r="C391" i="16"/>
  <c r="C392" i="16"/>
  <c r="C393" i="16"/>
  <c r="C394" i="16"/>
  <c r="C416" i="16"/>
  <c r="C417" i="16"/>
  <c r="C418" i="16"/>
  <c r="C419" i="16"/>
  <c r="C420" i="16"/>
  <c r="C421" i="16"/>
  <c r="C422" i="16"/>
  <c r="C423" i="16"/>
  <c r="C424" i="16"/>
  <c r="C425" i="16"/>
  <c r="C426" i="16"/>
  <c r="C427" i="16"/>
  <c r="C428" i="16"/>
  <c r="C429" i="16"/>
  <c r="C430" i="16"/>
  <c r="C431" i="16"/>
  <c r="C432" i="16"/>
  <c r="C36" i="16"/>
  <c r="C37" i="16"/>
  <c r="C38" i="16"/>
  <c r="C39" i="16"/>
  <c r="C40" i="16"/>
  <c r="C41" i="16"/>
  <c r="C42" i="16"/>
  <c r="C43" i="16"/>
  <c r="C433" i="16"/>
  <c r="C434" i="16"/>
  <c r="C435" i="16"/>
  <c r="C436" i="16"/>
  <c r="C437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438" i="16"/>
  <c r="C439" i="16"/>
  <c r="C440" i="16"/>
  <c r="C441" i="16"/>
  <c r="C59" i="16"/>
  <c r="C60" i="16"/>
  <c r="C61" i="16"/>
  <c r="C442" i="16"/>
  <c r="C443" i="16"/>
  <c r="C444" i="16"/>
  <c r="C62" i="16"/>
  <c r="C63" i="16"/>
  <c r="C64" i="16"/>
  <c r="C65" i="16"/>
  <c r="C445" i="16"/>
  <c r="C446" i="16"/>
  <c r="C447" i="16"/>
  <c r="C448" i="16"/>
  <c r="C66" i="16"/>
  <c r="C67" i="16"/>
  <c r="C449" i="16"/>
  <c r="C450" i="16"/>
  <c r="C451" i="16"/>
  <c r="C452" i="16"/>
  <c r="C453" i="16"/>
  <c r="C454" i="16"/>
  <c r="C455" i="16"/>
  <c r="C456" i="16"/>
  <c r="C457" i="16"/>
  <c r="C458" i="16"/>
  <c r="C459" i="16"/>
  <c r="C460" i="16"/>
  <c r="C461" i="16"/>
  <c r="C462" i="16"/>
  <c r="C463" i="16"/>
  <c r="C464" i="16"/>
  <c r="C465" i="16"/>
  <c r="C466" i="16"/>
  <c r="C467" i="16"/>
  <c r="C468" i="16"/>
  <c r="C469" i="16"/>
  <c r="C470" i="16"/>
  <c r="C471" i="16"/>
  <c r="C472" i="16"/>
  <c r="C473" i="16"/>
  <c r="C474" i="16"/>
  <c r="C475" i="16"/>
  <c r="C476" i="16"/>
  <c r="C477" i="16"/>
  <c r="C478" i="16"/>
  <c r="C479" i="16"/>
  <c r="C480" i="16"/>
  <c r="C481" i="16"/>
  <c r="C482" i="16"/>
  <c r="C483" i="16"/>
  <c r="C484" i="16"/>
  <c r="C485" i="16"/>
  <c r="C486" i="16"/>
  <c r="C487" i="16"/>
  <c r="C488" i="16"/>
  <c r="C489" i="16"/>
  <c r="C490" i="16"/>
  <c r="C491" i="16"/>
  <c r="C492" i="16"/>
  <c r="C493" i="16"/>
  <c r="C494" i="16"/>
  <c r="C495" i="16"/>
  <c r="C496" i="16"/>
  <c r="C497" i="16"/>
  <c r="C498" i="16"/>
  <c r="C499" i="16"/>
  <c r="C500" i="16"/>
  <c r="C501" i="16"/>
  <c r="C502" i="16"/>
  <c r="C503" i="16"/>
  <c r="C504" i="16"/>
  <c r="C505" i="16"/>
  <c r="C506" i="16"/>
  <c r="C507" i="16"/>
  <c r="C508" i="16"/>
  <c r="C509" i="16"/>
  <c r="C510" i="16"/>
  <c r="C511" i="16"/>
  <c r="C512" i="16"/>
  <c r="C513" i="16"/>
  <c r="C514" i="16"/>
  <c r="C515" i="16"/>
  <c r="C516" i="16"/>
  <c r="C517" i="16"/>
  <c r="C518" i="16"/>
  <c r="C519" i="16"/>
  <c r="C520" i="16"/>
  <c r="C521" i="16"/>
  <c r="C522" i="16"/>
  <c r="C523" i="16"/>
  <c r="C524" i="16"/>
  <c r="C525" i="16"/>
  <c r="C526" i="16"/>
  <c r="C527" i="16"/>
  <c r="C528" i="16"/>
  <c r="C529" i="16"/>
  <c r="C530" i="16"/>
  <c r="C531" i="16"/>
  <c r="C532" i="16"/>
  <c r="C533" i="16"/>
  <c r="C534" i="16"/>
  <c r="C535" i="16"/>
  <c r="C536" i="16"/>
  <c r="C537" i="16"/>
  <c r="C538" i="16"/>
  <c r="C539" i="16"/>
  <c r="C540" i="16"/>
  <c r="C541" i="16"/>
  <c r="C542" i="16"/>
  <c r="C543" i="16"/>
  <c r="C544" i="16"/>
  <c r="C545" i="16"/>
  <c r="C546" i="16"/>
  <c r="C547" i="16"/>
  <c r="C548" i="16"/>
  <c r="C549" i="16"/>
  <c r="C550" i="16"/>
  <c r="C551" i="16"/>
  <c r="C552" i="16"/>
  <c r="C553" i="16"/>
  <c r="C554" i="16"/>
  <c r="C555" i="16"/>
  <c r="C556" i="16"/>
  <c r="C557" i="16"/>
  <c r="C558" i="16"/>
  <c r="C559" i="16"/>
  <c r="C560" i="16"/>
  <c r="C561" i="16"/>
  <c r="C562" i="16"/>
  <c r="C563" i="16"/>
  <c r="C564" i="16"/>
  <c r="C565" i="16"/>
  <c r="C566" i="16"/>
  <c r="C567" i="16"/>
  <c r="C568" i="16"/>
  <c r="C569" i="16"/>
  <c r="C570" i="16"/>
  <c r="C571" i="16"/>
  <c r="C572" i="16"/>
  <c r="C573" i="16"/>
  <c r="C574" i="16"/>
  <c r="C575" i="16"/>
  <c r="C576" i="16"/>
  <c r="C577" i="16"/>
  <c r="C578" i="16"/>
  <c r="C579" i="16"/>
  <c r="C580" i="16"/>
  <c r="C581" i="16"/>
  <c r="C582" i="16"/>
  <c r="C583" i="16"/>
  <c r="C584" i="16"/>
  <c r="C585" i="16"/>
  <c r="C586" i="16"/>
  <c r="C587" i="16"/>
  <c r="C588" i="16"/>
  <c r="C589" i="16"/>
  <c r="C590" i="16"/>
  <c r="C591" i="16"/>
  <c r="C592" i="16"/>
  <c r="C594" i="16"/>
  <c r="C595" i="16"/>
  <c r="C596" i="16"/>
  <c r="C597" i="16"/>
  <c r="C598" i="16"/>
  <c r="C599" i="16"/>
  <c r="C600" i="16"/>
  <c r="C601" i="16"/>
  <c r="C602" i="16"/>
  <c r="C603" i="16"/>
  <c r="C604" i="16"/>
  <c r="C605" i="16"/>
  <c r="C606" i="16"/>
  <c r="C607" i="16"/>
  <c r="C608" i="16"/>
  <c r="C609" i="16"/>
  <c r="C610" i="16"/>
  <c r="C611" i="16"/>
  <c r="C612" i="16"/>
  <c r="C613" i="16"/>
  <c r="C614" i="16"/>
  <c r="C615" i="16"/>
  <c r="C616" i="16"/>
  <c r="C617" i="16"/>
  <c r="C618" i="16"/>
  <c r="C619" i="16"/>
  <c r="C620" i="16"/>
  <c r="C621" i="16"/>
  <c r="C622" i="16"/>
  <c r="C623" i="16"/>
  <c r="C624" i="16"/>
  <c r="C625" i="16"/>
  <c r="C626" i="16"/>
  <c r="C627" i="16"/>
  <c r="C628" i="16"/>
  <c r="C629" i="16"/>
  <c r="C630" i="16"/>
  <c r="C631" i="16"/>
  <c r="C632" i="16"/>
  <c r="C633" i="16"/>
  <c r="C634" i="16"/>
  <c r="C635" i="16"/>
  <c r="C636" i="16"/>
  <c r="C637" i="16"/>
  <c r="C638" i="16"/>
  <c r="C639" i="16"/>
  <c r="C640" i="16"/>
  <c r="C641" i="16"/>
  <c r="C642" i="16"/>
  <c r="C643" i="16"/>
  <c r="C644" i="16"/>
  <c r="C645" i="16"/>
  <c r="C646" i="16"/>
  <c r="C647" i="16"/>
  <c r="C648" i="16"/>
  <c r="C649" i="16"/>
  <c r="C650" i="16"/>
  <c r="C651" i="16"/>
  <c r="C652" i="16"/>
  <c r="C653" i="16"/>
  <c r="C654" i="16"/>
  <c r="C655" i="16"/>
  <c r="C656" i="16"/>
  <c r="C657" i="16"/>
  <c r="C658" i="16"/>
  <c r="C659" i="16"/>
  <c r="C660" i="16"/>
  <c r="C661" i="16"/>
  <c r="C662" i="16"/>
  <c r="C663" i="16"/>
  <c r="C664" i="16"/>
  <c r="C665" i="16"/>
  <c r="C666" i="16"/>
  <c r="C667" i="16"/>
  <c r="C668" i="16"/>
  <c r="C669" i="16"/>
  <c r="C670" i="16"/>
  <c r="C671" i="16"/>
  <c r="C672" i="16"/>
  <c r="C673" i="16"/>
  <c r="C674" i="16"/>
  <c r="C675" i="16"/>
  <c r="C676" i="16"/>
  <c r="C677" i="16"/>
  <c r="C678" i="16"/>
  <c r="C679" i="16"/>
  <c r="C680" i="16"/>
  <c r="C681" i="16"/>
  <c r="C682" i="16"/>
  <c r="C683" i="16"/>
  <c r="C684" i="16"/>
  <c r="C685" i="16"/>
  <c r="C686" i="16"/>
  <c r="C687" i="16"/>
  <c r="C688" i="16"/>
  <c r="C689" i="16"/>
  <c r="C690" i="16"/>
  <c r="C691" i="16"/>
  <c r="C692" i="16"/>
  <c r="C693" i="16"/>
  <c r="C694" i="16"/>
  <c r="C695" i="16"/>
  <c r="C696" i="16"/>
  <c r="C697" i="16"/>
  <c r="C698" i="16"/>
  <c r="C699" i="16"/>
  <c r="C700" i="16"/>
  <c r="C701" i="16"/>
  <c r="C702" i="16"/>
  <c r="C703" i="16"/>
  <c r="C704" i="16"/>
  <c r="C705" i="16"/>
  <c r="C706" i="16"/>
  <c r="C707" i="16"/>
  <c r="C708" i="16"/>
  <c r="C709" i="16"/>
  <c r="C710" i="16"/>
  <c r="C711" i="16"/>
  <c r="C712" i="16"/>
  <c r="C713" i="16"/>
  <c r="C714" i="16"/>
  <c r="C715" i="16"/>
  <c r="C716" i="16"/>
  <c r="C717" i="16"/>
  <c r="C718" i="16"/>
  <c r="C719" i="16"/>
  <c r="C720" i="16"/>
  <c r="C721" i="16"/>
  <c r="C722" i="16"/>
  <c r="C723" i="16"/>
  <c r="C724" i="16"/>
  <c r="C725" i="16"/>
  <c r="C726" i="16"/>
  <c r="C727" i="16"/>
  <c r="C728" i="16"/>
  <c r="C729" i="16"/>
  <c r="C730" i="16"/>
  <c r="C731" i="16"/>
  <c r="C732" i="16"/>
  <c r="C733" i="16"/>
  <c r="C734" i="16"/>
  <c r="C735" i="16"/>
  <c r="C736" i="16"/>
  <c r="C737" i="16"/>
  <c r="C738" i="16"/>
  <c r="C739" i="16"/>
  <c r="C740" i="16"/>
  <c r="C741" i="16"/>
  <c r="C742" i="16"/>
  <c r="C743" i="16"/>
  <c r="C744" i="16"/>
  <c r="C745" i="16"/>
  <c r="C746" i="16"/>
  <c r="C747" i="16"/>
  <c r="C748" i="16"/>
  <c r="C749" i="16"/>
  <c r="C750" i="16"/>
  <c r="C751" i="16"/>
  <c r="C752" i="16"/>
  <c r="C753" i="16"/>
  <c r="C754" i="16"/>
  <c r="C755" i="16"/>
  <c r="C756" i="16"/>
  <c r="C757" i="16"/>
  <c r="C758" i="16"/>
  <c r="C759" i="16"/>
  <c r="C760" i="16"/>
  <c r="C761" i="16"/>
  <c r="C762" i="16"/>
  <c r="C763" i="16"/>
  <c r="C764" i="16"/>
  <c r="C765" i="16"/>
  <c r="C766" i="16"/>
  <c r="C767" i="16"/>
  <c r="C768" i="16"/>
  <c r="C769" i="16"/>
  <c r="C770" i="16"/>
  <c r="C771" i="16"/>
  <c r="C772" i="16"/>
  <c r="C773" i="16"/>
  <c r="C774" i="16"/>
  <c r="C775" i="16"/>
  <c r="C776" i="16"/>
  <c r="C777" i="16"/>
  <c r="C778" i="16"/>
  <c r="C779" i="16"/>
  <c r="C780" i="16"/>
  <c r="C781" i="16"/>
  <c r="C782" i="16"/>
  <c r="C783" i="16"/>
  <c r="C784" i="16"/>
  <c r="C785" i="16"/>
  <c r="C786" i="16"/>
  <c r="C787" i="16"/>
  <c r="C788" i="16"/>
  <c r="C789" i="16"/>
  <c r="C790" i="16"/>
  <c r="C791" i="16"/>
  <c r="C792" i="16"/>
  <c r="C793" i="16"/>
  <c r="C794" i="16"/>
  <c r="C795" i="16"/>
  <c r="C796" i="16"/>
  <c r="C797" i="16"/>
  <c r="C798" i="16"/>
  <c r="C799" i="16"/>
  <c r="C800" i="16"/>
  <c r="C801" i="16"/>
  <c r="C802" i="16"/>
  <c r="C803" i="16"/>
  <c r="C804" i="16"/>
  <c r="C805" i="16"/>
  <c r="C806" i="16"/>
  <c r="C807" i="16"/>
  <c r="C808" i="16"/>
  <c r="C809" i="16"/>
  <c r="C810" i="16"/>
  <c r="C811" i="16"/>
  <c r="C812" i="16"/>
  <c r="C813" i="16"/>
  <c r="C814" i="16"/>
  <c r="C815" i="16"/>
  <c r="C816" i="16"/>
  <c r="C817" i="16"/>
  <c r="C818" i="16"/>
  <c r="C819" i="16"/>
  <c r="C820" i="16"/>
  <c r="C821" i="16"/>
  <c r="C822" i="16"/>
  <c r="C823" i="16"/>
  <c r="C824" i="16"/>
  <c r="C825" i="16"/>
  <c r="C826" i="16"/>
  <c r="C827" i="16"/>
  <c r="C828" i="16"/>
  <c r="C829" i="16"/>
  <c r="C830" i="16"/>
  <c r="C831" i="16"/>
  <c r="C832" i="16"/>
  <c r="C833" i="16"/>
  <c r="C834" i="16"/>
  <c r="C835" i="16"/>
  <c r="C836" i="16"/>
  <c r="C837" i="16"/>
  <c r="C838" i="16"/>
  <c r="C839" i="16"/>
  <c r="C840" i="16"/>
  <c r="C841" i="16"/>
  <c r="C842" i="16"/>
  <c r="C843" i="16"/>
  <c r="C844" i="16"/>
  <c r="C845" i="16"/>
  <c r="C846" i="16"/>
  <c r="C847" i="16"/>
  <c r="C848" i="16"/>
  <c r="C849" i="16"/>
  <c r="C850" i="16"/>
  <c r="C851" i="16"/>
  <c r="C852" i="16"/>
  <c r="C853" i="16"/>
  <c r="C854" i="16"/>
  <c r="C855" i="16"/>
  <c r="C856" i="16"/>
  <c r="C857" i="16"/>
  <c r="C858" i="16"/>
  <c r="C859" i="16"/>
  <c r="C860" i="16"/>
  <c r="C861" i="16"/>
  <c r="C862" i="16"/>
  <c r="C863" i="16"/>
  <c r="C864" i="16"/>
  <c r="C865" i="16"/>
  <c r="C866" i="16"/>
  <c r="C867" i="16"/>
  <c r="C868" i="16"/>
  <c r="C869" i="16"/>
  <c r="C870" i="16"/>
  <c r="C871" i="16"/>
  <c r="C872" i="16"/>
  <c r="C873" i="16"/>
  <c r="C874" i="16"/>
  <c r="C875" i="16"/>
  <c r="C876" i="16"/>
  <c r="C877" i="16"/>
  <c r="C878" i="16"/>
  <c r="C879" i="16"/>
  <c r="C880" i="16"/>
  <c r="C881" i="16"/>
  <c r="C882" i="16"/>
  <c r="C883" i="16"/>
  <c r="C884" i="16"/>
  <c r="C885" i="16"/>
  <c r="C886" i="16"/>
  <c r="C887" i="16"/>
  <c r="C888" i="16"/>
  <c r="C889" i="16"/>
  <c r="C890" i="16"/>
  <c r="C891" i="16"/>
  <c r="C892" i="16"/>
  <c r="C893" i="16"/>
  <c r="C894" i="16"/>
  <c r="C895" i="16"/>
  <c r="C896" i="16"/>
  <c r="C897" i="16"/>
  <c r="C898" i="16"/>
  <c r="C899" i="16"/>
  <c r="C900" i="16"/>
  <c r="C901" i="16"/>
  <c r="C902" i="16"/>
  <c r="C903" i="16"/>
  <c r="C904" i="16"/>
  <c r="C905" i="16"/>
  <c r="C906" i="16"/>
  <c r="C907" i="16"/>
  <c r="C908" i="16"/>
  <c r="C909" i="16"/>
  <c r="C593" i="16"/>
  <c r="C175" i="16"/>
  <c r="C910" i="16"/>
  <c r="C911" i="16"/>
  <c r="C912" i="16"/>
  <c r="C913" i="16"/>
  <c r="C914" i="16"/>
  <c r="C915" i="16"/>
  <c r="C916" i="16"/>
  <c r="C917" i="16"/>
  <c r="C918" i="16"/>
  <c r="C919" i="16"/>
  <c r="C920" i="16"/>
  <c r="C921" i="16"/>
  <c r="C922" i="16"/>
  <c r="C176" i="16"/>
  <c r="C923" i="16"/>
  <c r="C924" i="16"/>
  <c r="C925" i="16"/>
  <c r="C926" i="16"/>
  <c r="C927" i="16"/>
  <c r="C928" i="16"/>
  <c r="C929" i="16"/>
  <c r="C930" i="16"/>
  <c r="C931" i="16"/>
  <c r="C932" i="16"/>
  <c r="C933" i="16"/>
  <c r="C934" i="16"/>
  <c r="C935" i="16"/>
  <c r="C936" i="16"/>
  <c r="C937" i="16"/>
  <c r="C938" i="16"/>
  <c r="C939" i="16"/>
  <c r="C940" i="16"/>
  <c r="C941" i="16"/>
  <c r="C942" i="16"/>
  <c r="C943" i="16"/>
  <c r="C395" i="16"/>
  <c r="C944" i="16"/>
  <c r="C945" i="16"/>
  <c r="C946" i="16"/>
  <c r="C947" i="16"/>
  <c r="C948" i="16"/>
  <c r="C949" i="16"/>
  <c r="C950" i="16"/>
  <c r="C951" i="16"/>
  <c r="C952" i="16"/>
  <c r="C953" i="16"/>
  <c r="C954" i="16"/>
  <c r="C955" i="16"/>
  <c r="C956" i="16"/>
  <c r="C957" i="16"/>
  <c r="C958" i="16"/>
  <c r="C959" i="16"/>
  <c r="C960" i="16"/>
  <c r="C961" i="16"/>
  <c r="C962" i="16"/>
  <c r="C963" i="16"/>
  <c r="C964" i="16"/>
  <c r="C965" i="16"/>
  <c r="C966" i="16"/>
  <c r="C396" i="16"/>
  <c r="C967" i="16"/>
  <c r="C968" i="16"/>
  <c r="C969" i="16"/>
  <c r="C970" i="16"/>
  <c r="C971" i="16"/>
  <c r="C972" i="16"/>
  <c r="C973" i="16"/>
  <c r="C974" i="16"/>
  <c r="C975" i="16"/>
  <c r="C976" i="16"/>
  <c r="C977" i="16"/>
  <c r="C978" i="16"/>
  <c r="C979" i="16"/>
  <c r="C980" i="16"/>
  <c r="C981" i="16"/>
  <c r="C982" i="16"/>
  <c r="C983" i="16"/>
  <c r="C984" i="16"/>
  <c r="C985" i="16"/>
  <c r="C986" i="16"/>
  <c r="C987" i="16"/>
  <c r="C988" i="16"/>
  <c r="C989" i="16"/>
  <c r="C990" i="16"/>
  <c r="C991" i="16"/>
  <c r="C992" i="16"/>
  <c r="C397" i="16"/>
  <c r="C993" i="16"/>
  <c r="C994" i="16"/>
  <c r="C995" i="16"/>
  <c r="C996" i="16"/>
  <c r="C997" i="16"/>
  <c r="C998" i="16"/>
  <c r="C999" i="16"/>
  <c r="C1000" i="16"/>
  <c r="C1001" i="16"/>
  <c r="C1002" i="16"/>
  <c r="C1003" i="16"/>
  <c r="C1004" i="16"/>
  <c r="C1005" i="16"/>
  <c r="C1006" i="16"/>
  <c r="C1007" i="16"/>
  <c r="C1008" i="16"/>
  <c r="C1009" i="16"/>
  <c r="C1010" i="16"/>
  <c r="C1011" i="16"/>
  <c r="C1012" i="16"/>
  <c r="C1013" i="16"/>
  <c r="C1014" i="16"/>
  <c r="C1015" i="16"/>
  <c r="C398" i="16"/>
  <c r="C1016" i="16"/>
  <c r="C1017" i="16"/>
  <c r="C1018" i="16"/>
  <c r="C1019" i="16"/>
  <c r="C1020" i="16"/>
  <c r="C1021" i="16"/>
  <c r="C1022" i="16"/>
  <c r="C1023" i="16"/>
  <c r="C1024" i="16"/>
  <c r="C1025" i="16"/>
  <c r="C1026" i="16"/>
  <c r="C1027" i="16"/>
  <c r="C1028" i="16"/>
  <c r="C1029" i="16"/>
  <c r="C1030" i="16"/>
  <c r="C1031" i="16"/>
  <c r="C1032" i="16"/>
  <c r="C1033" i="16"/>
  <c r="C1034" i="16"/>
  <c r="C1035" i="16"/>
  <c r="C1036" i="16"/>
  <c r="C1037" i="16"/>
  <c r="C1038" i="16"/>
  <c r="C399" i="16"/>
  <c r="C1039" i="16"/>
  <c r="C1040" i="16"/>
  <c r="C1041" i="16"/>
  <c r="C1042" i="16"/>
  <c r="C1043" i="16"/>
  <c r="C400" i="16"/>
  <c r="C401" i="16"/>
  <c r="C1044" i="16"/>
  <c r="C1045" i="16"/>
  <c r="C1046" i="16"/>
  <c r="C1047" i="16"/>
  <c r="C402" i="16"/>
  <c r="C403" i="16"/>
  <c r="C404" i="16"/>
  <c r="C1048" i="16"/>
  <c r="C1049" i="16"/>
  <c r="C1050" i="16"/>
  <c r="C1051" i="16"/>
  <c r="C1052" i="16"/>
  <c r="C1053" i="16"/>
  <c r="C1054" i="16"/>
  <c r="C1055" i="16"/>
  <c r="C1056" i="16"/>
  <c r="C1057" i="16"/>
  <c r="C1058" i="16"/>
  <c r="C1059" i="16"/>
  <c r="C1060" i="16"/>
  <c r="C1061" i="16"/>
  <c r="C1062" i="16"/>
  <c r="C1063" i="16"/>
  <c r="C1064" i="16"/>
  <c r="C1065" i="16"/>
  <c r="C406" i="16"/>
  <c r="C1066" i="16"/>
  <c r="C1067" i="16"/>
  <c r="C1068" i="16"/>
  <c r="C1069" i="16"/>
  <c r="C1070" i="16"/>
  <c r="C1071" i="16"/>
  <c r="C1072" i="16"/>
  <c r="C1073" i="16"/>
  <c r="C1074" i="16"/>
  <c r="C1075" i="16"/>
  <c r="C1076" i="16"/>
  <c r="C1077" i="16"/>
  <c r="C1078" i="16"/>
  <c r="C1079" i="16"/>
  <c r="C1080" i="16"/>
  <c r="C407" i="16"/>
  <c r="C1081" i="16"/>
  <c r="C1082" i="16"/>
  <c r="C1083" i="16"/>
  <c r="C1084" i="16"/>
  <c r="C1085" i="16"/>
  <c r="C408" i="16"/>
  <c r="C1086" i="16"/>
  <c r="C1087" i="16"/>
  <c r="C177" i="16"/>
  <c r="C178" i="16"/>
  <c r="C179" i="16"/>
  <c r="C180" i="16"/>
  <c r="C181" i="16"/>
  <c r="C182" i="16"/>
  <c r="C183" i="16"/>
  <c r="C184" i="16"/>
  <c r="C1088" i="16"/>
  <c r="C185" i="16"/>
  <c r="C1089" i="16"/>
  <c r="C186" i="16"/>
  <c r="C187" i="16"/>
  <c r="C1090" i="16"/>
  <c r="C188" i="16"/>
  <c r="C1091" i="16"/>
  <c r="C1092" i="16"/>
  <c r="C1093" i="16"/>
  <c r="C1094" i="16"/>
  <c r="C1095" i="16"/>
  <c r="C1096" i="16"/>
  <c r="C1097" i="16"/>
  <c r="C1098" i="16"/>
  <c r="C1099" i="16"/>
  <c r="C1100" i="16"/>
  <c r="C1101" i="16"/>
  <c r="C1102" i="16"/>
  <c r="C1103" i="16"/>
  <c r="C1104" i="16"/>
  <c r="C1105" i="16"/>
  <c r="C1106" i="16"/>
  <c r="C1107" i="16"/>
  <c r="C1108" i="16"/>
  <c r="C1109" i="16"/>
  <c r="C1110" i="16"/>
  <c r="C1111" i="16"/>
  <c r="C1112" i="16"/>
  <c r="C1113" i="16"/>
  <c r="C1114" i="16"/>
  <c r="C1115" i="16"/>
  <c r="C1116" i="16"/>
  <c r="C1117" i="16"/>
  <c r="C1118" i="16"/>
  <c r="C1119" i="16"/>
  <c r="C1120" i="16"/>
  <c r="C1121" i="16"/>
  <c r="C1122" i="16"/>
  <c r="C1123" i="16"/>
  <c r="C1124" i="16"/>
  <c r="C1125" i="16"/>
  <c r="C1126" i="16"/>
  <c r="C1127" i="16"/>
  <c r="C1128" i="16"/>
  <c r="C1129" i="16"/>
  <c r="C189" i="16"/>
  <c r="C1130" i="16"/>
  <c r="C1131" i="16"/>
  <c r="C1132" i="16"/>
  <c r="C1133" i="16"/>
  <c r="C1134" i="16"/>
  <c r="C1135" i="16"/>
  <c r="C1136" i="16"/>
  <c r="C190" i="16"/>
  <c r="C191" i="16"/>
  <c r="C192" i="16"/>
  <c r="C1137" i="16"/>
  <c r="C1138" i="16"/>
  <c r="C1139" i="16"/>
  <c r="C1140" i="16"/>
  <c r="C1141" i="16"/>
  <c r="C1142" i="16"/>
  <c r="C1143" i="16"/>
  <c r="C1144" i="16"/>
  <c r="C1145" i="16"/>
  <c r="C1146" i="16"/>
  <c r="C1147" i="16"/>
  <c r="C1148" i="16"/>
  <c r="C1149" i="16"/>
  <c r="C1150" i="16"/>
  <c r="C1151" i="16"/>
  <c r="C1152" i="16"/>
  <c r="C1153" i="16"/>
  <c r="C1154" i="16"/>
  <c r="C1155" i="16"/>
  <c r="C1156" i="16"/>
  <c r="C1157" i="16"/>
  <c r="C193" i="16"/>
  <c r="C194" i="16"/>
  <c r="C195" i="16"/>
  <c r="C196" i="16"/>
  <c r="C1158" i="16"/>
  <c r="C1159" i="16"/>
  <c r="C1160" i="16"/>
  <c r="C1161" i="16"/>
  <c r="C1162" i="16"/>
  <c r="C1163" i="16"/>
  <c r="C1164" i="16"/>
  <c r="C1165" i="16"/>
  <c r="C1166" i="16"/>
  <c r="C1167" i="16"/>
  <c r="C1168" i="16"/>
  <c r="C1169" i="16"/>
  <c r="C1170" i="16"/>
  <c r="C1171" i="16"/>
  <c r="C1172" i="16"/>
  <c r="C1173" i="16"/>
  <c r="C1174" i="16"/>
  <c r="C1175" i="16"/>
  <c r="C1176" i="16"/>
  <c r="C1177" i="16"/>
  <c r="C1178" i="16"/>
  <c r="C1179" i="16"/>
  <c r="C1180" i="16"/>
  <c r="C1181" i="16"/>
  <c r="C1182" i="16"/>
  <c r="C1183" i="16"/>
  <c r="C1184" i="16"/>
  <c r="C1185" i="16"/>
  <c r="C1186" i="16"/>
  <c r="C1187" i="16"/>
  <c r="C1188" i="16"/>
  <c r="C1189" i="16"/>
  <c r="C1190" i="16"/>
  <c r="C1191" i="16"/>
  <c r="C1192" i="16"/>
  <c r="C1193" i="16"/>
  <c r="C1194" i="16"/>
  <c r="C1195" i="16"/>
  <c r="C1196" i="16"/>
  <c r="C1197" i="16"/>
  <c r="C1198" i="16"/>
  <c r="C1199" i="16"/>
  <c r="C1200" i="16"/>
  <c r="C1201" i="16"/>
  <c r="C1202" i="16"/>
  <c r="C1203" i="16"/>
  <c r="C1204" i="16"/>
  <c r="C1205" i="16"/>
  <c r="C1206" i="16"/>
  <c r="C1207" i="16"/>
  <c r="C1208" i="16"/>
  <c r="C1209" i="16"/>
  <c r="C1210" i="16"/>
  <c r="C1211" i="16"/>
  <c r="C1212" i="16"/>
  <c r="C1213" i="16"/>
  <c r="C1214" i="16"/>
  <c r="C1215" i="16"/>
  <c r="C1216" i="16"/>
  <c r="C1217" i="16"/>
  <c r="C1218" i="16"/>
  <c r="C1219" i="16"/>
  <c r="C1220" i="16"/>
  <c r="C1221" i="16"/>
  <c r="C1222" i="16"/>
  <c r="C1223" i="16"/>
  <c r="C1224" i="16"/>
  <c r="C1225" i="16"/>
  <c r="C1226" i="16"/>
  <c r="C1227" i="16"/>
  <c r="C1228" i="16"/>
  <c r="C1229" i="16"/>
  <c r="C1230" i="16"/>
  <c r="C1231" i="16"/>
  <c r="C1232" i="16"/>
  <c r="C1233" i="16"/>
  <c r="C1234" i="16"/>
  <c r="C1235" i="16"/>
  <c r="C1236" i="16"/>
  <c r="C1237" i="16"/>
  <c r="C1238" i="16"/>
  <c r="C1239" i="16"/>
  <c r="C1240" i="16"/>
  <c r="C1241" i="16"/>
  <c r="C1242" i="16"/>
  <c r="C1243" i="16"/>
  <c r="C1244" i="16"/>
  <c r="C1245" i="16"/>
  <c r="C1246" i="16"/>
  <c r="C1247" i="16"/>
  <c r="C1248" i="16"/>
  <c r="C1249" i="16"/>
  <c r="C1250" i="16"/>
  <c r="C1251" i="16"/>
  <c r="C1252" i="16"/>
  <c r="C1253" i="16"/>
  <c r="C1254" i="16"/>
  <c r="C1255" i="16"/>
  <c r="C1256" i="16"/>
  <c r="C1257" i="16"/>
  <c r="C1258" i="16"/>
  <c r="C1259" i="16"/>
  <c r="C1260" i="16"/>
  <c r="C1261" i="16"/>
  <c r="C1262" i="16"/>
  <c r="C1263" i="16"/>
  <c r="C1264" i="16"/>
  <c r="C1265" i="16"/>
  <c r="C1266" i="16"/>
  <c r="C1267" i="16"/>
  <c r="C1268" i="16"/>
  <c r="C1269" i="16"/>
  <c r="C1270" i="16"/>
  <c r="C1271" i="16"/>
  <c r="C1272" i="16"/>
  <c r="C1273" i="16"/>
  <c r="C1274" i="16"/>
  <c r="C1275" i="16"/>
  <c r="C1276" i="16"/>
  <c r="C1277" i="16"/>
  <c r="C1278" i="16"/>
  <c r="C1279" i="16"/>
  <c r="C1280" i="16"/>
  <c r="C1281" i="16"/>
  <c r="C1282" i="16"/>
  <c r="C1283" i="16"/>
  <c r="C1284" i="16"/>
  <c r="C1285" i="16"/>
  <c r="C1286" i="16"/>
  <c r="C1287" i="16"/>
  <c r="C1288" i="16"/>
  <c r="C1289" i="16"/>
  <c r="C1290" i="16"/>
  <c r="C1291" i="16"/>
  <c r="C1292" i="16"/>
  <c r="C1293" i="16"/>
  <c r="C1294" i="16"/>
  <c r="C1295" i="16"/>
  <c r="C1296" i="16"/>
  <c r="C1297" i="16"/>
  <c r="C1298" i="16"/>
  <c r="C1299" i="16"/>
  <c r="C1300" i="16"/>
  <c r="C1301" i="16"/>
  <c r="C1302" i="16"/>
  <c r="C1303" i="16"/>
  <c r="C1304" i="16"/>
  <c r="C1305" i="16"/>
  <c r="C1307" i="16"/>
  <c r="C1308" i="16"/>
  <c r="C1309" i="16"/>
  <c r="C1310" i="16"/>
  <c r="C1311" i="16"/>
  <c r="C1312" i="16"/>
  <c r="C1313" i="16"/>
  <c r="C1314" i="16"/>
  <c r="C1315" i="16"/>
  <c r="C1316" i="16"/>
  <c r="C1317" i="16"/>
  <c r="C1318" i="16"/>
  <c r="C1319" i="16"/>
  <c r="C1320" i="16"/>
  <c r="C1321" i="16"/>
  <c r="C1322" i="16"/>
  <c r="C1323" i="16"/>
  <c r="C1324" i="16"/>
  <c r="C1325" i="16"/>
  <c r="C1326" i="16"/>
  <c r="C1327" i="16"/>
  <c r="C1328" i="16"/>
  <c r="C1329" i="16"/>
  <c r="C1330" i="16"/>
  <c r="C1331" i="16"/>
  <c r="C1332" i="16"/>
  <c r="C1333" i="16"/>
  <c r="C1334" i="16"/>
  <c r="C1335" i="16"/>
  <c r="C1336" i="16"/>
  <c r="C1337" i="16"/>
  <c r="C1338" i="16"/>
  <c r="C1339" i="16"/>
  <c r="C1340" i="16"/>
  <c r="C1341" i="16"/>
  <c r="C1342" i="16"/>
  <c r="C1343" i="16"/>
  <c r="C1344" i="16"/>
  <c r="C1345" i="16"/>
  <c r="C1346" i="16"/>
  <c r="C1347" i="16"/>
  <c r="C1348" i="16"/>
  <c r="C1349" i="16"/>
  <c r="C1350" i="16"/>
  <c r="C1351" i="16"/>
  <c r="C1352" i="16"/>
  <c r="C1353" i="16"/>
  <c r="C1354" i="16"/>
  <c r="C1355" i="16"/>
  <c r="C1356" i="16"/>
  <c r="C1357" i="16"/>
  <c r="C1358" i="16"/>
  <c r="C1359" i="16"/>
  <c r="C1360" i="16"/>
  <c r="C1361" i="16"/>
  <c r="C1362" i="16"/>
  <c r="C1363" i="16"/>
  <c r="C1364" i="16"/>
  <c r="C1365" i="16"/>
  <c r="C1366" i="16"/>
  <c r="C1367" i="16"/>
  <c r="C1368" i="16"/>
  <c r="C1369" i="16"/>
  <c r="C1370" i="16"/>
  <c r="C1371" i="16"/>
  <c r="C1372" i="16"/>
  <c r="C1373" i="16"/>
  <c r="C1374" i="16"/>
  <c r="C1375" i="16"/>
  <c r="C1376" i="16"/>
  <c r="C1377" i="16"/>
  <c r="C1378" i="16"/>
  <c r="C1379" i="16"/>
  <c r="C1380" i="16"/>
  <c r="C1381" i="16"/>
  <c r="C1382" i="16"/>
  <c r="C1383" i="16"/>
  <c r="C1384" i="16"/>
  <c r="C1385" i="16"/>
  <c r="C1386" i="16"/>
  <c r="C1387" i="16"/>
  <c r="C197" i="16"/>
  <c r="C1388" i="16"/>
  <c r="C1389" i="16"/>
  <c r="C1390" i="16"/>
  <c r="C1391" i="16"/>
  <c r="C1392" i="16"/>
  <c r="C198" i="16"/>
  <c r="C1393" i="16"/>
  <c r="C1394" i="16"/>
  <c r="C1395" i="16"/>
  <c r="C199" i="16"/>
  <c r="C1396" i="16"/>
  <c r="C1397" i="16"/>
  <c r="C1398" i="16"/>
  <c r="C1399" i="16"/>
  <c r="C1400" i="16"/>
  <c r="C1401" i="16"/>
  <c r="C1402" i="16"/>
  <c r="C1403" i="16"/>
  <c r="C1404" i="16"/>
  <c r="C1405" i="16"/>
  <c r="C1406" i="16"/>
  <c r="C1407" i="16"/>
  <c r="C1408" i="16"/>
  <c r="C1409" i="16"/>
  <c r="C1410" i="16"/>
  <c r="C1411" i="16"/>
  <c r="C1412" i="16"/>
  <c r="C1413" i="16"/>
  <c r="C1414" i="16"/>
  <c r="C1415" i="16"/>
  <c r="C1416" i="16"/>
  <c r="C1417" i="16"/>
  <c r="C1418" i="16"/>
  <c r="C1420" i="16"/>
  <c r="C1421" i="16"/>
  <c r="C1422" i="16"/>
  <c r="C1423" i="16"/>
  <c r="C1424" i="16"/>
  <c r="C1425" i="16"/>
  <c r="C1426" i="16"/>
  <c r="C1427" i="16"/>
  <c r="C1428" i="16"/>
  <c r="C1429" i="16"/>
  <c r="C1430" i="16"/>
  <c r="C1431" i="16"/>
  <c r="C1432" i="16"/>
  <c r="C1433" i="16"/>
  <c r="C1434" i="16"/>
  <c r="C1435" i="16"/>
  <c r="C1436" i="16"/>
  <c r="C1437" i="16"/>
  <c r="C1438" i="16"/>
  <c r="C1439" i="16"/>
  <c r="C1440" i="16"/>
  <c r="C1441" i="16"/>
  <c r="C1442" i="16"/>
  <c r="C1443" i="16"/>
  <c r="C1444" i="16"/>
  <c r="C1445" i="16"/>
  <c r="C1446" i="16"/>
  <c r="C1447" i="16"/>
  <c r="C1448" i="16"/>
  <c r="C1449" i="16"/>
  <c r="C1450" i="16"/>
  <c r="C1451" i="16"/>
  <c r="C1452" i="16"/>
  <c r="C1453" i="16"/>
  <c r="C1454" i="16"/>
  <c r="C1455" i="16"/>
  <c r="C1456" i="16"/>
  <c r="C1457" i="16"/>
  <c r="C1458" i="16"/>
  <c r="C1459" i="16"/>
  <c r="C1460" i="16"/>
  <c r="C1461" i="16"/>
  <c r="C1462" i="16"/>
  <c r="C1463" i="16"/>
  <c r="C1464" i="16"/>
  <c r="C1465" i="16"/>
  <c r="C1466" i="16"/>
  <c r="C1467" i="16"/>
  <c r="C1468" i="16"/>
  <c r="C1469" i="16"/>
  <c r="C1470" i="16"/>
  <c r="C1471" i="16"/>
  <c r="C1472" i="16"/>
  <c r="C1473" i="16"/>
  <c r="C1474" i="16"/>
  <c r="C1475" i="16"/>
  <c r="C1476" i="16"/>
  <c r="C1477" i="16"/>
  <c r="C1478" i="16"/>
  <c r="C1479" i="16"/>
  <c r="C1480" i="16"/>
  <c r="C1481" i="16"/>
  <c r="C1482" i="16"/>
  <c r="C1483" i="16"/>
  <c r="C1484" i="16"/>
  <c r="C1485" i="16"/>
  <c r="C1486" i="16"/>
  <c r="C1487" i="16"/>
  <c r="C1488" i="16"/>
  <c r="C1489" i="16"/>
  <c r="C1490" i="16"/>
  <c r="C1491" i="16"/>
  <c r="C1492" i="16"/>
  <c r="C1493" i="16"/>
  <c r="C1494" i="16"/>
  <c r="C1495" i="16"/>
  <c r="C1496" i="16"/>
  <c r="C1497" i="16"/>
  <c r="C1498" i="16"/>
  <c r="C1499" i="16"/>
  <c r="C1500" i="16"/>
  <c r="C1501" i="16"/>
  <c r="C1502" i="16"/>
  <c r="C1503" i="16"/>
  <c r="C1504" i="16"/>
  <c r="C1505" i="16"/>
  <c r="C1506" i="16"/>
  <c r="C1507" i="16"/>
  <c r="C1508" i="16"/>
  <c r="C1509" i="16"/>
  <c r="C1510" i="16"/>
  <c r="C1511" i="16"/>
  <c r="C1512" i="16"/>
  <c r="C1513" i="16"/>
  <c r="C1514" i="16"/>
  <c r="C1515" i="16"/>
  <c r="C1516" i="16"/>
  <c r="C1517" i="16"/>
  <c r="C1518" i="16"/>
  <c r="C1519" i="16"/>
  <c r="C1520" i="16"/>
  <c r="C1521" i="16"/>
  <c r="C1522" i="16"/>
  <c r="C1523" i="16"/>
  <c r="C1524" i="16"/>
  <c r="C1525" i="16"/>
  <c r="C1526" i="16"/>
  <c r="C1527" i="16"/>
  <c r="C1528" i="16"/>
  <c r="C1529" i="16"/>
  <c r="C1530" i="16"/>
  <c r="C1531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1532" i="16"/>
  <c r="C1533" i="16"/>
  <c r="C1534" i="16"/>
  <c r="C1535" i="16"/>
  <c r="C1536" i="16"/>
  <c r="C1537" i="16"/>
  <c r="C1538" i="16"/>
  <c r="C1539" i="16"/>
  <c r="C1540" i="16"/>
  <c r="C1541" i="16"/>
  <c r="C1542" i="16"/>
  <c r="C154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2" i="16"/>
  <c r="C231" i="16"/>
  <c r="C233" i="16"/>
  <c r="C234" i="16"/>
  <c r="C235" i="16"/>
  <c r="C236" i="16"/>
  <c r="C237" i="16"/>
  <c r="C238" i="16"/>
  <c r="C239" i="16"/>
  <c r="C240" i="16"/>
  <c r="C1306" i="16"/>
  <c r="C241" i="16"/>
  <c r="C242" i="16"/>
  <c r="C243" i="16"/>
  <c r="C244" i="16"/>
  <c r="C245" i="16"/>
  <c r="C246" i="16"/>
  <c r="C1544" i="16"/>
  <c r="C1545" i="16"/>
  <c r="C1546" i="16"/>
  <c r="C1547" i="16"/>
  <c r="C1548" i="16"/>
  <c r="C1549" i="16"/>
  <c r="C1550" i="16"/>
  <c r="C1551" i="16"/>
  <c r="C1552" i="16"/>
  <c r="C1553" i="16"/>
  <c r="C1554" i="16"/>
  <c r="C1555" i="16"/>
  <c r="C1556" i="16"/>
  <c r="C247" i="16"/>
  <c r="C248" i="16"/>
  <c r="C249" i="16"/>
  <c r="C250" i="16"/>
  <c r="C1557" i="16"/>
  <c r="C1558" i="16"/>
  <c r="C1559" i="16"/>
  <c r="C1560" i="16"/>
  <c r="C1561" i="16"/>
  <c r="C251" i="16"/>
  <c r="C1562" i="16"/>
  <c r="C1563" i="16"/>
  <c r="C1564" i="16"/>
  <c r="C1565" i="16"/>
  <c r="C1566" i="16"/>
  <c r="C252" i="16"/>
  <c r="C253" i="16"/>
  <c r="C254" i="16"/>
  <c r="C255" i="16"/>
  <c r="C1567" i="16"/>
  <c r="C1568" i="16"/>
  <c r="C1569" i="16"/>
  <c r="C1570" i="16"/>
  <c r="C1571" i="16"/>
  <c r="C1572" i="16"/>
  <c r="C1573" i="16"/>
  <c r="C1574" i="16"/>
  <c r="C1575" i="16"/>
  <c r="C1576" i="16"/>
  <c r="C1577" i="16"/>
  <c r="C256" i="16"/>
  <c r="C1578" i="16"/>
  <c r="C1579" i="16"/>
  <c r="C257" i="16"/>
  <c r="C258" i="16"/>
  <c r="C1580" i="16"/>
  <c r="C1581" i="16"/>
  <c r="C1582" i="16"/>
  <c r="C1583" i="16"/>
  <c r="C1584" i="16"/>
  <c r="C1585" i="16"/>
  <c r="C1586" i="16"/>
  <c r="C259" i="16"/>
  <c r="C1587" i="16"/>
  <c r="C1588" i="16"/>
  <c r="C260" i="16"/>
  <c r="C1589" i="16"/>
  <c r="C1590" i="16"/>
  <c r="C1591" i="16"/>
  <c r="C1592" i="16"/>
  <c r="C1593" i="16"/>
  <c r="C1594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419" i="16"/>
  <c r="C106" i="16"/>
  <c r="C107" i="16"/>
  <c r="C1595" i="16"/>
  <c r="C1596" i="16"/>
  <c r="C1597" i="16"/>
  <c r="C108" i="16"/>
  <c r="C1598" i="16"/>
  <c r="C1599" i="16"/>
  <c r="C109" i="16"/>
  <c r="C1600" i="16"/>
  <c r="C1601" i="16"/>
  <c r="C1602" i="16"/>
  <c r="C1603" i="16"/>
  <c r="C1604" i="16"/>
  <c r="C1605" i="16"/>
  <c r="C1606" i="16"/>
  <c r="C1607" i="16"/>
  <c r="C1608" i="16"/>
  <c r="C1609" i="16"/>
  <c r="C1610" i="16"/>
  <c r="C1611" i="16"/>
  <c r="C1612" i="16"/>
  <c r="C1613" i="16"/>
  <c r="C1614" i="16"/>
  <c r="C1615" i="16"/>
  <c r="C1616" i="16"/>
  <c r="C1617" i="16"/>
  <c r="C1618" i="16"/>
  <c r="C1619" i="16"/>
  <c r="C1620" i="16"/>
  <c r="C1621" i="16"/>
  <c r="C1622" i="16"/>
  <c r="C1623" i="16"/>
  <c r="C1624" i="16"/>
  <c r="C1625" i="16"/>
  <c r="C1626" i="16"/>
  <c r="C1627" i="16"/>
  <c r="C1628" i="16"/>
  <c r="C1629" i="16"/>
  <c r="C1630" i="16"/>
  <c r="C1631" i="16"/>
  <c r="C1632" i="16"/>
  <c r="C1633" i="16"/>
  <c r="C1634" i="16"/>
  <c r="C1635" i="16"/>
  <c r="C1636" i="16"/>
  <c r="C1637" i="16"/>
  <c r="C1638" i="16"/>
  <c r="C1639" i="16"/>
  <c r="C1640" i="16"/>
  <c r="C1641" i="16"/>
  <c r="C1642" i="16"/>
  <c r="C1643" i="16"/>
  <c r="C1644" i="16"/>
  <c r="C1645" i="16"/>
  <c r="C1646" i="16"/>
  <c r="C1647" i="16"/>
  <c r="C1648" i="16"/>
  <c r="C1649" i="16"/>
  <c r="C1650" i="16"/>
  <c r="C1651" i="16"/>
  <c r="C1652" i="16"/>
  <c r="C1653" i="16"/>
  <c r="C1654" i="16"/>
  <c r="C1655" i="16"/>
  <c r="C1656" i="16"/>
  <c r="C1657" i="16"/>
  <c r="C1658" i="16"/>
  <c r="C1659" i="16"/>
  <c r="C1660" i="16"/>
  <c r="C1661" i="16"/>
  <c r="C1662" i="16"/>
  <c r="C1663" i="16"/>
  <c r="C1664" i="16"/>
  <c r="C1665" i="16"/>
  <c r="C1666" i="16"/>
  <c r="C1667" i="16"/>
  <c r="C1668" i="16"/>
  <c r="C1669" i="16"/>
  <c r="C1670" i="16"/>
  <c r="C1671" i="16"/>
  <c r="C1672" i="16"/>
  <c r="C1673" i="16"/>
  <c r="C1674" i="16"/>
  <c r="C1675" i="16"/>
  <c r="C1676" i="16"/>
  <c r="C1677" i="16"/>
  <c r="C1678" i="16"/>
  <c r="C1679" i="16"/>
  <c r="C1680" i="16"/>
  <c r="C1681" i="16"/>
  <c r="C1682" i="16"/>
  <c r="C1683" i="16"/>
  <c r="C1684" i="16"/>
  <c r="C1685" i="16"/>
  <c r="C1686" i="16"/>
  <c r="C1687" i="16"/>
  <c r="C1688" i="16"/>
  <c r="C1689" i="16"/>
  <c r="C1690" i="16"/>
  <c r="C1691" i="16"/>
  <c r="C1692" i="16"/>
  <c r="C1693" i="16"/>
  <c r="C1694" i="16"/>
  <c r="C1695" i="16"/>
  <c r="C1696" i="16"/>
  <c r="C1697" i="16"/>
  <c r="C1698" i="16"/>
  <c r="C1699" i="16"/>
  <c r="C1700" i="16"/>
  <c r="C1701" i="16"/>
  <c r="C1702" i="16"/>
  <c r="C1703" i="16"/>
  <c r="C1704" i="16"/>
  <c r="C1705" i="16"/>
  <c r="C1706" i="16"/>
  <c r="C1707" i="16"/>
  <c r="C1708" i="16"/>
  <c r="C1709" i="16"/>
  <c r="C1710" i="16"/>
  <c r="C1711" i="16"/>
  <c r="C1712" i="16"/>
  <c r="C1713" i="16"/>
  <c r="C1714" i="16"/>
  <c r="C1715" i="16"/>
  <c r="C1716" i="16"/>
  <c r="C1717" i="16"/>
  <c r="C1718" i="16"/>
  <c r="C1719" i="16"/>
  <c r="C1720" i="16"/>
  <c r="C1721" i="16"/>
  <c r="C1722" i="16"/>
  <c r="C1723" i="16"/>
  <c r="C1724" i="16"/>
  <c r="C1725" i="16"/>
  <c r="C1726" i="16"/>
  <c r="C1727" i="16"/>
  <c r="C1728" i="16"/>
  <c r="C1729" i="16"/>
  <c r="C1730" i="16"/>
  <c r="C1731" i="16"/>
  <c r="C1732" i="16"/>
  <c r="C1733" i="16"/>
  <c r="C1734" i="16"/>
  <c r="C1735" i="16"/>
  <c r="C1736" i="16"/>
  <c r="C1737" i="16"/>
  <c r="C1738" i="16"/>
  <c r="C1739" i="16"/>
  <c r="C1740" i="16"/>
  <c r="C1741" i="16"/>
  <c r="C1742" i="16"/>
  <c r="C1743" i="16"/>
  <c r="C1744" i="16"/>
  <c r="C1745" i="16"/>
  <c r="C1746" i="16"/>
  <c r="C1747" i="16"/>
  <c r="C1748" i="16"/>
  <c r="C1749" i="16"/>
  <c r="C1750" i="16"/>
  <c r="C1751" i="16"/>
  <c r="C1752" i="16"/>
  <c r="C1753" i="16"/>
  <c r="C1754" i="16"/>
  <c r="C1755" i="16"/>
  <c r="C1756" i="16"/>
  <c r="C1757" i="16"/>
  <c r="C1758" i="16"/>
  <c r="C1759" i="16"/>
  <c r="C1760" i="16"/>
  <c r="C1761" i="16"/>
  <c r="C1762" i="16"/>
  <c r="C1763" i="16"/>
  <c r="C1764" i="16"/>
  <c r="C1765" i="16"/>
  <c r="C1766" i="16"/>
  <c r="C1767" i="16"/>
  <c r="C1768" i="16"/>
  <c r="C1769" i="16"/>
  <c r="C1770" i="16"/>
  <c r="C1771" i="16"/>
  <c r="C1772" i="16"/>
  <c r="C1773" i="16"/>
  <c r="C1774" i="16"/>
  <c r="C1775" i="16"/>
  <c r="C1776" i="16"/>
  <c r="C1777" i="16"/>
  <c r="C1778" i="16"/>
  <c r="C1779" i="16"/>
  <c r="C1780" i="16"/>
  <c r="C1781" i="16"/>
  <c r="C1782" i="16"/>
  <c r="C1783" i="16"/>
  <c r="C1784" i="16"/>
  <c r="C1785" i="16"/>
  <c r="C1786" i="16"/>
  <c r="C1787" i="16"/>
  <c r="C1788" i="16"/>
  <c r="C1789" i="16"/>
  <c r="C1790" i="16"/>
  <c r="C1791" i="16"/>
  <c r="C1792" i="16"/>
  <c r="C1793" i="16"/>
  <c r="C1794" i="16"/>
  <c r="C1795" i="16"/>
  <c r="C1796" i="16"/>
  <c r="C1797" i="16"/>
  <c r="C1798" i="16"/>
  <c r="C1799" i="16"/>
  <c r="C1800" i="16"/>
  <c r="C1801" i="16"/>
  <c r="C1802" i="16"/>
  <c r="C1803" i="16"/>
  <c r="C1804" i="16"/>
  <c r="C1805" i="16"/>
  <c r="C1806" i="16"/>
  <c r="C1807" i="16"/>
  <c r="C1808" i="16"/>
  <c r="C1809" i="16"/>
  <c r="C1810" i="16"/>
  <c r="C1811" i="16"/>
  <c r="C1812" i="16"/>
  <c r="C1813" i="16"/>
  <c r="C1814" i="16"/>
  <c r="C1815" i="16"/>
  <c r="C1816" i="16"/>
  <c r="C1817" i="16"/>
  <c r="C1818" i="16"/>
  <c r="C1819" i="16"/>
  <c r="C1820" i="16"/>
  <c r="C1821" i="16"/>
  <c r="C1822" i="16"/>
  <c r="C1823" i="16"/>
  <c r="C1824" i="16"/>
  <c r="C1825" i="16"/>
  <c r="C1826" i="16"/>
  <c r="C1827" i="16"/>
  <c r="C1828" i="16"/>
  <c r="C1829" i="16"/>
  <c r="C1830" i="16"/>
  <c r="C1831" i="16"/>
  <c r="C1832" i="16"/>
  <c r="C1833" i="16"/>
  <c r="C1834" i="16"/>
  <c r="C1835" i="16"/>
  <c r="C1836" i="16"/>
  <c r="C1837" i="16"/>
  <c r="C1838" i="16"/>
  <c r="C1839" i="16"/>
  <c r="C1840" i="16"/>
  <c r="C1841" i="16"/>
  <c r="C1842" i="16"/>
  <c r="C1843" i="16"/>
  <c r="C1844" i="16"/>
  <c r="C1845" i="16"/>
  <c r="C1846" i="16"/>
  <c r="C1847" i="16"/>
  <c r="C1848" i="16"/>
  <c r="C1849" i="16"/>
  <c r="C1850" i="16"/>
  <c r="C1851" i="16"/>
  <c r="C1852" i="16"/>
  <c r="C1853" i="16"/>
  <c r="C1854" i="16"/>
  <c r="C1855" i="16"/>
  <c r="C1856" i="16"/>
  <c r="C1857" i="16"/>
  <c r="C1858" i="16"/>
  <c r="C1859" i="16"/>
  <c r="C1860" i="16"/>
  <c r="C1861" i="16"/>
  <c r="C1862" i="16"/>
  <c r="C1863" i="16"/>
  <c r="C1864" i="16"/>
  <c r="C1865" i="16"/>
  <c r="C1866" i="16"/>
  <c r="C110" i="16"/>
  <c r="C1867" i="16"/>
  <c r="C1868" i="16"/>
  <c r="C1869" i="16"/>
  <c r="C1870" i="16"/>
  <c r="C1871" i="16"/>
  <c r="C1872" i="16"/>
  <c r="C1873" i="16"/>
  <c r="C1874" i="16"/>
  <c r="C1875" i="16"/>
  <c r="C1876" i="16"/>
  <c r="C1877" i="16"/>
  <c r="C1878" i="16"/>
  <c r="C1879" i="16"/>
  <c r="C1880" i="16"/>
  <c r="C1881" i="16"/>
  <c r="C1882" i="16"/>
  <c r="C1883" i="16"/>
  <c r="C1884" i="16"/>
  <c r="C1885" i="16"/>
  <c r="C1886" i="16"/>
  <c r="C1887" i="16"/>
  <c r="C1888" i="16"/>
  <c r="C1889" i="16"/>
  <c r="C1890" i="16"/>
  <c r="C1891" i="16"/>
  <c r="C1892" i="16"/>
  <c r="C1893" i="16"/>
  <c r="C1894" i="16"/>
  <c r="C1895" i="16"/>
  <c r="C1896" i="16"/>
  <c r="C1897" i="16"/>
  <c r="C1898" i="16"/>
  <c r="C1899" i="16"/>
  <c r="C1900" i="16"/>
  <c r="C1901" i="16"/>
  <c r="C1902" i="16"/>
  <c r="C1903" i="16"/>
  <c r="C1904" i="16"/>
  <c r="C1905" i="16"/>
  <c r="C1906" i="16"/>
  <c r="C1907" i="16"/>
  <c r="C1908" i="16"/>
  <c r="C1909" i="16"/>
  <c r="C1910" i="16"/>
  <c r="C1911" i="16"/>
  <c r="C1912" i="16"/>
  <c r="C1913" i="16"/>
  <c r="C1914" i="16"/>
  <c r="C1915" i="16"/>
  <c r="C1916" i="16"/>
  <c r="C1917" i="16"/>
  <c r="C1918" i="16"/>
  <c r="C1919" i="16"/>
  <c r="C1920" i="16"/>
  <c r="C1921" i="16"/>
  <c r="C1922" i="16"/>
  <c r="C1923" i="16"/>
  <c r="C1924" i="16"/>
  <c r="C1925" i="16"/>
  <c r="C1926" i="16"/>
  <c r="C1927" i="16"/>
  <c r="C1928" i="16"/>
  <c r="C1929" i="16"/>
  <c r="C1930" i="16"/>
  <c r="C1931" i="16"/>
  <c r="C1932" i="16"/>
  <c r="C1933" i="16"/>
  <c r="C1934" i="16"/>
  <c r="C1935" i="16"/>
  <c r="C1936" i="16"/>
  <c r="C1937" i="16"/>
  <c r="C1938" i="16"/>
  <c r="C1939" i="16"/>
  <c r="C1940" i="16"/>
  <c r="C1941" i="16"/>
  <c r="C1942" i="16"/>
  <c r="C1943" i="16"/>
  <c r="C1944" i="16"/>
  <c r="C1945" i="16"/>
  <c r="C1946" i="16"/>
  <c r="C1947" i="16"/>
  <c r="C1948" i="16"/>
  <c r="C1949" i="16"/>
  <c r="C1950" i="16"/>
  <c r="C1951" i="16"/>
  <c r="C1952" i="16"/>
  <c r="C1953" i="16"/>
  <c r="C1954" i="16"/>
  <c r="C1955" i="16"/>
  <c r="C1956" i="16"/>
  <c r="C1957" i="16"/>
  <c r="C1958" i="16"/>
  <c r="C1959" i="16"/>
  <c r="C1960" i="16"/>
  <c r="C1961" i="16"/>
  <c r="C1962" i="16"/>
  <c r="C1963" i="16"/>
  <c r="C1964" i="16"/>
  <c r="C1965" i="16"/>
  <c r="C1966" i="16"/>
  <c r="C1967" i="16"/>
  <c r="C1968" i="16"/>
  <c r="C1969" i="16"/>
  <c r="C1970" i="16"/>
  <c r="C1971" i="16"/>
  <c r="C1972" i="16"/>
  <c r="C1973" i="16"/>
  <c r="C1974" i="16"/>
  <c r="C1975" i="16"/>
  <c r="C1976" i="16"/>
  <c r="C1977" i="16"/>
  <c r="C1978" i="16"/>
  <c r="C1979" i="16"/>
  <c r="C1980" i="16"/>
  <c r="C1981" i="16"/>
  <c r="C1982" i="16"/>
  <c r="C1983" i="16"/>
  <c r="C1984" i="16"/>
  <c r="C1985" i="16"/>
  <c r="C1986" i="16"/>
  <c r="C1987" i="16"/>
  <c r="C1988" i="16"/>
  <c r="C1989" i="16"/>
  <c r="C1990" i="16"/>
  <c r="C1991" i="16"/>
  <c r="C1992" i="16"/>
  <c r="C1993" i="16"/>
  <c r="C1994" i="16"/>
  <c r="C1995" i="16"/>
  <c r="C1996" i="16"/>
  <c r="C1997" i="16"/>
  <c r="C1998" i="16"/>
  <c r="C1999" i="16"/>
  <c r="C2000" i="16"/>
  <c r="C2001" i="16"/>
  <c r="C2002" i="16"/>
  <c r="C2003" i="16"/>
  <c r="C2004" i="16"/>
  <c r="C2005" i="16"/>
  <c r="C2006" i="16"/>
  <c r="C2007" i="16"/>
  <c r="C2008" i="16"/>
  <c r="C2009" i="16"/>
  <c r="C2010" i="16"/>
  <c r="C2011" i="16"/>
  <c r="C2012" i="16"/>
  <c r="C2013" i="16"/>
  <c r="C2014" i="16"/>
  <c r="C2015" i="16"/>
  <c r="C2016" i="16"/>
  <c r="C2017" i="16"/>
  <c r="C2018" i="16"/>
  <c r="C2019" i="16"/>
  <c r="C2020" i="16"/>
  <c r="C2021" i="16"/>
  <c r="C2022" i="16"/>
  <c r="C2023" i="16"/>
  <c r="C2024" i="16"/>
  <c r="C2025" i="16"/>
  <c r="C2026" i="16"/>
  <c r="C2027" i="16"/>
  <c r="C2028" i="16"/>
  <c r="C2029" i="16"/>
  <c r="C2030" i="16"/>
  <c r="C2031" i="16"/>
  <c r="C2032" i="16"/>
  <c r="C2033" i="16"/>
  <c r="C2034" i="16"/>
  <c r="C2035" i="16"/>
  <c r="C2036" i="16"/>
  <c r="C2037" i="16"/>
  <c r="C2038" i="16"/>
  <c r="C2039" i="16"/>
  <c r="C2040" i="16"/>
  <c r="C2041" i="16"/>
  <c r="C2042" i="16"/>
  <c r="C2043" i="16"/>
  <c r="C2044" i="16"/>
  <c r="C2045" i="16"/>
  <c r="C2046" i="16"/>
  <c r="C2047" i="16"/>
  <c r="C2048" i="16"/>
  <c r="C2049" i="16"/>
  <c r="C2050" i="16"/>
  <c r="C2051" i="16"/>
  <c r="C2052" i="16"/>
  <c r="C2053" i="16"/>
  <c r="C2054" i="16"/>
  <c r="C2055" i="16"/>
  <c r="C2056" i="16"/>
  <c r="C2057" i="16"/>
  <c r="C2058" i="16"/>
  <c r="C2059" i="16"/>
  <c r="C2060" i="16"/>
  <c r="C2061" i="16"/>
  <c r="C2062" i="16"/>
  <c r="C2063" i="16"/>
  <c r="C2064" i="16"/>
  <c r="C2065" i="16"/>
  <c r="C2066" i="16"/>
  <c r="C2067" i="16"/>
  <c r="C111" i="16"/>
  <c r="C2068" i="16"/>
  <c r="C2069" i="16"/>
  <c r="C2070" i="16"/>
  <c r="C2071" i="16"/>
  <c r="C2072" i="16"/>
  <c r="C2073" i="16"/>
  <c r="C2074" i="16"/>
  <c r="C2075" i="16"/>
  <c r="C2076" i="16"/>
  <c r="C2077" i="16"/>
  <c r="C2078" i="16"/>
  <c r="C2079" i="16"/>
  <c r="C2080" i="16"/>
  <c r="C2081" i="16"/>
  <c r="C2082" i="16"/>
  <c r="C2083" i="16"/>
  <c r="C2084" i="16"/>
  <c r="C2085" i="16"/>
  <c r="C2086" i="16"/>
  <c r="C2087" i="16"/>
  <c r="C2088" i="16"/>
  <c r="C2089" i="16"/>
  <c r="C2090" i="16"/>
  <c r="C2091" i="16"/>
  <c r="C2092" i="16"/>
  <c r="C2093" i="16"/>
  <c r="C2094" i="16"/>
  <c r="C2095" i="16"/>
  <c r="C2096" i="16"/>
  <c r="C2097" i="16"/>
  <c r="C2098" i="16"/>
  <c r="C2099" i="16"/>
  <c r="C2100" i="16"/>
  <c r="C2101" i="16"/>
  <c r="C2102" i="16"/>
  <c r="C2103" i="16"/>
  <c r="C2104" i="16"/>
  <c r="C2105" i="16"/>
  <c r="C2106" i="16"/>
  <c r="C2107" i="16"/>
  <c r="C2108" i="16"/>
  <c r="C2109" i="16"/>
  <c r="C2110" i="16"/>
  <c r="C2111" i="16"/>
  <c r="C2112" i="16"/>
  <c r="C2113" i="16"/>
  <c r="C2114" i="16"/>
  <c r="C2115" i="16"/>
  <c r="C2116" i="16"/>
  <c r="C2117" i="16"/>
  <c r="C2118" i="16"/>
  <c r="C2119" i="16"/>
  <c r="C2120" i="16"/>
  <c r="C2121" i="16"/>
  <c r="C2122" i="16"/>
  <c r="C2123" i="16"/>
  <c r="C2124" i="16"/>
  <c r="C2125" i="16"/>
  <c r="C2126" i="16"/>
  <c r="C2127" i="16"/>
  <c r="C2128" i="16"/>
  <c r="C2129" i="16"/>
  <c r="C2130" i="16"/>
  <c r="C2131" i="16"/>
  <c r="C2132" i="16"/>
  <c r="C2133" i="16"/>
  <c r="C2134" i="16"/>
  <c r="C2135" i="16"/>
  <c r="C2136" i="16"/>
  <c r="C2137" i="16"/>
  <c r="C2138" i="16"/>
  <c r="C2139" i="16"/>
  <c r="C2140" i="16"/>
  <c r="C2141" i="16"/>
  <c r="C2142" i="16"/>
  <c r="C2143" i="16"/>
  <c r="C2144" i="16"/>
  <c r="C2145" i="16"/>
  <c r="C2146" i="16"/>
  <c r="C2148" i="16"/>
  <c r="C2149" i="16"/>
  <c r="C2151" i="16"/>
  <c r="C2152" i="16"/>
  <c r="C2153" i="16"/>
  <c r="C2155" i="16"/>
  <c r="C2156" i="16"/>
  <c r="C2158" i="16"/>
  <c r="C2159" i="16"/>
  <c r="C2160" i="16"/>
  <c r="C2161" i="16"/>
  <c r="C2162" i="16"/>
  <c r="C2163" i="16"/>
  <c r="C2164" i="16"/>
  <c r="C2165" i="16"/>
  <c r="C2166" i="16"/>
  <c r="C2167" i="16"/>
  <c r="C2168" i="16"/>
  <c r="C2169" i="16"/>
  <c r="C2170" i="16"/>
  <c r="C2171" i="16"/>
  <c r="C2172" i="16"/>
  <c r="C2173" i="16"/>
  <c r="C2174" i="16"/>
  <c r="C2175" i="16"/>
  <c r="C2176" i="16"/>
  <c r="C2177" i="16"/>
  <c r="C2178" i="16"/>
  <c r="C2179" i="16"/>
  <c r="C2180" i="16"/>
  <c r="C2181" i="16"/>
  <c r="C2182" i="16"/>
  <c r="C2183" i="16"/>
  <c r="C2184" i="16"/>
  <c r="C2185" i="16"/>
  <c r="C2186" i="16"/>
  <c r="C2187" i="16"/>
  <c r="C2188" i="16"/>
  <c r="C2189" i="16"/>
  <c r="C2190" i="16"/>
  <c r="C2191" i="16"/>
  <c r="C2192" i="16"/>
  <c r="C2193" i="16"/>
  <c r="C2194" i="16"/>
  <c r="C2195" i="16"/>
  <c r="C2196" i="16"/>
  <c r="C2197" i="16"/>
  <c r="C2198" i="16"/>
  <c r="C2199" i="16"/>
  <c r="C2200" i="16"/>
  <c r="C2201" i="16"/>
  <c r="C2202" i="16"/>
  <c r="C2203" i="16"/>
  <c r="C2204" i="16"/>
  <c r="C2205" i="16"/>
  <c r="C2206" i="16"/>
  <c r="C2207" i="16"/>
  <c r="C2208" i="16"/>
  <c r="C2209" i="16"/>
  <c r="C2210" i="16"/>
  <c r="C2211" i="16"/>
  <c r="C2212" i="16"/>
  <c r="C2213" i="16"/>
  <c r="C2214" i="16"/>
  <c r="C2216" i="16"/>
  <c r="C2217" i="16"/>
  <c r="C2218" i="16"/>
  <c r="C2219" i="16"/>
  <c r="C2220" i="16"/>
  <c r="C2221" i="16"/>
  <c r="C2222" i="16"/>
  <c r="C2223" i="16"/>
  <c r="C2224" i="16"/>
  <c r="C2225" i="16"/>
  <c r="C2226" i="16"/>
  <c r="C2227" i="16"/>
  <c r="C2228" i="16"/>
  <c r="C2229" i="16"/>
  <c r="C2230" i="16"/>
  <c r="C2231" i="16"/>
  <c r="C2232" i="16"/>
  <c r="C2233" i="16"/>
  <c r="C2234" i="16"/>
  <c r="C2235" i="16"/>
  <c r="C2236" i="16"/>
  <c r="C2237" i="16"/>
  <c r="C2238" i="16"/>
  <c r="C2239" i="16"/>
  <c r="C2240" i="16"/>
  <c r="C2241" i="16"/>
  <c r="C2242" i="16"/>
  <c r="C2243" i="16"/>
  <c r="C2244" i="16"/>
  <c r="C2245" i="16"/>
  <c r="C2246" i="16"/>
  <c r="C2247" i="16"/>
  <c r="C2248" i="16"/>
  <c r="C2249" i="16"/>
  <c r="C2250" i="16"/>
  <c r="C2251" i="16"/>
  <c r="C2252" i="16"/>
  <c r="C2253" i="16"/>
  <c r="C2254" i="16"/>
  <c r="C2255" i="16"/>
  <c r="C2256" i="16"/>
  <c r="C2257" i="16"/>
  <c r="C2258" i="16"/>
  <c r="C2259" i="16"/>
  <c r="C2260" i="16"/>
  <c r="C2261" i="16"/>
  <c r="C2262" i="16"/>
  <c r="C2263" i="16"/>
  <c r="C2264" i="16"/>
  <c r="C2265" i="16"/>
  <c r="C2266" i="16"/>
  <c r="C2267" i="16"/>
  <c r="C2268" i="16"/>
  <c r="C2269" i="16"/>
  <c r="C2270" i="16"/>
  <c r="C2271" i="16"/>
  <c r="C2272" i="16"/>
  <c r="C2273" i="16"/>
  <c r="C2274" i="16"/>
  <c r="C2275" i="16"/>
  <c r="C2276" i="16"/>
  <c r="C2277" i="16"/>
  <c r="C2278" i="16"/>
  <c r="C2279" i="16"/>
  <c r="C2280" i="16"/>
  <c r="C2281" i="16"/>
  <c r="C2282" i="16"/>
  <c r="C2283" i="16"/>
  <c r="C2284" i="16"/>
  <c r="C2285" i="16"/>
  <c r="C2286" i="16"/>
  <c r="C2287" i="16"/>
  <c r="C2288" i="16"/>
  <c r="C2289" i="16"/>
  <c r="C2290" i="16"/>
  <c r="C2291" i="16"/>
  <c r="C2292" i="16"/>
  <c r="C2293" i="16"/>
  <c r="C2294" i="16"/>
  <c r="C2295" i="16"/>
  <c r="C2296" i="16"/>
  <c r="C2297" i="16"/>
  <c r="C2298" i="16"/>
  <c r="C2299" i="16"/>
  <c r="C2300" i="16"/>
  <c r="C2301" i="16"/>
  <c r="C2302" i="16"/>
  <c r="C2303" i="16"/>
  <c r="C2304" i="16"/>
  <c r="C2305" i="16"/>
  <c r="C2306" i="16"/>
  <c r="C2307" i="16"/>
  <c r="C2308" i="16"/>
  <c r="C2309" i="16"/>
  <c r="C2310" i="16"/>
  <c r="C2311" i="16"/>
  <c r="C2312" i="16"/>
  <c r="C2313" i="16"/>
  <c r="C2314" i="16"/>
  <c r="C2315" i="16"/>
  <c r="C2316" i="16"/>
  <c r="C2317" i="16"/>
  <c r="C2318" i="16"/>
  <c r="C2319" i="16"/>
  <c r="C2320" i="16"/>
  <c r="C2147" i="16"/>
  <c r="C2321" i="16"/>
  <c r="C2322" i="16"/>
  <c r="C2150" i="16"/>
  <c r="C2323" i="16"/>
  <c r="C2324" i="16"/>
  <c r="C2325" i="16"/>
  <c r="C2154" i="16"/>
  <c r="C2326" i="16"/>
  <c r="C2327" i="16"/>
  <c r="C2157" i="16"/>
  <c r="C2328" i="16"/>
  <c r="C2329" i="16"/>
  <c r="C2330" i="16"/>
  <c r="C2331" i="16"/>
  <c r="C2332" i="16"/>
  <c r="C112" i="16"/>
  <c r="C2333" i="16"/>
  <c r="C2334" i="16"/>
  <c r="C2335" i="16"/>
  <c r="C2336" i="16"/>
  <c r="C2337" i="16"/>
  <c r="C2338" i="16"/>
  <c r="C2339" i="16"/>
  <c r="C2340" i="16"/>
  <c r="C2341" i="16"/>
  <c r="C2342" i="16"/>
  <c r="C2343" i="16"/>
  <c r="C2344" i="16"/>
  <c r="C2345" i="16"/>
  <c r="C2346" i="16"/>
  <c r="C2347" i="16"/>
  <c r="C2348" i="16"/>
  <c r="C2349" i="16"/>
  <c r="C2350" i="16"/>
  <c r="C2351" i="16"/>
  <c r="C2352" i="16"/>
  <c r="C2353" i="16"/>
  <c r="C2354" i="16"/>
  <c r="C2355" i="16"/>
  <c r="C2356" i="16"/>
  <c r="C2357" i="16"/>
  <c r="C2358" i="16"/>
  <c r="C2359" i="16"/>
  <c r="C2360" i="16"/>
  <c r="C2361" i="16"/>
  <c r="C2362" i="16"/>
  <c r="C2363" i="16"/>
  <c r="C2364" i="16"/>
  <c r="C2365" i="16"/>
  <c r="C2366" i="16"/>
  <c r="C2367" i="16"/>
  <c r="C2368" i="16"/>
  <c r="C2369" i="16"/>
  <c r="C2370" i="16"/>
  <c r="C2371" i="16"/>
  <c r="C2372" i="16"/>
  <c r="C2373" i="16"/>
  <c r="C2374" i="16"/>
  <c r="C2375" i="16"/>
  <c r="C2376" i="16"/>
  <c r="C113" i="16"/>
  <c r="C114" i="16"/>
  <c r="C2377" i="16"/>
  <c r="C115" i="16"/>
  <c r="C116" i="16"/>
  <c r="C117" i="16"/>
  <c r="C118" i="16"/>
  <c r="C2215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2378" i="16"/>
  <c r="C2379" i="16"/>
  <c r="C2380" i="16"/>
  <c r="C2381" i="16"/>
  <c r="C2382" i="16"/>
  <c r="C2383" i="16"/>
  <c r="C2384" i="16"/>
  <c r="C2385" i="16"/>
  <c r="C2386" i="16"/>
  <c r="C2387" i="16"/>
  <c r="C2388" i="16"/>
  <c r="C2389" i="16"/>
  <c r="C2390" i="16"/>
  <c r="C2391" i="16"/>
  <c r="C2392" i="16"/>
  <c r="C2393" i="16"/>
  <c r="C2394" i="16"/>
  <c r="C2395" i="16"/>
  <c r="C2396" i="16"/>
  <c r="C2397" i="16"/>
  <c r="C2398" i="16"/>
  <c r="C2399" i="16"/>
  <c r="C2400" i="16"/>
  <c r="C2401" i="16"/>
  <c r="C2402" i="16"/>
  <c r="C2403" i="16"/>
  <c r="C2404" i="16"/>
  <c r="C2405" i="16"/>
  <c r="C2406" i="16"/>
  <c r="C2407" i="16"/>
  <c r="C2408" i="16"/>
  <c r="C2409" i="16"/>
  <c r="C2410" i="16"/>
  <c r="C2411" i="16"/>
  <c r="C2412" i="16"/>
  <c r="C2413" i="16"/>
  <c r="C2414" i="16"/>
  <c r="C2415" i="16"/>
  <c r="C2416" i="16"/>
  <c r="C2417" i="16"/>
  <c r="C2418" i="16"/>
  <c r="C2419" i="16"/>
  <c r="C2420" i="16"/>
  <c r="C2421" i="16"/>
  <c r="C2422" i="16"/>
  <c r="C2423" i="16"/>
  <c r="C2424" i="16"/>
  <c r="C2425" i="16"/>
  <c r="C2426" i="16"/>
  <c r="C2427" i="16"/>
  <c r="C2428" i="16"/>
  <c r="C2429" i="16"/>
  <c r="C2430" i="16"/>
  <c r="C2431" i="16"/>
  <c r="C2432" i="16"/>
  <c r="C2433" i="16"/>
  <c r="C2434" i="16"/>
  <c r="C2435" i="16"/>
  <c r="C2436" i="16"/>
  <c r="C2437" i="16"/>
  <c r="C2438" i="16"/>
  <c r="C2439" i="16"/>
  <c r="C2440" i="16"/>
  <c r="C2441" i="16"/>
  <c r="C2442" i="16"/>
  <c r="C2443" i="16"/>
  <c r="C2444" i="16"/>
  <c r="C2445" i="16"/>
  <c r="C2446" i="16"/>
  <c r="C2447" i="16"/>
  <c r="C2448" i="16"/>
  <c r="C2449" i="16"/>
  <c r="C2450" i="16"/>
  <c r="C2451" i="16"/>
  <c r="C2452" i="16"/>
  <c r="C2453" i="16"/>
  <c r="C2454" i="16"/>
  <c r="C2455" i="16"/>
  <c r="C2456" i="16"/>
  <c r="C2457" i="16"/>
  <c r="C2458" i="16"/>
  <c r="C2459" i="16"/>
  <c r="C2460" i="16"/>
  <c r="C2461" i="16"/>
  <c r="C2462" i="16"/>
  <c r="C2463" i="16"/>
  <c r="C2464" i="16"/>
  <c r="C2465" i="16"/>
  <c r="C2466" i="16"/>
  <c r="C2467" i="16"/>
  <c r="C2468" i="16"/>
  <c r="C2469" i="16"/>
  <c r="C2470" i="16"/>
  <c r="C2471" i="16"/>
  <c r="C2472" i="16"/>
  <c r="C2473" i="16"/>
  <c r="C2474" i="16"/>
  <c r="C2475" i="16"/>
  <c r="C2476" i="16"/>
  <c r="C2477" i="16"/>
  <c r="C2478" i="16"/>
  <c r="C2479" i="16"/>
  <c r="C2480" i="16"/>
  <c r="C2481" i="16"/>
  <c r="C2482" i="16"/>
  <c r="C141" i="16"/>
  <c r="C2483" i="16"/>
  <c r="C2484" i="16"/>
  <c r="C2485" i="16"/>
  <c r="C2486" i="16"/>
  <c r="C142" i="16"/>
  <c r="C143" i="16"/>
  <c r="C144" i="16"/>
  <c r="C145" i="16"/>
  <c r="C146" i="16"/>
  <c r="C2487" i="16"/>
  <c r="C2488" i="16"/>
  <c r="C147" i="16"/>
  <c r="C2489" i="16"/>
  <c r="C2490" i="16"/>
  <c r="C2491" i="16"/>
  <c r="C2492" i="16"/>
  <c r="C2493" i="16"/>
  <c r="C2494" i="16"/>
  <c r="C2495" i="16"/>
  <c r="C2496" i="16"/>
  <c r="C2497" i="16"/>
  <c r="C2498" i="16"/>
  <c r="C2499" i="16"/>
  <c r="C2500" i="16"/>
  <c r="C2501" i="16"/>
  <c r="C2502" i="16"/>
  <c r="C2503" i="16"/>
  <c r="C2504" i="16"/>
  <c r="C2505" i="16"/>
  <c r="C2506" i="16"/>
  <c r="C2507" i="16"/>
  <c r="C2508" i="16"/>
  <c r="C2509" i="16"/>
  <c r="C2510" i="16"/>
  <c r="C2511" i="16"/>
  <c r="C2512" i="16"/>
  <c r="C2513" i="16"/>
  <c r="C2514" i="16"/>
  <c r="C2515" i="16"/>
  <c r="C2516" i="16"/>
  <c r="C2517" i="16"/>
  <c r="C2518" i="16"/>
  <c r="C2519" i="16"/>
  <c r="C148" i="16"/>
  <c r="C149" i="16"/>
  <c r="C2520" i="16"/>
  <c r="C2521" i="16"/>
  <c r="C2522" i="16"/>
  <c r="C2523" i="16"/>
  <c r="C2524" i="16"/>
  <c r="C2525" i="16"/>
  <c r="C2526" i="16"/>
  <c r="C2527" i="16"/>
  <c r="C2528" i="16"/>
  <c r="C2529" i="16"/>
  <c r="C2530" i="16"/>
  <c r="C2531" i="16"/>
  <c r="C2532" i="16"/>
  <c r="C2533" i="16"/>
  <c r="C2534" i="16"/>
  <c r="C2535" i="16"/>
  <c r="C2536" i="16"/>
  <c r="C2537" i="16"/>
  <c r="C2538" i="16"/>
  <c r="C2539" i="16"/>
  <c r="C2540" i="16"/>
  <c r="C2541" i="16"/>
  <c r="C2542" i="16"/>
  <c r="C2543" i="16"/>
  <c r="C2544" i="16"/>
  <c r="C2545" i="16"/>
  <c r="C2546" i="16"/>
  <c r="C2547" i="16"/>
  <c r="C2548" i="16"/>
  <c r="C2549" i="16"/>
  <c r="C2550" i="16"/>
  <c r="C2551" i="16"/>
  <c r="C2552" i="16"/>
  <c r="C2553" i="16"/>
  <c r="C2554" i="16"/>
  <c r="C2555" i="16"/>
  <c r="C2556" i="16"/>
  <c r="C2557" i="16"/>
  <c r="C2558" i="16"/>
  <c r="C2559" i="16"/>
  <c r="C2560" i="16"/>
  <c r="C2561" i="16"/>
  <c r="C2562" i="16"/>
  <c r="C2563" i="16"/>
  <c r="C2564" i="16"/>
  <c r="C2565" i="16"/>
  <c r="C2566" i="16"/>
  <c r="C2567" i="16"/>
  <c r="C2568" i="16"/>
  <c r="C2569" i="16"/>
  <c r="C2570" i="16"/>
  <c r="C2571" i="16"/>
  <c r="C2572" i="16"/>
  <c r="C2573" i="16"/>
  <c r="C2574" i="16"/>
  <c r="C2575" i="16"/>
  <c r="C2576" i="16"/>
  <c r="C2577" i="16"/>
  <c r="C2578" i="16"/>
  <c r="C2579" i="16"/>
  <c r="C2580" i="16"/>
  <c r="C2581" i="16"/>
  <c r="C2582" i="16"/>
  <c r="C2583" i="16"/>
  <c r="C2584" i="16"/>
  <c r="C2585" i="16"/>
  <c r="C2586" i="16"/>
  <c r="C2587" i="16"/>
  <c r="C2588" i="16"/>
  <c r="C2589" i="16"/>
  <c r="C2590" i="16"/>
  <c r="C2591" i="16"/>
  <c r="C2592" i="16"/>
  <c r="C150" i="16"/>
  <c r="C2593" i="16"/>
  <c r="C2594" i="16"/>
  <c r="C2595" i="16"/>
  <c r="C2596" i="16"/>
  <c r="C2597" i="16"/>
  <c r="C93" i="16"/>
  <c r="C2598" i="16"/>
  <c r="C2599" i="16"/>
  <c r="C2600" i="16"/>
  <c r="C2601" i="16"/>
  <c r="C2602" i="16"/>
  <c r="C2603" i="16"/>
  <c r="C2604" i="16"/>
  <c r="C2605" i="16"/>
  <c r="C2606" i="16"/>
  <c r="C2607" i="16"/>
  <c r="C2608" i="16"/>
  <c r="C2609" i="16"/>
  <c r="C2610" i="16"/>
  <c r="C2611" i="16"/>
  <c r="C2612" i="16"/>
  <c r="C2613" i="16"/>
  <c r="C2614" i="16"/>
  <c r="C2615" i="16"/>
  <c r="C2616" i="16"/>
  <c r="C2617" i="16"/>
  <c r="C2618" i="16"/>
  <c r="C2619" i="16"/>
  <c r="C2620" i="16"/>
  <c r="C2621" i="16"/>
  <c r="C2622" i="16"/>
  <c r="C2623" i="16"/>
  <c r="C2624" i="16"/>
  <c r="C2625" i="16"/>
  <c r="C2626" i="16"/>
  <c r="C2627" i="16"/>
  <c r="C2628" i="16"/>
  <c r="C2629" i="16"/>
  <c r="C2630" i="16"/>
  <c r="C2631" i="16"/>
  <c r="C2632" i="16"/>
  <c r="C2633" i="16"/>
  <c r="C2634" i="16"/>
  <c r="C2635" i="16"/>
  <c r="C2636" i="16"/>
  <c r="C2637" i="16"/>
  <c r="C2638" i="16"/>
  <c r="C2639" i="16"/>
  <c r="C2640" i="16"/>
  <c r="C2641" i="16"/>
  <c r="C2642" i="16"/>
  <c r="C2643" i="16"/>
  <c r="C2644" i="16"/>
  <c r="C2645" i="16"/>
  <c r="C2646" i="16"/>
  <c r="C2647" i="16"/>
  <c r="C2648" i="16"/>
  <c r="C2649" i="16"/>
  <c r="C2650" i="16"/>
  <c r="C151" i="16"/>
  <c r="C2651" i="16"/>
  <c r="C2652" i="16"/>
  <c r="C2653" i="16"/>
  <c r="C2654" i="16"/>
  <c r="C2655" i="16"/>
  <c r="C2656" i="16"/>
  <c r="C2657" i="16"/>
  <c r="C2658" i="16"/>
  <c r="C2659" i="16"/>
  <c r="C2660" i="16"/>
  <c r="C2661" i="16"/>
  <c r="C2662" i="16"/>
  <c r="C2663" i="16"/>
  <c r="C2664" i="16"/>
  <c r="C2665" i="16"/>
  <c r="C2666" i="16"/>
  <c r="C2667" i="16"/>
  <c r="C2668" i="16"/>
  <c r="C2669" i="16"/>
  <c r="C2670" i="16"/>
  <c r="C2671" i="16"/>
  <c r="C2672" i="16"/>
  <c r="C2673" i="16"/>
  <c r="C2674" i="16"/>
  <c r="C2675" i="16"/>
  <c r="C2676" i="16"/>
  <c r="C2677" i="16"/>
  <c r="C2678" i="16"/>
  <c r="C2679" i="16"/>
  <c r="C2680" i="16"/>
  <c r="C2681" i="16"/>
  <c r="C2682" i="16"/>
  <c r="C2683" i="16"/>
  <c r="C2684" i="16"/>
  <c r="C2685" i="16"/>
  <c r="C2686" i="16"/>
  <c r="C2687" i="16"/>
  <c r="C2688" i="16"/>
  <c r="C2689" i="16"/>
  <c r="C2690" i="16"/>
  <c r="C2691" i="16"/>
  <c r="C2692" i="16"/>
  <c r="C2693" i="16"/>
  <c r="C2694" i="16"/>
  <c r="C2695" i="16"/>
  <c r="C2696" i="16"/>
  <c r="C2697" i="16"/>
  <c r="C2698" i="16"/>
  <c r="C2699" i="16"/>
  <c r="C2700" i="16"/>
  <c r="C2701" i="16"/>
  <c r="C2702" i="16"/>
  <c r="C2703" i="16"/>
  <c r="C2704" i="16"/>
  <c r="C2705" i="16"/>
  <c r="C2706" i="16"/>
  <c r="C2707" i="16"/>
  <c r="C2708" i="16"/>
  <c r="C2709" i="16"/>
  <c r="C2710" i="16"/>
  <c r="C2711" i="16"/>
  <c r="C2712" i="16"/>
  <c r="C2713" i="16"/>
  <c r="C2714" i="16"/>
  <c r="C2715" i="16"/>
  <c r="C2716" i="16"/>
  <c r="C2717" i="16"/>
  <c r="C2718" i="16"/>
  <c r="C2719" i="16"/>
  <c r="C2720" i="16"/>
  <c r="C2721" i="16"/>
  <c r="C2722" i="16"/>
  <c r="C2723" i="16"/>
  <c r="C2724" i="16"/>
  <c r="C2725" i="16"/>
  <c r="C2726" i="16"/>
  <c r="C2727" i="16"/>
  <c r="C2728" i="16"/>
  <c r="C2729" i="16"/>
  <c r="C2730" i="16"/>
  <c r="C2731" i="16"/>
  <c r="C2732" i="16"/>
  <c r="C2733" i="16"/>
  <c r="C2734" i="16"/>
  <c r="C2735" i="16"/>
  <c r="C2736" i="16"/>
  <c r="C2737" i="16"/>
  <c r="C2738" i="16"/>
  <c r="C2739" i="16"/>
  <c r="C2740" i="16"/>
  <c r="C2741" i="16"/>
  <c r="C2742" i="16"/>
  <c r="C2743" i="16"/>
  <c r="C2744" i="16"/>
  <c r="C2745" i="16"/>
  <c r="C2746" i="16"/>
  <c r="C2747" i="16"/>
  <c r="C2748" i="16"/>
  <c r="C2749" i="16"/>
  <c r="C2750" i="16"/>
  <c r="C2751" i="16"/>
  <c r="C2752" i="16"/>
  <c r="C2753" i="16"/>
  <c r="C2754" i="16"/>
  <c r="C2755" i="16"/>
  <c r="C2756" i="16"/>
  <c r="C2757" i="16"/>
  <c r="C2758" i="16"/>
  <c r="C2759" i="16"/>
  <c r="C2760" i="16"/>
  <c r="C2761" i="16"/>
  <c r="C2762" i="16"/>
  <c r="C2763" i="16"/>
  <c r="C2764" i="16"/>
  <c r="C2765" i="16"/>
  <c r="C2766" i="16"/>
  <c r="C2767" i="16"/>
  <c r="C2768" i="16"/>
  <c r="C2769" i="16"/>
  <c r="C2770" i="16"/>
  <c r="C2771" i="16"/>
  <c r="C2772" i="16"/>
  <c r="C2773" i="16"/>
  <c r="C2774" i="16"/>
  <c r="C2775" i="16"/>
  <c r="C2776" i="16"/>
  <c r="C2777" i="16"/>
  <c r="C2778" i="16"/>
  <c r="C2779" i="16"/>
  <c r="C2780" i="16"/>
  <c r="C2781" i="16"/>
  <c r="C2782" i="16"/>
  <c r="C2783" i="16"/>
  <c r="C2784" i="16"/>
  <c r="C2785" i="16"/>
  <c r="C2786" i="16"/>
  <c r="C2787" i="16"/>
  <c r="C2788" i="16"/>
  <c r="C2789" i="16"/>
  <c r="C2790" i="16"/>
  <c r="C2791" i="16"/>
  <c r="C2792" i="16"/>
  <c r="C2793" i="16"/>
  <c r="C2794" i="16"/>
  <c r="C2795" i="16"/>
  <c r="C2796" i="16"/>
  <c r="C2797" i="16"/>
  <c r="C2798" i="16"/>
  <c r="C2799" i="16"/>
  <c r="C2800" i="16"/>
  <c r="C2801" i="16"/>
  <c r="C2802" i="16"/>
  <c r="C2803" i="16"/>
  <c r="C2804" i="16"/>
  <c r="C2805" i="16"/>
  <c r="C2806" i="16"/>
  <c r="C2807" i="16"/>
  <c r="C2808" i="16"/>
  <c r="C2809" i="16"/>
  <c r="C2810" i="16"/>
  <c r="C2811" i="16"/>
  <c r="C2812" i="16"/>
  <c r="C2813" i="16"/>
  <c r="C2814" i="16"/>
  <c r="C2815" i="16"/>
  <c r="C2816" i="16"/>
  <c r="C2817" i="16"/>
  <c r="C2818" i="16"/>
  <c r="C2819" i="16"/>
  <c r="C2820" i="16"/>
  <c r="C2821" i="16"/>
  <c r="C2822" i="16"/>
  <c r="C2823" i="16"/>
  <c r="C2824" i="16"/>
  <c r="C2825" i="16"/>
  <c r="C2826" i="16"/>
  <c r="C2827" i="16"/>
  <c r="C2828" i="16"/>
  <c r="C2829" i="16"/>
  <c r="C2830" i="16"/>
  <c r="C2832" i="16"/>
  <c r="C2833" i="16"/>
  <c r="C2834" i="16"/>
  <c r="C2835" i="16"/>
  <c r="C2836" i="16"/>
  <c r="C2837" i="16"/>
  <c r="C2838" i="16"/>
  <c r="C2839" i="16"/>
  <c r="C2840" i="16"/>
  <c r="C2841" i="16"/>
  <c r="C2842" i="16"/>
  <c r="C2843" i="16"/>
  <c r="C2844" i="16"/>
  <c r="C2845" i="16"/>
  <c r="C2846" i="16"/>
  <c r="C2847" i="16"/>
  <c r="C2848" i="16"/>
  <c r="C2849" i="16"/>
  <c r="C2850" i="16"/>
  <c r="C2851" i="16"/>
  <c r="C2852" i="16"/>
  <c r="C2853" i="16"/>
  <c r="C2854" i="16"/>
  <c r="C2856" i="16"/>
  <c r="C2857" i="16"/>
  <c r="C2858" i="16"/>
  <c r="C2859" i="16"/>
  <c r="C2860" i="16"/>
  <c r="C2861" i="16"/>
  <c r="C2862" i="16"/>
  <c r="C2863" i="16"/>
  <c r="C2864" i="16"/>
  <c r="C2865" i="16"/>
  <c r="C2866" i="16"/>
  <c r="C2867" i="16"/>
  <c r="C2868" i="16"/>
  <c r="C2869" i="16"/>
  <c r="C2870" i="16"/>
  <c r="C2871" i="16"/>
  <c r="C2872" i="16"/>
  <c r="C2873" i="16"/>
  <c r="C2874" i="16"/>
  <c r="C2875" i="16"/>
  <c r="C2876" i="16"/>
  <c r="C2877" i="16"/>
  <c r="C2878" i="16"/>
  <c r="C2879" i="16"/>
  <c r="C2880" i="16"/>
  <c r="C2881" i="16"/>
  <c r="C2882" i="16"/>
  <c r="C2883" i="16"/>
  <c r="C2884" i="16"/>
  <c r="C2885" i="16"/>
  <c r="C2886" i="16"/>
  <c r="C2887" i="16"/>
  <c r="C2888" i="16"/>
  <c r="C2890" i="16"/>
  <c r="C2891" i="16"/>
  <c r="C2892" i="16"/>
  <c r="C2893" i="16"/>
  <c r="C2894" i="16"/>
  <c r="C2895" i="16"/>
  <c r="C2896" i="16"/>
  <c r="C2897" i="16"/>
  <c r="C2898" i="16"/>
  <c r="C2901" i="16"/>
  <c r="C2902" i="16"/>
  <c r="C2903" i="16"/>
  <c r="C2904" i="16"/>
  <c r="C2905" i="16"/>
  <c r="C152" i="16"/>
  <c r="C2906" i="16"/>
  <c r="C2907" i="16"/>
  <c r="C2908" i="16"/>
  <c r="C2909" i="16"/>
  <c r="C2910" i="16"/>
  <c r="C2911" i="16"/>
  <c r="C2912" i="16"/>
  <c r="C2913" i="16"/>
  <c r="C2914" i="16"/>
  <c r="C2915" i="16"/>
  <c r="C2916" i="16"/>
  <c r="C2917" i="16"/>
  <c r="C2918" i="16"/>
  <c r="C2919" i="16"/>
  <c r="C2920" i="16"/>
  <c r="C2921" i="16"/>
  <c r="C2922" i="16"/>
  <c r="C2923" i="16"/>
  <c r="C2924" i="16"/>
  <c r="C2925" i="16"/>
  <c r="C2926" i="16"/>
  <c r="C2927" i="16"/>
  <c r="C2928" i="16"/>
  <c r="C2929" i="16"/>
  <c r="C2930" i="16"/>
  <c r="C2931" i="16"/>
  <c r="C2932" i="16"/>
  <c r="C2933" i="16"/>
  <c r="C2934" i="16"/>
  <c r="C2935" i="16"/>
  <c r="C2936" i="16"/>
  <c r="C2937" i="16"/>
  <c r="C2938" i="16"/>
  <c r="C2939" i="16"/>
  <c r="C2940" i="16"/>
  <c r="C2941" i="16"/>
  <c r="C2942" i="16"/>
  <c r="C2943" i="16"/>
  <c r="C2944" i="16"/>
  <c r="C2945" i="16"/>
  <c r="C2946" i="16"/>
  <c r="C2947" i="16"/>
  <c r="C2948" i="16"/>
  <c r="C2949" i="16"/>
  <c r="C2950" i="16"/>
  <c r="C2951" i="16"/>
  <c r="C2952" i="16"/>
  <c r="C2953" i="16"/>
  <c r="C2954" i="16"/>
  <c r="C2955" i="16"/>
  <c r="C2956" i="16"/>
  <c r="C2957" i="16"/>
  <c r="C2958" i="16"/>
  <c r="C2959" i="16"/>
  <c r="C2960" i="16"/>
  <c r="C2961" i="16"/>
  <c r="C2962" i="16"/>
  <c r="C2831" i="16"/>
  <c r="C2963" i="16"/>
  <c r="C2964" i="16"/>
  <c r="C2965" i="16"/>
  <c r="C2966" i="16"/>
  <c r="C2967" i="16"/>
  <c r="C2968" i="16"/>
  <c r="C2969" i="16"/>
  <c r="C2970" i="16"/>
  <c r="C2971" i="16"/>
  <c r="C2972" i="16"/>
  <c r="C2973" i="16"/>
  <c r="C2974" i="16"/>
  <c r="C2975" i="16"/>
  <c r="C2976" i="16"/>
  <c r="C153" i="16"/>
  <c r="C154" i="16"/>
  <c r="C155" i="16"/>
  <c r="C156" i="16"/>
  <c r="C157" i="16"/>
  <c r="C2977" i="16"/>
  <c r="C2978" i="16"/>
  <c r="C2979" i="16"/>
  <c r="C2980" i="16"/>
  <c r="C2855" i="16"/>
  <c r="C2981" i="16"/>
  <c r="C2982" i="16"/>
  <c r="C2983" i="16"/>
  <c r="C158" i="16"/>
  <c r="C2984" i="16"/>
  <c r="C2985" i="16"/>
  <c r="C159" i="16"/>
  <c r="C2986" i="16"/>
  <c r="C2987" i="16"/>
  <c r="C160" i="16"/>
  <c r="C2989" i="16"/>
  <c r="C2990" i="16"/>
  <c r="C2991" i="16"/>
  <c r="C2992" i="16"/>
  <c r="C2993" i="16"/>
  <c r="C2994" i="16"/>
  <c r="C2995" i="16"/>
  <c r="C92" i="16"/>
  <c r="C2996" i="16"/>
  <c r="C2997" i="16"/>
  <c r="C2998" i="16"/>
  <c r="C2999" i="16"/>
  <c r="C3000" i="16"/>
  <c r="C3001" i="16"/>
  <c r="C3002" i="16"/>
  <c r="C3003" i="16"/>
  <c r="C3004" i="16"/>
  <c r="C3005" i="16"/>
  <c r="C3006" i="16"/>
  <c r="C3007" i="16"/>
  <c r="C3008" i="16"/>
  <c r="C3009" i="16"/>
  <c r="C2889" i="16"/>
  <c r="C3010" i="16"/>
  <c r="C3011" i="16"/>
  <c r="C3012" i="16"/>
  <c r="C3013" i="16"/>
  <c r="C3014" i="16"/>
  <c r="C3015" i="16"/>
  <c r="C3016" i="16"/>
  <c r="C3017" i="16"/>
  <c r="C3018" i="16"/>
  <c r="C2899" i="16"/>
  <c r="C2900" i="16"/>
  <c r="C3019" i="16"/>
  <c r="C3020" i="16"/>
  <c r="C3021" i="16"/>
  <c r="C3022" i="16"/>
  <c r="C3023" i="16"/>
  <c r="C3024" i="16"/>
  <c r="C3025" i="16"/>
  <c r="C3026" i="16"/>
  <c r="C3027" i="16"/>
  <c r="C3028" i="16"/>
  <c r="C3029" i="16"/>
  <c r="C3030" i="16"/>
  <c r="C3031" i="16"/>
  <c r="C3032" i="16"/>
  <c r="C3033" i="16"/>
  <c r="C3034" i="16"/>
  <c r="C3035" i="16"/>
  <c r="C3036" i="16"/>
  <c r="C3037" i="16"/>
  <c r="C3038" i="16"/>
  <c r="C3039" i="16"/>
  <c r="C304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385" i="16"/>
  <c r="C384" i="16"/>
  <c r="C383" i="16"/>
  <c r="C3041" i="16"/>
  <c r="C3042" i="16"/>
  <c r="C3043" i="16"/>
  <c r="C3044" i="16"/>
  <c r="C3045" i="16"/>
  <c r="C3046" i="16"/>
  <c r="C3047" i="16"/>
  <c r="C3048" i="16"/>
  <c r="C3049" i="16"/>
  <c r="C382" i="16"/>
  <c r="C381" i="16"/>
  <c r="C380" i="16"/>
  <c r="C379" i="16"/>
  <c r="C378" i="16"/>
  <c r="C377" i="16"/>
  <c r="C376" i="16"/>
  <c r="C3050" i="16"/>
  <c r="C3051" i="16"/>
  <c r="C3052" i="16"/>
  <c r="C3053" i="16"/>
  <c r="C3054" i="16"/>
  <c r="C3055" i="16"/>
  <c r="C3056" i="16"/>
  <c r="C3057" i="16"/>
  <c r="C3058" i="16"/>
  <c r="C3059" i="16"/>
  <c r="C3060" i="16"/>
  <c r="C3061" i="16"/>
  <c r="C3062" i="16"/>
  <c r="C3063" i="16"/>
  <c r="C3064" i="16"/>
  <c r="C3065" i="16"/>
  <c r="C3066" i="16"/>
  <c r="C3067" i="16"/>
  <c r="C3068" i="16"/>
  <c r="C375" i="16"/>
  <c r="C374" i="16"/>
  <c r="C373" i="16"/>
  <c r="C3069" i="16"/>
  <c r="C3070" i="16"/>
  <c r="C3071" i="16"/>
  <c r="C3072" i="16"/>
  <c r="C3073" i="16"/>
  <c r="C3074" i="16"/>
  <c r="C3075" i="16"/>
  <c r="C3076" i="16"/>
  <c r="C3077" i="16"/>
  <c r="C3078" i="16"/>
  <c r="C3079" i="16"/>
  <c r="C3080" i="16"/>
  <c r="C3081" i="16"/>
  <c r="C3082" i="16"/>
  <c r="C3083" i="16"/>
  <c r="C3084" i="16"/>
  <c r="C3085" i="16"/>
  <c r="C3086" i="16"/>
  <c r="C3087" i="16"/>
  <c r="C3088" i="16"/>
  <c r="C3089" i="16"/>
  <c r="C3090" i="16"/>
  <c r="C3091" i="16"/>
  <c r="C3092" i="16"/>
  <c r="C3093" i="16"/>
  <c r="C3094" i="16"/>
  <c r="C3095" i="16"/>
  <c r="C3096" i="16"/>
  <c r="C3097" i="16"/>
  <c r="C3098" i="16"/>
  <c r="C3099" i="16"/>
  <c r="C3100" i="16"/>
  <c r="C3101" i="16"/>
  <c r="C3102" i="16"/>
  <c r="C3103" i="16"/>
  <c r="C3104" i="16"/>
  <c r="C3105" i="16"/>
  <c r="C3106" i="16"/>
  <c r="C3107" i="16"/>
  <c r="C3108" i="16"/>
  <c r="C3109" i="16"/>
  <c r="C3110" i="16"/>
  <c r="C3111" i="16"/>
  <c r="C3112" i="16"/>
  <c r="C3113" i="16"/>
  <c r="C3114" i="16"/>
  <c r="C3115" i="16"/>
  <c r="C3116" i="16"/>
  <c r="C3117" i="16"/>
  <c r="C3118" i="16"/>
  <c r="C3119" i="16"/>
  <c r="C3120" i="16"/>
  <c r="C3121" i="16"/>
  <c r="C3122" i="16"/>
  <c r="C3123" i="16"/>
  <c r="C3124" i="16"/>
  <c r="C3125" i="16"/>
  <c r="C372" i="16"/>
  <c r="C371" i="16"/>
  <c r="C370" i="16"/>
  <c r="C369" i="16"/>
  <c r="C3126" i="16"/>
  <c r="C3127" i="16"/>
  <c r="C3128" i="16"/>
  <c r="C3129" i="16"/>
  <c r="C3130" i="16"/>
  <c r="C3131" i="16"/>
  <c r="C3132" i="16"/>
  <c r="C3133" i="16"/>
  <c r="C3134" i="16"/>
  <c r="C3135" i="16"/>
  <c r="C3136" i="16"/>
  <c r="C3137" i="16"/>
  <c r="C3138" i="16"/>
  <c r="C3139" i="16"/>
  <c r="C3140" i="16"/>
  <c r="C3141" i="16"/>
  <c r="C368" i="16"/>
  <c r="C367" i="16"/>
  <c r="C366" i="16"/>
  <c r="C365" i="16"/>
  <c r="C3142" i="16"/>
  <c r="C3143" i="16"/>
  <c r="C3144" i="16"/>
  <c r="C3145" i="16"/>
  <c r="C3146" i="16"/>
  <c r="C3147" i="16"/>
  <c r="C3148" i="16"/>
  <c r="C3149" i="16"/>
  <c r="C3150" i="16"/>
  <c r="C3151" i="16"/>
  <c r="C3152" i="16"/>
  <c r="C3153" i="16"/>
  <c r="C3154" i="16"/>
  <c r="C364" i="16"/>
  <c r="C3155" i="16"/>
  <c r="C363" i="16"/>
  <c r="C3156" i="16"/>
  <c r="C362" i="16"/>
  <c r="C3157" i="16"/>
  <c r="C361" i="16"/>
  <c r="C3158" i="16"/>
  <c r="C3159" i="16"/>
  <c r="C360" i="16"/>
  <c r="C3160" i="16"/>
  <c r="C359" i="16"/>
  <c r="C3161" i="16"/>
  <c r="C358" i="16"/>
  <c r="C3162" i="16"/>
  <c r="C357" i="16"/>
  <c r="C356" i="16"/>
  <c r="C3163" i="16"/>
  <c r="C3164" i="16"/>
  <c r="C355" i="16"/>
  <c r="C354" i="16"/>
  <c r="C353" i="16"/>
  <c r="C352" i="16"/>
  <c r="C351" i="16"/>
  <c r="C350" i="16"/>
  <c r="C349" i="16"/>
  <c r="C348" i="16"/>
  <c r="C347" i="16"/>
  <c r="C346" i="16"/>
  <c r="C3165" i="16"/>
  <c r="C3166" i="16"/>
  <c r="C3167" i="16"/>
  <c r="C3168" i="16"/>
  <c r="C3169" i="16"/>
  <c r="C3171" i="16"/>
  <c r="C3172" i="16"/>
  <c r="C3173" i="16"/>
  <c r="C3174" i="16"/>
  <c r="C3175" i="16"/>
  <c r="C3176" i="16"/>
  <c r="C3177" i="16"/>
  <c r="C3178" i="16"/>
  <c r="C3179" i="16"/>
  <c r="C3180" i="16"/>
  <c r="C3181" i="16"/>
  <c r="C3182" i="16"/>
  <c r="C3183" i="16"/>
  <c r="C3184" i="16"/>
  <c r="C3185" i="16"/>
  <c r="C3186" i="16"/>
  <c r="C3187" i="16"/>
  <c r="C3188" i="16"/>
  <c r="C3189" i="16"/>
  <c r="C3190" i="16"/>
  <c r="C3191" i="16"/>
  <c r="C3192" i="16"/>
  <c r="C3193" i="16"/>
  <c r="C3194" i="16"/>
  <c r="C3195" i="16"/>
  <c r="C3196" i="16"/>
  <c r="C3197" i="16"/>
  <c r="C3198" i="16"/>
  <c r="C3199" i="16"/>
  <c r="C3200" i="16"/>
  <c r="C3201" i="16"/>
  <c r="C3202" i="16"/>
  <c r="C3203" i="16"/>
  <c r="C3204" i="16"/>
  <c r="C3205" i="16"/>
  <c r="C3206" i="16"/>
  <c r="C3207" i="16"/>
  <c r="C3208" i="16"/>
  <c r="C3209" i="16"/>
  <c r="C3210" i="16"/>
  <c r="C3211" i="16"/>
  <c r="C3212" i="16"/>
  <c r="C3213" i="16"/>
  <c r="C3214" i="16"/>
  <c r="C3215" i="16"/>
  <c r="C3216" i="16"/>
  <c r="C3217" i="16"/>
  <c r="C3218" i="16"/>
  <c r="C3219" i="16"/>
  <c r="C3220" i="16"/>
  <c r="C3221" i="16"/>
  <c r="C3222" i="16"/>
  <c r="C3223" i="16"/>
  <c r="C3224" i="16"/>
  <c r="C3225" i="16"/>
  <c r="C3226" i="16"/>
  <c r="C3227" i="16"/>
  <c r="C3228" i="16"/>
  <c r="C3229" i="16"/>
  <c r="C3230" i="16"/>
  <c r="C3231" i="16"/>
  <c r="C3232" i="16"/>
  <c r="C3233" i="16"/>
  <c r="C3234" i="16"/>
  <c r="C3170" i="16"/>
  <c r="C10" i="16"/>
  <c r="C26" i="16"/>
  <c r="C11" i="16"/>
  <c r="C27" i="16"/>
  <c r="C12" i="16"/>
  <c r="C13" i="16"/>
  <c r="C14" i="16"/>
  <c r="C15" i="16"/>
  <c r="C28" i="16"/>
  <c r="C9" i="16"/>
  <c r="C29" i="16"/>
  <c r="C30" i="16"/>
  <c r="C8" i="16"/>
  <c r="C16" i="16"/>
  <c r="C31" i="16"/>
  <c r="C25" i="16"/>
  <c r="C32" i="16"/>
  <c r="C33" i="16"/>
  <c r="C17" i="16"/>
  <c r="C7" i="16"/>
  <c r="C18" i="16"/>
  <c r="C24" i="16"/>
  <c r="C23" i="16"/>
  <c r="C34" i="16"/>
  <c r="C22" i="16"/>
  <c r="C35" i="16"/>
  <c r="C6" i="16"/>
  <c r="C19" i="16"/>
  <c r="C20" i="16"/>
  <c r="C21" i="16"/>
  <c r="C3235" i="16"/>
  <c r="C3236" i="16"/>
  <c r="C345" i="16"/>
  <c r="C344" i="16"/>
  <c r="C343" i="16"/>
  <c r="C342" i="16"/>
  <c r="C341" i="16"/>
  <c r="C340" i="16"/>
  <c r="C339" i="16"/>
  <c r="C338" i="16"/>
  <c r="C337" i="16"/>
  <c r="C336" i="16"/>
  <c r="C335" i="16"/>
  <c r="C334" i="16"/>
  <c r="C3237" i="16"/>
  <c r="C3238" i="16"/>
  <c r="C3239" i="16"/>
  <c r="C3240" i="16"/>
  <c r="C3241" i="16"/>
  <c r="C3242" i="16"/>
  <c r="C3243" i="16"/>
  <c r="C3244" i="16"/>
  <c r="C3245" i="16"/>
  <c r="C3246" i="16"/>
  <c r="C3247" i="16"/>
  <c r="C333" i="16"/>
  <c r="C332" i="16"/>
  <c r="C3248" i="16"/>
  <c r="C3249" i="16"/>
  <c r="C3250" i="16"/>
  <c r="C3251" i="16"/>
  <c r="C3252" i="16"/>
  <c r="C3253" i="16"/>
  <c r="C3254" i="16"/>
  <c r="C3255" i="16"/>
  <c r="C3256" i="16"/>
  <c r="C3257" i="16"/>
  <c r="C3258" i="16"/>
  <c r="C3259" i="16"/>
  <c r="C3260" i="16"/>
  <c r="C3261" i="16"/>
  <c r="C3262" i="16"/>
  <c r="C3263" i="16"/>
  <c r="C3264" i="16"/>
  <c r="C3265" i="16"/>
  <c r="C3266" i="16"/>
  <c r="C3267" i="16"/>
  <c r="C3268" i="16"/>
  <c r="C3269" i="16"/>
  <c r="C3270" i="16"/>
  <c r="C3271" i="16"/>
  <c r="C3272" i="16"/>
  <c r="C3273" i="16"/>
  <c r="C3274" i="16"/>
  <c r="C3275" i="16"/>
  <c r="C3276" i="16"/>
  <c r="C3277" i="16"/>
  <c r="C3278" i="16"/>
  <c r="C3279" i="16"/>
  <c r="C3280" i="16"/>
  <c r="C3281" i="16"/>
  <c r="C3282" i="16"/>
  <c r="C3283" i="16"/>
  <c r="C3284" i="16"/>
  <c r="C3285" i="16"/>
  <c r="C3286" i="16"/>
  <c r="C3287" i="16"/>
  <c r="C3288" i="16"/>
  <c r="C3289" i="16"/>
  <c r="C3290" i="16"/>
  <c r="C3291" i="16"/>
  <c r="C3292" i="16"/>
  <c r="C3293" i="16"/>
  <c r="C3294" i="16"/>
  <c r="C3295" i="16"/>
  <c r="C3296" i="16"/>
  <c r="C3297" i="16"/>
  <c r="C3298" i="16"/>
  <c r="C3299" i="16"/>
  <c r="C3300" i="16"/>
  <c r="C3301" i="16"/>
  <c r="C3302" i="16"/>
  <c r="C3303" i="16"/>
  <c r="C3304" i="16"/>
  <c r="C3305" i="16"/>
  <c r="C3306" i="16"/>
  <c r="C3307" i="16"/>
  <c r="C3308" i="16"/>
  <c r="C3309" i="16"/>
  <c r="C3310" i="16"/>
  <c r="C3311" i="16"/>
  <c r="C3312" i="16"/>
  <c r="C3313" i="16"/>
  <c r="C3314" i="16"/>
  <c r="C3315" i="16"/>
  <c r="C3316" i="16"/>
  <c r="C3317" i="16"/>
  <c r="C3318" i="16"/>
  <c r="C3319" i="16"/>
  <c r="C3320" i="16"/>
  <c r="C3321" i="16"/>
  <c r="C3322" i="16"/>
  <c r="C3323" i="16"/>
  <c r="C3324" i="16"/>
  <c r="C3325" i="16"/>
  <c r="C3326" i="16"/>
  <c r="C3327" i="16"/>
  <c r="C3328" i="16"/>
  <c r="C3329" i="16"/>
  <c r="C3330" i="16"/>
  <c r="C3331" i="16"/>
  <c r="C3332" i="16"/>
  <c r="C3333" i="16"/>
  <c r="C3334" i="16"/>
  <c r="C3335" i="16"/>
  <c r="C3336" i="16"/>
  <c r="C3337" i="16"/>
  <c r="C3338" i="16"/>
  <c r="C3339" i="16"/>
  <c r="C3340" i="16"/>
  <c r="C3341" i="16"/>
  <c r="C3342" i="16"/>
  <c r="C3343" i="16"/>
  <c r="C3344" i="16"/>
  <c r="C3345" i="16"/>
  <c r="C3346" i="16"/>
  <c r="C3347" i="16"/>
  <c r="C3348" i="16"/>
  <c r="C3349" i="16"/>
  <c r="C3350" i="16"/>
  <c r="C3351" i="16"/>
  <c r="C3352" i="16"/>
  <c r="C3353" i="16"/>
  <c r="C3354" i="16"/>
  <c r="C3355" i="16"/>
  <c r="C3356" i="16"/>
  <c r="C3357" i="16"/>
  <c r="C3358" i="16"/>
  <c r="C3359" i="16"/>
  <c r="C3360" i="16"/>
  <c r="C3361" i="16"/>
  <c r="C3362" i="16"/>
  <c r="C3363" i="16"/>
  <c r="C3364" i="16"/>
  <c r="C3365" i="16"/>
  <c r="C3366" i="16"/>
  <c r="C331" i="16"/>
  <c r="C330" i="16"/>
  <c r="C329" i="16"/>
  <c r="C328" i="16"/>
  <c r="C327" i="16"/>
  <c r="C326" i="16"/>
  <c r="C325" i="16"/>
  <c r="C324" i="16"/>
  <c r="C323" i="16"/>
  <c r="C322" i="16"/>
  <c r="C321" i="16"/>
  <c r="C320" i="16"/>
  <c r="C319" i="16"/>
  <c r="C318" i="16"/>
  <c r="C317" i="16"/>
  <c r="C316" i="16"/>
  <c r="C315" i="16"/>
  <c r="C314" i="16"/>
  <c r="C313" i="16"/>
  <c r="C312" i="16"/>
  <c r="C311" i="16"/>
  <c r="C310" i="16"/>
  <c r="C309" i="16"/>
  <c r="C308" i="16"/>
  <c r="C307" i="16"/>
  <c r="C306" i="16"/>
  <c r="C305" i="16"/>
  <c r="C304" i="16"/>
  <c r="C303" i="16"/>
  <c r="C302" i="16"/>
  <c r="C301" i="16"/>
  <c r="C3367" i="16"/>
  <c r="C3368" i="16"/>
  <c r="C3369" i="16"/>
  <c r="C3370" i="16"/>
  <c r="C3371" i="16"/>
  <c r="C3372" i="16"/>
  <c r="C3373" i="16"/>
  <c r="C3374" i="16"/>
  <c r="C3375" i="16"/>
  <c r="C3376" i="16"/>
  <c r="C3377" i="16"/>
  <c r="C3378" i="16"/>
  <c r="C3379" i="16"/>
  <c r="C3380" i="16"/>
  <c r="C3381" i="16"/>
  <c r="C3382" i="16"/>
  <c r="C3383" i="16"/>
  <c r="C3384" i="16"/>
  <c r="C3385" i="16"/>
  <c r="C3386" i="16"/>
  <c r="C3387" i="16"/>
  <c r="C3388" i="16"/>
  <c r="C3389" i="16"/>
  <c r="C3390" i="16"/>
  <c r="C3391" i="16"/>
  <c r="C3392" i="16"/>
  <c r="C3393" i="16"/>
  <c r="C3394" i="16"/>
  <c r="C3395" i="16"/>
  <c r="C3396" i="16"/>
  <c r="C3397" i="16"/>
  <c r="C3398" i="16"/>
  <c r="C3399" i="16"/>
  <c r="C3400" i="16"/>
  <c r="C3401" i="16"/>
  <c r="C3402" i="16"/>
  <c r="C3403" i="16"/>
  <c r="C300" i="16"/>
  <c r="C299" i="16"/>
  <c r="C298" i="16"/>
  <c r="C297" i="16"/>
  <c r="C296" i="16"/>
  <c r="C295" i="16"/>
  <c r="C294" i="16"/>
  <c r="C293" i="16"/>
  <c r="C292" i="16"/>
  <c r="C291" i="16"/>
  <c r="C290" i="16"/>
  <c r="C386" i="16"/>
</calcChain>
</file>

<file path=xl/sharedStrings.xml><?xml version="1.0" encoding="utf-8"?>
<sst xmlns="http://schemas.openxmlformats.org/spreadsheetml/2006/main" count="46259" uniqueCount="14935">
  <si>
    <t>045686002023</t>
  </si>
  <si>
    <t>045686002474</t>
  </si>
  <si>
    <t>045686049400</t>
  </si>
  <si>
    <t>045686049523</t>
  </si>
  <si>
    <t>045686049516</t>
  </si>
  <si>
    <t>045686049509</t>
  </si>
  <si>
    <t>045686049493</t>
  </si>
  <si>
    <t>045686068432</t>
  </si>
  <si>
    <t>045686245116</t>
  </si>
  <si>
    <t>045686205059</t>
  </si>
  <si>
    <t>045686205028</t>
  </si>
  <si>
    <t>045686205202</t>
  </si>
  <si>
    <t>045686205103</t>
  </si>
  <si>
    <t>045686205127</t>
  </si>
  <si>
    <t>045686220700</t>
  </si>
  <si>
    <t>045686074433</t>
  </si>
  <si>
    <t>045686202003</t>
  </si>
  <si>
    <t>045686202102</t>
  </si>
  <si>
    <t>045686202201</t>
  </si>
  <si>
    <t>045686202300</t>
  </si>
  <si>
    <t>045686074396</t>
  </si>
  <si>
    <t>045686204007</t>
  </si>
  <si>
    <t>045686204106</t>
  </si>
  <si>
    <t>045686204205</t>
  </si>
  <si>
    <t>045686204304</t>
  </si>
  <si>
    <t>045686204403</t>
  </si>
  <si>
    <t>045686204908</t>
  </si>
  <si>
    <t>045686200900</t>
  </si>
  <si>
    <t>045686000128</t>
  </si>
  <si>
    <t>045686201006</t>
  </si>
  <si>
    <t>045686201105</t>
  </si>
  <si>
    <t>045686025114</t>
  </si>
  <si>
    <t>045686201303</t>
  </si>
  <si>
    <t>045686207107</t>
  </si>
  <si>
    <t>045686000159</t>
  </si>
  <si>
    <t>045686207206</t>
  </si>
  <si>
    <t>045686033560</t>
  </si>
  <si>
    <t>045686065523</t>
  </si>
  <si>
    <t>045686207305</t>
  </si>
  <si>
    <t>045686065530</t>
  </si>
  <si>
    <t>045686335114</t>
  </si>
  <si>
    <t>045686204359</t>
  </si>
  <si>
    <t>045686204250</t>
  </si>
  <si>
    <t>045686033591</t>
  </si>
  <si>
    <t>045686033607</t>
  </si>
  <si>
    <t>045686065516</t>
  </si>
  <si>
    <t>045686375110</t>
  </si>
  <si>
    <t>045686203253</t>
  </si>
  <si>
    <t>045686203154</t>
  </si>
  <si>
    <t>045686000074</t>
  </si>
  <si>
    <t>045686091607</t>
  </si>
  <si>
    <t>045686002030</t>
  </si>
  <si>
    <t>045686390007</t>
  </si>
  <si>
    <t>045686044474</t>
  </si>
  <si>
    <t>045686715114</t>
  </si>
  <si>
    <t>045686206100</t>
  </si>
  <si>
    <t>045686350308</t>
  </si>
  <si>
    <t>A26087-000</t>
  </si>
  <si>
    <t>BCAC-AR-3.75D-2(B24)</t>
  </si>
  <si>
    <t>045686076802</t>
  </si>
  <si>
    <t>045686049813</t>
  </si>
  <si>
    <t>045686001583</t>
  </si>
  <si>
    <t>045686001576</t>
  </si>
  <si>
    <t>045686001545</t>
  </si>
  <si>
    <t>045686043804</t>
  </si>
  <si>
    <t>045686001569</t>
  </si>
  <si>
    <t>045686001552</t>
  </si>
  <si>
    <t>045686001538</t>
  </si>
  <si>
    <t>045686001521</t>
  </si>
  <si>
    <t>045686043828</t>
  </si>
  <si>
    <t>045686001514</t>
  </si>
  <si>
    <t>045686001507</t>
  </si>
  <si>
    <t>045686001491</t>
  </si>
  <si>
    <t>CZ3325-000</t>
  </si>
  <si>
    <t>EPPA-055-0/1-30-US</t>
  </si>
  <si>
    <t>045686076826</t>
  </si>
  <si>
    <t>CZ1234-000</t>
  </si>
  <si>
    <t>EPPA-055-0/3-30-US</t>
  </si>
  <si>
    <t>045686076833</t>
  </si>
  <si>
    <t>CZ1235-000</t>
  </si>
  <si>
    <t>EPPA-055-3/1-30-US</t>
  </si>
  <si>
    <t>045686076840</t>
  </si>
  <si>
    <t>CZ1247-000</t>
  </si>
  <si>
    <t>EPPA-055-3/3-30-US</t>
  </si>
  <si>
    <t>045686076857</t>
  </si>
  <si>
    <t>CZ1239-000</t>
  </si>
  <si>
    <t>EPPA-055-6/1-30-US</t>
  </si>
  <si>
    <t>045686076864</t>
  </si>
  <si>
    <t>CZ1240-000</t>
  </si>
  <si>
    <t>EPPA-055-6/3-30-US</t>
  </si>
  <si>
    <t>045686076871</t>
  </si>
  <si>
    <t>337774-000</t>
  </si>
  <si>
    <t>BCAC-G-IC-5D/6(B6)</t>
  </si>
  <si>
    <t>045686077014</t>
  </si>
  <si>
    <t>BR3669-000</t>
  </si>
  <si>
    <t>BCAC-IC-5D/6(B6)</t>
  </si>
  <si>
    <t>045686077007</t>
  </si>
  <si>
    <t>B57744-000</t>
  </si>
  <si>
    <t>BCAC-P-IC-5D/6(B6)</t>
  </si>
  <si>
    <t>045686076994</t>
  </si>
  <si>
    <t>CR1396-000</t>
  </si>
  <si>
    <t>ELB-35-610N350</t>
  </si>
  <si>
    <t>045686077021</t>
  </si>
  <si>
    <t>045686075133</t>
  </si>
  <si>
    <t>045686075270</t>
  </si>
  <si>
    <t>045686075027</t>
  </si>
  <si>
    <t>045686075201</t>
  </si>
  <si>
    <t>045686074525</t>
  </si>
  <si>
    <t>045686074532</t>
  </si>
  <si>
    <t>045686075034</t>
  </si>
  <si>
    <t>045686074549</t>
  </si>
  <si>
    <t>045686074556</t>
  </si>
  <si>
    <t>045686074563</t>
  </si>
  <si>
    <t>045686074570</t>
  </si>
  <si>
    <t>045686074587</t>
  </si>
  <si>
    <t>045686074594</t>
  </si>
  <si>
    <t>045686074600</t>
  </si>
  <si>
    <t>045686074617</t>
  </si>
  <si>
    <t>045686075218</t>
  </si>
  <si>
    <t>045686074624</t>
  </si>
  <si>
    <t>045686074631</t>
  </si>
  <si>
    <t>045686075010</t>
  </si>
  <si>
    <t>045686074648</t>
  </si>
  <si>
    <t>045686074655</t>
  </si>
  <si>
    <t>045686075232</t>
  </si>
  <si>
    <t>045686074662</t>
  </si>
  <si>
    <t>045686074679</t>
  </si>
  <si>
    <t>045686074686</t>
  </si>
  <si>
    <t>045686075249</t>
  </si>
  <si>
    <t>045686075256</t>
  </si>
  <si>
    <t>045686074709</t>
  </si>
  <si>
    <t>045686074716</t>
  </si>
  <si>
    <t>045686074723</t>
  </si>
  <si>
    <t>045686074730</t>
  </si>
  <si>
    <t>045686075263</t>
  </si>
  <si>
    <t>045686074747</t>
  </si>
  <si>
    <t>045686074754</t>
  </si>
  <si>
    <t>045686074761</t>
  </si>
  <si>
    <t>045686075287</t>
  </si>
  <si>
    <t>045686075225</t>
  </si>
  <si>
    <t>045686074778</t>
  </si>
  <si>
    <t>045686074785</t>
  </si>
  <si>
    <t>045686074792</t>
  </si>
  <si>
    <t>045686074808</t>
  </si>
  <si>
    <t>045686075096</t>
  </si>
  <si>
    <t>045686075102</t>
  </si>
  <si>
    <t>045686074815</t>
  </si>
  <si>
    <t>045686074822</t>
  </si>
  <si>
    <t>045686074839</t>
  </si>
  <si>
    <t>045686075294</t>
  </si>
  <si>
    <t>045686075300</t>
  </si>
  <si>
    <t>045686074846</t>
  </si>
  <si>
    <t>045686074853</t>
  </si>
  <si>
    <t>045686074860</t>
  </si>
  <si>
    <t>045686074877</t>
  </si>
  <si>
    <t>045686074884</t>
  </si>
  <si>
    <t>045686074891</t>
  </si>
  <si>
    <t>045686074907</t>
  </si>
  <si>
    <t>045686075317</t>
  </si>
  <si>
    <t>045686074914</t>
  </si>
  <si>
    <t>045686074921</t>
  </si>
  <si>
    <t>045686074938</t>
  </si>
  <si>
    <t>045686075324</t>
  </si>
  <si>
    <t>045686074945</t>
  </si>
  <si>
    <t>045686074952</t>
  </si>
  <si>
    <t>045686074969</t>
  </si>
  <si>
    <t>045686074976</t>
  </si>
  <si>
    <t>045686074983</t>
  </si>
  <si>
    <t>045686074990</t>
  </si>
  <si>
    <t>045686075041</t>
  </si>
  <si>
    <t>045686075058</t>
  </si>
  <si>
    <t>045686075065</t>
  </si>
  <si>
    <t>045686075072</t>
  </si>
  <si>
    <t>045686075089</t>
  </si>
  <si>
    <t>045686075140</t>
  </si>
  <si>
    <t>045686075157</t>
  </si>
  <si>
    <t>045686075164</t>
  </si>
  <si>
    <t>045686074488</t>
  </si>
  <si>
    <t>045686074495</t>
  </si>
  <si>
    <t>045686074464</t>
  </si>
  <si>
    <t>045686074440</t>
  </si>
  <si>
    <t>045686074457</t>
  </si>
  <si>
    <t>045686074501</t>
  </si>
  <si>
    <t>045686074518</t>
  </si>
  <si>
    <t>ALR-AA-305-(BULK)</t>
  </si>
  <si>
    <t>WCSM-16/4-300-S(B50)</t>
  </si>
  <si>
    <t>CZ9645-000</t>
  </si>
  <si>
    <t>ALR-8090-VFS-FO</t>
  </si>
  <si>
    <t>BB3399-000</t>
  </si>
  <si>
    <t>ALR-8090-VFS</t>
  </si>
  <si>
    <t>045686069910</t>
  </si>
  <si>
    <t>467894-000</t>
  </si>
  <si>
    <t>ALR-6090-VPS-BK</t>
  </si>
  <si>
    <t>045686076468</t>
  </si>
  <si>
    <t>CP LV</t>
  </si>
  <si>
    <t>045686076789</t>
  </si>
  <si>
    <t>045686076772</t>
  </si>
  <si>
    <t>045686070954</t>
  </si>
  <si>
    <t>CX4712-000</t>
  </si>
  <si>
    <t>CPGI-WCSM-16/4-150-BLK</t>
  </si>
  <si>
    <t>045686070985</t>
  </si>
  <si>
    <t>CX4711-000</t>
  </si>
  <si>
    <t>CPGI-WCSM-24/6-150-BLK</t>
  </si>
  <si>
    <t>045686070978</t>
  </si>
  <si>
    <t>CX4710-000</t>
  </si>
  <si>
    <t>CPGI-WCSM-34/8-150-S</t>
  </si>
  <si>
    <t>045686070961</t>
  </si>
  <si>
    <t>EB8888-000</t>
  </si>
  <si>
    <t>CPGI-WC-TG-TN-BG-150</t>
  </si>
  <si>
    <t>045686049165</t>
  </si>
  <si>
    <t>CR2100-000</t>
  </si>
  <si>
    <t>CPGI-WC-TG-TN-BULK</t>
  </si>
  <si>
    <t>045686049714</t>
  </si>
  <si>
    <t>EB8889-000</t>
  </si>
  <si>
    <t>CPGI-WC-TG-TN-JR-400</t>
  </si>
  <si>
    <t>045686049172</t>
  </si>
  <si>
    <t>EB8893-000</t>
  </si>
  <si>
    <t>CPGI-WC-WG-BL-BG-150</t>
  </si>
  <si>
    <t>045686049219</t>
  </si>
  <si>
    <t>EB8894-000</t>
  </si>
  <si>
    <t>CPGI-WC-WG-GR-BG-250</t>
  </si>
  <si>
    <t>045686049226</t>
  </si>
  <si>
    <t>CR0300-000</t>
  </si>
  <si>
    <t>CPGI-WC-WG-RD-BG-100</t>
  </si>
  <si>
    <t>045686049530</t>
  </si>
  <si>
    <t>EB8903-000</t>
  </si>
  <si>
    <t>CPGI-WC-WNG-RD-BG-100</t>
  </si>
  <si>
    <t>045686049318</t>
  </si>
  <si>
    <t>EB8904-000</t>
  </si>
  <si>
    <t>CPGI-WC-WNG-RD-JR-300</t>
  </si>
  <si>
    <t>045686049325</t>
  </si>
  <si>
    <t>EB8906-000</t>
  </si>
  <si>
    <t>CPGI-WC-WNG-YW/RD-BG-150</t>
  </si>
  <si>
    <t>045686049349</t>
  </si>
  <si>
    <t>EB8908-000</t>
  </si>
  <si>
    <t>CPGI-WC-WNG-YW-BG-100</t>
  </si>
  <si>
    <t>045686049363</t>
  </si>
  <si>
    <t>EB8909-000</t>
  </si>
  <si>
    <t>CPGI-WC-WNG-YW-BG-225</t>
  </si>
  <si>
    <t>045686049370</t>
  </si>
  <si>
    <t>688173-000</t>
  </si>
  <si>
    <t>ESC-1/A(B200)</t>
  </si>
  <si>
    <t>271389-000</t>
  </si>
  <si>
    <t>ESC-2/A(B200/10)</t>
  </si>
  <si>
    <t>589377-000</t>
  </si>
  <si>
    <t>ESC-2/A(B500)</t>
  </si>
  <si>
    <t>571563-000</t>
  </si>
  <si>
    <t>ESC-3/A(B200)</t>
  </si>
  <si>
    <t>627073-000</t>
  </si>
  <si>
    <t>ESC-4/A(B200)</t>
  </si>
  <si>
    <t>359483-000</t>
  </si>
  <si>
    <t>ESC-5/A(B200)</t>
  </si>
  <si>
    <t>EE0490-000</t>
  </si>
  <si>
    <t>WCSM-110/30-750/S(B50)</t>
  </si>
  <si>
    <t>045686071029</t>
  </si>
  <si>
    <t>WCSM-130/35-450-S(B20)</t>
  </si>
  <si>
    <t>ASBS-2-3/0</t>
  </si>
  <si>
    <t>ASBS-2-350</t>
  </si>
  <si>
    <t>ASBS-3/0-500</t>
  </si>
  <si>
    <t>ASBS-350-750</t>
  </si>
  <si>
    <t>ASBS-500-750</t>
  </si>
  <si>
    <t>ASBS-600-1000</t>
  </si>
  <si>
    <t>BCAC-4D/13-2(B18)</t>
  </si>
  <si>
    <t>A70988-000</t>
  </si>
  <si>
    <t>BCAC-AR-5D-2(B24)</t>
  </si>
  <si>
    <t>045686071906</t>
  </si>
  <si>
    <t>BCAC-BYPASS-01(B1)</t>
  </si>
  <si>
    <t>E45699-000</t>
  </si>
  <si>
    <t>BCIC-10/13.5/3-L(B3)</t>
  </si>
  <si>
    <t>045686071005</t>
  </si>
  <si>
    <t>CH8392-000</t>
  </si>
  <si>
    <t>BCIC-10D/18(B3)</t>
  </si>
  <si>
    <t>045686071883</t>
  </si>
  <si>
    <t>BCIC-3312-03</t>
  </si>
  <si>
    <t>045686065318</t>
  </si>
  <si>
    <t>BCIC-G-4D/7-20(B3)</t>
  </si>
  <si>
    <t>BCIC-G-DE/CL-01(B3)</t>
  </si>
  <si>
    <t>BCIC-G-HZPOR/3.5D-24(B3)</t>
  </si>
  <si>
    <t>045686065509</t>
  </si>
  <si>
    <t>BCIC-G-HZPOR/3.5D-795-B6</t>
  </si>
  <si>
    <t>045686059324</t>
  </si>
  <si>
    <t>BCIC-G-RECLOSERCOVER(B6)</t>
  </si>
  <si>
    <t>BCIC-G-SG-101-H2(B3)</t>
  </si>
  <si>
    <t>D92393-000</t>
  </si>
  <si>
    <t>BCIC-LATCH(B250)</t>
  </si>
  <si>
    <t>045686035748</t>
  </si>
  <si>
    <t>BCIC-RECLOSER-100(B6)</t>
  </si>
  <si>
    <t>CJ-500-3W3W-CU-FT-B1</t>
  </si>
  <si>
    <t>CJ-500-5W5W-CU-FT-B1</t>
  </si>
  <si>
    <t>CJ-500-7W7W-CU-FT-B1</t>
  </si>
  <si>
    <t>CU6629-000</t>
  </si>
  <si>
    <t>CSBS-2-250</t>
  </si>
  <si>
    <t>045686071036</t>
  </si>
  <si>
    <t>ED2175-000</t>
  </si>
  <si>
    <t>CSBS-300-750</t>
  </si>
  <si>
    <t>045686071494</t>
  </si>
  <si>
    <t>CH7594-000</t>
  </si>
  <si>
    <t>CSJA-2823</t>
  </si>
  <si>
    <t>045686070091</t>
  </si>
  <si>
    <t>CX4737-000</t>
  </si>
  <si>
    <t>CSJA-3-1521</t>
  </si>
  <si>
    <t>045686071043</t>
  </si>
  <si>
    <t>CX4740-000</t>
  </si>
  <si>
    <t>CSJA-3-1521M1</t>
  </si>
  <si>
    <t>045686071111</t>
  </si>
  <si>
    <t>CX4744-000</t>
  </si>
  <si>
    <t>CSJA-3-1521M4</t>
  </si>
  <si>
    <t>045686071197</t>
  </si>
  <si>
    <t>CX4745-000</t>
  </si>
  <si>
    <t>CSJA-3-1521M5</t>
  </si>
  <si>
    <t>045686071203</t>
  </si>
  <si>
    <t>CX4738-000</t>
  </si>
  <si>
    <t>CSJA-3-1522</t>
  </si>
  <si>
    <t>045686071050</t>
  </si>
  <si>
    <t>CX4741-000</t>
  </si>
  <si>
    <t>CSJA-3-1522M1</t>
  </si>
  <si>
    <t>045686071128</t>
  </si>
  <si>
    <t>CX4742-000</t>
  </si>
  <si>
    <t>CSJA-3-1522M2</t>
  </si>
  <si>
    <t>045686071135</t>
  </si>
  <si>
    <t>CX4746-000</t>
  </si>
  <si>
    <t>CSJA-3-1522M6</t>
  </si>
  <si>
    <t>045686071210</t>
  </si>
  <si>
    <t>CX4747-000</t>
  </si>
  <si>
    <t>CSJA-3-1522M7</t>
  </si>
  <si>
    <t>045686071227</t>
  </si>
  <si>
    <t>CX4739-000</t>
  </si>
  <si>
    <t>CSJA-3-1523</t>
  </si>
  <si>
    <t>045686071067</t>
  </si>
  <si>
    <t>CX4743-000</t>
  </si>
  <si>
    <t>045686071142</t>
  </si>
  <si>
    <t>CX4748-000</t>
  </si>
  <si>
    <t>CSJA-3-1523M8</t>
  </si>
  <si>
    <t>045686071234</t>
  </si>
  <si>
    <t>EE4568-000</t>
  </si>
  <si>
    <t>CSJA-3-2822</t>
  </si>
  <si>
    <t>045686071074</t>
  </si>
  <si>
    <t>EE4570-000</t>
  </si>
  <si>
    <t>CSJA-3-2822M1</t>
  </si>
  <si>
    <t>045686071159</t>
  </si>
  <si>
    <t>EE4572-000</t>
  </si>
  <si>
    <t>CSJA-3-2822M5</t>
  </si>
  <si>
    <t>045686071241</t>
  </si>
  <si>
    <t>EE4573-000</t>
  </si>
  <si>
    <t>CSJA-3-2822M6</t>
  </si>
  <si>
    <t>045686071258</t>
  </si>
  <si>
    <t>EE4569-000</t>
  </si>
  <si>
    <t>CSJA-3-2823</t>
  </si>
  <si>
    <t>045686071081</t>
  </si>
  <si>
    <t>EE4571-000</t>
  </si>
  <si>
    <t>CSJA-3-2823M2</t>
  </si>
  <si>
    <t>045686071166</t>
  </si>
  <si>
    <t>EE4574-000</t>
  </si>
  <si>
    <t>CSJA-3-2823M8</t>
  </si>
  <si>
    <t>045686071265</t>
  </si>
  <si>
    <t>EE4575-000</t>
  </si>
  <si>
    <t>CSJA-3-3523</t>
  </si>
  <si>
    <t>045686071098</t>
  </si>
  <si>
    <t>EE4577-000</t>
  </si>
  <si>
    <t>CSJA-3-3523M1</t>
  </si>
  <si>
    <t>045686071173</t>
  </si>
  <si>
    <t>EE4579-000</t>
  </si>
  <si>
    <t>CSJA-3-3523M5</t>
  </si>
  <si>
    <t>045686071272</t>
  </si>
  <si>
    <t>EE4576-000</t>
  </si>
  <si>
    <t>CSJA-3-3524</t>
  </si>
  <si>
    <t>045686071104</t>
  </si>
  <si>
    <t>EE4578-000</t>
  </si>
  <si>
    <t>CSJA-3-3524M2</t>
  </si>
  <si>
    <t>045686071180</t>
  </si>
  <si>
    <t>EE4580-000</t>
  </si>
  <si>
    <t>CSJA-3-3524M8</t>
  </si>
  <si>
    <t>045686071289</t>
  </si>
  <si>
    <t>CSJA-3523M5</t>
  </si>
  <si>
    <t>045686058396</t>
  </si>
  <si>
    <t>045686056644</t>
  </si>
  <si>
    <t>CSJA-JCN/EG-3515</t>
  </si>
  <si>
    <t>045686056651</t>
  </si>
  <si>
    <t>EA7553-000</t>
  </si>
  <si>
    <t>CSJG-3515M10</t>
  </si>
  <si>
    <t>CU2879-000</t>
  </si>
  <si>
    <t>EHVT-690-SG</t>
  </si>
  <si>
    <t>045686071333</t>
  </si>
  <si>
    <t>CP8592-000</t>
  </si>
  <si>
    <t>ELB-15/28-600-AL-IPCAPST</t>
  </si>
  <si>
    <t>ED0106-000</t>
  </si>
  <si>
    <t>ELB-15/28-600-CA-A</t>
  </si>
  <si>
    <t>ED0107-000</t>
  </si>
  <si>
    <t>ED0108-000</t>
  </si>
  <si>
    <t>ED0109-000</t>
  </si>
  <si>
    <t>ED0110-000</t>
  </si>
  <si>
    <t>ED0111-000</t>
  </si>
  <si>
    <t>ED0112-000</t>
  </si>
  <si>
    <t>ELB-15/28-600-CA-G</t>
  </si>
  <si>
    <t>ED0113-000</t>
  </si>
  <si>
    <t>ED0114-000</t>
  </si>
  <si>
    <t>ELB-15/28-600-CA-J</t>
  </si>
  <si>
    <t>ED0115-000</t>
  </si>
  <si>
    <t>ELB-15/28-600-CA-K</t>
  </si>
  <si>
    <t>ED0116-000</t>
  </si>
  <si>
    <t>ELB-15/28-600-CA-L</t>
  </si>
  <si>
    <t>045686058235</t>
  </si>
  <si>
    <t>045686058051</t>
  </si>
  <si>
    <t>045686058075</t>
  </si>
  <si>
    <t>ED0117-000</t>
  </si>
  <si>
    <t>ELB-15/28-600-T-BODY</t>
  </si>
  <si>
    <t>ED0118-000</t>
  </si>
  <si>
    <t>ELB-15/28-600-T-BODYTP</t>
  </si>
  <si>
    <t>ED8981-000</t>
  </si>
  <si>
    <t>ELB-15/28-610A1-CES1</t>
  </si>
  <si>
    <t>045686071937</t>
  </si>
  <si>
    <t>ED8982-000</t>
  </si>
  <si>
    <t>ELB-15/28-610A2-CES1</t>
  </si>
  <si>
    <t>045686071944</t>
  </si>
  <si>
    <t>ED8983-000</t>
  </si>
  <si>
    <t>ELB-15/28-610A-A1-CES1</t>
  </si>
  <si>
    <t>045686071951</t>
  </si>
  <si>
    <t>ED8986-000</t>
  </si>
  <si>
    <t>ELB-15/28-610B10-CES1</t>
  </si>
  <si>
    <t>045686071982</t>
  </si>
  <si>
    <t>ED8985-000</t>
  </si>
  <si>
    <t>ELB-15/28-610B1-CES1</t>
  </si>
  <si>
    <t>045686071975</t>
  </si>
  <si>
    <t>ED8988-000</t>
  </si>
  <si>
    <t>ELB-15/28-610B20-CES1</t>
  </si>
  <si>
    <t>045686072002</t>
  </si>
  <si>
    <t>ED8987-000</t>
  </si>
  <si>
    <t>ELB-15/28-610B2-CES1</t>
  </si>
  <si>
    <t>045686071999</t>
  </si>
  <si>
    <t>ED8989-000</t>
  </si>
  <si>
    <t>ELB-15/28-610B-A1-CES1</t>
  </si>
  <si>
    <t>045686072019</t>
  </si>
  <si>
    <t>ED8992-000</t>
  </si>
  <si>
    <t>ELB-15/28-610C10-CES1</t>
  </si>
  <si>
    <t>045686072040</t>
  </si>
  <si>
    <t>ED8991-000</t>
  </si>
  <si>
    <t>ELB-15/28-610C1-CES1</t>
  </si>
  <si>
    <t>045686072033</t>
  </si>
  <si>
    <t>ED8994-000</t>
  </si>
  <si>
    <t>ELB-15/28-610C20-CES1</t>
  </si>
  <si>
    <t>045686072064</t>
  </si>
  <si>
    <t>ED8993-000</t>
  </si>
  <si>
    <t>ELB-15/28-610C2-CES1</t>
  </si>
  <si>
    <t>045686072057</t>
  </si>
  <si>
    <t>ED8995-000</t>
  </si>
  <si>
    <t>ELB-15/28-610C30-CES2</t>
  </si>
  <si>
    <t>045686072071</t>
  </si>
  <si>
    <t>ED8996-000</t>
  </si>
  <si>
    <t>ELB-15/28-610C40-CES2</t>
  </si>
  <si>
    <t>045686072088</t>
  </si>
  <si>
    <t>ED8997-000</t>
  </si>
  <si>
    <t>ED9158-000</t>
  </si>
  <si>
    <t>ELB-35-610H-A1-CES2</t>
  </si>
  <si>
    <t>045686073702</t>
  </si>
  <si>
    <t>ED9160-000</t>
  </si>
  <si>
    <t>ELB-35-610J10-CES1</t>
  </si>
  <si>
    <t>045686073726</t>
  </si>
  <si>
    <t>ED9161-000</t>
  </si>
  <si>
    <t>ELB-35-610J30-CES2</t>
  </si>
  <si>
    <t>045686073733</t>
  </si>
  <si>
    <t>ED9162-000</t>
  </si>
  <si>
    <t>ELB-35-610J40-CES2</t>
  </si>
  <si>
    <t>045686073740</t>
  </si>
  <si>
    <t>ED9163-000</t>
  </si>
  <si>
    <t>ELB-35-610J-A1-CES2</t>
  </si>
  <si>
    <t>045686073757</t>
  </si>
  <si>
    <t>ED9166-000</t>
  </si>
  <si>
    <t>ELB-35-610K10-CES1</t>
  </si>
  <si>
    <t>045686073788</t>
  </si>
  <si>
    <t>ED9167-000</t>
  </si>
  <si>
    <t>ELB-35-610K20-CES2</t>
  </si>
  <si>
    <t>045686073795</t>
  </si>
  <si>
    <t>ED9168-000</t>
  </si>
  <si>
    <t>ELB-35-610K40-CES2</t>
  </si>
  <si>
    <t>045686073801</t>
  </si>
  <si>
    <t>ED9169-000</t>
  </si>
  <si>
    <t>ELB-35-610K-A1-CES2</t>
  </si>
  <si>
    <t>045686073818</t>
  </si>
  <si>
    <t>ED9172-000</t>
  </si>
  <si>
    <t>ELB-35-610L250-CES2</t>
  </si>
  <si>
    <t>045686073849</t>
  </si>
  <si>
    <t>ED9173-000</t>
  </si>
  <si>
    <t>ELB-35-610L30-CES2</t>
  </si>
  <si>
    <t>045686073856</t>
  </si>
  <si>
    <t>ED9174-000</t>
  </si>
  <si>
    <t>ELB-35-610L-A1-CES2</t>
  </si>
  <si>
    <t>045686073863</t>
  </si>
  <si>
    <t>ED9176-000</t>
  </si>
  <si>
    <t>ELB-35-610M250-CES2</t>
  </si>
  <si>
    <t>045686073887</t>
  </si>
  <si>
    <t>ED9177-000</t>
  </si>
  <si>
    <t>ELB-35-610M300-CES2</t>
  </si>
  <si>
    <t>045686073894</t>
  </si>
  <si>
    <t>ED9178-000</t>
  </si>
  <si>
    <t>ELB-35-610M350-CES2</t>
  </si>
  <si>
    <t>045686073900</t>
  </si>
  <si>
    <t>CR1394-000</t>
  </si>
  <si>
    <t>ELB-35-610M40</t>
  </si>
  <si>
    <t>045686071920</t>
  </si>
  <si>
    <t>ED9179-000</t>
  </si>
  <si>
    <t>ELB-35-610M40-CES2</t>
  </si>
  <si>
    <t>045686073917</t>
  </si>
  <si>
    <t>ED9180-000</t>
  </si>
  <si>
    <t>ELB-35-610M-A1-CES2</t>
  </si>
  <si>
    <t>045686073924</t>
  </si>
  <si>
    <t>ED9181-000</t>
  </si>
  <si>
    <t>ELB-35-610M-A2-CES2</t>
  </si>
  <si>
    <t>045686073931</t>
  </si>
  <si>
    <t>ED9183-000</t>
  </si>
  <si>
    <t>ELB-35-610N350-CES2</t>
  </si>
  <si>
    <t>045686073955</t>
  </si>
  <si>
    <t>ED9184-000</t>
  </si>
  <si>
    <t>ELB-35-610N450-CES2</t>
  </si>
  <si>
    <t>045686073962</t>
  </si>
  <si>
    <t>ED9185-000</t>
  </si>
  <si>
    <t>ELB-35-610N500-CES2</t>
  </si>
  <si>
    <t>045686073979</t>
  </si>
  <si>
    <t>ED9186-000</t>
  </si>
  <si>
    <t>ELB-35-610N-A2-CES2</t>
  </si>
  <si>
    <t>045686073986</t>
  </si>
  <si>
    <t>ED9189-000</t>
  </si>
  <si>
    <t>ELB-35-610P500-CES2</t>
  </si>
  <si>
    <t>045686074013</t>
  </si>
  <si>
    <t>ED9190-000</t>
  </si>
  <si>
    <t>ELB-35-610P-A2-CES2</t>
  </si>
  <si>
    <t>045686074020</t>
  </si>
  <si>
    <t>ED9193-000</t>
  </si>
  <si>
    <t>ELB-35-610Q600-CES3</t>
  </si>
  <si>
    <t>045686074051</t>
  </si>
  <si>
    <t>ED9194-000</t>
  </si>
  <si>
    <t>ELB-35-610Q-A2-CES3</t>
  </si>
  <si>
    <t>045686074068</t>
  </si>
  <si>
    <t>ELB-35-610R450</t>
  </si>
  <si>
    <t>045686066322</t>
  </si>
  <si>
    <t>ED9196-000</t>
  </si>
  <si>
    <t>ELB-35-610R500-CES2</t>
  </si>
  <si>
    <t>045686074082</t>
  </si>
  <si>
    <t>ED9197-000</t>
  </si>
  <si>
    <t>ELB-35-610R600-CES3</t>
  </si>
  <si>
    <t>045686074099</t>
  </si>
  <si>
    <t>ED9198-000</t>
  </si>
  <si>
    <t>ELB-35-610R650-CES3</t>
  </si>
  <si>
    <t>045686074105</t>
  </si>
  <si>
    <t>ED9199-000</t>
  </si>
  <si>
    <t>ELB-35-610R750-CES3</t>
  </si>
  <si>
    <t>045686074112</t>
  </si>
  <si>
    <t>ED9200-000</t>
  </si>
  <si>
    <t>ELB-35-610R-A2-CES3</t>
  </si>
  <si>
    <t>045686074129</t>
  </si>
  <si>
    <t>ED9201-000</t>
  </si>
  <si>
    <t>ELB-35-610R-A3-CES3</t>
  </si>
  <si>
    <t>045686074136</t>
  </si>
  <si>
    <t>ED9204-000</t>
  </si>
  <si>
    <t>ELB-35-610S750-CES3</t>
  </si>
  <si>
    <t>045686074167</t>
  </si>
  <si>
    <t>ED9205-000</t>
  </si>
  <si>
    <t>ELB-35-610S800-CES3</t>
  </si>
  <si>
    <t>045686074174</t>
  </si>
  <si>
    <t>ED9206-000</t>
  </si>
  <si>
    <t>ELB-35-610S900-CES3</t>
  </si>
  <si>
    <t>045686074181</t>
  </si>
  <si>
    <t>ED9207-000</t>
  </si>
  <si>
    <t>ELB-35-610S-A2-CES3</t>
  </si>
  <si>
    <t>045686074198</t>
  </si>
  <si>
    <t>ED9208-000</t>
  </si>
  <si>
    <t>ELB-35-610S-A3-CES3</t>
  </si>
  <si>
    <t>045686074204</t>
  </si>
  <si>
    <t>ED9209-000</t>
  </si>
  <si>
    <t>ELB-35-610S-A4-CES3</t>
  </si>
  <si>
    <t>045686074211</t>
  </si>
  <si>
    <t>ED9213-000</t>
  </si>
  <si>
    <t>ELB-35-610T1000-CES3</t>
  </si>
  <si>
    <t>045686074259</t>
  </si>
  <si>
    <t>ED9214-000</t>
  </si>
  <si>
    <t>ELB-35-610T750-CES3</t>
  </si>
  <si>
    <t>045686074266</t>
  </si>
  <si>
    <t>ED9215-000</t>
  </si>
  <si>
    <t>ELB-35-610T900-CES3</t>
  </si>
  <si>
    <t>045686074273</t>
  </si>
  <si>
    <t>ED9216-000</t>
  </si>
  <si>
    <t>ELB-35-610T-A3-CES3</t>
  </si>
  <si>
    <t>045686074280</t>
  </si>
  <si>
    <t>ED9217-000</t>
  </si>
  <si>
    <t>ELB-35-610T-A4-CES3</t>
  </si>
  <si>
    <t>045686074297</t>
  </si>
  <si>
    <t>ED9220-000</t>
  </si>
  <si>
    <t>ELB-35-610U1250-CES3</t>
  </si>
  <si>
    <t>045686074327</t>
  </si>
  <si>
    <t>ED9221-000</t>
  </si>
  <si>
    <t>ELB-35-610U-A4-CES3</t>
  </si>
  <si>
    <t>045686074334</t>
  </si>
  <si>
    <t>ED9223-000</t>
  </si>
  <si>
    <t>ELB-35-610V1000-CES3</t>
  </si>
  <si>
    <t>045686074358</t>
  </si>
  <si>
    <t>ED9224-000</t>
  </si>
  <si>
    <t>ELB-35-610V1250-CES3</t>
  </si>
  <si>
    <t>045686074365</t>
  </si>
  <si>
    <t>ED9225-000</t>
  </si>
  <si>
    <t>ELB-35-610V-A4-CES3</t>
  </si>
  <si>
    <t>045686074372</t>
  </si>
  <si>
    <t>CP9714-000</t>
  </si>
  <si>
    <t>ELB-35-900-CU-IPCAPST</t>
  </si>
  <si>
    <t>ED0120-000</t>
  </si>
  <si>
    <t>ELB-35-900F-C1</t>
  </si>
  <si>
    <t>ED9076-000</t>
  </si>
  <si>
    <t>ELB-35-900F-C1-CES1</t>
  </si>
  <si>
    <t>045686072880</t>
  </si>
  <si>
    <t>ELB-35-900G-C1</t>
  </si>
  <si>
    <t>ED9080-000</t>
  </si>
  <si>
    <t>ELB-35-900G-C1-CES1</t>
  </si>
  <si>
    <t>045686072927</t>
  </si>
  <si>
    <t>ELB-35-900H-C1</t>
  </si>
  <si>
    <t>ED9083-000</t>
  </si>
  <si>
    <t>ELB-35-900H-C1-CES2</t>
  </si>
  <si>
    <t>045686072958</t>
  </si>
  <si>
    <t>045686057900</t>
  </si>
  <si>
    <t>045686058020</t>
  </si>
  <si>
    <t>045686058037</t>
  </si>
  <si>
    <t>ELB-35-900J-C1</t>
  </si>
  <si>
    <t>ED9088-000</t>
  </si>
  <si>
    <t>ELB-35-900J-C1-CES2</t>
  </si>
  <si>
    <t>045686073009</t>
  </si>
  <si>
    <t>ELB-35-900J-C2</t>
  </si>
  <si>
    <t>ED9089-000</t>
  </si>
  <si>
    <t>ELB-35-900J-C2-CES2</t>
  </si>
  <si>
    <t>045686073016</t>
  </si>
  <si>
    <t>ELB-35-900K-C1</t>
  </si>
  <si>
    <t>ED9094-000</t>
  </si>
  <si>
    <t>ELB-35-900K-C1-CES2</t>
  </si>
  <si>
    <t>045686073061</t>
  </si>
  <si>
    <t>ELB-35-900K-C2</t>
  </si>
  <si>
    <t>ED9095-000</t>
  </si>
  <si>
    <t>ELB-35-900K-C2-CES2</t>
  </si>
  <si>
    <t>045686073078</t>
  </si>
  <si>
    <t>ELB-35-900L-C2</t>
  </si>
  <si>
    <t>ED9099-000</t>
  </si>
  <si>
    <t>ELB-35-900L-C2-CES2</t>
  </si>
  <si>
    <t>045686073115</t>
  </si>
  <si>
    <t>ELB-35-900M-C2</t>
  </si>
  <si>
    <t>ED9106-000</t>
  </si>
  <si>
    <t>ELB-35-900M-C2-CES2</t>
  </si>
  <si>
    <t>045686073184</t>
  </si>
  <si>
    <t>ELB-35-900N-C2</t>
  </si>
  <si>
    <t>ED9111-000</t>
  </si>
  <si>
    <t>ELB-35-900N-C2-CES2</t>
  </si>
  <si>
    <t>045686073238</t>
  </si>
  <si>
    <t>ELB-35-900N-C3</t>
  </si>
  <si>
    <t>ED9112-000</t>
  </si>
  <si>
    <t>ELB-35-900N-C3-CES2</t>
  </si>
  <si>
    <t>045686073245</t>
  </si>
  <si>
    <t>ELB-35-900P-C2</t>
  </si>
  <si>
    <t>ED9115-000</t>
  </si>
  <si>
    <t>ELB-35-900P-C2-CES2</t>
  </si>
  <si>
    <t>045686073276</t>
  </si>
  <si>
    <t>ELB-35-900P-C3</t>
  </si>
  <si>
    <t>ED9116-000</t>
  </si>
  <si>
    <t>ELB-35-900P-C3-CES2</t>
  </si>
  <si>
    <t>045686073283</t>
  </si>
  <si>
    <t>ELB-35-900Q-C3</t>
  </si>
  <si>
    <t>ED9119-000</t>
  </si>
  <si>
    <t>ELB-35-900Q-C3-CES3</t>
  </si>
  <si>
    <t>045686073313</t>
  </si>
  <si>
    <t>ELB-35-900R-C3</t>
  </si>
  <si>
    <t>ED9126-000</t>
  </si>
  <si>
    <t>ELB-35-900R-C3-CES3</t>
  </si>
  <si>
    <t>045686073382</t>
  </si>
  <si>
    <t>ELB-35-900R-C4</t>
  </si>
  <si>
    <t>ED9127-000</t>
  </si>
  <si>
    <t>ELB-35-900R-C4-CES3</t>
  </si>
  <si>
    <t>045686073399</t>
  </si>
  <si>
    <t>ELB-35-900S-C3</t>
  </si>
  <si>
    <t>ED9134-000</t>
  </si>
  <si>
    <t>ELB-35-900S-C3-CES3</t>
  </si>
  <si>
    <t>045686073467</t>
  </si>
  <si>
    <t>ELB-35-900S-C4</t>
  </si>
  <si>
    <t>ED9135-000</t>
  </si>
  <si>
    <t>ELB-35-900S-C4-CES3</t>
  </si>
  <si>
    <t>045686073474</t>
  </si>
  <si>
    <t>ELB-35-900S-C5</t>
  </si>
  <si>
    <t>ED9136-000</t>
  </si>
  <si>
    <t>ELB-35-900S-C5-CES3</t>
  </si>
  <si>
    <t>045686073481</t>
  </si>
  <si>
    <t>ELB-35-900T-C4</t>
  </si>
  <si>
    <t>ED9142-000</t>
  </si>
  <si>
    <t>ELB-35-900T-C4-CES3</t>
  </si>
  <si>
    <t>045686073542</t>
  </si>
  <si>
    <t>ELB-35-900T-C5</t>
  </si>
  <si>
    <t>ED9143-000</t>
  </si>
  <si>
    <t>ELB-35-900T-C5-CES3</t>
  </si>
  <si>
    <t>045686073559</t>
  </si>
  <si>
    <t>ELB-35-900U-C5</t>
  </si>
  <si>
    <t>ED9146-000</t>
  </si>
  <si>
    <t>ELB-35-900U-C5-CES3</t>
  </si>
  <si>
    <t>045686073580</t>
  </si>
  <si>
    <t>ELB-35-900V-C5</t>
  </si>
  <si>
    <t>ED9150-000</t>
  </si>
  <si>
    <t>ELB-35-900V-C5-CES3</t>
  </si>
  <si>
    <t>045686073627</t>
  </si>
  <si>
    <t>ELB-35-910F-C1</t>
  </si>
  <si>
    <t>ED9152-000</t>
  </si>
  <si>
    <t>ELB-35-910F-C1-CES1</t>
  </si>
  <si>
    <t>045686073641</t>
  </si>
  <si>
    <t>ELB-35-910G-C1</t>
  </si>
  <si>
    <t>ED9156-000</t>
  </si>
  <si>
    <t>ELB-35-910G-C1-CES1</t>
  </si>
  <si>
    <t>045686073689</t>
  </si>
  <si>
    <t>ELB-35-910H-C1</t>
  </si>
  <si>
    <t>ED9159-000</t>
  </si>
  <si>
    <t>ELB-35-910H-C1-CES2</t>
  </si>
  <si>
    <t>045686073719</t>
  </si>
  <si>
    <t>ELB-35-910J-C1</t>
  </si>
  <si>
    <t>ED9164-000</t>
  </si>
  <si>
    <t>ELB-35-910J-C1-CES2</t>
  </si>
  <si>
    <t>045686073764</t>
  </si>
  <si>
    <t>ELB-35-910J-C2</t>
  </si>
  <si>
    <t>ED9165-000</t>
  </si>
  <si>
    <t>ELB-35-910J-C2-CES2</t>
  </si>
  <si>
    <t>045686073771</t>
  </si>
  <si>
    <t>ELB-35-910K-C1</t>
  </si>
  <si>
    <t>ED9170-000</t>
  </si>
  <si>
    <t>ELB-35-910K-C1-CES2</t>
  </si>
  <si>
    <t>045686073825</t>
  </si>
  <si>
    <t>ELB-35-910K-C2</t>
  </si>
  <si>
    <t>ED9171-000</t>
  </si>
  <si>
    <t>ELB-35-910K-C2-CES2</t>
  </si>
  <si>
    <t>045686073832</t>
  </si>
  <si>
    <t>ELB-35-910L-C2</t>
  </si>
  <si>
    <t>ED9175-000</t>
  </si>
  <si>
    <t>ELB-35-910L-C2-CES2</t>
  </si>
  <si>
    <t>045686073870</t>
  </si>
  <si>
    <t>ELB-35-910M-C2</t>
  </si>
  <si>
    <t>ED9182-000</t>
  </si>
  <si>
    <t>ELB-35-910M-C2-CES2</t>
  </si>
  <si>
    <t>045686073948</t>
  </si>
  <si>
    <t>ELB-35-910N-C2</t>
  </si>
  <si>
    <t>ED9187-000</t>
  </si>
  <si>
    <t>ELB-35-910N-C2-CES2</t>
  </si>
  <si>
    <t>045686073993</t>
  </si>
  <si>
    <t>ELB-35-910N-C3</t>
  </si>
  <si>
    <t>ED9188-000</t>
  </si>
  <si>
    <t>ELB-35-910N-C3-CES2</t>
  </si>
  <si>
    <t>045686074006</t>
  </si>
  <si>
    <t>ELB-35-910P-C2</t>
  </si>
  <si>
    <t>ED9191-000</t>
  </si>
  <si>
    <t>ELB-35-910P-C2-CES2</t>
  </si>
  <si>
    <t>045686074037</t>
  </si>
  <si>
    <t>ELB-35-910P-C3</t>
  </si>
  <si>
    <t>ED9192-000</t>
  </si>
  <si>
    <t>ELB-35-910P-C3-CES2</t>
  </si>
  <si>
    <t>045686074044</t>
  </si>
  <si>
    <t>ELB-35-910Q-C3</t>
  </si>
  <si>
    <t>ED9195-000</t>
  </si>
  <si>
    <t>ELB-35-910Q-C3-CES3</t>
  </si>
  <si>
    <t>045686074075</t>
  </si>
  <si>
    <t>ELB-35-910R-C3</t>
  </si>
  <si>
    <t>ED9202-000</t>
  </si>
  <si>
    <t>ELB-35-910R-C3-CES3</t>
  </si>
  <si>
    <t>045686074143</t>
  </si>
  <si>
    <t>ELB-35-910R-C4</t>
  </si>
  <si>
    <t>ED9203-000</t>
  </si>
  <si>
    <t>ELB-35-910R-C4-CES3</t>
  </si>
  <si>
    <t>045686074150</t>
  </si>
  <si>
    <t>ELB-35-910S-C3</t>
  </si>
  <si>
    <t>ED9210-000</t>
  </si>
  <si>
    <t>ELB-35-910S-C3-CES3</t>
  </si>
  <si>
    <t>045686074228</t>
  </si>
  <si>
    <t>ELB-35-910S-C4</t>
  </si>
  <si>
    <t>ED9211-000</t>
  </si>
  <si>
    <t>ELB-35-910S-C4-CES3</t>
  </si>
  <si>
    <t>045686074235</t>
  </si>
  <si>
    <t>ELB-35-910S-C5</t>
  </si>
  <si>
    <t>ED9212-000</t>
  </si>
  <si>
    <t>ELB-35-910S-C5-CES3</t>
  </si>
  <si>
    <t>045686074242</t>
  </si>
  <si>
    <t>ELB-35-910T-C4</t>
  </si>
  <si>
    <t>ED9218-000</t>
  </si>
  <si>
    <t>ELB-35-910T-C4-CES3</t>
  </si>
  <si>
    <t>045686074303</t>
  </si>
  <si>
    <t>ELB-35-910T-C5</t>
  </si>
  <si>
    <t>ED9219-000</t>
  </si>
  <si>
    <t>ELB-35-910T-C5-CES3</t>
  </si>
  <si>
    <t>045686074310</t>
  </si>
  <si>
    <t>ELB-35-910U-C5</t>
  </si>
  <si>
    <t>ELB-35-910V-C5</t>
  </si>
  <si>
    <t>ED9226-000</t>
  </si>
  <si>
    <t>ELB-35-910V-C5-CES3</t>
  </si>
  <si>
    <t>045686074389</t>
  </si>
  <si>
    <t>045686065479</t>
  </si>
  <si>
    <t>CZ1578-000</t>
  </si>
  <si>
    <t>CZ7413-000</t>
  </si>
  <si>
    <t>CZ5824-000</t>
  </si>
  <si>
    <t>CR3779-000</t>
  </si>
  <si>
    <t>ELB-600-CONN-A1</t>
  </si>
  <si>
    <t>CR3780-000</t>
  </si>
  <si>
    <t>ELB-600-CONN-A2</t>
  </si>
  <si>
    <t>CR3781-000</t>
  </si>
  <si>
    <t>ELB-600-CONN-A3</t>
  </si>
  <si>
    <t>CR3782-000</t>
  </si>
  <si>
    <t>ELB-600-CONN-A4</t>
  </si>
  <si>
    <t>ED0142-000</t>
  </si>
  <si>
    <t>ED0143-000</t>
  </si>
  <si>
    <t>ED0144-000</t>
  </si>
  <si>
    <t>ELB-600-CONN-AL-1000</t>
  </si>
  <si>
    <t>ED0145-000</t>
  </si>
  <si>
    <t>ELB-600-CONN-AL-1100</t>
  </si>
  <si>
    <t>ED0146-000</t>
  </si>
  <si>
    <t>ELB-600-CONN-AL-1250</t>
  </si>
  <si>
    <t>ED0147-000</t>
  </si>
  <si>
    <t>ED0148-000</t>
  </si>
  <si>
    <t>ELB-600-CONN-AL-2/0</t>
  </si>
  <si>
    <t>ED0149-000</t>
  </si>
  <si>
    <t>ELB-600-CONN-AL-250</t>
  </si>
  <si>
    <t>ED0150-000</t>
  </si>
  <si>
    <t>ED0151-000</t>
  </si>
  <si>
    <t>ED0152-000</t>
  </si>
  <si>
    <t>ELB-600-CONN-AL-350</t>
  </si>
  <si>
    <t>ED0153-000</t>
  </si>
  <si>
    <t>ED0154-000</t>
  </si>
  <si>
    <t>ED0155-000</t>
  </si>
  <si>
    <t>ELB-600-CONN-AL-450</t>
  </si>
  <si>
    <t>ED0156-000</t>
  </si>
  <si>
    <t>ELB-600-CONN-AL-500</t>
  </si>
  <si>
    <t>ED0157-000</t>
  </si>
  <si>
    <t>ELB-600-CONN-AL-550</t>
  </si>
  <si>
    <t>ED0158-000</t>
  </si>
  <si>
    <t>ELB-600-CONN-AL-600</t>
  </si>
  <si>
    <t>ED0159-000</t>
  </si>
  <si>
    <t>ED0160-000</t>
  </si>
  <si>
    <t>ELB-600-CONN-AL-700/750</t>
  </si>
  <si>
    <t>ED0161-000</t>
  </si>
  <si>
    <t>ELB-600-CONN-AL-800</t>
  </si>
  <si>
    <t>ED0162-000</t>
  </si>
  <si>
    <t>ELB-600-CONN-AL-900</t>
  </si>
  <si>
    <t>CR3784-000</t>
  </si>
  <si>
    <t>ELB-600-CONN-C1</t>
  </si>
  <si>
    <t>CR3785-000</t>
  </si>
  <si>
    <t>ELB-600-CONN-C2</t>
  </si>
  <si>
    <t>CR3787-000</t>
  </si>
  <si>
    <t>ELB-600-CONN-C3</t>
  </si>
  <si>
    <t>CR3789-000</t>
  </si>
  <si>
    <t>ELB-600-CONN-C4</t>
  </si>
  <si>
    <t>CR3791-000</t>
  </si>
  <si>
    <t>ELB-600-CONN-C5</t>
  </si>
  <si>
    <t>EPPA-055-0/1-30</t>
  </si>
  <si>
    <t>F33369-000</t>
  </si>
  <si>
    <t>EXRM-1004-US</t>
  </si>
  <si>
    <t>045686048625</t>
  </si>
  <si>
    <t>045686044900</t>
  </si>
  <si>
    <t>HVS-1585D(NS)</t>
  </si>
  <si>
    <t>F15231-000</t>
  </si>
  <si>
    <t>HVSA-3-1521S-TECK</t>
  </si>
  <si>
    <t>E19178-000</t>
  </si>
  <si>
    <t>HVSA-3-1522S-TECK</t>
  </si>
  <si>
    <t>F06083-000</t>
  </si>
  <si>
    <t>HVSA-3-1523S-TECK</t>
  </si>
  <si>
    <t>CU4178-000</t>
  </si>
  <si>
    <t>LHVT-691-SG</t>
  </si>
  <si>
    <t>045686071340</t>
  </si>
  <si>
    <t>CN3824-000</t>
  </si>
  <si>
    <t>LHVT-692-SG</t>
  </si>
  <si>
    <t>045686071357</t>
  </si>
  <si>
    <t>CU4180-000</t>
  </si>
  <si>
    <t>LHVT-693-SG</t>
  </si>
  <si>
    <t>045686071364</t>
  </si>
  <si>
    <t>MVCC-10/.40 (B100)</t>
  </si>
  <si>
    <t>MVCC-19/.75(B50)</t>
  </si>
  <si>
    <t>MVCC-25/1.0(B25)</t>
  </si>
  <si>
    <t>MVCC-G-10/.40(B100)</t>
  </si>
  <si>
    <t>MVCC-G-19/.75(B50)</t>
  </si>
  <si>
    <t>RNF-100-3/4-25-RD</t>
  </si>
  <si>
    <t>RRBB-2440/1220-6.2-BP</t>
  </si>
  <si>
    <t>S1278-1-7620</t>
  </si>
  <si>
    <t>TFT-GRD1</t>
  </si>
  <si>
    <t>LV-MSK-058</t>
  </si>
  <si>
    <t>894214-000</t>
  </si>
  <si>
    <t>LVSA-3-1</t>
  </si>
  <si>
    <t>852653-000</t>
  </si>
  <si>
    <t>LVSA-3-2</t>
  </si>
  <si>
    <t>810387-000</t>
  </si>
  <si>
    <t>LVSA-3-3</t>
  </si>
  <si>
    <t>631391-000</t>
  </si>
  <si>
    <t>LVSA-3-4</t>
  </si>
  <si>
    <t>557781-000</t>
  </si>
  <si>
    <t>MBSM-125/30-1200</t>
  </si>
  <si>
    <t>BCIC-5.5D/16-H0(B3)</t>
  </si>
  <si>
    <t>178733-000</t>
  </si>
  <si>
    <t>BCIC-5.5D/16-H1(B15)</t>
  </si>
  <si>
    <t>502733-000</t>
  </si>
  <si>
    <t>BCIC-5.5D/16-H1(B3)</t>
  </si>
  <si>
    <t>838021-000</t>
  </si>
  <si>
    <t>BCIC-5D/6(B15)</t>
  </si>
  <si>
    <t>581517-000</t>
  </si>
  <si>
    <t>BCIC-5D/6(B3)</t>
  </si>
  <si>
    <t>529405-000</t>
  </si>
  <si>
    <t>BCIC-7.5D/18-3(B3)</t>
  </si>
  <si>
    <t>D96723-000</t>
  </si>
  <si>
    <t>BCIC-7.5D/18-4(B3)</t>
  </si>
  <si>
    <t>967693-000</t>
  </si>
  <si>
    <t>BCIC-7/12/7-H(B3)</t>
  </si>
  <si>
    <t>Part Type</t>
  </si>
  <si>
    <t>901284-000</t>
  </si>
  <si>
    <t>BCAC-5D/8-01(B12)</t>
  </si>
  <si>
    <t>CJ4410-000</t>
  </si>
  <si>
    <t>BCAC-7D/10-01(B6)</t>
  </si>
  <si>
    <t>341659-000</t>
  </si>
  <si>
    <t>RNF-100-2-25-CLR</t>
  </si>
  <si>
    <t>571683-000</t>
  </si>
  <si>
    <t>RNF-100-2-25-WHT</t>
  </si>
  <si>
    <t>497789-000</t>
  </si>
  <si>
    <t>RNF-100-3/32-25-CLR</t>
  </si>
  <si>
    <t>492833-000</t>
  </si>
  <si>
    <t>RNF-100-3/32-25-WHT</t>
  </si>
  <si>
    <t>024859-000</t>
  </si>
  <si>
    <t>RNF-100-3/4-25-BLK</t>
  </si>
  <si>
    <t>107751-000</t>
  </si>
  <si>
    <t>RNF-100-3/4-25-CLR</t>
  </si>
  <si>
    <t>106719-000</t>
  </si>
  <si>
    <t>RNF-100-3/4-25-WHT</t>
  </si>
  <si>
    <t>324685-000</t>
  </si>
  <si>
    <t>RNF-100-3/8-200-BLK</t>
  </si>
  <si>
    <t>932567-000</t>
  </si>
  <si>
    <t>RNF-100-3/8-200-BLU</t>
  </si>
  <si>
    <t>946035-000</t>
  </si>
  <si>
    <t>RNF-100-3/8-200-GRN</t>
  </si>
  <si>
    <t>289083-000</t>
  </si>
  <si>
    <t>RNF-100-3/8-200-RED</t>
  </si>
  <si>
    <t>387409-000</t>
  </si>
  <si>
    <t>RNF-100-3/8-200-WHT</t>
  </si>
  <si>
    <t>112981-000</t>
  </si>
  <si>
    <t>RNF-100-3/8-25-BLK</t>
  </si>
  <si>
    <t>907207-000</t>
  </si>
  <si>
    <t>RNF-100-3/8-25-CLR</t>
  </si>
  <si>
    <t>512491-000</t>
  </si>
  <si>
    <t>RNF-100-3/8-25-WHT</t>
  </si>
  <si>
    <t>601235-000</t>
  </si>
  <si>
    <t>RVS-12(B5)</t>
  </si>
  <si>
    <t>212595-000</t>
  </si>
  <si>
    <t>RVS-13 (B50)</t>
  </si>
  <si>
    <t>135603-000</t>
  </si>
  <si>
    <t>RVS-13(B5)</t>
  </si>
  <si>
    <t>152115-000</t>
  </si>
  <si>
    <t>RVS-13-SK(B6)</t>
  </si>
  <si>
    <t>134283-000</t>
  </si>
  <si>
    <t>GHVT-691-SG</t>
  </si>
  <si>
    <t>140689-000</t>
  </si>
  <si>
    <t>GHVT-692-SG</t>
  </si>
  <si>
    <t>A81732-000</t>
  </si>
  <si>
    <t>GHVT-692-SSG(NS)</t>
  </si>
  <si>
    <t>149597-000</t>
  </si>
  <si>
    <t>GHVT-693-SG</t>
  </si>
  <si>
    <t>C45123-000</t>
  </si>
  <si>
    <t>CL4557-000</t>
  </si>
  <si>
    <t>SL-4/0-120V-NF-FT(B1)</t>
  </si>
  <si>
    <t>CL4546-000</t>
  </si>
  <si>
    <t>SL-500-120V-NF-FT(B1)</t>
  </si>
  <si>
    <t>771269-000</t>
  </si>
  <si>
    <t>TECK-10</t>
  </si>
  <si>
    <t>247517-000</t>
  </si>
  <si>
    <t>TECK-11</t>
  </si>
  <si>
    <t>419621-000</t>
  </si>
  <si>
    <t>TECK-12</t>
  </si>
  <si>
    <t>398193-000</t>
  </si>
  <si>
    <t>TECK-13</t>
  </si>
  <si>
    <t>538129-000</t>
  </si>
  <si>
    <t>629995-000</t>
  </si>
  <si>
    <t>GHFC-3-90(B18)</t>
  </si>
  <si>
    <t>505941-000</t>
  </si>
  <si>
    <t>GHFC-3-90(B6)</t>
  </si>
  <si>
    <t>585704-000</t>
  </si>
  <si>
    <t>GHFC-MW-(B10)</t>
  </si>
  <si>
    <t>C99814-000</t>
  </si>
  <si>
    <t>CPGI-GTAP-2</t>
  </si>
  <si>
    <t>045686000463</t>
  </si>
  <si>
    <t>EB0300-000</t>
  </si>
  <si>
    <t>CPGI-HS-SPLICE-KIT-1/0</t>
  </si>
  <si>
    <t>EB0301-000</t>
  </si>
  <si>
    <t>CA8537-000</t>
  </si>
  <si>
    <t>CPGI-RNF-100-1-48-BLSK</t>
  </si>
  <si>
    <t>ED0497-000</t>
  </si>
  <si>
    <t>ELB-35-600-J4-AL-STD</t>
  </si>
  <si>
    <t>045686058013</t>
  </si>
  <si>
    <t>ED0498-000</t>
  </si>
  <si>
    <t>ELB-35-900-J2-CU-STD</t>
  </si>
  <si>
    <t>ED0499-000</t>
  </si>
  <si>
    <t>ELB-35-900-J3-CU-STD</t>
  </si>
  <si>
    <t>ED0500-000</t>
  </si>
  <si>
    <t>ELB-35-900-J4-CU-STD</t>
  </si>
  <si>
    <t>045686058044</t>
  </si>
  <si>
    <t>ED0501-000</t>
  </si>
  <si>
    <t>CA8553-000</t>
  </si>
  <si>
    <t>CPGI-RNF-100-3/8-48-BLSK</t>
  </si>
  <si>
    <t>045686003143</t>
  </si>
  <si>
    <t>045686003358</t>
  </si>
  <si>
    <t>045686005949</t>
  </si>
  <si>
    <t>045686000333</t>
  </si>
  <si>
    <t>D20907-000</t>
  </si>
  <si>
    <t>CPGI-ALR-AA-305</t>
  </si>
  <si>
    <t>C29886-000</t>
  </si>
  <si>
    <t>CPGI-ALR-LC-120</t>
  </si>
  <si>
    <t>F41169-000</t>
  </si>
  <si>
    <t>CPGI-ALR-LC-208-277</t>
  </si>
  <si>
    <t>E65650-000</t>
  </si>
  <si>
    <t>CPGI-ALR-OLC-5C</t>
  </si>
  <si>
    <t>EB1055-000</t>
  </si>
  <si>
    <t>CPGI-SGRS-4-BULK</t>
  </si>
  <si>
    <t>A86409-000</t>
  </si>
  <si>
    <t>CPGI-ALR-SPT-15</t>
  </si>
  <si>
    <t>F67232-000</t>
  </si>
  <si>
    <t>CPGI-ALR-TL-115</t>
  </si>
  <si>
    <t>EB0282-000</t>
  </si>
  <si>
    <t>CPGI-ASRT-GROMMET</t>
  </si>
  <si>
    <t>EB1019-000</t>
  </si>
  <si>
    <t>CPGI-B-106-1402-BULK</t>
  </si>
  <si>
    <t>295923-000</t>
  </si>
  <si>
    <t>HVT-1593-G</t>
  </si>
  <si>
    <t>926093-000</t>
  </si>
  <si>
    <t>HVT-1593-SG</t>
  </si>
  <si>
    <t>456420-000</t>
  </si>
  <si>
    <t>HVT-1594-G(NS)</t>
  </si>
  <si>
    <t>D87535-000</t>
  </si>
  <si>
    <t>HVT-1594-SG</t>
  </si>
  <si>
    <t>171124-000</t>
  </si>
  <si>
    <t>ED5498-000</t>
  </si>
  <si>
    <t>HVT-ZL-153-G</t>
  </si>
  <si>
    <t>ED5499-000</t>
  </si>
  <si>
    <t>HVT-ZL-154-G</t>
  </si>
  <si>
    <t>ED5501-000</t>
  </si>
  <si>
    <t>HVT-ZL-152-SG</t>
  </si>
  <si>
    <t>ED5508-000</t>
  </si>
  <si>
    <t>HVT-ZL-354-G</t>
  </si>
  <si>
    <t>ED5514-000</t>
  </si>
  <si>
    <t>HVT-ZL-353-SG</t>
  </si>
  <si>
    <t>ED5515-000</t>
  </si>
  <si>
    <t>HVT-ZL-354-SG</t>
  </si>
  <si>
    <t>CP5844-000</t>
  </si>
  <si>
    <t>A82788-000</t>
  </si>
  <si>
    <t>RVS-14-SK(B100)</t>
  </si>
  <si>
    <t>045686059768</t>
  </si>
  <si>
    <t>045686059775</t>
  </si>
  <si>
    <t>ED8956-000</t>
  </si>
  <si>
    <t>ED8957-000</t>
  </si>
  <si>
    <t>ED8958-000</t>
  </si>
  <si>
    <t>ED8959-000</t>
  </si>
  <si>
    <t>ED8960-000</t>
  </si>
  <si>
    <t>ED8961-000</t>
  </si>
  <si>
    <t>ED8962-000</t>
  </si>
  <si>
    <t>ED8963-000</t>
  </si>
  <si>
    <t>ED8964-000</t>
  </si>
  <si>
    <t>ED8965-000</t>
  </si>
  <si>
    <t>CU2460-000</t>
  </si>
  <si>
    <t>ED8967-000</t>
  </si>
  <si>
    <t>ED8968-000</t>
  </si>
  <si>
    <t>ED8969-000</t>
  </si>
  <si>
    <t>ED8970-000</t>
  </si>
  <si>
    <t>ED8971-000</t>
  </si>
  <si>
    <t>ED8972-000</t>
  </si>
  <si>
    <t>ED8973-000</t>
  </si>
  <si>
    <t>ED8974-000</t>
  </si>
  <si>
    <t>ED8975-000</t>
  </si>
  <si>
    <t>ED8976-000</t>
  </si>
  <si>
    <t>ED8977-000</t>
  </si>
  <si>
    <t>ED8978-000</t>
  </si>
  <si>
    <t>ED8979-000</t>
  </si>
  <si>
    <t>ED8980-000</t>
  </si>
  <si>
    <t>CSJA-3-1521-ARMR</t>
  </si>
  <si>
    <t>CB2030-000</t>
  </si>
  <si>
    <t>CB2034-000</t>
  </si>
  <si>
    <t>CJ8851-000</t>
  </si>
  <si>
    <t>CJ8852-000</t>
  </si>
  <si>
    <t>CJ8854-000</t>
  </si>
  <si>
    <t>C53881-000</t>
  </si>
  <si>
    <t>3E7425-000</t>
  </si>
  <si>
    <t>A80105-000</t>
  </si>
  <si>
    <t>045686056620</t>
  </si>
  <si>
    <t>F33238-000</t>
  </si>
  <si>
    <t>TFT-GRD3</t>
  </si>
  <si>
    <t>045686056637</t>
  </si>
  <si>
    <t>CP1094-000</t>
  </si>
  <si>
    <t>CSJA-821</t>
  </si>
  <si>
    <t>CM7935-000</t>
  </si>
  <si>
    <t>EA7549-000</t>
  </si>
  <si>
    <t>CSJA-JCN/EG-3515M10</t>
  </si>
  <si>
    <t>045686056668</t>
  </si>
  <si>
    <t>CPGI-53440-9-5</t>
  </si>
  <si>
    <t>BCIC-G-DPIN-795-01(B6)</t>
  </si>
  <si>
    <t>045686031696</t>
  </si>
  <si>
    <t>CF6899-000</t>
  </si>
  <si>
    <t>045686031757</t>
  </si>
  <si>
    <t>UTLX-1-1443402-6</t>
  </si>
  <si>
    <t>045686033799</t>
  </si>
  <si>
    <t>C12634-000</t>
  </si>
  <si>
    <t>UTLX-1-1443403-0</t>
  </si>
  <si>
    <t>045686033904</t>
  </si>
  <si>
    <t>C41705-000</t>
  </si>
  <si>
    <t>UTLX-1-1443403-2</t>
  </si>
  <si>
    <t>045686045532</t>
  </si>
  <si>
    <t>045686065332</t>
  </si>
  <si>
    <t>CS9432-000</t>
  </si>
  <si>
    <t>TFT-P-80R</t>
  </si>
  <si>
    <t>CS9519-000</t>
  </si>
  <si>
    <t>ELB-600-CES-1(B3)</t>
  </si>
  <si>
    <t>CS9520-000</t>
  </si>
  <si>
    <t>ELB-600-CES-2(B3)</t>
  </si>
  <si>
    <t>CS9521-000</t>
  </si>
  <si>
    <t>ELB-600-CES-3(B3)</t>
  </si>
  <si>
    <t>045686065462</t>
  </si>
  <si>
    <t>A09698-000</t>
  </si>
  <si>
    <t>CPGI-ALR-PL-120S</t>
  </si>
  <si>
    <t>C19656-000</t>
  </si>
  <si>
    <t>CPGI-ALR-PT-15</t>
  </si>
  <si>
    <t>045686038763</t>
  </si>
  <si>
    <t>045686038787</t>
  </si>
  <si>
    <t>045686039012</t>
  </si>
  <si>
    <t>045686039029</t>
  </si>
  <si>
    <t>045686039036</t>
  </si>
  <si>
    <t>045686039043</t>
  </si>
  <si>
    <t>045686039050</t>
  </si>
  <si>
    <t>045686039067</t>
  </si>
  <si>
    <t>045686039074</t>
  </si>
  <si>
    <t>045686039081</t>
  </si>
  <si>
    <t>045686039104</t>
  </si>
  <si>
    <t>045686039111</t>
  </si>
  <si>
    <t>045686039128</t>
  </si>
  <si>
    <t>045686039135</t>
  </si>
  <si>
    <t>EB0299-000</t>
  </si>
  <si>
    <t>CPGI-8-53915-1-10</t>
  </si>
  <si>
    <t>061496-000</t>
  </si>
  <si>
    <t>ALR-M-347</t>
  </si>
  <si>
    <t>608168-000</t>
  </si>
  <si>
    <t>ALR-MC-10</t>
  </si>
  <si>
    <t>21244H-000</t>
  </si>
  <si>
    <t>ALR-7090-VPS-BK</t>
  </si>
  <si>
    <t>023846-000</t>
  </si>
  <si>
    <t>ALR-AM-3N-JAMNUT</t>
  </si>
  <si>
    <t>171638-000</t>
  </si>
  <si>
    <t>CPGI-1116542-1</t>
  </si>
  <si>
    <t>CPGI-1116542-1-K</t>
  </si>
  <si>
    <t>045686042241</t>
  </si>
  <si>
    <t>CPGI-1546310-4</t>
  </si>
  <si>
    <t>CPGI-1546310-6</t>
  </si>
  <si>
    <t>CPGI-1546310-8</t>
  </si>
  <si>
    <t>CPGI-569224-1</t>
  </si>
  <si>
    <t>CPGI-569224-1-K</t>
  </si>
  <si>
    <t>CPGI-VST-02/1</t>
  </si>
  <si>
    <t>EB8882-000</t>
  </si>
  <si>
    <t>CPGI-WC-GG-GN-BG-125</t>
  </si>
  <si>
    <t>045686049103</t>
  </si>
  <si>
    <t>CS6084-000</t>
  </si>
  <si>
    <t>CPGI-WC-PG-2-PORT-BULK</t>
  </si>
  <si>
    <t>045686060078</t>
  </si>
  <si>
    <t>CR7877-000</t>
  </si>
  <si>
    <t>CPGI-WC-PG-2-PORT-CL-10</t>
  </si>
  <si>
    <t>045686059096</t>
  </si>
  <si>
    <t>EB8883-000</t>
  </si>
  <si>
    <t>CPGI-WC-PG-3-Port-CL-10</t>
  </si>
  <si>
    <t>045686049110</t>
  </si>
  <si>
    <t>EB8884-000</t>
  </si>
  <si>
    <t>CPGI-WC-PG-4-Port-CL-10</t>
  </si>
  <si>
    <t>045686049127</t>
  </si>
  <si>
    <t>EB8885-000</t>
  </si>
  <si>
    <t>CPGI-WC-PG-5-Port-CL-10</t>
  </si>
  <si>
    <t>045686049134</t>
  </si>
  <si>
    <t>Price List</t>
  </si>
  <si>
    <t>Raychem</t>
  </si>
  <si>
    <t>ALR</t>
  </si>
  <si>
    <t>Ampact</t>
  </si>
  <si>
    <t>Max Qty</t>
  </si>
  <si>
    <t>1974146-1</t>
  </si>
  <si>
    <t>ASBR 350-500/600-750-U</t>
  </si>
  <si>
    <t>045686076475</t>
  </si>
  <si>
    <t>1974151-1</t>
  </si>
  <si>
    <t>ASBS 1000-U</t>
  </si>
  <si>
    <t>045686076482</t>
  </si>
  <si>
    <t>1974138-1</t>
  </si>
  <si>
    <t>045686076499</t>
  </si>
  <si>
    <t>1974139-1</t>
  </si>
  <si>
    <t>ASBS 250-350-U</t>
  </si>
  <si>
    <t>045686076505</t>
  </si>
  <si>
    <t>1974155-1</t>
  </si>
  <si>
    <t>ASBS 2-U</t>
  </si>
  <si>
    <t>045686076512</t>
  </si>
  <si>
    <t>1974144-1</t>
  </si>
  <si>
    <t>ASBS 350-500-U</t>
  </si>
  <si>
    <t>045686076529</t>
  </si>
  <si>
    <t>1974145-1</t>
  </si>
  <si>
    <t>ASBS 600-750-U</t>
  </si>
  <si>
    <t>045686076536</t>
  </si>
  <si>
    <t>1974149-1</t>
  </si>
  <si>
    <t>ASBT 600-750-U</t>
  </si>
  <si>
    <t>045686076581</t>
  </si>
  <si>
    <t>A56210-000</t>
  </si>
  <si>
    <t>BCIC-G-0370-SCE(B3)</t>
  </si>
  <si>
    <t>045686076598</t>
  </si>
  <si>
    <t>CH8393-000</t>
  </si>
  <si>
    <t>BCIC-G-10D/18(B3)</t>
  </si>
  <si>
    <t>045686076604</t>
  </si>
  <si>
    <t>CF1442-000</t>
  </si>
  <si>
    <t>BCIC-G-10D/18-3(B3)</t>
  </si>
  <si>
    <t>045686076611</t>
  </si>
  <si>
    <t>C48363-000</t>
  </si>
  <si>
    <t>BCIC-G-12/12/5-H(B3)</t>
  </si>
  <si>
    <t>045686076628</t>
  </si>
  <si>
    <t>CX3874-000</t>
  </si>
  <si>
    <t>BCIC-G-3212-01(B3)</t>
  </si>
  <si>
    <t>045686076635</t>
  </si>
  <si>
    <t>CS0846-000</t>
  </si>
  <si>
    <t>BCIC-G-4D/4(B3)</t>
  </si>
  <si>
    <t>045686076659</t>
  </si>
  <si>
    <t>A37526-000</t>
  </si>
  <si>
    <t>BCIC-G-5.5D/11/H0(B3)</t>
  </si>
  <si>
    <t>045686076666</t>
  </si>
  <si>
    <t>CA4106-000</t>
  </si>
  <si>
    <t>BCIC-G-5.5D/16-H0(B3)</t>
  </si>
  <si>
    <t>045686076673</t>
  </si>
  <si>
    <t>C45445-000</t>
  </si>
  <si>
    <t>BCIC-G-5D/6(B3)</t>
  </si>
  <si>
    <t>045686076680</t>
  </si>
  <si>
    <t>E31878-000</t>
  </si>
  <si>
    <t>BCIC-G-7/12/7-H(B3)</t>
  </si>
  <si>
    <t>045686076697</t>
  </si>
  <si>
    <t>E22924-000</t>
  </si>
  <si>
    <t>BCIC-G-8/12/2-U(B12)</t>
  </si>
  <si>
    <t>045686076703</t>
  </si>
  <si>
    <t>E45052-000</t>
  </si>
  <si>
    <t>BCIC-G-8D/18-HO(B3)</t>
  </si>
  <si>
    <t>045686076710</t>
  </si>
  <si>
    <t>CU1218-000</t>
  </si>
  <si>
    <t>045686076741</t>
  </si>
  <si>
    <t>CS8355-000</t>
  </si>
  <si>
    <t>BCAC-IC-BYPASS-01(B1)</t>
  </si>
  <si>
    <t>045686076444</t>
  </si>
  <si>
    <t>CU3201-000</t>
  </si>
  <si>
    <t>BCAC-G-IC-BYPASS-01(B1)</t>
  </si>
  <si>
    <t>045686076451</t>
  </si>
  <si>
    <t>EE0437-000</t>
  </si>
  <si>
    <t>8Q526Y-000</t>
  </si>
  <si>
    <t>ALR-SC-10ANSI</t>
  </si>
  <si>
    <t>5J5271-000</t>
  </si>
  <si>
    <t>ALR-MC-10ANSI</t>
  </si>
  <si>
    <t>J2745D-000</t>
  </si>
  <si>
    <t>ALR-NS-10ANSI</t>
  </si>
  <si>
    <t>045686050994</t>
  </si>
  <si>
    <t>045686051007</t>
  </si>
  <si>
    <t>045686051014</t>
  </si>
  <si>
    <t>045686051038</t>
  </si>
  <si>
    <t>045686051045</t>
  </si>
  <si>
    <t>045686051052</t>
  </si>
  <si>
    <t>045686051069</t>
  </si>
  <si>
    <t>045686051076</t>
  </si>
  <si>
    <t>BPTM-75/30-A/U(B50)</t>
  </si>
  <si>
    <t>111745-000</t>
  </si>
  <si>
    <t>BRKT-1-SS</t>
  </si>
  <si>
    <t>F43262-000</t>
  </si>
  <si>
    <t>BCIC-0370-SCE(B3)</t>
  </si>
  <si>
    <t>930472-000</t>
  </si>
  <si>
    <t>BCIC-100/4-1-L(B12)</t>
  </si>
  <si>
    <t>544355-000</t>
  </si>
  <si>
    <t>S1174-2-300(B25)</t>
  </si>
  <si>
    <t>427901-000</t>
  </si>
  <si>
    <t>S1174-4-460(B15)</t>
  </si>
  <si>
    <t>763065-000</t>
  </si>
  <si>
    <t>S1189-1-100(B50)</t>
  </si>
  <si>
    <t>096993-000</t>
  </si>
  <si>
    <t>723347-000</t>
  </si>
  <si>
    <t>FCSM-28/9-A/U (B65)</t>
  </si>
  <si>
    <t>045686005680</t>
  </si>
  <si>
    <t>722084-000</t>
  </si>
  <si>
    <t>FCSM-38/12-A/U (B50)</t>
  </si>
  <si>
    <t>045686005673</t>
  </si>
  <si>
    <t>FH-3366-97-HANDLE</t>
  </si>
  <si>
    <t>GELCAP-SL-2/0-3HOLE-B100</t>
  </si>
  <si>
    <t>GELWRAP-18/4-150UL(B6)</t>
  </si>
  <si>
    <t>GELWRAP-18/4-200UL(B6)</t>
  </si>
  <si>
    <t>GELWRAP-18/4-250UL(B6)</t>
  </si>
  <si>
    <t>GELWRAP-18/4-300UL(B6)</t>
  </si>
  <si>
    <t>GELWRAP-18/4-350UL(B6)</t>
  </si>
  <si>
    <t>GELWRAP-18/4-400UL(B6)</t>
  </si>
  <si>
    <t>GELWRAP-18/4-450UL(B6)</t>
  </si>
  <si>
    <t>GELWRAP-18/4-500UL(B6)</t>
  </si>
  <si>
    <t>045686056507</t>
  </si>
  <si>
    <t>GELWRAP-18/4-550UL(B6)</t>
  </si>
  <si>
    <t>GELWRAP-18/4-600UL(B6)</t>
  </si>
  <si>
    <t>045686056576</t>
  </si>
  <si>
    <t>GILS-4/0 B18</t>
  </si>
  <si>
    <t>IDP-T200-RIBBON-1966</t>
  </si>
  <si>
    <t>IDP-T208M-RIBBON</t>
  </si>
  <si>
    <t>IDP-TMS-RJS-RIBN-4RPSCE</t>
  </si>
  <si>
    <t>IDP-TMS-SYSTEM-6-RIBBN-A</t>
  </si>
  <si>
    <t>IDP-TTPA200YW-10</t>
  </si>
  <si>
    <t>IDP-TTPA300WE-10</t>
  </si>
  <si>
    <t>IDP-TTPA300YW-10</t>
  </si>
  <si>
    <t>IDP-TTPA400WE-10</t>
  </si>
  <si>
    <t>IDP-TTPA400YW-10</t>
  </si>
  <si>
    <t>541259N001</t>
  </si>
  <si>
    <t>IT-1000-019</t>
  </si>
  <si>
    <t>045686058419</t>
  </si>
  <si>
    <t>RBDP-BLA-12D148U</t>
  </si>
  <si>
    <t>RBDP-BLA-15D183U</t>
  </si>
  <si>
    <t>RBDP-BLA-20D236U</t>
  </si>
  <si>
    <t>RBDP-BLA-30D346U</t>
  </si>
  <si>
    <t>RBDP-BLA-40D402U</t>
  </si>
  <si>
    <t>RBDP-BLA-50D535U</t>
  </si>
  <si>
    <t>RBDP-BLA-60D637U</t>
  </si>
  <si>
    <t>RBDP-BLA-80D816U</t>
  </si>
  <si>
    <t>UTLX-0-1443402-1</t>
  </si>
  <si>
    <t>UTLX-0-1443402-2</t>
  </si>
  <si>
    <t>UTLX-0-1443402-4</t>
  </si>
  <si>
    <t>UTLX-0-1443402-6</t>
  </si>
  <si>
    <t>UTLX-0-1443402-7</t>
  </si>
  <si>
    <t>UTLX-0-1443402-9</t>
  </si>
  <si>
    <t>UTLX-0-1443403-1</t>
  </si>
  <si>
    <t>UTLX-0-1443403-4</t>
  </si>
  <si>
    <t>UTLX-0-1443403-6</t>
  </si>
  <si>
    <t>UTLX-0-1443403-7</t>
  </si>
  <si>
    <t>UTLX-0-1443403-8</t>
  </si>
  <si>
    <t>UTLX-0-1443403-9</t>
  </si>
  <si>
    <t>A65266-000</t>
  </si>
  <si>
    <t>CPGI-8-320559-2</t>
  </si>
  <si>
    <t>647131-000</t>
  </si>
  <si>
    <t>TFT-151R-G</t>
  </si>
  <si>
    <t>693897-000</t>
  </si>
  <si>
    <t>SHRINKMARK-18-2-S1-9</t>
  </si>
  <si>
    <t>045686005635</t>
  </si>
  <si>
    <t>628313-000</t>
  </si>
  <si>
    <t>SHRINKMARK-18-2-S1-9-1K</t>
  </si>
  <si>
    <t>045686005345</t>
  </si>
  <si>
    <t>249715-000</t>
  </si>
  <si>
    <t>SHRINKMARK-18-2-S1-9-2.5</t>
  </si>
  <si>
    <t>912620-000</t>
  </si>
  <si>
    <t>BCIC-4/16/4-H(B3)</t>
  </si>
  <si>
    <t>EB0268-000</t>
  </si>
  <si>
    <t>CPGI-2-1838176-0-75</t>
  </si>
  <si>
    <t>EB0293-000</t>
  </si>
  <si>
    <t>CPGI-2-1838180-0-10</t>
  </si>
  <si>
    <t>EB0294-000</t>
  </si>
  <si>
    <t>CPGI-2-1838180-0-50</t>
  </si>
  <si>
    <t>EB0269-000</t>
  </si>
  <si>
    <t>CPGI-2-1838199-0-10</t>
  </si>
  <si>
    <t>EB0295-000</t>
  </si>
  <si>
    <t>CPGI-2-1838199-0-100</t>
  </si>
  <si>
    <t>EB0270-000</t>
  </si>
  <si>
    <t>CPGI-2-1838200-0-10</t>
  </si>
  <si>
    <t>EB0296-000</t>
  </si>
  <si>
    <t>CPGI-2-1838200-0-75</t>
  </si>
  <si>
    <t>EB0271-000</t>
  </si>
  <si>
    <t>CPGI-2-1838201-0-10</t>
  </si>
  <si>
    <t>EB0297-000</t>
  </si>
  <si>
    <t>CPGI-2-1838201-0-50</t>
  </si>
  <si>
    <t>EB0276-000</t>
  </si>
  <si>
    <t>CPGI-2-520103-2-10</t>
  </si>
  <si>
    <t>EB0277-000</t>
  </si>
  <si>
    <t>CPGI-2-520107-2-10</t>
  </si>
  <si>
    <t>EB0279-000</t>
  </si>
  <si>
    <t>CPGI-2-520264-2-10</t>
  </si>
  <si>
    <t>EB0280-000</t>
  </si>
  <si>
    <t>CB2009-000</t>
  </si>
  <si>
    <t>CB2011-000</t>
  </si>
  <si>
    <t>CB2019-000</t>
  </si>
  <si>
    <t>CB2021-000</t>
  </si>
  <si>
    <t>CB2023-000</t>
  </si>
  <si>
    <t>CB2027-000</t>
  </si>
  <si>
    <t>CB2028-000</t>
  </si>
  <si>
    <t>CB2029-000</t>
  </si>
  <si>
    <t>CPGI-RNF-100-1-48-GRSK</t>
  </si>
  <si>
    <t>CR2768-000</t>
  </si>
  <si>
    <t>045686058365</t>
  </si>
  <si>
    <t>CA4105-000</t>
  </si>
  <si>
    <t>045686058372</t>
  </si>
  <si>
    <t>141108-000</t>
  </si>
  <si>
    <t>306587-000</t>
  </si>
  <si>
    <t>MWTM-10/3-1200-S(B25)</t>
  </si>
  <si>
    <t>708337-000</t>
  </si>
  <si>
    <t>MWTM-10/3-A/U(B100)</t>
  </si>
  <si>
    <t>519633-000</t>
  </si>
  <si>
    <t>MWTM-115/34-1200-S-(B5)</t>
  </si>
  <si>
    <t>769593-000</t>
  </si>
  <si>
    <t>MWTM-115/34-1500/U (B5)</t>
  </si>
  <si>
    <t>975849-000</t>
  </si>
  <si>
    <t>MWTM-140/42-1200-S(B5)</t>
  </si>
  <si>
    <t>600955-000</t>
  </si>
  <si>
    <t>MWTM-140/42-1500/U (B5)</t>
  </si>
  <si>
    <t>770361-000</t>
  </si>
  <si>
    <t>MWTM-16/5-1200-S (B25)</t>
  </si>
  <si>
    <t>720819-000</t>
  </si>
  <si>
    <t>MWTM-16/5-A/U(B100)</t>
  </si>
  <si>
    <t>343233-002</t>
  </si>
  <si>
    <t>MWTM-25/8-1200-S (B25)</t>
  </si>
  <si>
    <t>870723-000</t>
  </si>
  <si>
    <t>MWTM-25/8-A/U(B100)</t>
  </si>
  <si>
    <t>024335-002</t>
  </si>
  <si>
    <t>493910-000</t>
  </si>
  <si>
    <t>AMPS-1-0083631-4</t>
  </si>
  <si>
    <t>741914-000</t>
  </si>
  <si>
    <t>AMPS-1-0083631-5</t>
  </si>
  <si>
    <t>364992-000</t>
  </si>
  <si>
    <t>AMPS-1-0083631-7</t>
  </si>
  <si>
    <t>033872-000</t>
  </si>
  <si>
    <t>AMPS-1-0083631-8</t>
  </si>
  <si>
    <t>116462-000</t>
  </si>
  <si>
    <t>AMPS-1-0083843-0</t>
  </si>
  <si>
    <t>CA7037-000</t>
  </si>
  <si>
    <t>AMPS-1-0083843-1</t>
  </si>
  <si>
    <t>429842-000</t>
  </si>
  <si>
    <t>AMPS-1-0275187-0</t>
  </si>
  <si>
    <t>155436-000</t>
  </si>
  <si>
    <t>AMPS-1-0275187-1</t>
  </si>
  <si>
    <t>228774-000</t>
  </si>
  <si>
    <t>AMPS-1-0275187-2</t>
  </si>
  <si>
    <t>069736-000</t>
  </si>
  <si>
    <t>AMPS-1-0275187-3</t>
  </si>
  <si>
    <t>509520-000</t>
  </si>
  <si>
    <t>045686050499</t>
  </si>
  <si>
    <t>045686050505</t>
  </si>
  <si>
    <t>045686050512</t>
  </si>
  <si>
    <t>045686050529</t>
  </si>
  <si>
    <t>045686050536</t>
  </si>
  <si>
    <t>045686050543</t>
  </si>
  <si>
    <t>045686050550</t>
  </si>
  <si>
    <t>045686050567</t>
  </si>
  <si>
    <t>045686050574</t>
  </si>
  <si>
    <t>CG6217-000</t>
  </si>
  <si>
    <t>CPGI-BUCH-1437382-6</t>
  </si>
  <si>
    <t>045686034642</t>
  </si>
  <si>
    <t>CRSM-107/29-1200</t>
  </si>
  <si>
    <t>449329-000</t>
  </si>
  <si>
    <t>CRSM-107/29-1500</t>
  </si>
  <si>
    <t>962244-000</t>
  </si>
  <si>
    <t>CRSM-143/36-1200</t>
  </si>
  <si>
    <t>512946-000</t>
  </si>
  <si>
    <t>CRSM-143/36-1500</t>
  </si>
  <si>
    <t>011551-000</t>
  </si>
  <si>
    <t>CRSM-198/55-1200</t>
  </si>
  <si>
    <t>837223-000</t>
  </si>
  <si>
    <t>CRSM-198/55-1700(B6)</t>
  </si>
  <si>
    <t>D24985-000</t>
  </si>
  <si>
    <t>CRSM-250/98-1200(B5)</t>
  </si>
  <si>
    <t>542765-000</t>
  </si>
  <si>
    <t>CR1293-000</t>
  </si>
  <si>
    <t>AMPS-0-1710723-9</t>
  </si>
  <si>
    <t>045686057726</t>
  </si>
  <si>
    <t>HVT-Z-153-G</t>
  </si>
  <si>
    <t>CG8884-000</t>
  </si>
  <si>
    <t>HVT-Z-153-G-500C</t>
  </si>
  <si>
    <t>AMPS-0-0602283-3</t>
  </si>
  <si>
    <t>533270-000</t>
  </si>
  <si>
    <t>AMPS-0-0602283-4</t>
  </si>
  <si>
    <t>266938-000</t>
  </si>
  <si>
    <t>AMPS-0-0602283-5</t>
  </si>
  <si>
    <t>287956-000</t>
  </si>
  <si>
    <t>AMPS-0-0602283-6</t>
  </si>
  <si>
    <t>674846-000</t>
  </si>
  <si>
    <t>AMPS-0-0602283-7</t>
  </si>
  <si>
    <t>506474-000</t>
  </si>
  <si>
    <t>AMPS-0-0602283-8</t>
  </si>
  <si>
    <t>109412-000</t>
  </si>
  <si>
    <t>AMPS-0-0602284-0</t>
  </si>
  <si>
    <t>393086-000</t>
  </si>
  <si>
    <t>AMPS-0-0602285-0</t>
  </si>
  <si>
    <t>059811-000</t>
  </si>
  <si>
    <t>SHRINKMARK-12-2-9-1K</t>
  </si>
  <si>
    <t>045686003464</t>
  </si>
  <si>
    <t>837735-000</t>
  </si>
  <si>
    <t>SHRINKMARK-12-2-9-2.5K</t>
  </si>
  <si>
    <t>045686032402</t>
  </si>
  <si>
    <t>379495-000</t>
  </si>
  <si>
    <t>SHRINKMARK-12-2-S1-9</t>
  </si>
  <si>
    <t>045686004478</t>
  </si>
  <si>
    <t>391973-000</t>
  </si>
  <si>
    <t>SHRINKMARK-12-2-S1-9-1K</t>
  </si>
  <si>
    <t>045686000371</t>
  </si>
  <si>
    <t>169855-000</t>
  </si>
  <si>
    <t>SHRINKMARK-12-2-S1-9-2.5</t>
  </si>
  <si>
    <t>045686032426</t>
  </si>
  <si>
    <t>427893-000</t>
  </si>
  <si>
    <t>SHRINKMARK-12-2-S2-9</t>
  </si>
  <si>
    <t>045686004652</t>
  </si>
  <si>
    <t>387583-000</t>
  </si>
  <si>
    <t>SHRINKMARK-12-2-S2-9-1K</t>
  </si>
  <si>
    <t>045686004508</t>
  </si>
  <si>
    <t>503609-000</t>
  </si>
  <si>
    <t>SHRINKMARK-12-2-S2-9-2.5</t>
  </si>
  <si>
    <t>045686032433</t>
  </si>
  <si>
    <t>395319-000</t>
  </si>
  <si>
    <t>SHRINKMARK-12-2-S3-9</t>
  </si>
  <si>
    <t>045686004546</t>
  </si>
  <si>
    <t>045686060672</t>
  </si>
  <si>
    <t>045686060665</t>
  </si>
  <si>
    <t>045686060689</t>
  </si>
  <si>
    <t>045686060696</t>
  </si>
  <si>
    <t>045686060702</t>
  </si>
  <si>
    <t>045686060726</t>
  </si>
  <si>
    <t>045686060733</t>
  </si>
  <si>
    <t>045686060740</t>
  </si>
  <si>
    <t>045686060771</t>
  </si>
  <si>
    <t>045686060818</t>
  </si>
  <si>
    <t>045686060849</t>
  </si>
  <si>
    <t>045686060870</t>
  </si>
  <si>
    <t>045686060887</t>
  </si>
  <si>
    <t>045686060894</t>
  </si>
  <si>
    <t>ELB-15/28-610C-A1-CES1</t>
  </si>
  <si>
    <t>045686072095</t>
  </si>
  <si>
    <t>ED9001-000</t>
  </si>
  <si>
    <t>ELB-15/28-610D10-CES1</t>
  </si>
  <si>
    <t>045686072132</t>
  </si>
  <si>
    <t>ED9000-000</t>
  </si>
  <si>
    <t>ELB-15/28-610D1-CES1</t>
  </si>
  <si>
    <t>045686072125</t>
  </si>
  <si>
    <t>ED9002-000</t>
  </si>
  <si>
    <t>ELB-15/28-610D20-CES1</t>
  </si>
  <si>
    <t>045686072149</t>
  </si>
  <si>
    <t>ED9003-000</t>
  </si>
  <si>
    <t>ELB-15/28-610D250-CES2</t>
  </si>
  <si>
    <t>045686072156</t>
  </si>
  <si>
    <t>ED9004-000</t>
  </si>
  <si>
    <t>ELB-15/28-610D30-CES2</t>
  </si>
  <si>
    <t>045686072163</t>
  </si>
  <si>
    <t>ED9005-000</t>
  </si>
  <si>
    <t>ELB-15/28-610D40-CES2</t>
  </si>
  <si>
    <t>045686072170</t>
  </si>
  <si>
    <t>ED9006-000</t>
  </si>
  <si>
    <t>ELB-15/28-610D-A1-CES1</t>
  </si>
  <si>
    <t>045686072187</t>
  </si>
  <si>
    <t>ED9009-000</t>
  </si>
  <si>
    <t>ELB-15/28-610E20-CES1</t>
  </si>
  <si>
    <t>045686072217</t>
  </si>
  <si>
    <t>ED9010-000</t>
  </si>
  <si>
    <t>ELB-15/28-610E250-CES2</t>
  </si>
  <si>
    <t>045686072224</t>
  </si>
  <si>
    <t>ED9011-000</t>
  </si>
  <si>
    <t>ELB-15/28-610E30-CES2</t>
  </si>
  <si>
    <t>045686072231</t>
  </si>
  <si>
    <t>ED9012-000</t>
  </si>
  <si>
    <t>ELB-15/28-610E350-CES2</t>
  </si>
  <si>
    <t>045686072248</t>
  </si>
  <si>
    <t>ED9013-000</t>
  </si>
  <si>
    <t>ELB-15/28-610E40-CES2</t>
  </si>
  <si>
    <t>045686072255</t>
  </si>
  <si>
    <t>ED9014-000</t>
  </si>
  <si>
    <t>ELB-15/28-610E-A1-CES2</t>
  </si>
  <si>
    <t>045686072262</t>
  </si>
  <si>
    <t>ED9015-000</t>
  </si>
  <si>
    <t>ELB-15/28-610E-A2-CES2</t>
  </si>
  <si>
    <t>045686072279</t>
  </si>
  <si>
    <t>ED9018-000</t>
  </si>
  <si>
    <t>ELB-15/28-610F250-CES2</t>
  </si>
  <si>
    <t>045686072309</t>
  </si>
  <si>
    <t>ED9019-000</t>
  </si>
  <si>
    <t>ELB-15/28-610F300-CES2</t>
  </si>
  <si>
    <t>045686072316</t>
  </si>
  <si>
    <t>ED9020-000</t>
  </si>
  <si>
    <t>ELB-15/28-610F350-CES2</t>
  </si>
  <si>
    <t>045686072323</t>
  </si>
  <si>
    <t>ED9022-000</t>
  </si>
  <si>
    <t>ELB-15/28-610F400-CES2</t>
  </si>
  <si>
    <t>045686072347</t>
  </si>
  <si>
    <t>ED9021-000</t>
  </si>
  <si>
    <t>ELB-15/28-610F40-CES2</t>
  </si>
  <si>
    <t>045686072330</t>
  </si>
  <si>
    <t>ED9023-000</t>
  </si>
  <si>
    <t>ELB-15/28-610F450-CES2</t>
  </si>
  <si>
    <t>045686072354</t>
  </si>
  <si>
    <t>ED9024-000</t>
  </si>
  <si>
    <t>ELB-15/28-610F500-CES2</t>
  </si>
  <si>
    <t>045686072361</t>
  </si>
  <si>
    <t>ED9025-000</t>
  </si>
  <si>
    <t>ELB-15/28-610F-A1-CES2</t>
  </si>
  <si>
    <t>045686072378</t>
  </si>
  <si>
    <t>ED9026-000</t>
  </si>
  <si>
    <t>ELB-15/28-610F-A2-CES2</t>
  </si>
  <si>
    <t>045686072385</t>
  </si>
  <si>
    <t>ED9028-000</t>
  </si>
  <si>
    <t>ELB-15/28-610G300-CES2</t>
  </si>
  <si>
    <t>045686072408</t>
  </si>
  <si>
    <t>ED9029-000</t>
  </si>
  <si>
    <t>ELB-15/28-610G350-CES2</t>
  </si>
  <si>
    <t>045686072415</t>
  </si>
  <si>
    <t>ED9030-000</t>
  </si>
  <si>
    <t>ELB-15/28-610G400-CES2</t>
  </si>
  <si>
    <t>045686072422</t>
  </si>
  <si>
    <t>ED9031-000</t>
  </si>
  <si>
    <t>ELB-15/28-610G500-CES2</t>
  </si>
  <si>
    <t>045686072439</t>
  </si>
  <si>
    <t>ED9032-000</t>
  </si>
  <si>
    <t>ELB-15/28-610G600-CES2</t>
  </si>
  <si>
    <t>045686072446</t>
  </si>
  <si>
    <t>ED9033-000</t>
  </si>
  <si>
    <t>ELB-15/28-610G650-CES2</t>
  </si>
  <si>
    <t>045686072453</t>
  </si>
  <si>
    <t>ED9034-000</t>
  </si>
  <si>
    <t>ELB-15/28-610G750-CES2</t>
  </si>
  <si>
    <t>045686072460</t>
  </si>
  <si>
    <t>ED9035-000</t>
  </si>
  <si>
    <t>ELB-15/28-610G-A1-CES2</t>
  </si>
  <si>
    <t>045686072477</t>
  </si>
  <si>
    <t>ED9036-000</t>
  </si>
  <si>
    <t>ELB-15/28-610G-A2-CES2</t>
  </si>
  <si>
    <t>045686072484</t>
  </si>
  <si>
    <t>ED9037-000</t>
  </si>
  <si>
    <t>ELB-15/28-610G-A3-CES2</t>
  </si>
  <si>
    <t>045686072491</t>
  </si>
  <si>
    <t>ED9041-000</t>
  </si>
  <si>
    <t>ELB-15/28-610H500-CES2</t>
  </si>
  <si>
    <t>045686072538</t>
  </si>
  <si>
    <t>ED9042-000</t>
  </si>
  <si>
    <t>ELB-15/28-610H600-CES2</t>
  </si>
  <si>
    <t>045686072545</t>
  </si>
  <si>
    <t>ED9043-000</t>
  </si>
  <si>
    <t>ELB-15/28-610H650-CES2</t>
  </si>
  <si>
    <t>045686072552</t>
  </si>
  <si>
    <t>ED9044-000</t>
  </si>
  <si>
    <t>ELB-15/28-610H750-CES2</t>
  </si>
  <si>
    <t>045686072569</t>
  </si>
  <si>
    <t>ED9045-000</t>
  </si>
  <si>
    <t>ELB-15/28-610H800-CES3</t>
  </si>
  <si>
    <t>045686072576</t>
  </si>
  <si>
    <t>ED9046-000</t>
  </si>
  <si>
    <t>ELB-15/28-610H900-CES3</t>
  </si>
  <si>
    <t>045686072583</t>
  </si>
  <si>
    <t>ED9047-000</t>
  </si>
  <si>
    <t>ELB-15/28-610H-A2-CES2</t>
  </si>
  <si>
    <t>045686072590</t>
  </si>
  <si>
    <t>ED9048-000</t>
  </si>
  <si>
    <t>ELB-15/28-610H-A3-CES2</t>
  </si>
  <si>
    <t>045686072606</t>
  </si>
  <si>
    <t>ED9052-000</t>
  </si>
  <si>
    <t>ELB-15/28-610J1000-CES3</t>
  </si>
  <si>
    <t>045686072644</t>
  </si>
  <si>
    <t>ED9053-000</t>
  </si>
  <si>
    <t>ELB-15/28-610J600-CES2</t>
  </si>
  <si>
    <t>045686072651</t>
  </si>
  <si>
    <t>ED9054-000</t>
  </si>
  <si>
    <t>ELB-15/28-610J650-CES2</t>
  </si>
  <si>
    <t>045686072668</t>
  </si>
  <si>
    <t>ED9055-000</t>
  </si>
  <si>
    <t>ELB-15/28-610J750-CES2</t>
  </si>
  <si>
    <t>045686072675</t>
  </si>
  <si>
    <t>ED9056-000</t>
  </si>
  <si>
    <t>ELB-15/28-610J800-CES3</t>
  </si>
  <si>
    <t>045686072682</t>
  </si>
  <si>
    <t>ED9057-000</t>
  </si>
  <si>
    <t>ELB-15/28-610J900-CES3</t>
  </si>
  <si>
    <t>045686072699</t>
  </si>
  <si>
    <t>ED9058-000</t>
  </si>
  <si>
    <t>ELB-15/28-610J-A2-CES2</t>
  </si>
  <si>
    <t>045686072705</t>
  </si>
  <si>
    <t>ED9059-000</t>
  </si>
  <si>
    <t>ELB-15/28-610J-A3-CES3</t>
  </si>
  <si>
    <t>045686072712</t>
  </si>
  <si>
    <t>ED9060-000</t>
  </si>
  <si>
    <t>ELB-15/28-610J-A4-CES3</t>
  </si>
  <si>
    <t>045686072729</t>
  </si>
  <si>
    <t>ED9064-000</t>
  </si>
  <si>
    <t>ELB-15/28-610K1000-CES3</t>
  </si>
  <si>
    <t>045686072767</t>
  </si>
  <si>
    <t>ED9065-000</t>
  </si>
  <si>
    <t>ELB-15/28-610K1250-CES3</t>
  </si>
  <si>
    <t>045686072774</t>
  </si>
  <si>
    <t>ED9066-000</t>
  </si>
  <si>
    <t>ELB-15/28-610K800-CES3</t>
  </si>
  <si>
    <t>045686072781</t>
  </si>
  <si>
    <t>ED9067-000</t>
  </si>
  <si>
    <t>ELB-15/28-610K900-CES3</t>
  </si>
  <si>
    <t>045686072798</t>
  </si>
  <si>
    <t>ED9068-000</t>
  </si>
  <si>
    <t>ELB-15/28-610K-A3-CES3</t>
  </si>
  <si>
    <t>045686072804</t>
  </si>
  <si>
    <t>ED9069-000</t>
  </si>
  <si>
    <t>ELB-15/28-610K-A4-CES3</t>
  </si>
  <si>
    <t>045686072811</t>
  </si>
  <si>
    <t>ED9072-000</t>
  </si>
  <si>
    <t>ELB-15/28-610L1250-CES3</t>
  </si>
  <si>
    <t>045686072842</t>
  </si>
  <si>
    <t>ED9073-000</t>
  </si>
  <si>
    <t>ELB-15/28-610L-A4-CES3</t>
  </si>
  <si>
    <t>045686072859</t>
  </si>
  <si>
    <t>CP9713-000</t>
  </si>
  <si>
    <t>ELB-15/28-900-CU-IPCAPST</t>
  </si>
  <si>
    <t>045686058082</t>
  </si>
  <si>
    <t>045686057856</t>
  </si>
  <si>
    <t>045686057863</t>
  </si>
  <si>
    <t>045686058105</t>
  </si>
  <si>
    <t>045686057986</t>
  </si>
  <si>
    <t>ELB-15/28-910A-C1</t>
  </si>
  <si>
    <t>ED8984-000</t>
  </si>
  <si>
    <t>ELB-15/28-910A-C1-CES1</t>
  </si>
  <si>
    <t>045686071968</t>
  </si>
  <si>
    <t>ELB-15/28-910B-C1</t>
  </si>
  <si>
    <t>ED8990-000</t>
  </si>
  <si>
    <t>ELB-15/28-910B-C1-CES1</t>
  </si>
  <si>
    <t>045686072026</t>
  </si>
  <si>
    <t>ELB-15/28-910C-C1</t>
  </si>
  <si>
    <t>ED8998-000</t>
  </si>
  <si>
    <t>ELB-15/28-910C-C1-CES1</t>
  </si>
  <si>
    <t>045686072101</t>
  </si>
  <si>
    <t>ELB-15/28-910C-C2</t>
  </si>
  <si>
    <t>ED8999-000</t>
  </si>
  <si>
    <t>ELB-15/28-910C-C2-CES2</t>
  </si>
  <si>
    <t>045686072118</t>
  </si>
  <si>
    <t>ELB-15/28-910D-C1</t>
  </si>
  <si>
    <t>ED9007-000</t>
  </si>
  <si>
    <t>ELB-15/28-910D-C1-CES1</t>
  </si>
  <si>
    <t>045686072194</t>
  </si>
  <si>
    <t>ELB-15/28-910D-C2</t>
  </si>
  <si>
    <t>ED9008-000</t>
  </si>
  <si>
    <t>ELB-15/28-910D-C2-CES2</t>
  </si>
  <si>
    <t>045686072200</t>
  </si>
  <si>
    <t>ELB-15/28-910E-C1</t>
  </si>
  <si>
    <t>ED9016-000</t>
  </si>
  <si>
    <t>ELB-15/28-910E-C1-CES2</t>
  </si>
  <si>
    <t>045686072286</t>
  </si>
  <si>
    <t>ELB-15/28-910E-C2</t>
  </si>
  <si>
    <t>ED9017-000</t>
  </si>
  <si>
    <t>ELB-15/28-910E-C2-CES2</t>
  </si>
  <si>
    <t>045686072293</t>
  </si>
  <si>
    <t>ELB-15/28-910F-C2</t>
  </si>
  <si>
    <t>ED9027-000</t>
  </si>
  <si>
    <t>ELB-15/28-910F-C2-CES2</t>
  </si>
  <si>
    <t>045686072392</t>
  </si>
  <si>
    <t>ELB-15/28-910G-C2</t>
  </si>
  <si>
    <t>ED9038-000</t>
  </si>
  <si>
    <t>ELB-15/28-910G-C2-CES2</t>
  </si>
  <si>
    <t>045686072507</t>
  </si>
  <si>
    <t>ELB-15/28-910G-C3</t>
  </si>
  <si>
    <t>ED9039-000</t>
  </si>
  <si>
    <t>ELB-15/28-910G-C3-CES2</t>
  </si>
  <si>
    <t>045686072514</t>
  </si>
  <si>
    <t>ELB-15/28-910G-C4</t>
  </si>
  <si>
    <t>ED9040-000</t>
  </si>
  <si>
    <t>ELB-15/28-910G-C4-CES2</t>
  </si>
  <si>
    <t>045686072521</t>
  </si>
  <si>
    <t>ELB-15/28-910H-C2</t>
  </si>
  <si>
    <t>ED9049-000</t>
  </si>
  <si>
    <t>ELB-15/28-910H-C2-CES2</t>
  </si>
  <si>
    <t>045686072613</t>
  </si>
  <si>
    <t>ELB-15/28-910H-C3</t>
  </si>
  <si>
    <t>ED9050-000</t>
  </si>
  <si>
    <t>ELB-15/28-910H-C3-CES2</t>
  </si>
  <si>
    <t>045686072620</t>
  </si>
  <si>
    <t>ELB-15/28-910H-C4</t>
  </si>
  <si>
    <t>ED9051-000</t>
  </si>
  <si>
    <t>ELB-15/28-910H-C4-CES2</t>
  </si>
  <si>
    <t>045686072637</t>
  </si>
  <si>
    <t>ELB-15/28-910J-C3</t>
  </si>
  <si>
    <t>ED9061-000</t>
  </si>
  <si>
    <t>ELB-15/28-910J-C3-CES3</t>
  </si>
  <si>
    <t>045686072736</t>
  </si>
  <si>
    <t>ELB-15/28-910J-C4</t>
  </si>
  <si>
    <t>ED9062-000</t>
  </si>
  <si>
    <t>ELB-15/28-910J-C4-CES3</t>
  </si>
  <si>
    <t>045686072743</t>
  </si>
  <si>
    <t>ELB-15/28-910J-C5</t>
  </si>
  <si>
    <t>ED9063-000</t>
  </si>
  <si>
    <t>ELB-15/28-910J-C5-CES3</t>
  </si>
  <si>
    <t>045686072750</t>
  </si>
  <si>
    <t>ELB-15/28-910K-C4</t>
  </si>
  <si>
    <t>ED9070-000</t>
  </si>
  <si>
    <t>ELB-15/28-910K-C4-CES3</t>
  </si>
  <si>
    <t>045686072828</t>
  </si>
  <si>
    <t>ELB-15/28-910K-C5</t>
  </si>
  <si>
    <t>ED9071-000</t>
  </si>
  <si>
    <t>ELB-15/28-910K-C5-CES3</t>
  </si>
  <si>
    <t>045686072835</t>
  </si>
  <si>
    <t>ELB-15/28-910L-C5</t>
  </si>
  <si>
    <t>ED9074-000</t>
  </si>
  <si>
    <t>ELB-15/28-910L-C5-CES3</t>
  </si>
  <si>
    <t>045686072866</t>
  </si>
  <si>
    <t>ED0163-000</t>
  </si>
  <si>
    <t>ELB-35-600-AL-IP+CAP</t>
  </si>
  <si>
    <t>CP8593-000</t>
  </si>
  <si>
    <t>ELB-35-600-AL-IPCAPST</t>
  </si>
  <si>
    <t>ED0119-000</t>
  </si>
  <si>
    <t>ELB-35-600-ARSTR27</t>
  </si>
  <si>
    <t>ELB-35-600-ARSTR30</t>
  </si>
  <si>
    <t>ELB-35-600-ARSTR33</t>
  </si>
  <si>
    <t>ED0122-000</t>
  </si>
  <si>
    <t>ELB-35-600-CA-E</t>
  </si>
  <si>
    <t>ED0123-000</t>
  </si>
  <si>
    <t>ELB-35-600-CA-F</t>
  </si>
  <si>
    <t>ED0124-000</t>
  </si>
  <si>
    <t>ELB-35-600-CA-G</t>
  </si>
  <si>
    <t>ED0125-000</t>
  </si>
  <si>
    <t>ELB-35-600-CA-H</t>
  </si>
  <si>
    <t>ED0126-000</t>
  </si>
  <si>
    <t>ELB-35-600-CA-J</t>
  </si>
  <si>
    <t>ED0127-000</t>
  </si>
  <si>
    <t>ELB-35-600-CA-K</t>
  </si>
  <si>
    <t>ED0129-000</t>
  </si>
  <si>
    <t>ELB-35-600-CA-M</t>
  </si>
  <si>
    <t>ED0130-000</t>
  </si>
  <si>
    <t>ELB-35-600-CA-N</t>
  </si>
  <si>
    <t>ED0131-000</t>
  </si>
  <si>
    <t>ELB-35-600-CA-P</t>
  </si>
  <si>
    <t>ED0132-000</t>
  </si>
  <si>
    <t>ELB-35-600-CA-Q</t>
  </si>
  <si>
    <t>ED0133-000</t>
  </si>
  <si>
    <t>ELB-35-600-CA-R</t>
  </si>
  <si>
    <t>ED0134-000</t>
  </si>
  <si>
    <t>ELB-35-600-CA-S</t>
  </si>
  <si>
    <t>ED0135-000</t>
  </si>
  <si>
    <t>ELB-35-600-CA-T</t>
  </si>
  <si>
    <t>ED0136-000</t>
  </si>
  <si>
    <t>ELB-35-600-CA-U</t>
  </si>
  <si>
    <t>ED0137-000</t>
  </si>
  <si>
    <t>ELB-35-600-CA-V</t>
  </si>
  <si>
    <t>045686058204</t>
  </si>
  <si>
    <t>ED9075-000</t>
  </si>
  <si>
    <t>ELB-35-600F-A1-CES1</t>
  </si>
  <si>
    <t>045686072873</t>
  </si>
  <si>
    <t>ED9078-000</t>
  </si>
  <si>
    <t>ELB-35-600G10-CES1</t>
  </si>
  <si>
    <t>045686072903</t>
  </si>
  <si>
    <t>ED9077-000</t>
  </si>
  <si>
    <t>ELB-35-600G1-CES1</t>
  </si>
  <si>
    <t>045686072897</t>
  </si>
  <si>
    <t>ED9079-000</t>
  </si>
  <si>
    <t>ELB-35-600G-A1-CES1</t>
  </si>
  <si>
    <t>045686072910</t>
  </si>
  <si>
    <t>045686070046</t>
  </si>
  <si>
    <t>ED9081-000</t>
  </si>
  <si>
    <t>ELB-35-600H20-CES2</t>
  </si>
  <si>
    <t>045686072934</t>
  </si>
  <si>
    <t>ED9082-000</t>
  </si>
  <si>
    <t>ELB-35-600H-A1-CES2</t>
  </si>
  <si>
    <t>045686072941</t>
  </si>
  <si>
    <t>ED9084-000</t>
  </si>
  <si>
    <t>ELB-35-600J10-CES1</t>
  </si>
  <si>
    <t>045686072965</t>
  </si>
  <si>
    <t>045686058112</t>
  </si>
  <si>
    <t>045686057993</t>
  </si>
  <si>
    <t>ED9085-000</t>
  </si>
  <si>
    <t>ELB-35-600J30-CES2</t>
  </si>
  <si>
    <t>045686072972</t>
  </si>
  <si>
    <t>045686058006</t>
  </si>
  <si>
    <t>ED9086-000</t>
  </si>
  <si>
    <t>ELB-35-600J40-CES2</t>
  </si>
  <si>
    <t>045686072989</t>
  </si>
  <si>
    <t>045686058136</t>
  </si>
  <si>
    <t>ED9087-000</t>
  </si>
  <si>
    <t>ELB-35-600J-A1-CES2</t>
  </si>
  <si>
    <t>045686072996</t>
  </si>
  <si>
    <t>ED9090-000</t>
  </si>
  <si>
    <t>ELB-35-600K10-CES1</t>
  </si>
  <si>
    <t>045686073023</t>
  </si>
  <si>
    <t>ED9091-000</t>
  </si>
  <si>
    <t>ELB-35-600K20-CES2</t>
  </si>
  <si>
    <t>045686073030</t>
  </si>
  <si>
    <t>ED9092-000</t>
  </si>
  <si>
    <t>ELB-35-600K40-CES2</t>
  </si>
  <si>
    <t>045686073047</t>
  </si>
  <si>
    <t>ED9093-000</t>
  </si>
  <si>
    <t>ELB-35-600K-A1-CES2</t>
  </si>
  <si>
    <t>045686073054</t>
  </si>
  <si>
    <t>ED9096-000</t>
  </si>
  <si>
    <t>ELB-35-600L250-CES2</t>
  </si>
  <si>
    <t>045686073085</t>
  </si>
  <si>
    <t>ED9097-000</t>
  </si>
  <si>
    <t>ELB-35-600L30-CES2</t>
  </si>
  <si>
    <t>045686073092</t>
  </si>
  <si>
    <t>ED9098-000</t>
  </si>
  <si>
    <t>ELB-35-600L-A1-CES2</t>
  </si>
  <si>
    <t>045686073108</t>
  </si>
  <si>
    <t>ED9100-000</t>
  </si>
  <si>
    <t>ELB-35-600M250-CES2</t>
  </si>
  <si>
    <t>045686073122</t>
  </si>
  <si>
    <t>ED9101-000</t>
  </si>
  <si>
    <t>ELB-35-600M300-CES2</t>
  </si>
  <si>
    <t>045686073139</t>
  </si>
  <si>
    <t>ED9102-000</t>
  </si>
  <si>
    <t>ELB-35-600M350-CES2</t>
  </si>
  <si>
    <t>045686073146</t>
  </si>
  <si>
    <t>ED9103-000</t>
  </si>
  <si>
    <t>ELB-35-600M40-CES2</t>
  </si>
  <si>
    <t>045686073153</t>
  </si>
  <si>
    <t>ED9104-000</t>
  </si>
  <si>
    <t>ELB-35-600M-A1-CES2</t>
  </si>
  <si>
    <t>045686073160</t>
  </si>
  <si>
    <t>ED9105-000</t>
  </si>
  <si>
    <t>ELB-35-600M-A2-CES2</t>
  </si>
  <si>
    <t>045686073177</t>
  </si>
  <si>
    <t>ED9107-000</t>
  </si>
  <si>
    <t>ELB-35-600N350-CES2</t>
  </si>
  <si>
    <t>045686073191</t>
  </si>
  <si>
    <t>ED9108-000</t>
  </si>
  <si>
    <t>ELB-35-600N450-CES2</t>
  </si>
  <si>
    <t>045686073207</t>
  </si>
  <si>
    <t>ED9109-000</t>
  </si>
  <si>
    <t>ELB-35-600N500-CES2</t>
  </si>
  <si>
    <t>045686073214</t>
  </si>
  <si>
    <t>ED9110-000</t>
  </si>
  <si>
    <t>ELB-35-600N-A2-CES2</t>
  </si>
  <si>
    <t>045686073221</t>
  </si>
  <si>
    <t>ED9113-000</t>
  </si>
  <si>
    <t>ELB-35-600P500-CES2</t>
  </si>
  <si>
    <t>045686073252</t>
  </si>
  <si>
    <t>ED9114-000</t>
  </si>
  <si>
    <t>ELB-35-600P-A2-CES2</t>
  </si>
  <si>
    <t>045686073269</t>
  </si>
  <si>
    <t>ED9117-000</t>
  </si>
  <si>
    <t>ELB-35-600Q600-CES3</t>
  </si>
  <si>
    <t>045686073290</t>
  </si>
  <si>
    <t>ED9118-000</t>
  </si>
  <si>
    <t>ELB-35-600Q-A2-CES3</t>
  </si>
  <si>
    <t>045686073306</t>
  </si>
  <si>
    <t>ED9120-000</t>
  </si>
  <si>
    <t>ELB-35-600R500-CES2</t>
  </si>
  <si>
    <t>045686073320</t>
  </si>
  <si>
    <t>ED9121-000</t>
  </si>
  <si>
    <t>ELB-35-600R600-CES3</t>
  </si>
  <si>
    <t>045686073337</t>
  </si>
  <si>
    <t>ED9122-000</t>
  </si>
  <si>
    <t>ELB-35-600R650-CES3</t>
  </si>
  <si>
    <t>045686073344</t>
  </si>
  <si>
    <t>ED9123-000</t>
  </si>
  <si>
    <t>ELB-35-600R750-CES3</t>
  </si>
  <si>
    <t>045686073351</t>
  </si>
  <si>
    <t>ED9124-000</t>
  </si>
  <si>
    <t>ELB-35-600R-A2-CES3</t>
  </si>
  <si>
    <t>045686073368</t>
  </si>
  <si>
    <t>ED9125-000</t>
  </si>
  <si>
    <t>ELB-35-600R-A3-CES3</t>
  </si>
  <si>
    <t>045686073375</t>
  </si>
  <si>
    <t>ED9128-000</t>
  </si>
  <si>
    <t>ELB-35-600S750-CES3</t>
  </si>
  <si>
    <t>045686073405</t>
  </si>
  <si>
    <t>ED9129-000</t>
  </si>
  <si>
    <t>ELB-35-600S800-CES3</t>
  </si>
  <si>
    <t>045686073412</t>
  </si>
  <si>
    <t>ED9130-000</t>
  </si>
  <si>
    <t>ELB-35-600S900-CES3</t>
  </si>
  <si>
    <t>045686073429</t>
  </si>
  <si>
    <t>ED9131-000</t>
  </si>
  <si>
    <t>ELB-35-600S-A2-CES3</t>
  </si>
  <si>
    <t>045686073436</t>
  </si>
  <si>
    <t>ED9132-000</t>
  </si>
  <si>
    <t>ELB-35-600S-A3-CES3</t>
  </si>
  <si>
    <t>045686073443</t>
  </si>
  <si>
    <t>ED9133-000</t>
  </si>
  <si>
    <t>ELB-35-600S-A4-CES3</t>
  </si>
  <si>
    <t>045686073450</t>
  </si>
  <si>
    <t>ED9137-000</t>
  </si>
  <si>
    <t>ELB-35-600T1000-CES3</t>
  </si>
  <si>
    <t>045686073498</t>
  </si>
  <si>
    <t>ED9138-000</t>
  </si>
  <si>
    <t>ELB-35-600T750-CES3</t>
  </si>
  <si>
    <t>045686073504</t>
  </si>
  <si>
    <t>ED9139-000</t>
  </si>
  <si>
    <t>ELB-35-600T900-CES3</t>
  </si>
  <si>
    <t>045686073511</t>
  </si>
  <si>
    <t>ED9140-000</t>
  </si>
  <si>
    <t>ELB-35-600T-A3-CES3</t>
  </si>
  <si>
    <t>045686073528</t>
  </si>
  <si>
    <t>ED9141-000</t>
  </si>
  <si>
    <t>ELB-35-600T-A4-CES3</t>
  </si>
  <si>
    <t>045686073535</t>
  </si>
  <si>
    <t>ED0139-000</t>
  </si>
  <si>
    <t>ELB-35-600-T-BODY</t>
  </si>
  <si>
    <t>ED0140-000</t>
  </si>
  <si>
    <t>ELB-35-600-T-BODYTP</t>
  </si>
  <si>
    <t>ED9144-000</t>
  </si>
  <si>
    <t>ELB-35-600U1250-CES3</t>
  </si>
  <si>
    <t>045686073566</t>
  </si>
  <si>
    <t>ED9145-000</t>
  </si>
  <si>
    <t>ELB-35-600U-A4-CES3</t>
  </si>
  <si>
    <t>045686073573</t>
  </si>
  <si>
    <t>ED9147-000</t>
  </si>
  <si>
    <t>ELB-35-600V1000-CES3</t>
  </si>
  <si>
    <t>045686073597</t>
  </si>
  <si>
    <t>ED9148-000</t>
  </si>
  <si>
    <t>ELB-35-600V1250-CES3</t>
  </si>
  <si>
    <t>045686073603</t>
  </si>
  <si>
    <t>ED9149-000</t>
  </si>
  <si>
    <t>ELB-35-600V-A4-CES3</t>
  </si>
  <si>
    <t>045686073610</t>
  </si>
  <si>
    <t>ED9151-000</t>
  </si>
  <si>
    <t>ELB-35-610F-A1-CES1</t>
  </si>
  <si>
    <t>045686073634</t>
  </si>
  <si>
    <t>ED9154-000</t>
  </si>
  <si>
    <t>ELB-35-610G10-CES1</t>
  </si>
  <si>
    <t>045686073665</t>
  </si>
  <si>
    <t>ED9153-000</t>
  </si>
  <si>
    <t>ELB-35-610G1-CES1</t>
  </si>
  <si>
    <t>045686073658</t>
  </si>
  <si>
    <t>ED9155-000</t>
  </si>
  <si>
    <t>ELB-35-610G-A1-CES1</t>
  </si>
  <si>
    <t>045686073672</t>
  </si>
  <si>
    <t>ED9157-000</t>
  </si>
  <si>
    <t>ELB-35-610H20-CES2</t>
  </si>
  <si>
    <t>045686073696</t>
  </si>
  <si>
    <t>GPRT-350-8P-C(B6)</t>
  </si>
  <si>
    <t>566427-000</t>
  </si>
  <si>
    <t>GTAP-1(B18)</t>
  </si>
  <si>
    <t>888615-000</t>
  </si>
  <si>
    <t>GTAP-1(B72)</t>
  </si>
  <si>
    <t>446451-000</t>
  </si>
  <si>
    <t>GTAP-2(B18)</t>
  </si>
  <si>
    <t>981609-000</t>
  </si>
  <si>
    <t>GTAP-2(B72)</t>
  </si>
  <si>
    <t>CL7596-000</t>
  </si>
  <si>
    <t>CPGI-2008144-1-K20</t>
  </si>
  <si>
    <t>045686042272</t>
  </si>
  <si>
    <t>827358-000</t>
  </si>
  <si>
    <t>FCSM-19/6-150-S(B50)</t>
  </si>
  <si>
    <t>014973-000</t>
  </si>
  <si>
    <t>045686003914</t>
  </si>
  <si>
    <t>045686003686</t>
  </si>
  <si>
    <t>045686003518</t>
  </si>
  <si>
    <t>CF7420-000</t>
  </si>
  <si>
    <t>045686032303</t>
  </si>
  <si>
    <t>930695-000</t>
  </si>
  <si>
    <t>SHRINKMARK-10-2-4-1K</t>
  </si>
  <si>
    <t>045686032310</t>
  </si>
  <si>
    <t>415673-000</t>
  </si>
  <si>
    <t>SHRINKMARK-10-2-9</t>
  </si>
  <si>
    <t>045686002450</t>
  </si>
  <si>
    <t>397293-000</t>
  </si>
  <si>
    <t>SHRINKMARK-10-2-9-1K</t>
  </si>
  <si>
    <t>045686004553</t>
  </si>
  <si>
    <t>480347-000</t>
  </si>
  <si>
    <t>SHRINKMARK-10-2-9-2.5K</t>
  </si>
  <si>
    <t>980627-000</t>
  </si>
  <si>
    <t>SHRINKMARK-10-2-S1-9</t>
  </si>
  <si>
    <t>766456-000</t>
  </si>
  <si>
    <t>AMPS-0-0069847-0</t>
  </si>
  <si>
    <t>212570-000</t>
  </si>
  <si>
    <t>AMPS-0-0069883-0</t>
  </si>
  <si>
    <t>940400-000</t>
  </si>
  <si>
    <t>AMPS-0-0069900-0</t>
  </si>
  <si>
    <t>774698-000</t>
  </si>
  <si>
    <t>AMPS-0-0069947-0</t>
  </si>
  <si>
    <t>810954-000</t>
  </si>
  <si>
    <t>AMPS-0-0080408-2</t>
  </si>
  <si>
    <t>063942-000</t>
  </si>
  <si>
    <t>AMPS-0-0080408-4</t>
  </si>
  <si>
    <t>AMPS-0-0083623-3</t>
  </si>
  <si>
    <t>116820-000</t>
  </si>
  <si>
    <t>AMPS-0-0083623-4</t>
  </si>
  <si>
    <t>090018-000</t>
  </si>
  <si>
    <t>AMPS-0-0083623-5</t>
  </si>
  <si>
    <t>687866-000</t>
  </si>
  <si>
    <t>AMPS-0-0083623-7</t>
  </si>
  <si>
    <t>949490-000</t>
  </si>
  <si>
    <t>AMPS-0-0083623-8</t>
  </si>
  <si>
    <t>693416-000</t>
  </si>
  <si>
    <t>AMPS-0-0083623-9</t>
  </si>
  <si>
    <t>162542-000</t>
  </si>
  <si>
    <t>AMPS-0-0083630-1</t>
  </si>
  <si>
    <t>520090-000</t>
  </si>
  <si>
    <t>AMPS-0-0083630-2</t>
  </si>
  <si>
    <t>136000-000</t>
  </si>
  <si>
    <t>AMPS-0-0083630-3</t>
  </si>
  <si>
    <t>128610-000</t>
  </si>
  <si>
    <t>AMPS-0-0083630-4</t>
  </si>
  <si>
    <t>754694-000</t>
  </si>
  <si>
    <t>RDSS-125(S3)</t>
  </si>
  <si>
    <t>485455-000</t>
  </si>
  <si>
    <t>RDSS-150(S10)</t>
  </si>
  <si>
    <t>C26475-000</t>
  </si>
  <si>
    <t>RDSS-150(S3)</t>
  </si>
  <si>
    <t>E58842-000</t>
  </si>
  <si>
    <t>045686034697</t>
  </si>
  <si>
    <t>A03885-000</t>
  </si>
  <si>
    <t>045686033676</t>
  </si>
  <si>
    <t>E14229-000</t>
  </si>
  <si>
    <t>045686032907</t>
  </si>
  <si>
    <t>045686007684</t>
  </si>
  <si>
    <t>045686007981</t>
  </si>
  <si>
    <t>AMPS-0-0602283-2</t>
  </si>
  <si>
    <t>635156-000</t>
  </si>
  <si>
    <t>248424-000</t>
  </si>
  <si>
    <t>AMPS-0-0306349-1</t>
  </si>
  <si>
    <t>225962-000</t>
  </si>
  <si>
    <t>AMPS-0-0306349-2</t>
  </si>
  <si>
    <t>696964-000</t>
  </si>
  <si>
    <t>AMPS-0-0306350-2</t>
  </si>
  <si>
    <t>658290-000</t>
  </si>
  <si>
    <t>AMPS-0-0306814-3</t>
  </si>
  <si>
    <t>301910-000</t>
  </si>
  <si>
    <t>ALR-AT-168</t>
  </si>
  <si>
    <t>148582-000</t>
  </si>
  <si>
    <t>ALR-AT-19</t>
  </si>
  <si>
    <t>635008-000</t>
  </si>
  <si>
    <t xml:space="preserve">ALR-AT-20 </t>
  </si>
  <si>
    <t>HVT-ZL-253-SG</t>
  </si>
  <si>
    <t>ED5510-000</t>
  </si>
  <si>
    <t>HVT-ZL-352-G</t>
  </si>
  <si>
    <t>ED5511-000</t>
  </si>
  <si>
    <t>HVT-ZL-353-G</t>
  </si>
  <si>
    <t>ED5512-000</t>
  </si>
  <si>
    <t>SHRINKMARK-1000-2-9</t>
  </si>
  <si>
    <t>045686006182</t>
  </si>
  <si>
    <t>529671-000</t>
  </si>
  <si>
    <t>SHRINKMARK-1000-2-9-1K</t>
  </si>
  <si>
    <t>045686032242</t>
  </si>
  <si>
    <t>CP5228-000</t>
  </si>
  <si>
    <t>EPPA-034-F(B50)</t>
  </si>
  <si>
    <t>CP5229-000</t>
  </si>
  <si>
    <t>EPPA-034-G(B50)</t>
  </si>
  <si>
    <t>CA8541-000</t>
  </si>
  <si>
    <t>CPGI-RNF-100-1/2-48-BLSK</t>
  </si>
  <si>
    <t>045686003020</t>
  </si>
  <si>
    <t>045686002412</t>
  </si>
  <si>
    <t>045686002429</t>
  </si>
  <si>
    <t>045686006564</t>
  </si>
  <si>
    <t>045686062737</t>
  </si>
  <si>
    <t>027586-000</t>
  </si>
  <si>
    <t>ALR-PT-20</t>
  </si>
  <si>
    <t>Y12345-000</t>
  </si>
  <si>
    <t>ALR-SC-10A</t>
  </si>
  <si>
    <t>D02595-000</t>
  </si>
  <si>
    <t>ALR-SC-10A-(B-125)</t>
  </si>
  <si>
    <t>797970-000</t>
  </si>
  <si>
    <t>023838-000</t>
  </si>
  <si>
    <t>ALR-SPT-168</t>
  </si>
  <si>
    <t>217152-000</t>
  </si>
  <si>
    <t>ALR-SPT-19</t>
  </si>
  <si>
    <t>509548-000</t>
  </si>
  <si>
    <t>ALR-SST-PV</t>
  </si>
  <si>
    <t>263542-000</t>
  </si>
  <si>
    <t>935286-000</t>
  </si>
  <si>
    <t>ALR-SST-PV-IES</t>
  </si>
  <si>
    <t>CA8545-000</t>
  </si>
  <si>
    <t>045686042210</t>
  </si>
  <si>
    <t>CL5490-000</t>
  </si>
  <si>
    <t>CPGI-2008535-1-K2</t>
  </si>
  <si>
    <t>045686042180</t>
  </si>
  <si>
    <t>CR1282-000</t>
  </si>
  <si>
    <t>045686033355</t>
  </si>
  <si>
    <t>045686004188</t>
  </si>
  <si>
    <t>045686033362</t>
  </si>
  <si>
    <t>045686005239</t>
  </si>
  <si>
    <t>045686033379</t>
  </si>
  <si>
    <t>045686003747</t>
  </si>
  <si>
    <t>045686033386</t>
  </si>
  <si>
    <t>045686006328</t>
  </si>
  <si>
    <t>045686006724</t>
  </si>
  <si>
    <t>EB0273-000</t>
  </si>
  <si>
    <t>CPGI-53440-7-5</t>
  </si>
  <si>
    <t>EB0272-000</t>
  </si>
  <si>
    <t>BCIC-G-ARM-24(B12)</t>
  </si>
  <si>
    <t>F42213-000</t>
  </si>
  <si>
    <t>BCIC-G-ARM-48(B12)</t>
  </si>
  <si>
    <t>CP8591-000</t>
  </si>
  <si>
    <t>BCIC-G-DPIN-556-01-24-B6</t>
  </si>
  <si>
    <t>A03221-000</t>
  </si>
  <si>
    <t>359334-000</t>
  </si>
  <si>
    <t>CA7309-000</t>
  </si>
  <si>
    <t>045686002498</t>
  </si>
  <si>
    <t>CA7308-000</t>
  </si>
  <si>
    <t>045686002481</t>
  </si>
  <si>
    <t>CL5800-000</t>
  </si>
  <si>
    <t>CPGI-569661-1</t>
  </si>
  <si>
    <t>045686042258</t>
  </si>
  <si>
    <t>045686006069</t>
  </si>
  <si>
    <t>045686033294</t>
  </si>
  <si>
    <t>045686005178</t>
  </si>
  <si>
    <t>045686033300</t>
  </si>
  <si>
    <t>045686004836</t>
  </si>
  <si>
    <t>045686033317</t>
  </si>
  <si>
    <t>045686006205</t>
  </si>
  <si>
    <t>CF6896-000</t>
  </si>
  <si>
    <t>045686031665</t>
  </si>
  <si>
    <t>045686003006</t>
  </si>
  <si>
    <t>CA8538-000</t>
  </si>
  <si>
    <t>CPGI-RNF-100-1-48-RDSK</t>
  </si>
  <si>
    <t>045686002993</t>
  </si>
  <si>
    <t>EB0267-000</t>
  </si>
  <si>
    <t>CPGI-2-1838167-0-10</t>
  </si>
  <si>
    <t>EB0303-000</t>
  </si>
  <si>
    <t>CPGI-2-1838170-0-10</t>
  </si>
  <si>
    <t>EB0304-000</t>
  </si>
  <si>
    <t>EA</t>
  </si>
  <si>
    <t>045686047024</t>
  </si>
  <si>
    <t>045686046911</t>
  </si>
  <si>
    <t>045686046768</t>
  </si>
  <si>
    <t>045686046867</t>
  </si>
  <si>
    <t>045686047093</t>
  </si>
  <si>
    <t>045686047369</t>
  </si>
  <si>
    <t>045686046782</t>
  </si>
  <si>
    <t>CG8865-000</t>
  </si>
  <si>
    <t>HVT-Z-81-G/SG-4/0C</t>
  </si>
  <si>
    <t>D91184-000</t>
  </si>
  <si>
    <t>HVT-Z-82-G/SG</t>
  </si>
  <si>
    <t>CG8868-000</t>
  </si>
  <si>
    <t>HVT-Z-82-G/SG-350C</t>
  </si>
  <si>
    <t>CJ5945-000</t>
  </si>
  <si>
    <t>HVT-Z-82-G/SG-500C</t>
  </si>
  <si>
    <t>D93334-000</t>
  </si>
  <si>
    <t>HVT-Z-83-G/SG</t>
  </si>
  <si>
    <t>CG8872-000</t>
  </si>
  <si>
    <t>HVT-Z-83-G/SG-1000C</t>
  </si>
  <si>
    <t>D54504-000</t>
  </si>
  <si>
    <t>HVT-Z-84-G/SG</t>
  </si>
  <si>
    <t>344260-000</t>
  </si>
  <si>
    <t>AMPS-0-0602002-0</t>
  </si>
  <si>
    <t>173194-000</t>
  </si>
  <si>
    <t>AMPS-0-0602003-0</t>
  </si>
  <si>
    <t>888660-000</t>
  </si>
  <si>
    <t>AMPS-0-0602004-0</t>
  </si>
  <si>
    <t>609134-000</t>
  </si>
  <si>
    <t>AMPS-0-0602006-0</t>
  </si>
  <si>
    <t>268120-000</t>
  </si>
  <si>
    <t>AMPS-0-0602007-0</t>
  </si>
  <si>
    <t>619202-000</t>
  </si>
  <si>
    <t>AMPS-0-0602013-0</t>
  </si>
  <si>
    <t>033886-000</t>
  </si>
  <si>
    <t>AMPS-0-0602014-0</t>
  </si>
  <si>
    <t>531908-000</t>
  </si>
  <si>
    <t>AMPS-0-0602031-8</t>
  </si>
  <si>
    <t>734842-000</t>
  </si>
  <si>
    <t>AMPS-0-0602031-9</t>
  </si>
  <si>
    <t>969546-000</t>
  </si>
  <si>
    <t>AMPS-0-0602046-1</t>
  </si>
  <si>
    <t>584026-000</t>
  </si>
  <si>
    <t>ALR-AA-1068M</t>
  </si>
  <si>
    <t>702794-000</t>
  </si>
  <si>
    <t>914588-000</t>
  </si>
  <si>
    <t>ALR-AM-1-A</t>
  </si>
  <si>
    <t>363670-000</t>
  </si>
  <si>
    <t>AMPS-1-0083592-3</t>
  </si>
  <si>
    <t>341810-000</t>
  </si>
  <si>
    <t>045686058143</t>
  </si>
  <si>
    <t>ED0511-000</t>
  </si>
  <si>
    <t>045686047956</t>
  </si>
  <si>
    <t>045686047932</t>
  </si>
  <si>
    <t>045686047925</t>
  </si>
  <si>
    <t>045686047918</t>
  </si>
  <si>
    <t>CR1436-000</t>
  </si>
  <si>
    <t>AMPS-0-1710735-1</t>
  </si>
  <si>
    <t>045686057504</t>
  </si>
  <si>
    <t>CR1438-000</t>
  </si>
  <si>
    <t>AMPS-0-1710735-3</t>
  </si>
  <si>
    <t>CR1439-000</t>
  </si>
  <si>
    <t>692655-000</t>
  </si>
  <si>
    <t>BCIC-8/12/2-U(B12)</t>
  </si>
  <si>
    <t>A90301-000</t>
  </si>
  <si>
    <t>BCAC-G-5D/8-01(B12)</t>
  </si>
  <si>
    <t>CJ4407-000</t>
  </si>
  <si>
    <t>BCAC-G-7D/10-01(B6)</t>
  </si>
  <si>
    <t>C51711-000</t>
  </si>
  <si>
    <t>BCAC-G-8D/14-01(B6)</t>
  </si>
  <si>
    <t>258162-000</t>
  </si>
  <si>
    <t>BCAC-G-AR-3.75D-2(B24)</t>
  </si>
  <si>
    <t>D12018-000</t>
  </si>
  <si>
    <t>BCAC-G-AR-5D-2(B24)</t>
  </si>
  <si>
    <t>C85326-000</t>
  </si>
  <si>
    <t>BCAC-G-ARR-HOT-01(B12)</t>
  </si>
  <si>
    <t>A37105-000</t>
  </si>
  <si>
    <t>BCAC-G-BYPASS-3PH(B1)</t>
  </si>
  <si>
    <t>F36901-000</t>
  </si>
  <si>
    <t>BCAC-G-CUTOUT-100-01-B12</t>
  </si>
  <si>
    <t>F92189-000</t>
  </si>
  <si>
    <t>BCAC-G-SWITCH-01(B12)</t>
  </si>
  <si>
    <t>427984-000</t>
  </si>
  <si>
    <t>BCIC-0270-SCE(B3)</t>
  </si>
  <si>
    <t>893800-000</t>
  </si>
  <si>
    <t>MOD-3A-HVT</t>
  </si>
  <si>
    <t>188193-000</t>
  </si>
  <si>
    <t>BBIT-25/10-A/U(B65)</t>
  </si>
  <si>
    <t>957749-000</t>
  </si>
  <si>
    <t>BBIT-40/16-A/U(B60)</t>
  </si>
  <si>
    <t>197127-000</t>
  </si>
  <si>
    <t>BBIT-65/25-A/U(B50)</t>
  </si>
  <si>
    <t>CJ9836-000</t>
  </si>
  <si>
    <t>126039-000</t>
  </si>
  <si>
    <t>EPPA-055-0/3</t>
  </si>
  <si>
    <t>118757-000</t>
  </si>
  <si>
    <t>EPPA-055-3/1</t>
  </si>
  <si>
    <t>536353-000</t>
  </si>
  <si>
    <t>EPPA-055-3/3</t>
  </si>
  <si>
    <t>198459-000</t>
  </si>
  <si>
    <t>EPPA-055-6/1</t>
  </si>
  <si>
    <t>954189-000</t>
  </si>
  <si>
    <t>EPPA-055-6/3</t>
  </si>
  <si>
    <t>F81493-000</t>
  </si>
  <si>
    <t>UTLX-0-1099898-4</t>
  </si>
  <si>
    <t>045686008315</t>
  </si>
  <si>
    <t>045686034987</t>
  </si>
  <si>
    <t>045686034994</t>
  </si>
  <si>
    <t>045686035007</t>
  </si>
  <si>
    <t>045686035014</t>
  </si>
  <si>
    <t>045686035021</t>
  </si>
  <si>
    <t>045686035038</t>
  </si>
  <si>
    <t>045686035045</t>
  </si>
  <si>
    <t>045686035052</t>
  </si>
  <si>
    <t>045686035069</t>
  </si>
  <si>
    <t>045686035076</t>
  </si>
  <si>
    <t>045686056088</t>
  </si>
  <si>
    <t>045686056095</t>
  </si>
  <si>
    <t>045686056101</t>
  </si>
  <si>
    <t>045686056118</t>
  </si>
  <si>
    <t>045686056125</t>
  </si>
  <si>
    <t>045686056149</t>
  </si>
  <si>
    <t>045686056156</t>
  </si>
  <si>
    <t>045686056217</t>
  </si>
  <si>
    <t>045686056231</t>
  </si>
  <si>
    <t>045686056248</t>
  </si>
  <si>
    <t>CL0770-000</t>
  </si>
  <si>
    <t>CJ-350-3W3W-CU-FT-B1</t>
  </si>
  <si>
    <t>CL0771-000</t>
  </si>
  <si>
    <t>CJ-350-5W5W-CU-FT-B1</t>
  </si>
  <si>
    <t>CL0773-000</t>
  </si>
  <si>
    <t>CJ-4/0-3W3W-CU-FT-B1</t>
  </si>
  <si>
    <t>CL0780-000</t>
  </si>
  <si>
    <t>GHVT-693-SSG(NS)</t>
  </si>
  <si>
    <t>E25218-000</t>
  </si>
  <si>
    <t>GILS-350(B18)</t>
  </si>
  <si>
    <t>F33734-000</t>
  </si>
  <si>
    <t>SIML-0-1727742-1</t>
  </si>
  <si>
    <t>908276-000</t>
  </si>
  <si>
    <t>SIML-1-0708052-1</t>
  </si>
  <si>
    <t>C98069-000</t>
  </si>
  <si>
    <t>HVT-Z-81-G/SG</t>
  </si>
  <si>
    <t>CG8862-000</t>
  </si>
  <si>
    <t>HVT-Z-81-G/SG-1/0C</t>
  </si>
  <si>
    <t>045686047390</t>
  </si>
  <si>
    <t>045686050062</t>
  </si>
  <si>
    <t>045686050055</t>
  </si>
  <si>
    <t>045686040483</t>
  </si>
  <si>
    <t>045686040490</t>
  </si>
  <si>
    <t>385273-000</t>
  </si>
  <si>
    <t>HVT-154-G</t>
  </si>
  <si>
    <t>022685-000</t>
  </si>
  <si>
    <t>HVT-154-J</t>
  </si>
  <si>
    <t>739764-000</t>
  </si>
  <si>
    <t>ED0868-000</t>
  </si>
  <si>
    <t>HVT-Z-153-SG-T8</t>
  </si>
  <si>
    <t>ED0870-000</t>
  </si>
  <si>
    <t>HVT-Z-252/352-SG-T5</t>
  </si>
  <si>
    <t>ED0874-000</t>
  </si>
  <si>
    <t>HVT-Z-254/354-SG-T9</t>
  </si>
  <si>
    <t>HVT-Z-254/354-SJ-T9</t>
  </si>
  <si>
    <t>045686032921</t>
  </si>
  <si>
    <t>045686032938</t>
  </si>
  <si>
    <t>045686032969</t>
  </si>
  <si>
    <t>045686032976</t>
  </si>
  <si>
    <t>045686003501</t>
  </si>
  <si>
    <t>045686003495</t>
  </si>
  <si>
    <t>045686004096</t>
  </si>
  <si>
    <t>045686045419</t>
  </si>
  <si>
    <t>045686045402</t>
  </si>
  <si>
    <t>045686045396</t>
  </si>
  <si>
    <t>045686045389</t>
  </si>
  <si>
    <t>045686045297</t>
  </si>
  <si>
    <t>045686048700</t>
  </si>
  <si>
    <t>984927-000</t>
  </si>
  <si>
    <t>HVS-822S</t>
  </si>
  <si>
    <t>F95994-000</t>
  </si>
  <si>
    <t>HVS-822S-FS</t>
  </si>
  <si>
    <t>300313-000</t>
  </si>
  <si>
    <t>HVS-823S</t>
  </si>
  <si>
    <t>045686033331</t>
  </si>
  <si>
    <t>045686006472</t>
  </si>
  <si>
    <t>069506-000</t>
  </si>
  <si>
    <t>IDP-TTPA200WE-10</t>
  </si>
  <si>
    <t>045686031603</t>
  </si>
  <si>
    <t>045686052684</t>
  </si>
  <si>
    <t>045686052691</t>
  </si>
  <si>
    <t>045686052707</t>
  </si>
  <si>
    <t>045686052714</t>
  </si>
  <si>
    <t>045686051786</t>
  </si>
  <si>
    <t>045686051861</t>
  </si>
  <si>
    <t>045686051878</t>
  </si>
  <si>
    <t>045686051885</t>
  </si>
  <si>
    <t>045686051892</t>
  </si>
  <si>
    <t>045686051908</t>
  </si>
  <si>
    <t>045686051915</t>
  </si>
  <si>
    <t>045686051922</t>
  </si>
  <si>
    <t>045686051939</t>
  </si>
  <si>
    <t>045686051946</t>
  </si>
  <si>
    <t>045686051953</t>
  </si>
  <si>
    <t>045686051960</t>
  </si>
  <si>
    <t>CL5801-000</t>
  </si>
  <si>
    <t>045686042265</t>
  </si>
  <si>
    <t>045686033324</t>
  </si>
  <si>
    <t>045686005901</t>
  </si>
  <si>
    <t>FCSM-28/9-1200-S(B25)</t>
  </si>
  <si>
    <t>636635-000</t>
  </si>
  <si>
    <t>FCSM-28/9-225-S(B50)</t>
  </si>
  <si>
    <t>E23026-000</t>
  </si>
  <si>
    <t>FCSM-28/9-300S(B50)</t>
  </si>
  <si>
    <t>194550-000</t>
  </si>
  <si>
    <t>FCSM-38/12-1200-S(B10)</t>
  </si>
  <si>
    <t>590268-000</t>
  </si>
  <si>
    <t>FCSM-38/12-300-S(B40)</t>
  </si>
  <si>
    <t>637932-000</t>
  </si>
  <si>
    <t>FCSM-51/16-1200-S(B10)</t>
  </si>
  <si>
    <t>339601-000</t>
  </si>
  <si>
    <t>FCSM-51/16-300-S(B30)</t>
  </si>
  <si>
    <t>041276-000</t>
  </si>
  <si>
    <t>045686004942</t>
  </si>
  <si>
    <t>CP4170-000</t>
  </si>
  <si>
    <t>CS6055-000</t>
  </si>
  <si>
    <t>CF7426-000</t>
  </si>
  <si>
    <t>CPGI-CTY-11-50-BLK-C</t>
  </si>
  <si>
    <t>045686029242</t>
  </si>
  <si>
    <t>CPGI-2-1838153-0-75</t>
  </si>
  <si>
    <t>EB0289-000</t>
  </si>
  <si>
    <t>CPGI-2-1838161-0-10</t>
  </si>
  <si>
    <t>EB0290-000</t>
  </si>
  <si>
    <t>CPGI-2-1838161-0-50</t>
  </si>
  <si>
    <t>EB0266-000</t>
  </si>
  <si>
    <t>CPGI-2-1838162-0-10</t>
  </si>
  <si>
    <t>EB0265-000</t>
  </si>
  <si>
    <t>871847-000</t>
  </si>
  <si>
    <t>RVS-14 (B50)</t>
  </si>
  <si>
    <t>969917-000</t>
  </si>
  <si>
    <t>SHRINKMARK-10-2-4</t>
  </si>
  <si>
    <t>045686002122</t>
  </si>
  <si>
    <t>911184-000</t>
  </si>
  <si>
    <t>AMPS-0-0306347-1</t>
  </si>
  <si>
    <t>347788-000</t>
  </si>
  <si>
    <t>040337-000</t>
  </si>
  <si>
    <t>BPTM-50/20-A/U(B50)</t>
  </si>
  <si>
    <t>024331-000</t>
  </si>
  <si>
    <t>AMPS-0-0600456-0</t>
  </si>
  <si>
    <t>885592-000</t>
  </si>
  <si>
    <t>AMPS-0-0600458-0</t>
  </si>
  <si>
    <t>104352-000</t>
  </si>
  <si>
    <t>AMPS-0-0600459-0</t>
  </si>
  <si>
    <t>187374-000</t>
  </si>
  <si>
    <t>AMPS-0-0600463-0</t>
  </si>
  <si>
    <t>444622-000</t>
  </si>
  <si>
    <t>AMPS-0-0600464-0</t>
  </si>
  <si>
    <t>874584-000</t>
  </si>
  <si>
    <t>AMPS-0-0600465-0</t>
  </si>
  <si>
    <t>254436-000</t>
  </si>
  <si>
    <t>AMPS-0-0600466-0</t>
  </si>
  <si>
    <t>027858-000</t>
  </si>
  <si>
    <t>AMPS-0-0600468-0</t>
  </si>
  <si>
    <t>737866-000</t>
  </si>
  <si>
    <t>AMPS-0-0600469-0</t>
  </si>
  <si>
    <t>992750-000</t>
  </si>
  <si>
    <t>AMPS-0-0600474-0</t>
  </si>
  <si>
    <t>523402-000</t>
  </si>
  <si>
    <t>AMPS-0-0602000-0</t>
  </si>
  <si>
    <t>045686036646</t>
  </si>
  <si>
    <t>045686036653</t>
  </si>
  <si>
    <t>045686036660</t>
  </si>
  <si>
    <t>045686036684</t>
  </si>
  <si>
    <t>045686036691</t>
  </si>
  <si>
    <t>045686048632</t>
  </si>
  <si>
    <t>045686036813</t>
  </si>
  <si>
    <t>045686036820</t>
  </si>
  <si>
    <t>045686036837</t>
  </si>
  <si>
    <t>045686036844</t>
  </si>
  <si>
    <t>AMPS-0-0083005-5</t>
  </si>
  <si>
    <t>931172-000</t>
  </si>
  <si>
    <t>AMPS-0-0083010-1</t>
  </si>
  <si>
    <t>045686059867</t>
  </si>
  <si>
    <t>045686059843</t>
  </si>
  <si>
    <t>045686059874</t>
  </si>
  <si>
    <t>045686059850</t>
  </si>
  <si>
    <t>588340-000</t>
  </si>
  <si>
    <t>HVT-153-J</t>
  </si>
  <si>
    <t>526477-000</t>
  </si>
  <si>
    <t>HVT-153-SG</t>
  </si>
  <si>
    <t>024384-000</t>
  </si>
  <si>
    <t>HVT-153-SJ</t>
  </si>
  <si>
    <t>BCIC-RLP-01(BP)</t>
  </si>
  <si>
    <t>CF9286-000</t>
  </si>
  <si>
    <t>GPRT-500-3P(B6)</t>
  </si>
  <si>
    <t>CF9291-000</t>
  </si>
  <si>
    <t>GPRT-500-3P-C(B6)</t>
  </si>
  <si>
    <t>CF9287-000</t>
  </si>
  <si>
    <t>GPRT-500-4P(B6)</t>
  </si>
  <si>
    <t>CF9292-000</t>
  </si>
  <si>
    <t>GPRT-500-4P-C(B6)</t>
  </si>
  <si>
    <t>CF9288-000</t>
  </si>
  <si>
    <t>GPRT-500-5P(B6)</t>
  </si>
  <si>
    <t>CF9289-000</t>
  </si>
  <si>
    <t>GPRT-500-6P(B6)</t>
  </si>
  <si>
    <t>CF9294-000</t>
  </si>
  <si>
    <t>GPRT-500-6P-C(B6)</t>
  </si>
  <si>
    <t>CF9290-000</t>
  </si>
  <si>
    <t>GPRT-500-8P(B6)</t>
  </si>
  <si>
    <t>CF9295-000</t>
  </si>
  <si>
    <t>GPRT-500-8P-C(B6)</t>
  </si>
  <si>
    <t>CR8955-000</t>
  </si>
  <si>
    <t>673189-000</t>
  </si>
  <si>
    <t>HVE-1591</t>
  </si>
  <si>
    <t>917273-000</t>
  </si>
  <si>
    <t>HVE-1592</t>
  </si>
  <si>
    <t>894737-000</t>
  </si>
  <si>
    <t>HVE-1593</t>
  </si>
  <si>
    <t>932501-000</t>
  </si>
  <si>
    <t>HVE-1594</t>
  </si>
  <si>
    <t>629423-000</t>
  </si>
  <si>
    <t>HVES-1521D</t>
  </si>
  <si>
    <t>893667-000</t>
  </si>
  <si>
    <t>HVES-1522D</t>
  </si>
  <si>
    <t>493165-000</t>
  </si>
  <si>
    <t>HVES-1523D</t>
  </si>
  <si>
    <t>661245-000</t>
  </si>
  <si>
    <t>HVES-1524D</t>
  </si>
  <si>
    <t>175359-000</t>
  </si>
  <si>
    <t>HVES-2521D</t>
  </si>
  <si>
    <t>429525-000</t>
  </si>
  <si>
    <t>HVES-2522D</t>
  </si>
  <si>
    <t>275607-000</t>
  </si>
  <si>
    <t>HVES-2523D</t>
  </si>
  <si>
    <t>214081-000</t>
  </si>
  <si>
    <t>RNF-100-1/4-25-WHT</t>
  </si>
  <si>
    <t>618891-000</t>
  </si>
  <si>
    <t>RNF-100-1/8-25-BLK</t>
  </si>
  <si>
    <t>365305-000</t>
  </si>
  <si>
    <t>RNF-100-1/8-25-CLR</t>
  </si>
  <si>
    <t>334473-000</t>
  </si>
  <si>
    <t>RNF-100-1/8-25-WHT</t>
  </si>
  <si>
    <t>500393-000</t>
  </si>
  <si>
    <t>RNF-100-1/8-500-BLK</t>
  </si>
  <si>
    <t>256109-000</t>
  </si>
  <si>
    <t>RNF-100-1/8-500-WHT</t>
  </si>
  <si>
    <t>101733-000</t>
  </si>
  <si>
    <t>RNF-100-1-1/2-25-BLK</t>
  </si>
  <si>
    <t>349863-000</t>
  </si>
  <si>
    <t>045686053001</t>
  </si>
  <si>
    <t>045686053018</t>
  </si>
  <si>
    <t>045686053025</t>
  </si>
  <si>
    <t>045686053032</t>
  </si>
  <si>
    <t>045686053049</t>
  </si>
  <si>
    <t>045686053056</t>
  </si>
  <si>
    <t>045686053063</t>
  </si>
  <si>
    <t>045686053070</t>
  </si>
  <si>
    <t>045686053094</t>
  </si>
  <si>
    <t>045686053124</t>
  </si>
  <si>
    <t>045686053131</t>
  </si>
  <si>
    <t>045686053148</t>
  </si>
  <si>
    <t>045686053155</t>
  </si>
  <si>
    <t>045686053162</t>
  </si>
  <si>
    <t>045686053179</t>
  </si>
  <si>
    <t>045686053186</t>
  </si>
  <si>
    <t>045686053193</t>
  </si>
  <si>
    <t>CF5635-000</t>
  </si>
  <si>
    <t>IDP-PM09512</t>
  </si>
  <si>
    <t>045686031887</t>
  </si>
  <si>
    <t>E62068-000</t>
  </si>
  <si>
    <t>IDP-SB100375WE1-T200</t>
  </si>
  <si>
    <t>045686030866</t>
  </si>
  <si>
    <t>F07172-000</t>
  </si>
  <si>
    <t>IDP-SB100375WE2.5</t>
  </si>
  <si>
    <t>045686030873</t>
  </si>
  <si>
    <t>C07776-000</t>
  </si>
  <si>
    <t>777288-000</t>
  </si>
  <si>
    <t>FH-AD-3347-91-PS-BURN-1</t>
  </si>
  <si>
    <t>659584-000</t>
  </si>
  <si>
    <t>FH-AD-3348-91-PS-BURN-2</t>
  </si>
  <si>
    <t>CP9818-000</t>
  </si>
  <si>
    <t>CS5497-000</t>
  </si>
  <si>
    <t>BYMB-120/300</t>
  </si>
  <si>
    <t>BYMB-95/240</t>
  </si>
  <si>
    <t>CH5892-000</t>
  </si>
  <si>
    <t>HVS-EG-ARMR-2</t>
  </si>
  <si>
    <t>CH5891-000</t>
  </si>
  <si>
    <t>HVS-EG-ARMR-1</t>
  </si>
  <si>
    <t>045686069873</t>
  </si>
  <si>
    <t>045686069880</t>
  </si>
  <si>
    <t>ALR-SPT-347</t>
  </si>
  <si>
    <t>152078-000</t>
  </si>
  <si>
    <t>045686069842</t>
  </si>
  <si>
    <t>KMS-K-INT</t>
  </si>
  <si>
    <t>CU2713-000</t>
  </si>
  <si>
    <t>ASBS-3/0-500-S</t>
  </si>
  <si>
    <t>045686069866</t>
  </si>
  <si>
    <t>045686069989</t>
  </si>
  <si>
    <t>045686069996</t>
  </si>
  <si>
    <t>045686004904</t>
  </si>
  <si>
    <t>045686004065</t>
  </si>
  <si>
    <t>045686003594</t>
  </si>
  <si>
    <t>045686004348</t>
  </si>
  <si>
    <t>045686005710</t>
  </si>
  <si>
    <t>045686004362</t>
  </si>
  <si>
    <t>045686006212</t>
  </si>
  <si>
    <t>045686005741</t>
  </si>
  <si>
    <t>559855-000</t>
  </si>
  <si>
    <t>SHRINKMARK-1000-2-4-1K</t>
  </si>
  <si>
    <t>045686032235</t>
  </si>
  <si>
    <t>858589-000</t>
  </si>
  <si>
    <t>UTLX-1-1443402-4</t>
  </si>
  <si>
    <t>045686033775</t>
  </si>
  <si>
    <t>AMPS-0-1710727-4</t>
  </si>
  <si>
    <t>CR1315-000</t>
  </si>
  <si>
    <t>AMPS-0-1710727-5</t>
  </si>
  <si>
    <t>045686057054</t>
  </si>
  <si>
    <t>CR1316-000</t>
  </si>
  <si>
    <t>AMPS-0-1710727-6</t>
  </si>
  <si>
    <t>045686057061</t>
  </si>
  <si>
    <t>CR1318-000</t>
  </si>
  <si>
    <t>AMPS-0-1710727-8</t>
  </si>
  <si>
    <t>CR1321-000</t>
  </si>
  <si>
    <t>AMPS-0-1710728-2</t>
  </si>
  <si>
    <t>CR1322-000</t>
  </si>
  <si>
    <t>AMPS-0-1710728-3</t>
  </si>
  <si>
    <t>045686057115</t>
  </si>
  <si>
    <t>CR1324-000</t>
  </si>
  <si>
    <t>AMPS-0-1710729-1</t>
  </si>
  <si>
    <t>CR1325-000</t>
  </si>
  <si>
    <t>AMPS-0-1710729-2</t>
  </si>
  <si>
    <t>AMPS-0-1710735-4</t>
  </si>
  <si>
    <t>CR1440-000</t>
  </si>
  <si>
    <t>AMPS-0-1710735-5</t>
  </si>
  <si>
    <t>045686057542</t>
  </si>
  <si>
    <t>CR1441-000</t>
  </si>
  <si>
    <t>AMPS-0-1710735-6</t>
  </si>
  <si>
    <t>045686006625</t>
  </si>
  <si>
    <t>A81789-000</t>
  </si>
  <si>
    <t>BCIC-BYPASS(B1)</t>
  </si>
  <si>
    <t>332006-000</t>
  </si>
  <si>
    <t>BCIC-G-13D/13-HO(B3)</t>
  </si>
  <si>
    <t>C18476-000</t>
  </si>
  <si>
    <t>F73660-000</t>
  </si>
  <si>
    <t>BCIC-G-7.5D/18-3(B3)</t>
  </si>
  <si>
    <t>C24881-000</t>
  </si>
  <si>
    <t>BCIC-G-8D/15-HO(B3)</t>
  </si>
  <si>
    <t>E43398-000</t>
  </si>
  <si>
    <t>045686050444</t>
  </si>
  <si>
    <t>108727-000</t>
  </si>
  <si>
    <t>BBIT-175/80-A/U (B50)</t>
  </si>
  <si>
    <t>CJ0585-000</t>
  </si>
  <si>
    <t>CPGI-BUCH-3-1437390-6</t>
  </si>
  <si>
    <t>045686034222</t>
  </si>
  <si>
    <t>ED9925-000</t>
  </si>
  <si>
    <t>CSJA-3-1521-TECK</t>
  </si>
  <si>
    <t>ED9929-000</t>
  </si>
  <si>
    <t>CSJA-3-1522-TECK</t>
  </si>
  <si>
    <t>ED9934-000</t>
  </si>
  <si>
    <t>CSJA-3-1523-TECK</t>
  </si>
  <si>
    <t>ED9926-000</t>
  </si>
  <si>
    <t>CSJA-3-1521M1-TECK</t>
  </si>
  <si>
    <t>ED9930-000</t>
  </si>
  <si>
    <t>CSJA-3-1522M1-TECK</t>
  </si>
  <si>
    <t>ED9931-000</t>
  </si>
  <si>
    <t>CSJA-3-1522M2-TECK</t>
  </si>
  <si>
    <t>ED9935-000</t>
  </si>
  <si>
    <t>CSJA-3-1523M3-TECK</t>
  </si>
  <si>
    <t>ED9927-000</t>
  </si>
  <si>
    <t>CSJA-3-1521M4-TECK</t>
  </si>
  <si>
    <t>ED9928-000</t>
  </si>
  <si>
    <t>CSJA-3-1521M5-TECK</t>
  </si>
  <si>
    <t>ED9932-000</t>
  </si>
  <si>
    <t>CSJA-3-1522M6-TECK</t>
  </si>
  <si>
    <t>ED9933-000</t>
  </si>
  <si>
    <t>CSJA-3-1522M7-TECK</t>
  </si>
  <si>
    <t>ED9936-000</t>
  </si>
  <si>
    <t>CSJA-3-1523M8-TECK</t>
  </si>
  <si>
    <t>045686066452</t>
  </si>
  <si>
    <t>045686066476</t>
  </si>
  <si>
    <t>045686066483</t>
  </si>
  <si>
    <t>045686066469</t>
  </si>
  <si>
    <t>045686066490</t>
  </si>
  <si>
    <t>045686066506</t>
  </si>
  <si>
    <t>045686066513</t>
  </si>
  <si>
    <t>045686066520</t>
  </si>
  <si>
    <t>045686066537</t>
  </si>
  <si>
    <t>045686066544</t>
  </si>
  <si>
    <t>045686066551</t>
  </si>
  <si>
    <t>045686066568</t>
  </si>
  <si>
    <t>340527-000</t>
  </si>
  <si>
    <t>SHRINKMARK-2-2-S2-9</t>
  </si>
  <si>
    <t>045686004324</t>
  </si>
  <si>
    <t>TFT-254E-BRKT-4-SS</t>
  </si>
  <si>
    <t>907379-000</t>
  </si>
  <si>
    <t>TFT-254E-SG</t>
  </si>
  <si>
    <t>483721-000</t>
  </si>
  <si>
    <t>TFT-254E-SLC</t>
  </si>
  <si>
    <t>694289-000</t>
  </si>
  <si>
    <t>TFT-254R-SG</t>
  </si>
  <si>
    <t>975021-000</t>
  </si>
  <si>
    <t>TFT-352E</t>
  </si>
  <si>
    <t>954741-000</t>
  </si>
  <si>
    <t>TFT-352E-SG</t>
  </si>
  <si>
    <t>092601-000</t>
  </si>
  <si>
    <t>TFT-352E-SLC</t>
  </si>
  <si>
    <t>458341-000</t>
  </si>
  <si>
    <t>TFT-352R-SG</t>
  </si>
  <si>
    <t>974893-000</t>
  </si>
  <si>
    <t>TFT-353E</t>
  </si>
  <si>
    <t>840065-000</t>
  </si>
  <si>
    <t>TFT-353E-SG</t>
  </si>
  <si>
    <t>119593-000</t>
  </si>
  <si>
    <t>TFT-353R-SG</t>
  </si>
  <si>
    <t>494701-000</t>
  </si>
  <si>
    <t>TFT-354E</t>
  </si>
  <si>
    <t>385793-000</t>
  </si>
  <si>
    <t>TFT-354E-SG</t>
  </si>
  <si>
    <t>289089-000</t>
  </si>
  <si>
    <t>TFT-354R-SG</t>
  </si>
  <si>
    <t>426328-000</t>
  </si>
  <si>
    <t>TFT-50R</t>
  </si>
  <si>
    <t>113268-000</t>
  </si>
  <si>
    <t>TFT-51R</t>
  </si>
  <si>
    <t>408550-000</t>
  </si>
  <si>
    <t>TFT-52R</t>
  </si>
  <si>
    <t>519108-000</t>
  </si>
  <si>
    <t>TFT-53R</t>
  </si>
  <si>
    <t>607090-000</t>
  </si>
  <si>
    <t>SHRINKMARK-250-2-S1-9</t>
  </si>
  <si>
    <t>045686004645</t>
  </si>
  <si>
    <t>F14494-000</t>
  </si>
  <si>
    <t>UTLX-1-1099899-5</t>
  </si>
  <si>
    <t>045686008070</t>
  </si>
  <si>
    <t>A12604-000</t>
  </si>
  <si>
    <t>UTLX-1-1099899-6</t>
  </si>
  <si>
    <t>045686040513</t>
  </si>
  <si>
    <t>045686040520</t>
  </si>
  <si>
    <t>045686040537</t>
  </si>
  <si>
    <t>045686040544</t>
  </si>
  <si>
    <t>045686040551</t>
  </si>
  <si>
    <t>045686040568</t>
  </si>
  <si>
    <t>045686040575</t>
  </si>
  <si>
    <t>045686040124</t>
  </si>
  <si>
    <t>045686040131</t>
  </si>
  <si>
    <t>045686040155</t>
  </si>
  <si>
    <t>045686040162</t>
  </si>
  <si>
    <t>045686040186</t>
  </si>
  <si>
    <t>045686040193</t>
  </si>
  <si>
    <t>045686040216</t>
  </si>
  <si>
    <t>045686040247</t>
  </si>
  <si>
    <t>045686040254</t>
  </si>
  <si>
    <t>045686040261</t>
  </si>
  <si>
    <t>300623-000</t>
  </si>
  <si>
    <t>HVS-1583D</t>
  </si>
  <si>
    <t>122319-000</t>
  </si>
  <si>
    <t>HVS-1584D</t>
  </si>
  <si>
    <t>834919-000</t>
  </si>
  <si>
    <t>240725-000</t>
  </si>
  <si>
    <t>HVS-2511E-J</t>
  </si>
  <si>
    <t>204753-000</t>
  </si>
  <si>
    <t>HVS-2512E-J</t>
  </si>
  <si>
    <t>951971-000</t>
  </si>
  <si>
    <t>HVS-2513E-J</t>
  </si>
  <si>
    <t>555543-000</t>
  </si>
  <si>
    <t>HVS-2521S</t>
  </si>
  <si>
    <t>349195-000</t>
  </si>
  <si>
    <t>HVS-2522S</t>
  </si>
  <si>
    <t>460521-000</t>
  </si>
  <si>
    <t>865047-000</t>
  </si>
  <si>
    <t>BCIC-4411(B3)</t>
  </si>
  <si>
    <t>837225-000</t>
  </si>
  <si>
    <t>BCIC-4D/4(B3)</t>
  </si>
  <si>
    <t>F87081-000</t>
  </si>
  <si>
    <t>BCIC-4D/7-20(B3)</t>
  </si>
  <si>
    <t>770058-000</t>
  </si>
  <si>
    <t>BCIC-5.25D/8-HO(B6)</t>
  </si>
  <si>
    <t>886979-000</t>
  </si>
  <si>
    <t>BCIC-5.5D/11-H0(B15)</t>
  </si>
  <si>
    <t>117171-000</t>
  </si>
  <si>
    <t>BCIC-5.5D/11-H0(B3)</t>
  </si>
  <si>
    <t>845447-000</t>
  </si>
  <si>
    <t>BCIC-5.5D/16-H0(B15)</t>
  </si>
  <si>
    <t>273859-000</t>
  </si>
  <si>
    <t>668189-000</t>
  </si>
  <si>
    <t>TFT-151R-SG</t>
  </si>
  <si>
    <t>339579-000</t>
  </si>
  <si>
    <t>TFT-152E</t>
  </si>
  <si>
    <t>524631-000</t>
  </si>
  <si>
    <t>TFT-152E-G</t>
  </si>
  <si>
    <t>359279-000</t>
  </si>
  <si>
    <t>TFT-152E-SG</t>
  </si>
  <si>
    <t>A46081-000</t>
  </si>
  <si>
    <t>TFT-152E-SG-500</t>
  </si>
  <si>
    <t>556445-000</t>
  </si>
  <si>
    <t>TFT-152R-G</t>
  </si>
  <si>
    <t>607863-000</t>
  </si>
  <si>
    <t>TFT-152R-SG</t>
  </si>
  <si>
    <t>701545-000</t>
  </si>
  <si>
    <t>TFT-153E</t>
  </si>
  <si>
    <t>110575-000</t>
  </si>
  <si>
    <t>TFT-153E-G</t>
  </si>
  <si>
    <t>401619-000</t>
  </si>
  <si>
    <t>TFT-153E-SG</t>
  </si>
  <si>
    <t>TFT-GRD2</t>
  </si>
  <si>
    <t>045686047048</t>
  </si>
  <si>
    <t>045686047451</t>
  </si>
  <si>
    <t>045686046898</t>
  </si>
  <si>
    <t>045686047062</t>
  </si>
  <si>
    <t>045686047017</t>
  </si>
  <si>
    <t>EB8607-000</t>
  </si>
  <si>
    <t>ELB-15/28-610D30</t>
  </si>
  <si>
    <t>EB8610-000</t>
  </si>
  <si>
    <t>ELB-15/28-610D40</t>
  </si>
  <si>
    <t>ED2771-000</t>
  </si>
  <si>
    <t>ELB-15/28-610D-A1</t>
  </si>
  <si>
    <t>ED2750-000</t>
  </si>
  <si>
    <t>ED2753-000</t>
  </si>
  <si>
    <t>045686051571</t>
  </si>
  <si>
    <t>045686051588</t>
  </si>
  <si>
    <t>045686051595</t>
  </si>
  <si>
    <t>045686051601</t>
  </si>
  <si>
    <t>045686051618</t>
  </si>
  <si>
    <t>045686051625</t>
  </si>
  <si>
    <t>045686051632</t>
  </si>
  <si>
    <t>045686051649</t>
  </si>
  <si>
    <t>CPGI-HS-SPLICE-KIT-UF</t>
  </si>
  <si>
    <t>045686046942</t>
  </si>
  <si>
    <t>045686047253</t>
  </si>
  <si>
    <t>045686046744</t>
  </si>
  <si>
    <t>045686046959</t>
  </si>
  <si>
    <t>045686047345</t>
  </si>
  <si>
    <t>045686047123</t>
  </si>
  <si>
    <t>045686046973</t>
  </si>
  <si>
    <t>045686046836</t>
  </si>
  <si>
    <t>045686000272</t>
  </si>
  <si>
    <t>045686000289</t>
  </si>
  <si>
    <t>045686000296</t>
  </si>
  <si>
    <t>045686000319</t>
  </si>
  <si>
    <t>045686002092</t>
  </si>
  <si>
    <t>045686002108</t>
  </si>
  <si>
    <t>045686002115</t>
  </si>
  <si>
    <t>045686002146</t>
  </si>
  <si>
    <t>045686002153</t>
  </si>
  <si>
    <t>045686002184</t>
  </si>
  <si>
    <t>045686002191</t>
  </si>
  <si>
    <t>045686002207</t>
  </si>
  <si>
    <t>045686002214</t>
  </si>
  <si>
    <t>045686002221</t>
  </si>
  <si>
    <t>045686002238</t>
  </si>
  <si>
    <t>045686002252</t>
  </si>
  <si>
    <t>045686002269</t>
  </si>
  <si>
    <t>045686002276</t>
  </si>
  <si>
    <t>045686002283</t>
  </si>
  <si>
    <t>045686002306</t>
  </si>
  <si>
    <t>045686002313</t>
  </si>
  <si>
    <t>045686002979</t>
  </si>
  <si>
    <t>045686003259</t>
  </si>
  <si>
    <t>045686003600</t>
  </si>
  <si>
    <t>470636-000</t>
  </si>
  <si>
    <t>243390-000</t>
  </si>
  <si>
    <t>AMPS-0-0083843-2</t>
  </si>
  <si>
    <t>714880-000</t>
  </si>
  <si>
    <t>AMPS-0-0083843-3</t>
  </si>
  <si>
    <t>385078-000</t>
  </si>
  <si>
    <t>AMPS-0-0083843-4</t>
  </si>
  <si>
    <t>291920-000</t>
  </si>
  <si>
    <t>AMPS-0-0083843-5</t>
  </si>
  <si>
    <t>289936-000</t>
  </si>
  <si>
    <t>591034-000</t>
  </si>
  <si>
    <t>AMPS-1-0081723-0</t>
  </si>
  <si>
    <t>858144-000</t>
  </si>
  <si>
    <t>CPGI-2-1838170-0-100</t>
  </si>
  <si>
    <t>EB0291-000</t>
  </si>
  <si>
    <t>CPGI-2-1838173-0-10</t>
  </si>
  <si>
    <t>EB0292-000</t>
  </si>
  <si>
    <t>CPGI-2-1838176-0-10</t>
  </si>
  <si>
    <t>045686038428</t>
  </si>
  <si>
    <t>045686038466</t>
  </si>
  <si>
    <t>045686038503</t>
  </si>
  <si>
    <t>045686038534</t>
  </si>
  <si>
    <t>045686038541</t>
  </si>
  <si>
    <t>045686038558</t>
  </si>
  <si>
    <t>045686038589</t>
  </si>
  <si>
    <t>045686038596</t>
  </si>
  <si>
    <t>045686038602</t>
  </si>
  <si>
    <t>045686038619</t>
  </si>
  <si>
    <t>045686038626</t>
  </si>
  <si>
    <t>045686038633</t>
  </si>
  <si>
    <t>045686038640</t>
  </si>
  <si>
    <t>045686038657</t>
  </si>
  <si>
    <t>045686038664</t>
  </si>
  <si>
    <t>045686038671</t>
  </si>
  <si>
    <t>045686038688</t>
  </si>
  <si>
    <t>045686038695</t>
  </si>
  <si>
    <t>045686038701</t>
  </si>
  <si>
    <t>045686038718</t>
  </si>
  <si>
    <t>045686038725</t>
  </si>
  <si>
    <t>045686038749</t>
  </si>
  <si>
    <t>045686038848</t>
  </si>
  <si>
    <t>045686038862</t>
  </si>
  <si>
    <t>045686038879</t>
  </si>
  <si>
    <t>045686038886</t>
  </si>
  <si>
    <t>045686038909</t>
  </si>
  <si>
    <t>045686038930</t>
  </si>
  <si>
    <t>045686038954</t>
  </si>
  <si>
    <t>045686038978</t>
  </si>
  <si>
    <t>045686038985</t>
  </si>
  <si>
    <t>045686038992</t>
  </si>
  <si>
    <t>045686039159</t>
  </si>
  <si>
    <t>045686039166</t>
  </si>
  <si>
    <t>045686039173</t>
  </si>
  <si>
    <t>045686039180</t>
  </si>
  <si>
    <t>045686039197</t>
  </si>
  <si>
    <t>045686039203</t>
  </si>
  <si>
    <t>045686039210</t>
  </si>
  <si>
    <t>045686039227</t>
  </si>
  <si>
    <t>045686039234</t>
  </si>
  <si>
    <t>045686039241</t>
  </si>
  <si>
    <t>045686033690</t>
  </si>
  <si>
    <t>A36732-000</t>
  </si>
  <si>
    <t>045686033706</t>
  </si>
  <si>
    <t>A60689-000</t>
  </si>
  <si>
    <t>045686033720</t>
  </si>
  <si>
    <t>045686059881</t>
  </si>
  <si>
    <t>045686059898</t>
  </si>
  <si>
    <t>CM7291-000</t>
  </si>
  <si>
    <t>CPGI-SGRS-1-6</t>
  </si>
  <si>
    <t>EB1052-000</t>
  </si>
  <si>
    <t>CPGI-SGRS-1-BULK</t>
  </si>
  <si>
    <t>CM7292-000</t>
  </si>
  <si>
    <t>CPGI-SGRS-2-6</t>
  </si>
  <si>
    <t>EB1053-000</t>
  </si>
  <si>
    <t>CPGI-SGRS-2-BULK</t>
  </si>
  <si>
    <t>CM7293-000</t>
  </si>
  <si>
    <t>CP9910-000</t>
  </si>
  <si>
    <t>ELB-35-600-GRD1</t>
  </si>
  <si>
    <t>ELB-35-600-GRD2</t>
  </si>
  <si>
    <t>CP7364-000</t>
  </si>
  <si>
    <t>ELB-35-600-GRD3</t>
  </si>
  <si>
    <t>CR6675-000</t>
  </si>
  <si>
    <t>045686059751</t>
  </si>
  <si>
    <t>045686059577</t>
  </si>
  <si>
    <t>045686059584</t>
  </si>
  <si>
    <t>045686059614</t>
  </si>
  <si>
    <t>CP4529-000</t>
  </si>
  <si>
    <t>BCIC-G-SMPIN-795-24(B3)</t>
  </si>
  <si>
    <t>964058-000</t>
  </si>
  <si>
    <t>BCIC-HLC-01(B3)</t>
  </si>
  <si>
    <t>EA3551-000</t>
  </si>
  <si>
    <t>CSJA-2823M8</t>
  </si>
  <si>
    <t>CM1364-000</t>
  </si>
  <si>
    <t>CSJA-2824</t>
  </si>
  <si>
    <t>CM1365-000</t>
  </si>
  <si>
    <t>CSJA-2824M2</t>
  </si>
  <si>
    <t>EA3552-000</t>
  </si>
  <si>
    <t>CSJA-2824M9</t>
  </si>
  <si>
    <t>CL5083-000</t>
  </si>
  <si>
    <t>CSJA-3523</t>
  </si>
  <si>
    <t>EA3542-000</t>
  </si>
  <si>
    <t>CSJA-3523M1</t>
  </si>
  <si>
    <t>EA3541-000</t>
  </si>
  <si>
    <t>CSJA-3524</t>
  </si>
  <si>
    <t>EA3543-000</t>
  </si>
  <si>
    <t>CSJA-3524M2</t>
  </si>
  <si>
    <t>D10900-000</t>
  </si>
  <si>
    <t>045686007004</t>
  </si>
  <si>
    <t>D26734-000</t>
  </si>
  <si>
    <t>UTLX-0-1099939-7</t>
  </si>
  <si>
    <t>045686007349</t>
  </si>
  <si>
    <t>E26051-000</t>
  </si>
  <si>
    <t>UTLX-0-1099939-8</t>
  </si>
  <si>
    <t>045686007790</t>
  </si>
  <si>
    <t>A67870-000</t>
  </si>
  <si>
    <t>UTLX-0-1099939-9</t>
  </si>
  <si>
    <t>045686006892</t>
  </si>
  <si>
    <t>508626-000</t>
  </si>
  <si>
    <t>UTLX-1-1099898-0</t>
  </si>
  <si>
    <t>045686004935</t>
  </si>
  <si>
    <t>BCIC-14/19/6-U(B3)</t>
  </si>
  <si>
    <t>F37125-000</t>
  </si>
  <si>
    <t>BCIC-150/6/3/1-T(B12)</t>
  </si>
  <si>
    <t>045686056866</t>
  </si>
  <si>
    <t>CR1296-000</t>
  </si>
  <si>
    <t>AMPS-0-1710724-3</t>
  </si>
  <si>
    <t>CR1297-000</t>
  </si>
  <si>
    <t>AMPS-0-1710724-4</t>
  </si>
  <si>
    <t>CR1298-000</t>
  </si>
  <si>
    <t>AMPS-0-1710725-1</t>
  </si>
  <si>
    <t>045686056897</t>
  </si>
  <si>
    <t>CR1299-000</t>
  </si>
  <si>
    <t>AMPS-0-1710725-2</t>
  </si>
  <si>
    <t>CR1301-000</t>
  </si>
  <si>
    <t>AMPS-0-1710725-4</t>
  </si>
  <si>
    <t>CR1302-000</t>
  </si>
  <si>
    <t>AMPS-0-1710725-5</t>
  </si>
  <si>
    <t>045686056934</t>
  </si>
  <si>
    <t>CR1303-000</t>
  </si>
  <si>
    <t>AMPS-0-1710725-6</t>
  </si>
  <si>
    <t>CR1304-000</t>
  </si>
  <si>
    <t>984465-000</t>
  </si>
  <si>
    <t>RSK-2</t>
  </si>
  <si>
    <t>206883-000</t>
  </si>
  <si>
    <t>RVC-1V (B5)</t>
  </si>
  <si>
    <t>120749-000</t>
  </si>
  <si>
    <t>RVC-2V (B5)</t>
  </si>
  <si>
    <t>082759-000</t>
  </si>
  <si>
    <t>RVC-3V (B5)</t>
  </si>
  <si>
    <t>714941-000</t>
  </si>
  <si>
    <t>RVC-4V (B5)</t>
  </si>
  <si>
    <t>647811-000</t>
  </si>
  <si>
    <t>RVS-11 (B50)</t>
  </si>
  <si>
    <t>300697-000</t>
  </si>
  <si>
    <t>RVS-11(B5)</t>
  </si>
  <si>
    <t>834255-000</t>
  </si>
  <si>
    <t>045686006281</t>
  </si>
  <si>
    <t>045686005123</t>
  </si>
  <si>
    <t>045686004171</t>
  </si>
  <si>
    <t>045686003730</t>
  </si>
  <si>
    <t>045686032747</t>
  </si>
  <si>
    <t>CRSM-107/29-1000(B5)</t>
  </si>
  <si>
    <t>045686048243</t>
  </si>
  <si>
    <t>045686004294</t>
  </si>
  <si>
    <t>045686032754</t>
  </si>
  <si>
    <t>AMPS-0-1710732-3</t>
  </si>
  <si>
    <t>CR1423-000</t>
  </si>
  <si>
    <t>AMPS-0-1710732-4</t>
  </si>
  <si>
    <t>045686057382</t>
  </si>
  <si>
    <t>CR1424-000</t>
  </si>
  <si>
    <t>AMPS-0-1710733-1</t>
  </si>
  <si>
    <t>045686057399</t>
  </si>
  <si>
    <t>CR1425-000</t>
  </si>
  <si>
    <t>AMPS-0-1710733-2</t>
  </si>
  <si>
    <t>CR1427-000</t>
  </si>
  <si>
    <t>AMPS-0-1710733-4</t>
  </si>
  <si>
    <t>CR1428-000</t>
  </si>
  <si>
    <t>AMPS-0-1710733-5</t>
  </si>
  <si>
    <t>CR1430-000</t>
  </si>
  <si>
    <t>AMPS-0-1710733-7</t>
  </si>
  <si>
    <t>045686057450</t>
  </si>
  <si>
    <t>CR1431-000</t>
  </si>
  <si>
    <t>AMPS-0-1710733-8</t>
  </si>
  <si>
    <t>045686057467</t>
  </si>
  <si>
    <t>CR1433-000</t>
  </si>
  <si>
    <t>AMPS-0-1710734-1</t>
  </si>
  <si>
    <t>F94578-000</t>
  </si>
  <si>
    <t>045686031788</t>
  </si>
  <si>
    <t>CF6905-000</t>
  </si>
  <si>
    <t>045686031849</t>
  </si>
  <si>
    <t>TFT-252E-SLC</t>
  </si>
  <si>
    <t>634605-000</t>
  </si>
  <si>
    <t>TFT-252R-SG</t>
  </si>
  <si>
    <t>655591-000</t>
  </si>
  <si>
    <t>TFT-253E</t>
  </si>
  <si>
    <t>658897-000</t>
  </si>
  <si>
    <t>TFT-253E-SG</t>
  </si>
  <si>
    <t>141025-000</t>
  </si>
  <si>
    <t>TFT-253R-SG</t>
  </si>
  <si>
    <t>616801-000</t>
  </si>
  <si>
    <t>TFT-254E</t>
  </si>
  <si>
    <t>C64281-000</t>
  </si>
  <si>
    <t>TFT-251E-1/0</t>
  </si>
  <si>
    <t>484279-000</t>
  </si>
  <si>
    <t>TFT-251E-SG</t>
  </si>
  <si>
    <t>996589-000</t>
  </si>
  <si>
    <t>TFT-251R-SG</t>
  </si>
  <si>
    <t>834711-000</t>
  </si>
  <si>
    <t>TFT-252E</t>
  </si>
  <si>
    <t>035869-000</t>
  </si>
  <si>
    <t>TFT-252E-SG</t>
  </si>
  <si>
    <t>204389-000</t>
  </si>
  <si>
    <t>CSJA-2822M5</t>
  </si>
  <si>
    <t>EA3550-000</t>
  </si>
  <si>
    <t>CSJA-2822M6</t>
  </si>
  <si>
    <t>EA7075-000</t>
  </si>
  <si>
    <t>CSJA-JCN/EG-1511</t>
  </si>
  <si>
    <t>EA7093-000</t>
  </si>
  <si>
    <t>CSJA-JCN/EG-1511M4</t>
  </si>
  <si>
    <t>EA7094-000</t>
  </si>
  <si>
    <t>CSJA-JCN/EG-1511M5</t>
  </si>
  <si>
    <t>EA7076-000</t>
  </si>
  <si>
    <t>CSJA-JCN/EG-1512</t>
  </si>
  <si>
    <t>EA7095-000</t>
  </si>
  <si>
    <t>D62259-000</t>
  </si>
  <si>
    <t>UTLX-0-1099898-6</t>
  </si>
  <si>
    <t>045686007493</t>
  </si>
  <si>
    <t>C92458-000</t>
  </si>
  <si>
    <t>045686005284</t>
  </si>
  <si>
    <t>E41886-000</t>
  </si>
  <si>
    <t>LM2020PLUS-PRINTER-KIT</t>
  </si>
  <si>
    <t>045686032143</t>
  </si>
  <si>
    <t>ED2685-000</t>
  </si>
  <si>
    <t>ELB-35-600G-A1</t>
  </si>
  <si>
    <t>ED2662-000</t>
  </si>
  <si>
    <t>ED2686-000</t>
  </si>
  <si>
    <t>ELB-35-600H-A1</t>
  </si>
  <si>
    <t>ED2663-000</t>
  </si>
  <si>
    <t>EB8220-000</t>
  </si>
  <si>
    <t>ELB-35-600J30</t>
  </si>
  <si>
    <t>CP5594-000</t>
  </si>
  <si>
    <t>ELB-35-600J40</t>
  </si>
  <si>
    <t>045686000524</t>
  </si>
  <si>
    <t>A27836-000</t>
  </si>
  <si>
    <t>CPGI-GELWRAP-UF-200</t>
  </si>
  <si>
    <t>800776-000</t>
  </si>
  <si>
    <t>LM-3/16-TUBE-WE</t>
  </si>
  <si>
    <t>045686005970</t>
  </si>
  <si>
    <t>743156-000</t>
  </si>
  <si>
    <t>LM-3/16-TUBE-YW</t>
  </si>
  <si>
    <t>045686032150</t>
  </si>
  <si>
    <t>CR7878-000</t>
  </si>
  <si>
    <t>045686059102</t>
  </si>
  <si>
    <t>CX4709-000</t>
  </si>
  <si>
    <t>CPGI-WCSM-12/3-150-BLK</t>
  </si>
  <si>
    <t>866021-000</t>
  </si>
  <si>
    <t>RNF-100-1-25-CLR</t>
  </si>
  <si>
    <t>735281-000</t>
  </si>
  <si>
    <t>RNF-100-1-25-WHT</t>
  </si>
  <si>
    <t>570691-000</t>
  </si>
  <si>
    <t>RNF-100-2-25-BLK</t>
  </si>
  <si>
    <t>045686052721</t>
  </si>
  <si>
    <t>045686052738</t>
  </si>
  <si>
    <t>045686052745</t>
  </si>
  <si>
    <t>045686052752</t>
  </si>
  <si>
    <t>045686052769</t>
  </si>
  <si>
    <t>045686052776</t>
  </si>
  <si>
    <t>045686052783</t>
  </si>
  <si>
    <t>045686052790</t>
  </si>
  <si>
    <t>045686052806</t>
  </si>
  <si>
    <t>045686052820</t>
  </si>
  <si>
    <t>045686052851</t>
  </si>
  <si>
    <t>045686052868</t>
  </si>
  <si>
    <t>045686052875</t>
  </si>
  <si>
    <t>045686052882</t>
  </si>
  <si>
    <t>045686052899</t>
  </si>
  <si>
    <t>045686052905</t>
  </si>
  <si>
    <t>045686052936</t>
  </si>
  <si>
    <t>045686052998</t>
  </si>
  <si>
    <t>A69412-000</t>
  </si>
  <si>
    <t>ELB-35-900-J3-CU-ADJ</t>
  </si>
  <si>
    <t>045686058150</t>
  </si>
  <si>
    <t>ED0512-000</t>
  </si>
  <si>
    <t>ELB-35-900-J4-CU-ADJ</t>
  </si>
  <si>
    <t>045686058167</t>
  </si>
  <si>
    <t>ED0518-000</t>
  </si>
  <si>
    <t>ELB-15/28-600-SP</t>
  </si>
  <si>
    <t>045686058174</t>
  </si>
  <si>
    <t>ED0519-000</t>
  </si>
  <si>
    <t>ELB-35-600-SP</t>
  </si>
  <si>
    <t>045686058181</t>
  </si>
  <si>
    <t>ED0514-000</t>
  </si>
  <si>
    <t>ELB-15/28-600-CP-AL</t>
  </si>
  <si>
    <t>045686058198</t>
  </si>
  <si>
    <t>ED0516-000</t>
  </si>
  <si>
    <t>ELB-35-600-CP-AL</t>
  </si>
  <si>
    <t>ED0515-000</t>
  </si>
  <si>
    <t>ELB-15/28-900-CP-CU</t>
  </si>
  <si>
    <t>045686058211</t>
  </si>
  <si>
    <t>ED0517-000</t>
  </si>
  <si>
    <t>ELB-35-900-CP-CU</t>
  </si>
  <si>
    <t>ED0513-000</t>
  </si>
  <si>
    <t>ELB-15/28-600-IC</t>
  </si>
  <si>
    <t>CR5664-000</t>
  </si>
  <si>
    <t>ELB-600-SPANNER</t>
  </si>
  <si>
    <t>045686058242</t>
  </si>
  <si>
    <t>GELWRAP-33/10-250(B12)</t>
  </si>
  <si>
    <t>045686058303</t>
  </si>
  <si>
    <t>CA3278-000</t>
  </si>
  <si>
    <t>GELWRAP-33/10-250(B30)</t>
  </si>
  <si>
    <t>045686058310</t>
  </si>
  <si>
    <t>E52584-000</t>
  </si>
  <si>
    <t>045686058327</t>
  </si>
  <si>
    <t>ALR-6090-VPS-UL</t>
  </si>
  <si>
    <t>CF5636-000</t>
  </si>
  <si>
    <t>IDP-CM-SCE-25-4H-9</t>
  </si>
  <si>
    <t>045686031917</t>
  </si>
  <si>
    <t>CM6539-000</t>
  </si>
  <si>
    <t>HVBT-1-R-01(B8)</t>
  </si>
  <si>
    <t>CP8406-000</t>
  </si>
  <si>
    <t>HVBT-2-R-01(B4)</t>
  </si>
  <si>
    <t>CM6541-000</t>
  </si>
  <si>
    <t>HVBT-4-R-01(B2)</t>
  </si>
  <si>
    <t>045686000357</t>
  </si>
  <si>
    <t>045686003648</t>
  </si>
  <si>
    <t>045686005758</t>
  </si>
  <si>
    <t>045686000340</t>
  </si>
  <si>
    <t>045686004416</t>
  </si>
  <si>
    <t>045686004287</t>
  </si>
  <si>
    <t>045686056750</t>
  </si>
  <si>
    <t>CR1284-000</t>
  </si>
  <si>
    <t>MCK-5-1V</t>
  </si>
  <si>
    <t>MCK-5-2L</t>
  </si>
  <si>
    <t>MCK-5-2V</t>
  </si>
  <si>
    <t>MCK-5-3V</t>
  </si>
  <si>
    <t>ED0502-000</t>
  </si>
  <si>
    <t>ELB-15/28-600-J3-AL-ADJ</t>
  </si>
  <si>
    <t>045686058068</t>
  </si>
  <si>
    <t>ED0503-000</t>
  </si>
  <si>
    <t>ELB-15/28-600-J4-AL-ADJ</t>
  </si>
  <si>
    <t>ED0504-000</t>
  </si>
  <si>
    <t>ELB-15/28-900-J2-CU-ADJ</t>
  </si>
  <si>
    <t>ED0505-000</t>
  </si>
  <si>
    <t>ELB-15/28-900-J3-CU-ADJ</t>
  </si>
  <si>
    <t>045686058099</t>
  </si>
  <si>
    <t>ED0506-000</t>
  </si>
  <si>
    <t>ELB-15/28-900-J4-CU-ADJ</t>
  </si>
  <si>
    <t>ED0507-000</t>
  </si>
  <si>
    <t>ELB-35-600-J2-AL-ADJ</t>
  </si>
  <si>
    <t>CR1442-000</t>
  </si>
  <si>
    <t>AMPS-0-1710735-7</t>
  </si>
  <si>
    <t>045686057566</t>
  </si>
  <si>
    <t>CR1443-000</t>
  </si>
  <si>
    <t>AMPS-0-1710735-8</t>
  </si>
  <si>
    <t>CR1444-000</t>
  </si>
  <si>
    <t>AMPS-0-1710736-1</t>
  </si>
  <si>
    <t>045686057580</t>
  </si>
  <si>
    <t>197829-000</t>
  </si>
  <si>
    <t>HVT-151-SG</t>
  </si>
  <si>
    <t>476155-000</t>
  </si>
  <si>
    <t>HVT-151-SJ</t>
  </si>
  <si>
    <t>063838-000</t>
  </si>
  <si>
    <t>HVT-152-G</t>
  </si>
  <si>
    <t>471648-000</t>
  </si>
  <si>
    <t>HVT-152-J</t>
  </si>
  <si>
    <t>777525-000</t>
  </si>
  <si>
    <t>HVT-152-LC</t>
  </si>
  <si>
    <t>907795-000</t>
  </si>
  <si>
    <t>HVT-152-SG</t>
  </si>
  <si>
    <t>672389-000</t>
  </si>
  <si>
    <t>HVT-152-SJ</t>
  </si>
  <si>
    <t>101265-000</t>
  </si>
  <si>
    <t>HVT-153-G</t>
  </si>
  <si>
    <t>045686002245</t>
  </si>
  <si>
    <t>045686004027</t>
  </si>
  <si>
    <t>448863-000</t>
  </si>
  <si>
    <t>MBSM-200/50-1200</t>
  </si>
  <si>
    <t>045686003242</t>
  </si>
  <si>
    <t>045686032860</t>
  </si>
  <si>
    <t>045686003853</t>
  </si>
  <si>
    <t>045686032877</t>
  </si>
  <si>
    <t>045686005420</t>
  </si>
  <si>
    <t>045686047772</t>
  </si>
  <si>
    <t>S1189-3-600 (B25)</t>
  </si>
  <si>
    <t>155399-000</t>
  </si>
  <si>
    <t>S1251-25-300-4(B25)</t>
  </si>
  <si>
    <t>835375-000</t>
  </si>
  <si>
    <t>S1251-50-300-1(B25)</t>
  </si>
  <si>
    <t>268624-000</t>
  </si>
  <si>
    <t>528121-000</t>
  </si>
  <si>
    <t>S1278-3X61X7620(S1)</t>
  </si>
  <si>
    <t>CL4555-000</t>
  </si>
  <si>
    <t>SL-250-120V-NF-FT(B1)</t>
  </si>
  <si>
    <t>CL4553-000</t>
  </si>
  <si>
    <t>SL-350-120V-NF-FT(B1)</t>
  </si>
  <si>
    <t>EB0309-000</t>
  </si>
  <si>
    <t>CPGI-B-106-2503-5</t>
  </si>
  <si>
    <t>044800-000</t>
  </si>
  <si>
    <t>BCIC-100/4-1-ST(B12)</t>
  </si>
  <si>
    <t>052923-000</t>
  </si>
  <si>
    <t>BCIC-10D/18-3(B3)</t>
  </si>
  <si>
    <t>045686049011</t>
  </si>
  <si>
    <t>045686049035</t>
  </si>
  <si>
    <t>045686049059</t>
  </si>
  <si>
    <t>CM7924-000</t>
  </si>
  <si>
    <t>CPGI-ALR-ACL-11</t>
  </si>
  <si>
    <t>85718N-000</t>
  </si>
  <si>
    <t>CPGI-ALR-6090-VPS-UL</t>
  </si>
  <si>
    <t>E77270-000</t>
  </si>
  <si>
    <t>UTLX-1-1099899-1</t>
  </si>
  <si>
    <t>045686007967</t>
  </si>
  <si>
    <t>006595-000</t>
  </si>
  <si>
    <t>SHRINKMARK-2-2-S1-9-1K</t>
  </si>
  <si>
    <t>045686032587</t>
  </si>
  <si>
    <t>045686004881</t>
  </si>
  <si>
    <t>026895-000</t>
  </si>
  <si>
    <t>SHRINKMARK-2-2-9-1K</t>
  </si>
  <si>
    <t>045686032563</t>
  </si>
  <si>
    <t>F94555-000</t>
  </si>
  <si>
    <t>CSJA-JCN/EG-1512M6</t>
  </si>
  <si>
    <t>EA7077-000</t>
  </si>
  <si>
    <t>CSJA-JCN/EG-1513</t>
  </si>
  <si>
    <t>EA7097-000</t>
  </si>
  <si>
    <t>CSJA-JCN/EG-1513M8</t>
  </si>
  <si>
    <t>EA7078-000</t>
  </si>
  <si>
    <t>CSJA-JCN/EG-1514</t>
  </si>
  <si>
    <t>EA7098-000</t>
  </si>
  <si>
    <t>CSJA-JCN/EG-1514M9</t>
  </si>
  <si>
    <t>EA7079-000</t>
  </si>
  <si>
    <t>CSJA-JCN/EG-2812</t>
  </si>
  <si>
    <t>EA7099-000</t>
  </si>
  <si>
    <t>CSJA-JCN/EG-2812M5</t>
  </si>
  <si>
    <t>EA7100-000</t>
  </si>
  <si>
    <t>CSJA-JCN/EG-2812M6</t>
  </si>
  <si>
    <t>EA7101-000</t>
  </si>
  <si>
    <t>CSJA-JCN/EG-2813M8</t>
  </si>
  <si>
    <t>EA7081-000</t>
  </si>
  <si>
    <t>CSJA-JCN/EG-2814</t>
  </si>
  <si>
    <t>406227-000</t>
  </si>
  <si>
    <t>045686062874</t>
  </si>
  <si>
    <t>045686062928</t>
  </si>
  <si>
    <t>045686062935</t>
  </si>
  <si>
    <t>045686062973</t>
  </si>
  <si>
    <t>045686062980</t>
  </si>
  <si>
    <t>045686062997</t>
  </si>
  <si>
    <t>045686063024</t>
  </si>
  <si>
    <t>045686063055</t>
  </si>
  <si>
    <t>045686063062</t>
  </si>
  <si>
    <t>045686063079</t>
  </si>
  <si>
    <t>045686063086</t>
  </si>
  <si>
    <t>045686063093</t>
  </si>
  <si>
    <t>045686063123</t>
  </si>
  <si>
    <t>045686063130</t>
  </si>
  <si>
    <t>045686063147</t>
  </si>
  <si>
    <t>045686063154</t>
  </si>
  <si>
    <t>045686063185</t>
  </si>
  <si>
    <t>045686063192</t>
  </si>
  <si>
    <t>045686063208</t>
  </si>
  <si>
    <t>045686063239</t>
  </si>
  <si>
    <t>045686063260</t>
  </si>
  <si>
    <t>045686063277</t>
  </si>
  <si>
    <t>045686063284</t>
  </si>
  <si>
    <t>045686063291</t>
  </si>
  <si>
    <t>045686063321</t>
  </si>
  <si>
    <t>045686063352</t>
  </si>
  <si>
    <t>045686063369</t>
  </si>
  <si>
    <t>045686063376</t>
  </si>
  <si>
    <t>045686063383</t>
  </si>
  <si>
    <t>045686063413</t>
  </si>
  <si>
    <t>045686063420</t>
  </si>
  <si>
    <t>045686063437</t>
  </si>
  <si>
    <t>045686063444</t>
  </si>
  <si>
    <t>045686063475</t>
  </si>
  <si>
    <t>045686063482</t>
  </si>
  <si>
    <t>045686063499</t>
  </si>
  <si>
    <t>045686063529</t>
  </si>
  <si>
    <t>045686063550</t>
  </si>
  <si>
    <t>A92636-000</t>
  </si>
  <si>
    <t>UTLX-1-1099899-2</t>
  </si>
  <si>
    <t>045686006984</t>
  </si>
  <si>
    <t>E72006-000</t>
  </si>
  <si>
    <t>UTLX-1-1099899-3</t>
  </si>
  <si>
    <t>045686007936</t>
  </si>
  <si>
    <t>045686063710</t>
  </si>
  <si>
    <t>045686063727</t>
  </si>
  <si>
    <t>045686063741</t>
  </si>
  <si>
    <t>045686063758</t>
  </si>
  <si>
    <t>045686063765</t>
  </si>
  <si>
    <t>045686063772</t>
  </si>
  <si>
    <t>045686063802</t>
  </si>
  <si>
    <t>045686063833</t>
  </si>
  <si>
    <t>045686063840</t>
  </si>
  <si>
    <t>045686063857</t>
  </si>
  <si>
    <t>045686063864</t>
  </si>
  <si>
    <t>045686063871</t>
  </si>
  <si>
    <t>045686063918</t>
  </si>
  <si>
    <t>045686063925</t>
  </si>
  <si>
    <t>045686063963</t>
  </si>
  <si>
    <t>045686063970</t>
  </si>
  <si>
    <t>045686063987</t>
  </si>
  <si>
    <t>045686063994</t>
  </si>
  <si>
    <t>045686064007</t>
  </si>
  <si>
    <t>045686064052</t>
  </si>
  <si>
    <t>045686064069</t>
  </si>
  <si>
    <t>045686064076</t>
  </si>
  <si>
    <t>045686064106</t>
  </si>
  <si>
    <t>045686064113</t>
  </si>
  <si>
    <t>045686064120</t>
  </si>
  <si>
    <t>045686064151</t>
  </si>
  <si>
    <t>045686064182</t>
  </si>
  <si>
    <t>045686064199</t>
  </si>
  <si>
    <t>045686064205</t>
  </si>
  <si>
    <t>045686064212</t>
  </si>
  <si>
    <t>045686064229</t>
  </si>
  <si>
    <t>045686064250</t>
  </si>
  <si>
    <t>045686064267</t>
  </si>
  <si>
    <t>045686064274</t>
  </si>
  <si>
    <t>045686064281</t>
  </si>
  <si>
    <t>045686064328</t>
  </si>
  <si>
    <t>045686064335</t>
  </si>
  <si>
    <t>045686064366</t>
  </si>
  <si>
    <t>045686064397</t>
  </si>
  <si>
    <t>045686064403</t>
  </si>
  <si>
    <t>045686064410</t>
  </si>
  <si>
    <t>045686064427</t>
  </si>
  <si>
    <t>045686064458</t>
  </si>
  <si>
    <t>045686064489</t>
  </si>
  <si>
    <t>045686064496</t>
  </si>
  <si>
    <t>CF7444-000</t>
  </si>
  <si>
    <t>AMPS-0-1710722-4</t>
  </si>
  <si>
    <t>045686056767</t>
  </si>
  <si>
    <t>CR1285-000</t>
  </si>
  <si>
    <t>AMPS-0-1710723-1</t>
  </si>
  <si>
    <t>CR1286-000</t>
  </si>
  <si>
    <t>AMPS-0-1710723-2</t>
  </si>
  <si>
    <t>045686056781</t>
  </si>
  <si>
    <t>CR1288-000</t>
  </si>
  <si>
    <t>AMPS-0-1710723-4</t>
  </si>
  <si>
    <t>CR1289-000</t>
  </si>
  <si>
    <t>AMPS-0-1710723-5</t>
  </si>
  <si>
    <t>045686056811</t>
  </si>
  <si>
    <t>CR1290-000</t>
  </si>
  <si>
    <t>AMPS-0-1710723-6</t>
  </si>
  <si>
    <t>CPGI-CTY-08-40-BLK-C</t>
  </si>
  <si>
    <t>045686029181</t>
  </si>
  <si>
    <t>045686006601</t>
  </si>
  <si>
    <t>226761-000</t>
  </si>
  <si>
    <t>SHRINKMARK-10-2-S1-9-1K</t>
  </si>
  <si>
    <t>045686003969</t>
  </si>
  <si>
    <t>752535-000</t>
  </si>
  <si>
    <t>SHRINKMARK-10-2-S1-9-2.5</t>
  </si>
  <si>
    <t>045686032334</t>
  </si>
  <si>
    <t>045686006526</t>
  </si>
  <si>
    <t>045686032761</t>
  </si>
  <si>
    <t>CS1356-000</t>
  </si>
  <si>
    <t>CS1357-000</t>
  </si>
  <si>
    <t>045686037742</t>
  </si>
  <si>
    <t>045686003303</t>
  </si>
  <si>
    <t>045686032785</t>
  </si>
  <si>
    <t>045686006113</t>
  </si>
  <si>
    <t>562513-000</t>
  </si>
  <si>
    <t>MWTM-50/16-A/U(B75)</t>
  </si>
  <si>
    <t>405531-000</t>
  </si>
  <si>
    <t>MWTM-85/25-1200-S-(B5)</t>
  </si>
  <si>
    <t>972191-000</t>
  </si>
  <si>
    <t>MWTM-85/25-1500/U (B5)</t>
  </si>
  <si>
    <t>205901-000</t>
  </si>
  <si>
    <t>P-63</t>
  </si>
  <si>
    <t>CG6208-000</t>
  </si>
  <si>
    <t>CPGI-BUCH-1437382-3</t>
  </si>
  <si>
    <t>045686034567</t>
  </si>
  <si>
    <t>045686036929</t>
  </si>
  <si>
    <t>045686036936</t>
  </si>
  <si>
    <t>045686036943</t>
  </si>
  <si>
    <t>045686036950</t>
  </si>
  <si>
    <t>045686036967</t>
  </si>
  <si>
    <t>045686036974</t>
  </si>
  <si>
    <t>045686036981</t>
  </si>
  <si>
    <t>045686036998</t>
  </si>
  <si>
    <t>045686037001</t>
  </si>
  <si>
    <t>045686037018</t>
  </si>
  <si>
    <t>045686037025</t>
  </si>
  <si>
    <t>045686037032</t>
  </si>
  <si>
    <t>045686037049</t>
  </si>
  <si>
    <t>045686037056</t>
  </si>
  <si>
    <t>045686037070</t>
  </si>
  <si>
    <t>045686037094</t>
  </si>
  <si>
    <t>045686037100</t>
  </si>
  <si>
    <t>045686037124</t>
  </si>
  <si>
    <t>045686037131</t>
  </si>
  <si>
    <t>045686037148</t>
  </si>
  <si>
    <t>045686037155</t>
  </si>
  <si>
    <t>045686037162</t>
  </si>
  <si>
    <t>045686037179</t>
  </si>
  <si>
    <t>AMPS-0-0602283-0</t>
  </si>
  <si>
    <t>008440-000</t>
  </si>
  <si>
    <t>AMPS-0-0602283-1</t>
  </si>
  <si>
    <t>977606-000</t>
  </si>
  <si>
    <t>617765-000</t>
  </si>
  <si>
    <t>HVT-253-G</t>
  </si>
  <si>
    <t>597801-000</t>
  </si>
  <si>
    <t>HVT-253-J</t>
  </si>
  <si>
    <t>926041-000</t>
  </si>
  <si>
    <t>HVS-SHIM-5</t>
  </si>
  <si>
    <t>496323-000</t>
  </si>
  <si>
    <t>HVS-SHIM-6</t>
  </si>
  <si>
    <t>107357-000</t>
  </si>
  <si>
    <t>HVS-T-1581E-S</t>
  </si>
  <si>
    <t>937281-000</t>
  </si>
  <si>
    <t>HVS-T-1581S</t>
  </si>
  <si>
    <t>774473-000</t>
  </si>
  <si>
    <t>HVS-T-1582E-S</t>
  </si>
  <si>
    <t>924763-000</t>
  </si>
  <si>
    <t>HVS-T-1582S</t>
  </si>
  <si>
    <t>233783-000</t>
  </si>
  <si>
    <t>HVS-T-1583E-S</t>
  </si>
  <si>
    <t>742283-000</t>
  </si>
  <si>
    <t>HVS-T-1583S</t>
  </si>
  <si>
    <t>921391-000</t>
  </si>
  <si>
    <t>HVS-T-1584S</t>
  </si>
  <si>
    <t>885157-000</t>
  </si>
  <si>
    <t>HVS-T-1591S</t>
  </si>
  <si>
    <t>045686032884</t>
  </si>
  <si>
    <t>045686003419</t>
  </si>
  <si>
    <t>045686004409</t>
  </si>
  <si>
    <t>439695-000</t>
  </si>
  <si>
    <t>HVSA-1</t>
  </si>
  <si>
    <t>045686053209</t>
  </si>
  <si>
    <t>045686053216</t>
  </si>
  <si>
    <t>045686053223</t>
  </si>
  <si>
    <t>045686053230</t>
  </si>
  <si>
    <t>045686053247</t>
  </si>
  <si>
    <t>045686053254</t>
  </si>
  <si>
    <t>045686053261</t>
  </si>
  <si>
    <t>045686053278</t>
  </si>
  <si>
    <t>045686053285</t>
  </si>
  <si>
    <t>045686053292</t>
  </si>
  <si>
    <t>045686053308</t>
  </si>
  <si>
    <t>045686053315</t>
  </si>
  <si>
    <t>045686053322</t>
  </si>
  <si>
    <t>045686053339</t>
  </si>
  <si>
    <t>045686053346</t>
  </si>
  <si>
    <t>045686053353</t>
  </si>
  <si>
    <t>045686053360</t>
  </si>
  <si>
    <t>045686053377</t>
  </si>
  <si>
    <t>045686053384</t>
  </si>
  <si>
    <t>045686004669</t>
  </si>
  <si>
    <t>045686004980</t>
  </si>
  <si>
    <t>045686056453</t>
  </si>
  <si>
    <t>045686056460</t>
  </si>
  <si>
    <t>045686056477</t>
  </si>
  <si>
    <t>045686056484</t>
  </si>
  <si>
    <t>045686056491</t>
  </si>
  <si>
    <t>045686056514</t>
  </si>
  <si>
    <t>045686056521</t>
  </si>
  <si>
    <t>GELWRAP-TW-33-450</t>
  </si>
  <si>
    <t>045686056545</t>
  </si>
  <si>
    <t>GELWRAP-TW-33-600</t>
  </si>
  <si>
    <t>045686056552</t>
  </si>
  <si>
    <t>GELWRAP-TW-50-450</t>
  </si>
  <si>
    <t>LVBT-2-R-01(B4)</t>
  </si>
  <si>
    <t>045686056590</t>
  </si>
  <si>
    <t>GELCAP-CCS-SL-210(B10)</t>
  </si>
  <si>
    <t>045686056613</t>
  </si>
  <si>
    <t>045686040322</t>
  </si>
  <si>
    <t>045686040339</t>
  </si>
  <si>
    <t>045686040346</t>
  </si>
  <si>
    <t>045686040353</t>
  </si>
  <si>
    <t>045686040360</t>
  </si>
  <si>
    <t>045686040384</t>
  </si>
  <si>
    <t>045686040391</t>
  </si>
  <si>
    <t>045686040414</t>
  </si>
  <si>
    <t>045686040421</t>
  </si>
  <si>
    <t>045686040438</t>
  </si>
  <si>
    <t>045686040445</t>
  </si>
  <si>
    <t>045686040452</t>
  </si>
  <si>
    <t>HVS-2523S</t>
  </si>
  <si>
    <t>540971-000</t>
  </si>
  <si>
    <t>HVS-2533-LC</t>
  </si>
  <si>
    <t>416339-000</t>
  </si>
  <si>
    <t>HVS-2582E</t>
  </si>
  <si>
    <t>621159-000</t>
  </si>
  <si>
    <t>HVS-2583E</t>
  </si>
  <si>
    <t>857649-000</t>
  </si>
  <si>
    <t>HVS-2584E</t>
  </si>
  <si>
    <t>006843-000</t>
  </si>
  <si>
    <t>888647-000</t>
  </si>
  <si>
    <t>HV-MSK-3/C-582</t>
  </si>
  <si>
    <t>639445-000</t>
  </si>
  <si>
    <t>HV-MSK-3/C-584</t>
  </si>
  <si>
    <t>EB8667-000</t>
  </si>
  <si>
    <t>ELB-15/28-610G750</t>
  </si>
  <si>
    <t>ED2774-000</t>
  </si>
  <si>
    <t>CJ0567-000</t>
  </si>
  <si>
    <t>CPGI-BUCH-1546163-1</t>
  </si>
  <si>
    <t>045686034086</t>
  </si>
  <si>
    <t>CJ0568-000</t>
  </si>
  <si>
    <t>CPGI-BUCH-1546164-1</t>
  </si>
  <si>
    <t>045686034093</t>
  </si>
  <si>
    <t>CJ0565-000</t>
  </si>
  <si>
    <t>895763-000</t>
  </si>
  <si>
    <t>HVT-M-252</t>
  </si>
  <si>
    <t>229963-000</t>
  </si>
  <si>
    <t>HVT-M-252-S</t>
  </si>
  <si>
    <t>814603-000</t>
  </si>
  <si>
    <t>HVT-M-581</t>
  </si>
  <si>
    <t>942343-000</t>
  </si>
  <si>
    <t>HVT-M-581-S</t>
  </si>
  <si>
    <t>045686060900</t>
  </si>
  <si>
    <t>045686060955</t>
  </si>
  <si>
    <t>045686060962</t>
  </si>
  <si>
    <t>045686061013</t>
  </si>
  <si>
    <t>045686061020</t>
  </si>
  <si>
    <t>045686061037</t>
  </si>
  <si>
    <t>045686061044</t>
  </si>
  <si>
    <t>UTLX-1-1099939-1</t>
  </si>
  <si>
    <t>045686007868</t>
  </si>
  <si>
    <t>045686065486</t>
  </si>
  <si>
    <t>ED0486-000</t>
  </si>
  <si>
    <t>ELB-35-900-J2-CU</t>
  </si>
  <si>
    <t>ED0487-000</t>
  </si>
  <si>
    <t>ELB-35-900-J3-CU</t>
  </si>
  <si>
    <t>045686057917</t>
  </si>
  <si>
    <t>ED0488-000</t>
  </si>
  <si>
    <t>ELB-35-900-J4-CU</t>
  </si>
  <si>
    <t>045686057924</t>
  </si>
  <si>
    <t>ED0489-000</t>
  </si>
  <si>
    <t>ELB-15/28-600-J2-AL-STD</t>
  </si>
  <si>
    <t>045686057931</t>
  </si>
  <si>
    <t>ED0490-000</t>
  </si>
  <si>
    <t>ELB-15/28-600-J3-AL-STD</t>
  </si>
  <si>
    <t>045686057948</t>
  </si>
  <si>
    <t>ED0491-000</t>
  </si>
  <si>
    <t>ELB-15/28-600-J4-AL-STD</t>
  </si>
  <si>
    <t>045686057955</t>
  </si>
  <si>
    <t>ED0492-000</t>
  </si>
  <si>
    <t>ELB-15/28-900-J2-CU-STD</t>
  </si>
  <si>
    <t>045686057962</t>
  </si>
  <si>
    <t>ED0493-000</t>
  </si>
  <si>
    <t>ELB-15/28-900-J3-CU-STD</t>
  </si>
  <si>
    <t>045686057979</t>
  </si>
  <si>
    <t>ED0494-000</t>
  </si>
  <si>
    <t>ELB-15/28-900-J4-CU-STD</t>
  </si>
  <si>
    <t>ED0495-000</t>
  </si>
  <si>
    <t>ELB-35-600-J2-AL-STD</t>
  </si>
  <si>
    <t>ED0496-000</t>
  </si>
  <si>
    <t>ELB-35-600-J3-AL-STD</t>
  </si>
  <si>
    <t>A46067-000</t>
  </si>
  <si>
    <t>UTLX-1-1443402-0</t>
  </si>
  <si>
    <t>045686033737</t>
  </si>
  <si>
    <t>BCIC-4X6-CT-01(B3)</t>
  </si>
  <si>
    <t>045686058389</t>
  </si>
  <si>
    <t>CP4638-000</t>
  </si>
  <si>
    <t>045686058402</t>
  </si>
  <si>
    <t>ED0477-000</t>
  </si>
  <si>
    <t>ELB-15/28-600-J2-AL</t>
  </si>
  <si>
    <t>045686057818</t>
  </si>
  <si>
    <t>ED0478-000</t>
  </si>
  <si>
    <t>ELB-15/28-600-J3-AL</t>
  </si>
  <si>
    <t>045686057825</t>
  </si>
  <si>
    <t>ED0479-000</t>
  </si>
  <si>
    <t>ELB-15/28-600-J4-AL</t>
  </si>
  <si>
    <t>045686057832</t>
  </si>
  <si>
    <t>ED0480-000</t>
  </si>
  <si>
    <t>ELB-15/28-900-J2-CU</t>
  </si>
  <si>
    <t>045686057849</t>
  </si>
  <si>
    <t>ED0481-000</t>
  </si>
  <si>
    <t>ELB-15/28-900-J3-CU</t>
  </si>
  <si>
    <t>ED0482-000</t>
  </si>
  <si>
    <t>ELB-15/28-900-J4-CU</t>
  </si>
  <si>
    <t>ED0483-000</t>
  </si>
  <si>
    <t>ELB-35-600-J2-AL</t>
  </si>
  <si>
    <t>045686057870</t>
  </si>
  <si>
    <t>ED0484-000</t>
  </si>
  <si>
    <t>ELB-35-600-J3-AL</t>
  </si>
  <si>
    <t>045686057887</t>
  </si>
  <si>
    <t>ED0485-000</t>
  </si>
  <si>
    <t>ELB-35-600-J4-AL</t>
  </si>
  <si>
    <t>045686057894</t>
  </si>
  <si>
    <t>ED0508-000</t>
  </si>
  <si>
    <t>CB3838-000</t>
  </si>
  <si>
    <t>FSTW-2-1-6(B12)</t>
  </si>
  <si>
    <t>ELB-35-600-J3-AL-ADJ</t>
  </si>
  <si>
    <t>045686058129</t>
  </si>
  <si>
    <t>ED0509-000</t>
  </si>
  <si>
    <t>ELB-35-600-J4-AL-ADJ</t>
  </si>
  <si>
    <t>ED0510-000</t>
  </si>
  <si>
    <t>ELB-35-900-J2-CU-ADJ</t>
  </si>
  <si>
    <t>045686006700</t>
  </si>
  <si>
    <t>CPGI-RNF-100-1/4-48-BLSK</t>
  </si>
  <si>
    <t>045686003068</t>
  </si>
  <si>
    <t>CA8547-000</t>
  </si>
  <si>
    <t>CPGI-RNF-100-1/4-48-GRSK</t>
  </si>
  <si>
    <t>045686003082</t>
  </si>
  <si>
    <t>045686056439</t>
  </si>
  <si>
    <t>045686056446</t>
  </si>
  <si>
    <t>SHRINKMARK-12-2-9</t>
  </si>
  <si>
    <t>045686006397</t>
  </si>
  <si>
    <t>045686005918</t>
  </si>
  <si>
    <t>045686005505</t>
  </si>
  <si>
    <t>045686036912</t>
  </si>
  <si>
    <t>045686001606</t>
  </si>
  <si>
    <t>045686049479</t>
  </si>
  <si>
    <t>045686003556</t>
  </si>
  <si>
    <t>045686008346</t>
  </si>
  <si>
    <t>045686003235</t>
  </si>
  <si>
    <t>CPGI-3-350820-2-10</t>
  </si>
  <si>
    <t>EB0281-000</t>
  </si>
  <si>
    <t>CPGI-4-520448-2-10</t>
  </si>
  <si>
    <t>CR2162-000</t>
  </si>
  <si>
    <t>HVIA-CABLE-HEAT-BLANK-US</t>
  </si>
  <si>
    <t>F92894-000</t>
  </si>
  <si>
    <t>HVIA-STRIPPER-35/90-US</t>
  </si>
  <si>
    <t>C46613-000</t>
  </si>
  <si>
    <t>HVIA-STRIPPER-75/150-US</t>
  </si>
  <si>
    <t>244249-000</t>
  </si>
  <si>
    <t>HVIS-05-(B3)NS</t>
  </si>
  <si>
    <t>459876-000</t>
  </si>
  <si>
    <t>AMPS-0-0314196-1</t>
  </si>
  <si>
    <t>458588-000</t>
  </si>
  <si>
    <t>AMPS-0-0314199-1</t>
  </si>
  <si>
    <t>793474-000</t>
  </si>
  <si>
    <t>AMPS-0-0444033-1</t>
  </si>
  <si>
    <t>258804-000</t>
  </si>
  <si>
    <t>045686055692</t>
  </si>
  <si>
    <t>045686055715</t>
  </si>
  <si>
    <t>E17346-000</t>
  </si>
  <si>
    <t>UTLX-1-1099898-1</t>
  </si>
  <si>
    <t>045686007707</t>
  </si>
  <si>
    <t>F74457-000</t>
  </si>
  <si>
    <t>UTLX-1-1099898-4</t>
  </si>
  <si>
    <t>045686008285</t>
  </si>
  <si>
    <t>CM1883-000</t>
  </si>
  <si>
    <t>MVLC-38-A/241-C(50)</t>
  </si>
  <si>
    <t>D70967-000</t>
  </si>
  <si>
    <t>UTLX-1-1099898-2</t>
  </si>
  <si>
    <t>045686007547</t>
  </si>
  <si>
    <t>978582-000</t>
  </si>
  <si>
    <t>AMPS-0-0602046-2</t>
  </si>
  <si>
    <t>981112-000</t>
  </si>
  <si>
    <t>AMPS-0-0602046-3</t>
  </si>
  <si>
    <t>982920-000</t>
  </si>
  <si>
    <t>AMPS-0-0602046-4</t>
  </si>
  <si>
    <t>983034-000</t>
  </si>
  <si>
    <t>AMPS-0-0602046-5</t>
  </si>
  <si>
    <t>905176-000</t>
  </si>
  <si>
    <t>AMPS-0-0602046-6</t>
  </si>
  <si>
    <t>007356-000</t>
  </si>
  <si>
    <t>AMPS-0-0602046-7</t>
  </si>
  <si>
    <t>882654-000</t>
  </si>
  <si>
    <t>AMPS-0-0602046-9</t>
  </si>
  <si>
    <t>406490-000</t>
  </si>
  <si>
    <t>AMPS-0-0602047-0</t>
  </si>
  <si>
    <t>214085-000</t>
  </si>
  <si>
    <t>HVSA-2</t>
  </si>
  <si>
    <t>337365-000</t>
  </si>
  <si>
    <t>HVSA-3</t>
  </si>
  <si>
    <t>960955-000</t>
  </si>
  <si>
    <t>HVSA-3-1521S</t>
  </si>
  <si>
    <t>802311-000</t>
  </si>
  <si>
    <t>HVSA-3-1522S</t>
  </si>
  <si>
    <t>277013-000</t>
  </si>
  <si>
    <t>HVSA-3-1523S</t>
  </si>
  <si>
    <t>858225-000</t>
  </si>
  <si>
    <t>HVSA-3-1524S</t>
  </si>
  <si>
    <t>794115-000</t>
  </si>
  <si>
    <t>HVSA-3-1581S</t>
  </si>
  <si>
    <t>687061-000</t>
  </si>
  <si>
    <t>HVSA-3-1582S</t>
  </si>
  <si>
    <t>491683-000</t>
  </si>
  <si>
    <t>HVSA-3-1583S</t>
  </si>
  <si>
    <t>497940-000</t>
  </si>
  <si>
    <t>HVSA-3-501</t>
  </si>
  <si>
    <t>998070-000</t>
  </si>
  <si>
    <t>HVSA-3-502</t>
  </si>
  <si>
    <t>073513-000</t>
  </si>
  <si>
    <t>HVSA-3-503</t>
  </si>
  <si>
    <t>236215-000</t>
  </si>
  <si>
    <t>HVSA-3-821S</t>
  </si>
  <si>
    <t>RDSS-45(S10)</t>
  </si>
  <si>
    <t>C62985-000</t>
  </si>
  <si>
    <t>RDSS-45(S3)</t>
  </si>
  <si>
    <t>776895-000</t>
  </si>
  <si>
    <t>RDSS-60(S10)</t>
  </si>
  <si>
    <t>699412-000</t>
  </si>
  <si>
    <t>RDSS-60(S3)</t>
  </si>
  <si>
    <t>938709-000</t>
  </si>
  <si>
    <t>RDSS-75(S10)</t>
  </si>
  <si>
    <t>E73648-000</t>
  </si>
  <si>
    <t>RDSS-75(S3)</t>
  </si>
  <si>
    <t>059487-000</t>
  </si>
  <si>
    <t>RDSS-AT/AP-150</t>
  </si>
  <si>
    <t>848365-000</t>
  </si>
  <si>
    <t>045686037971</t>
  </si>
  <si>
    <t>045686037988</t>
  </si>
  <si>
    <t>045686037995</t>
  </si>
  <si>
    <t>045686038008</t>
  </si>
  <si>
    <t>045686038015</t>
  </si>
  <si>
    <t>AMPS-0-0602180-5</t>
  </si>
  <si>
    <t>573886-000</t>
  </si>
  <si>
    <t>AMPS-0-0602180-6</t>
  </si>
  <si>
    <t>827268-000</t>
  </si>
  <si>
    <t>048801-000</t>
  </si>
  <si>
    <t>HVS-3-1521S</t>
  </si>
  <si>
    <t>065979-000</t>
  </si>
  <si>
    <t>HVS-3-1522S</t>
  </si>
  <si>
    <t>101147-000</t>
  </si>
  <si>
    <t>HVS-3-1523S</t>
  </si>
  <si>
    <t>883383-000</t>
  </si>
  <si>
    <t>HVS-3-1524S</t>
  </si>
  <si>
    <t>579867-000</t>
  </si>
  <si>
    <t>HVS-3-1581S</t>
  </si>
  <si>
    <t>112225-000</t>
  </si>
  <si>
    <t>HVS-3-1582S</t>
  </si>
  <si>
    <t>141189-000</t>
  </si>
  <si>
    <t>HVS-3-1583S</t>
  </si>
  <si>
    <t>738860-000</t>
  </si>
  <si>
    <t>HVS-3-1591</t>
  </si>
  <si>
    <t>CPGI-TERM-ASRT</t>
  </si>
  <si>
    <t>CA7331-000</t>
  </si>
  <si>
    <t>045686002702</t>
  </si>
  <si>
    <t>045686002405</t>
  </si>
  <si>
    <t>770433-000</t>
  </si>
  <si>
    <t>HVSY-1523S</t>
  </si>
  <si>
    <t>C15050-000</t>
  </si>
  <si>
    <t>E44738-000</t>
  </si>
  <si>
    <t>CSJA-3-1522-ARMR</t>
  </si>
  <si>
    <t>CSJA-3-1523-ARMR</t>
  </si>
  <si>
    <t>CSJA-3-2822-ARMR</t>
  </si>
  <si>
    <t>CSJA-3-2823-ARMR</t>
  </si>
  <si>
    <t>CSJA-3-3523-ARMR</t>
  </si>
  <si>
    <t>CSJA-3-3524-ARMR</t>
  </si>
  <si>
    <t>CSJA-3-1521M1-ARMR</t>
  </si>
  <si>
    <t>CSJA-3-1522M1-ARMR</t>
  </si>
  <si>
    <t>CSJA-3-1522M2-ARMR</t>
  </si>
  <si>
    <t>CSJA-3-1523M3-ARMR</t>
  </si>
  <si>
    <t>CSJA-3-2822M1-ARMR</t>
  </si>
  <si>
    <t>CSJA-3-2823M2-ARMR</t>
  </si>
  <si>
    <t>CSJA-3-3523M1-ARMR</t>
  </si>
  <si>
    <t>CSJA-3-3524M2-ARMR</t>
  </si>
  <si>
    <t>CSJA-3-1521M4-ARMR</t>
  </si>
  <si>
    <t>CSJA-3-1521M5-ARMR</t>
  </si>
  <si>
    <t>CSJA-3-1522M6-ARMR</t>
  </si>
  <si>
    <t>CSJA-3-1522M7-ARMR</t>
  </si>
  <si>
    <t>CSJA-3-1523M8-ARMR</t>
  </si>
  <si>
    <t>CSJA-3-2822M5-ARMR</t>
  </si>
  <si>
    <t>CSJA-3-2822M6-ARMR</t>
  </si>
  <si>
    <t>CSJA-3-2823M8-ARMR</t>
  </si>
  <si>
    <t>CSJA-3-3523M5-ARMR</t>
  </si>
  <si>
    <t>CSJA-3-3524M8-ARMR</t>
  </si>
  <si>
    <t>045686065653</t>
  </si>
  <si>
    <t>045686065660</t>
  </si>
  <si>
    <t>045686065677</t>
  </si>
  <si>
    <t>045686065684</t>
  </si>
  <si>
    <t>045686065691</t>
  </si>
  <si>
    <t>045686065707</t>
  </si>
  <si>
    <t>045686065714</t>
  </si>
  <si>
    <t>045686065721</t>
  </si>
  <si>
    <t>045686065738</t>
  </si>
  <si>
    <t>045686065745</t>
  </si>
  <si>
    <t>045686065752</t>
  </si>
  <si>
    <t>045686065769</t>
  </si>
  <si>
    <t>045686065776</t>
  </si>
  <si>
    <t>045686065783</t>
  </si>
  <si>
    <t>045686065790</t>
  </si>
  <si>
    <t>045686065806</t>
  </si>
  <si>
    <t>045686065813</t>
  </si>
  <si>
    <t>045686065820</t>
  </si>
  <si>
    <t>045686065837</t>
  </si>
  <si>
    <t>045686065844</t>
  </si>
  <si>
    <t>045686065851</t>
  </si>
  <si>
    <t>045686065868</t>
  </si>
  <si>
    <t>045686065875</t>
  </si>
  <si>
    <t>045686065882</t>
  </si>
  <si>
    <t>045686065899</t>
  </si>
  <si>
    <t>ED9227-000</t>
  </si>
  <si>
    <t>ED9228-000</t>
  </si>
  <si>
    <t>ED9229-000</t>
  </si>
  <si>
    <t>ED9230-000</t>
  </si>
  <si>
    <t>ED9231-000</t>
  </si>
  <si>
    <t>ED9232-000</t>
  </si>
  <si>
    <t>ED9233-000</t>
  </si>
  <si>
    <t>ED9234-000</t>
  </si>
  <si>
    <t>ED9235-000</t>
  </si>
  <si>
    <t>ED9236-000</t>
  </si>
  <si>
    <t>ED9237-000</t>
  </si>
  <si>
    <t>ED9238-000</t>
  </si>
  <si>
    <t>ED9239-000</t>
  </si>
  <si>
    <t>ED9240-000</t>
  </si>
  <si>
    <t>ED9241-000</t>
  </si>
  <si>
    <t>ED9242-000</t>
  </si>
  <si>
    <t>045686065905</t>
  </si>
  <si>
    <t>045686065912</t>
  </si>
  <si>
    <t>045686065929</t>
  </si>
  <si>
    <t>045686065936</t>
  </si>
  <si>
    <t>045686065943</t>
  </si>
  <si>
    <t>045686065950</t>
  </si>
  <si>
    <t>045686065967</t>
  </si>
  <si>
    <t>045686065974</t>
  </si>
  <si>
    <t>045686065981</t>
  </si>
  <si>
    <t>045686065998</t>
  </si>
  <si>
    <t>045686066001</t>
  </si>
  <si>
    <t>045686066018</t>
  </si>
  <si>
    <t>045686066025</t>
  </si>
  <si>
    <t>045686066032</t>
  </si>
  <si>
    <t>045686066049</t>
  </si>
  <si>
    <t>045686066056</t>
  </si>
  <si>
    <t>LVT-3-VFD-04</t>
  </si>
  <si>
    <t>CS6053-000</t>
  </si>
  <si>
    <t>CS6054-000</t>
  </si>
  <si>
    <t>CR3146-000</t>
  </si>
  <si>
    <t>CR3147-000</t>
  </si>
  <si>
    <t>CR3148-000</t>
  </si>
  <si>
    <t>CR3149-000</t>
  </si>
  <si>
    <t>CS6424-000</t>
  </si>
  <si>
    <t>478331-000</t>
  </si>
  <si>
    <t>BCIC-6/12/4(B3)</t>
  </si>
  <si>
    <t>045686060238</t>
  </si>
  <si>
    <t>045686060153</t>
  </si>
  <si>
    <t>045686060160</t>
  </si>
  <si>
    <t>045686060177</t>
  </si>
  <si>
    <t>045686060184</t>
  </si>
  <si>
    <t>045686060191</t>
  </si>
  <si>
    <t>045686060207</t>
  </si>
  <si>
    <t>045686060214</t>
  </si>
  <si>
    <t>CU2304-000</t>
  </si>
  <si>
    <t>IDP-TE3112-PRINTER</t>
  </si>
  <si>
    <t>045686064502</t>
  </si>
  <si>
    <t>045686064519</t>
  </si>
  <si>
    <t>045686064540</t>
  </si>
  <si>
    <t>045686064557</t>
  </si>
  <si>
    <t>045686064564</t>
  </si>
  <si>
    <t>045686064571</t>
  </si>
  <si>
    <t>045686064601</t>
  </si>
  <si>
    <t>045686064618</t>
  </si>
  <si>
    <t>045686064625</t>
  </si>
  <si>
    <t>045686064656</t>
  </si>
  <si>
    <t>045686064687</t>
  </si>
  <si>
    <t>045686064717</t>
  </si>
  <si>
    <t>045686064724</t>
  </si>
  <si>
    <t>045686064731</t>
  </si>
  <si>
    <t>045686064748</t>
  </si>
  <si>
    <t>045686064755</t>
  </si>
  <si>
    <t>045686064786</t>
  </si>
  <si>
    <t>045686064816</t>
  </si>
  <si>
    <t>045686064847</t>
  </si>
  <si>
    <t>045686064854</t>
  </si>
  <si>
    <t>045686064861</t>
  </si>
  <si>
    <t>045686064878</t>
  </si>
  <si>
    <t>045686064885</t>
  </si>
  <si>
    <t>045686064892</t>
  </si>
  <si>
    <t>045686064908</t>
  </si>
  <si>
    <t>045686064939</t>
  </si>
  <si>
    <t>045686064960</t>
  </si>
  <si>
    <t>045686064977</t>
  </si>
  <si>
    <t>045686064984</t>
  </si>
  <si>
    <t>045686064991</t>
  </si>
  <si>
    <t>045686065004</t>
  </si>
  <si>
    <t>045686065035</t>
  </si>
  <si>
    <t>045686065042</t>
  </si>
  <si>
    <t>045686065059</t>
  </si>
  <si>
    <t>045686065080</t>
  </si>
  <si>
    <t>045686065097</t>
  </si>
  <si>
    <t>045686065103</t>
  </si>
  <si>
    <t>045686065110</t>
  </si>
  <si>
    <t>638717-000</t>
  </si>
  <si>
    <t>SHRINKMARK-1/4-CARTRIDGE</t>
  </si>
  <si>
    <t>045686032204</t>
  </si>
  <si>
    <t>741339-000</t>
  </si>
  <si>
    <t>SHRINKMARK-1/8 CARTRIDGE</t>
  </si>
  <si>
    <t>045686032211</t>
  </si>
  <si>
    <t>516371-000</t>
  </si>
  <si>
    <t>SHRINKMARK-1000-2-4</t>
  </si>
  <si>
    <t>045686032228</t>
  </si>
  <si>
    <t>HYPERLINK</t>
  </si>
  <si>
    <t>CR1344-000</t>
  </si>
  <si>
    <t>AMPS-0-1710731-8</t>
  </si>
  <si>
    <t>045686057337</t>
  </si>
  <si>
    <t>045686004584</t>
  </si>
  <si>
    <t>045686002467</t>
  </si>
  <si>
    <t>045686005659</t>
  </si>
  <si>
    <t>045686004959</t>
  </si>
  <si>
    <t>045686005857</t>
  </si>
  <si>
    <t>045686006588</t>
  </si>
  <si>
    <t>CA7326-000</t>
  </si>
  <si>
    <t>045686002658</t>
  </si>
  <si>
    <t>CA1258-000</t>
  </si>
  <si>
    <t>GPRT-350-5P-C(B6)</t>
  </si>
  <si>
    <t>F47114-000</t>
  </si>
  <si>
    <t>GPRT-350-6P(B6)</t>
  </si>
  <si>
    <t>CA1259-000</t>
  </si>
  <si>
    <t>GPRT-350-6P-C(B6)</t>
  </si>
  <si>
    <t>A36977-000</t>
  </si>
  <si>
    <t>GPRT-350-8P(B6)</t>
  </si>
  <si>
    <t>CA1260-000</t>
  </si>
  <si>
    <t>HVT-Z-253/353-SJ</t>
  </si>
  <si>
    <t>D14038-000</t>
  </si>
  <si>
    <t>HVT-Z-254/354-G</t>
  </si>
  <si>
    <t>CB2529-000</t>
  </si>
  <si>
    <t>HVT-Z-254/354-J</t>
  </si>
  <si>
    <t>C94009-000</t>
  </si>
  <si>
    <t>HVT-Z-254/354-SG</t>
  </si>
  <si>
    <t>CB1373-000</t>
  </si>
  <si>
    <t>HVT-Z-254/354-SJ</t>
  </si>
  <si>
    <t>E32972-000</t>
  </si>
  <si>
    <t>HVT-Z-80-G/SG</t>
  </si>
  <si>
    <t>CJ5943-000</t>
  </si>
  <si>
    <t>HVT-Z-80-G/SG-2C</t>
  </si>
  <si>
    <t>CG8859-000</t>
  </si>
  <si>
    <t>HVT-Z-80-G/SG-3C</t>
  </si>
  <si>
    <t>UTLX-0-1099899-4</t>
  </si>
  <si>
    <t>045686007196</t>
  </si>
  <si>
    <t>410846-000</t>
  </si>
  <si>
    <t>AMPS-0-0602286-0</t>
  </si>
  <si>
    <t>516946-000</t>
  </si>
  <si>
    <t>AMPS-0-0602287-0</t>
  </si>
  <si>
    <t>746290-000</t>
  </si>
  <si>
    <t>AMPS-0-0602300-0</t>
  </si>
  <si>
    <t>ED2733-000</t>
  </si>
  <si>
    <t>ELB-35-610M-A1</t>
  </si>
  <si>
    <t>ED2734-000</t>
  </si>
  <si>
    <t>ELB-35-610M-A2</t>
  </si>
  <si>
    <t>ED2712-000</t>
  </si>
  <si>
    <t>EB8253-000</t>
  </si>
  <si>
    <t>ELB-35-610N450</t>
  </si>
  <si>
    <t>EB8259-000</t>
  </si>
  <si>
    <t>ELB-35-610N500</t>
  </si>
  <si>
    <t>AMPS-0-0083630-5</t>
  </si>
  <si>
    <t>933288-000</t>
  </si>
  <si>
    <t>AMPS-0-0083630-6</t>
  </si>
  <si>
    <t>233864-000</t>
  </si>
  <si>
    <t>ED2687-000</t>
  </si>
  <si>
    <t>ELB-35-600J-A1</t>
  </si>
  <si>
    <t>ED2664-000</t>
  </si>
  <si>
    <t>ED2666-000</t>
  </si>
  <si>
    <t>CP5977-000</t>
  </si>
  <si>
    <t>ELB-35-600K10</t>
  </si>
  <si>
    <t>EB8226-000</t>
  </si>
  <si>
    <t>ELB-35-600K40</t>
  </si>
  <si>
    <t>AMPS-4-0276337-8</t>
  </si>
  <si>
    <t>882660-000</t>
  </si>
  <si>
    <t>AMPS-4-0276337-9</t>
  </si>
  <si>
    <t>HVT-Z-151-SG-1C</t>
  </si>
  <si>
    <t>CG8890-000</t>
  </si>
  <si>
    <t>HVT-Z-151-SG-2C</t>
  </si>
  <si>
    <t>938356-000</t>
  </si>
  <si>
    <t>HVT-Z-151-SJ</t>
  </si>
  <si>
    <t>D93010-000</t>
  </si>
  <si>
    <t>HVT-Z-152-G</t>
  </si>
  <si>
    <t>CG8878-000</t>
  </si>
  <si>
    <t>HVT-Z-152-G-2/0C</t>
  </si>
  <si>
    <t>HVS-EG-3-1</t>
  </si>
  <si>
    <t>754951-000</t>
  </si>
  <si>
    <t>HVS-EG-3-2</t>
  </si>
  <si>
    <t>514923-000</t>
  </si>
  <si>
    <t>HVS-EG-3-3</t>
  </si>
  <si>
    <t>933263-000</t>
  </si>
  <si>
    <t>HVS-GC-0.5</t>
  </si>
  <si>
    <t>582199-000</t>
  </si>
  <si>
    <t>HVS-GC-1.0</t>
  </si>
  <si>
    <t>039735-000</t>
  </si>
  <si>
    <t>HVS-GC-1.5</t>
  </si>
  <si>
    <t>889593-000</t>
  </si>
  <si>
    <t>HVSH-1522-MOD</t>
  </si>
  <si>
    <t>201133-000</t>
  </si>
  <si>
    <t>HVSH-1523-MOD</t>
  </si>
  <si>
    <t>129099-000</t>
  </si>
  <si>
    <t>HVSH-1582D-MOD</t>
  </si>
  <si>
    <t>593159-000</t>
  </si>
  <si>
    <t>HVSH-1583D-MOD</t>
  </si>
  <si>
    <t>103111-000</t>
  </si>
  <si>
    <t>HVS-LR-160/42-1200</t>
  </si>
  <si>
    <t>CR1292-000</t>
  </si>
  <si>
    <t>AMPS-0-1710723-8</t>
  </si>
  <si>
    <t>045686056842</t>
  </si>
  <si>
    <t>CR1295-000</t>
  </si>
  <si>
    <t>AMPS-0-1710724-2</t>
  </si>
  <si>
    <t>CF7509-000</t>
  </si>
  <si>
    <t>CPGI-CTY-08-50-RL-BLK-C</t>
  </si>
  <si>
    <t>045686029693</t>
  </si>
  <si>
    <t>CG8883-000</t>
  </si>
  <si>
    <t>HVT-Z-152-G-350C</t>
  </si>
  <si>
    <t>CG8880-000</t>
  </si>
  <si>
    <t>HVT-Z-152-G-4/0C</t>
  </si>
  <si>
    <t>CB2501-000</t>
  </si>
  <si>
    <t>HVT-Z-152-J</t>
  </si>
  <si>
    <t>921434-000</t>
  </si>
  <si>
    <t>HVT-Z-152-SG</t>
  </si>
  <si>
    <t>CG8893-000</t>
  </si>
  <si>
    <t>HVT-Z-152-SG-2/0C</t>
  </si>
  <si>
    <t>CG8898-000</t>
  </si>
  <si>
    <t>HVT-Z-152-SG-350C</t>
  </si>
  <si>
    <t>CG8895-000</t>
  </si>
  <si>
    <t>HVT-Z-152-SG-4/0C</t>
  </si>
  <si>
    <t>CB2511-000</t>
  </si>
  <si>
    <t>HVT-Z-152-SJ</t>
  </si>
  <si>
    <t>045686005666</t>
  </si>
  <si>
    <t>690096-000</t>
  </si>
  <si>
    <t>ALR-LC-208-277</t>
  </si>
  <si>
    <t>045686059447</t>
  </si>
  <si>
    <t>BISG-G-24-01(B10)</t>
  </si>
  <si>
    <t>BISG-24-01(B10)</t>
  </si>
  <si>
    <t>CR9020-000</t>
  </si>
  <si>
    <t>281328-000</t>
  </si>
  <si>
    <t>ALR-M-208-277</t>
  </si>
  <si>
    <t>D53829-000</t>
  </si>
  <si>
    <t>BCIC-G-DPIN-795-01-24-B3</t>
  </si>
  <si>
    <t>D63258-000</t>
  </si>
  <si>
    <t>BCIC-G-HZ-795-01(B6)</t>
  </si>
  <si>
    <t>F21104-000</t>
  </si>
  <si>
    <t>C81279-000</t>
  </si>
  <si>
    <t>RRGS-35/470-M(B12)</t>
  </si>
  <si>
    <t>E70421-000</t>
  </si>
  <si>
    <t>RRGS-35/600-M(B3)</t>
  </si>
  <si>
    <t>122369-000</t>
  </si>
  <si>
    <t>RSK-1</t>
  </si>
  <si>
    <t>045686006656</t>
  </si>
  <si>
    <t>636452-000</t>
  </si>
  <si>
    <t>ALR-M-480</t>
  </si>
  <si>
    <t>304514-000</t>
  </si>
  <si>
    <t>385640-000</t>
  </si>
  <si>
    <t>607196-000</t>
  </si>
  <si>
    <t>395430-000</t>
  </si>
  <si>
    <t>ALR-PT-168</t>
  </si>
  <si>
    <t>BCIC-G-PIN-556/55(B6)</t>
  </si>
  <si>
    <t>474896-000</t>
  </si>
  <si>
    <t>AMPS-0-0109717-1</t>
  </si>
  <si>
    <t>477766-000</t>
  </si>
  <si>
    <t>AMPS-0-0275187-1</t>
  </si>
  <si>
    <t>891393-000</t>
  </si>
  <si>
    <t>BCIC-10D/22-3(B3)</t>
  </si>
  <si>
    <t>111371-000</t>
  </si>
  <si>
    <t>BCIC-115-PH(B1)</t>
  </si>
  <si>
    <t>130403-000</t>
  </si>
  <si>
    <t>BCIC-12/12/5-H(B3)</t>
  </si>
  <si>
    <t>045686059683</t>
  </si>
  <si>
    <t>045686059706</t>
  </si>
  <si>
    <t>045686059713</t>
  </si>
  <si>
    <t>045686059720</t>
  </si>
  <si>
    <t>045686059744</t>
  </si>
  <si>
    <t>HVSY-1523S-FS</t>
  </si>
  <si>
    <t>400865-000</t>
  </si>
  <si>
    <t>HVSY-1582D</t>
  </si>
  <si>
    <t>747303-000</t>
  </si>
  <si>
    <t>HVSY-1583D</t>
  </si>
  <si>
    <t>906775-000</t>
  </si>
  <si>
    <t>HVT-151-G</t>
  </si>
  <si>
    <t>641959-000</t>
  </si>
  <si>
    <t>HVT-151-J</t>
  </si>
  <si>
    <t>045686039791</t>
  </si>
  <si>
    <t>AMPS-0-0602121-9</t>
  </si>
  <si>
    <t>138734-000</t>
  </si>
  <si>
    <t>AMPS-0-0602136-0</t>
  </si>
  <si>
    <t>500790-000</t>
  </si>
  <si>
    <t>AMPS-0-0602142-0</t>
  </si>
  <si>
    <t>CR1447-000</t>
  </si>
  <si>
    <t>AMPS-0-1710737-1</t>
  </si>
  <si>
    <t>045686057610</t>
  </si>
  <si>
    <t>CR1449-000</t>
  </si>
  <si>
    <t>AMPS-0-1710737-3</t>
  </si>
  <si>
    <t>045686057634</t>
  </si>
  <si>
    <t>CR1451-000</t>
  </si>
  <si>
    <t>AMPS-0-1710737-5</t>
  </si>
  <si>
    <t>045686045372</t>
  </si>
  <si>
    <t>045686045051</t>
  </si>
  <si>
    <t>045686045068</t>
  </si>
  <si>
    <t>045686045303</t>
  </si>
  <si>
    <t>045686045143</t>
  </si>
  <si>
    <t>045686045136</t>
  </si>
  <si>
    <t>045686045167</t>
  </si>
  <si>
    <t>045686045150</t>
  </si>
  <si>
    <t>045686045310</t>
  </si>
  <si>
    <t>045686045327</t>
  </si>
  <si>
    <t>623397-000</t>
  </si>
  <si>
    <t>BP-46</t>
  </si>
  <si>
    <t>444511-000</t>
  </si>
  <si>
    <t>BPTM-100/40-A/U(B50)</t>
  </si>
  <si>
    <t>481539-000</t>
  </si>
  <si>
    <t>BPTM-120/50-A/U(B50)</t>
  </si>
  <si>
    <t>864059-000</t>
  </si>
  <si>
    <t>BPTM-15/6-A/U(B50)</t>
  </si>
  <si>
    <t>510695-000</t>
  </si>
  <si>
    <t>BPTM-175/70-A/U(B50)</t>
  </si>
  <si>
    <t>312391-000</t>
  </si>
  <si>
    <t>BPTM-205/110-A/U(B50)</t>
  </si>
  <si>
    <t>478203-000</t>
  </si>
  <si>
    <t>BPTM-30/12-A/U(B50)</t>
  </si>
  <si>
    <t>045686050871</t>
  </si>
  <si>
    <t>045686050895</t>
  </si>
  <si>
    <t>045686050987</t>
  </si>
  <si>
    <t>C09530-000</t>
  </si>
  <si>
    <t>CPGI-GELCAP-2</t>
  </si>
  <si>
    <t>045686000548</t>
  </si>
  <si>
    <t>D61084-000</t>
  </si>
  <si>
    <t>CPGI-GELCAP-2-SGL</t>
  </si>
  <si>
    <t>045686000555</t>
  </si>
  <si>
    <t>D37490-000</t>
  </si>
  <si>
    <t>045686059454</t>
  </si>
  <si>
    <t>049912-000</t>
  </si>
  <si>
    <t>AMPS-4-0275187-0</t>
  </si>
  <si>
    <t>095266-000</t>
  </si>
  <si>
    <t>AMPS-4-0276337-3</t>
  </si>
  <si>
    <t>257168-000</t>
  </si>
  <si>
    <t>AMPS-4-0276337-4</t>
  </si>
  <si>
    <t>858456-000</t>
  </si>
  <si>
    <t>AMPS-4-0276337-5</t>
  </si>
  <si>
    <t>901412-000</t>
  </si>
  <si>
    <t>AMPS-4-0276337-6</t>
  </si>
  <si>
    <t>363220-000</t>
  </si>
  <si>
    <t>518536-000</t>
  </si>
  <si>
    <t>LM-3/4-SL</t>
  </si>
  <si>
    <t>045686032167</t>
  </si>
  <si>
    <t>EB0283-000</t>
  </si>
  <si>
    <t>D48078-000</t>
  </si>
  <si>
    <t>CN3256-000</t>
  </si>
  <si>
    <t>CPGI-B-106-3632-BULK</t>
  </si>
  <si>
    <t>045686004591</t>
  </si>
  <si>
    <t>045686007127</t>
  </si>
  <si>
    <t>ELB-15/28-600-J2-AL-ADJ</t>
  </si>
  <si>
    <t>045686032495</t>
  </si>
  <si>
    <t>644395-000</t>
  </si>
  <si>
    <t>SHRINKMARK-18-2-S2-9</t>
  </si>
  <si>
    <t>045686005468</t>
  </si>
  <si>
    <t>365403-000</t>
  </si>
  <si>
    <t>SHRINKMARK-18-2-S3-9</t>
  </si>
  <si>
    <t>045686004423</t>
  </si>
  <si>
    <t>363853-000</t>
  </si>
  <si>
    <t>SHRINKMARK-18-2-S3-9-2.5</t>
  </si>
  <si>
    <t>045686032532</t>
  </si>
  <si>
    <t>123165-000</t>
  </si>
  <si>
    <t>SHRINKMARK-2-2-4</t>
  </si>
  <si>
    <t>045686032549</t>
  </si>
  <si>
    <t>937619-000</t>
  </si>
  <si>
    <t>SHRINKMARK-2-2-4-1K</t>
  </si>
  <si>
    <t>045686032556</t>
  </si>
  <si>
    <t>494711-000</t>
  </si>
  <si>
    <t>SHRINKMARK-2-2-9</t>
  </si>
  <si>
    <t>045686004492</t>
  </si>
  <si>
    <t>045686000364</t>
  </si>
  <si>
    <t>045686006373</t>
  </si>
  <si>
    <t>CF7486-000</t>
  </si>
  <si>
    <t>CPGI-CTY-07-50-MH-NAT-C</t>
  </si>
  <si>
    <t>045686029648</t>
  </si>
  <si>
    <t>045686063581</t>
  </si>
  <si>
    <t>045686063598</t>
  </si>
  <si>
    <t>045686063604</t>
  </si>
  <si>
    <t>045686063611</t>
  </si>
  <si>
    <t>045686063628</t>
  </si>
  <si>
    <t>045686063659</t>
  </si>
  <si>
    <t>045686063680</t>
  </si>
  <si>
    <t>CA8549-000</t>
  </si>
  <si>
    <t>CPGI-RNF-100-3/4-48-BLSK</t>
  </si>
  <si>
    <t>045686003105</t>
  </si>
  <si>
    <t>EB0278-000</t>
  </si>
  <si>
    <t>CPGI-4-521098-2-10</t>
  </si>
  <si>
    <t>175849-000</t>
  </si>
  <si>
    <t>HVIS-10-(B1)NS</t>
  </si>
  <si>
    <t>597703-000</t>
  </si>
  <si>
    <t>HVIS-ANGLE(B12)</t>
  </si>
  <si>
    <t>854187-000</t>
  </si>
  <si>
    <t>HVIS-CLAMP(B25)</t>
  </si>
  <si>
    <t>161897-000</t>
  </si>
  <si>
    <t>HVIS-FLAT(B12)</t>
  </si>
  <si>
    <t>539537-000</t>
  </si>
  <si>
    <t>HV-MSK-3/C-581</t>
  </si>
  <si>
    <t>HVES-3-1593</t>
  </si>
  <si>
    <t>029877-000</t>
  </si>
  <si>
    <t>HVES-3-1594</t>
  </si>
  <si>
    <t>426667-000</t>
  </si>
  <si>
    <t>HVES-3-2591E</t>
  </si>
  <si>
    <t>045686035724</t>
  </si>
  <si>
    <t>045686035762</t>
  </si>
  <si>
    <t>045686035779</t>
  </si>
  <si>
    <t>045686035786</t>
  </si>
  <si>
    <t>045686035793</t>
  </si>
  <si>
    <t>045686035809</t>
  </si>
  <si>
    <t>045686035816</t>
  </si>
  <si>
    <t>045686035823</t>
  </si>
  <si>
    <t>PT553R-000</t>
  </si>
  <si>
    <t>CA1421-000</t>
  </si>
  <si>
    <t>CP9912-000</t>
  </si>
  <si>
    <t>Ship Site</t>
  </si>
  <si>
    <t>267156-000</t>
  </si>
  <si>
    <t>EPPA-034-H(B200)</t>
  </si>
  <si>
    <t>290012-000</t>
  </si>
  <si>
    <t>EPPA-034-L(B200)</t>
  </si>
  <si>
    <t>564106-000</t>
  </si>
  <si>
    <t>EPPA-034-F(B200)</t>
  </si>
  <si>
    <t>958740-000</t>
  </si>
  <si>
    <t>EPPA-034-G(B200)</t>
  </si>
  <si>
    <t>CA1460-000</t>
  </si>
  <si>
    <t>EPPA-034-E(B50)</t>
  </si>
  <si>
    <t>045686036011</t>
  </si>
  <si>
    <t>045686036035</t>
  </si>
  <si>
    <t>045686036059</t>
  </si>
  <si>
    <t>045686036073</t>
  </si>
  <si>
    <t>045686036097</t>
  </si>
  <si>
    <t>045686036103</t>
  </si>
  <si>
    <t>045686036356</t>
  </si>
  <si>
    <t>045686036370</t>
  </si>
  <si>
    <t>045686036400</t>
  </si>
  <si>
    <t>045686036417</t>
  </si>
  <si>
    <t>045686036424</t>
  </si>
  <si>
    <t>045686036455</t>
  </si>
  <si>
    <t>045686036462</t>
  </si>
  <si>
    <t>045686036479</t>
  </si>
  <si>
    <t>045686036516</t>
  </si>
  <si>
    <t>045686036523</t>
  </si>
  <si>
    <t>045686036530</t>
  </si>
  <si>
    <t>045686036547</t>
  </si>
  <si>
    <t>045686036554</t>
  </si>
  <si>
    <t>045686036561</t>
  </si>
  <si>
    <t>045686036585</t>
  </si>
  <si>
    <t>045686036608</t>
  </si>
  <si>
    <t>045686036615</t>
  </si>
  <si>
    <t>045686036622</t>
  </si>
  <si>
    <t>045686036639</t>
  </si>
  <si>
    <t>137205-000</t>
  </si>
  <si>
    <t>HVS-1582D</t>
  </si>
  <si>
    <t>045686045174</t>
  </si>
  <si>
    <t>045686045181</t>
  </si>
  <si>
    <t>045686045334</t>
  </si>
  <si>
    <t>045686044955</t>
  </si>
  <si>
    <t>045686044962</t>
  </si>
  <si>
    <t>045686045198</t>
  </si>
  <si>
    <t>045686045204</t>
  </si>
  <si>
    <t>045686045211</t>
  </si>
  <si>
    <t>045686044979</t>
  </si>
  <si>
    <t>045686044986</t>
  </si>
  <si>
    <t>045686045341</t>
  </si>
  <si>
    <t>045686045358</t>
  </si>
  <si>
    <t>045686045228</t>
  </si>
  <si>
    <t>045686045235</t>
  </si>
  <si>
    <t>045686044993</t>
  </si>
  <si>
    <t>045686045242</t>
  </si>
  <si>
    <t>045686045259</t>
  </si>
  <si>
    <t>045686045006</t>
  </si>
  <si>
    <t>045686045266</t>
  </si>
  <si>
    <t>045686045013</t>
  </si>
  <si>
    <t>045686045273</t>
  </si>
  <si>
    <t>045686045020</t>
  </si>
  <si>
    <t>045686045280</t>
  </si>
  <si>
    <t>045686045075</t>
  </si>
  <si>
    <t>045686045082</t>
  </si>
  <si>
    <t>045686045105</t>
  </si>
  <si>
    <t>045686045112</t>
  </si>
  <si>
    <t>045686045129</t>
  </si>
  <si>
    <t>045686045099</t>
  </si>
  <si>
    <t>045686045044</t>
  </si>
  <si>
    <t>045686045037</t>
  </si>
  <si>
    <t>045686045365</t>
  </si>
  <si>
    <t>E32122-000</t>
  </si>
  <si>
    <t>UTLX-1-1099899-8</t>
  </si>
  <si>
    <t>045686007813</t>
  </si>
  <si>
    <t>D70411-000</t>
  </si>
  <si>
    <t>UTLX-1-1099899-9</t>
  </si>
  <si>
    <t>045686007530</t>
  </si>
  <si>
    <t>E03152-000</t>
  </si>
  <si>
    <t>UTLX-1-1099939-0</t>
  </si>
  <si>
    <t>045686007622</t>
  </si>
  <si>
    <t>C81691-000</t>
  </si>
  <si>
    <t>UTLX-1-1099939-2</t>
  </si>
  <si>
    <t>045686007226</t>
  </si>
  <si>
    <t>045686002986</t>
  </si>
  <si>
    <t>CA8539-000</t>
  </si>
  <si>
    <t>045686054244</t>
  </si>
  <si>
    <t>045686054251</t>
  </si>
  <si>
    <t>045686054268</t>
  </si>
  <si>
    <t>045686054275</t>
  </si>
  <si>
    <t>045686054305</t>
  </si>
  <si>
    <t>045686054312</t>
  </si>
  <si>
    <t>045686054329</t>
  </si>
  <si>
    <t>045686054466</t>
  </si>
  <si>
    <t>045686054510</t>
  </si>
  <si>
    <t>045686054527</t>
  </si>
  <si>
    <t>045686054558</t>
  </si>
  <si>
    <t>045686054565</t>
  </si>
  <si>
    <t>045686054572</t>
  </si>
  <si>
    <t>045686054589</t>
  </si>
  <si>
    <t>CB2527-000</t>
  </si>
  <si>
    <t>HVT-Z-252/352-J</t>
  </si>
  <si>
    <t>F59451-000</t>
  </si>
  <si>
    <t>HVT-Z-252/352-SG</t>
  </si>
  <si>
    <t>CB2530-000</t>
  </si>
  <si>
    <t>HVT-Z-252/352-SJ</t>
  </si>
  <si>
    <t>A50421-000</t>
  </si>
  <si>
    <t>HVT-Z-253/353-G</t>
  </si>
  <si>
    <t>CG8914-000</t>
  </si>
  <si>
    <t>318806-000</t>
  </si>
  <si>
    <t>UTLX-1-1099939-3</t>
  </si>
  <si>
    <t>045686004232</t>
  </si>
  <si>
    <t>A05359-000</t>
  </si>
  <si>
    <t>UTLX-1-1099939-4</t>
  </si>
  <si>
    <t>045686006687</t>
  </si>
  <si>
    <t>045686055579</t>
  </si>
  <si>
    <t>045686055586</t>
  </si>
  <si>
    <t>045686055593</t>
  </si>
  <si>
    <t>045686055609</t>
  </si>
  <si>
    <t>045686055616</t>
  </si>
  <si>
    <t>045686055623</t>
  </si>
  <si>
    <t>045686055630</t>
  </si>
  <si>
    <t>045686055647</t>
  </si>
  <si>
    <t>045686055654</t>
  </si>
  <si>
    <t>045686055661</t>
  </si>
  <si>
    <t>045686044894</t>
  </si>
  <si>
    <t>045686044887</t>
  </si>
  <si>
    <t>045686044870</t>
  </si>
  <si>
    <t>876925-000</t>
  </si>
  <si>
    <t>BRKT-3-SS</t>
  </si>
  <si>
    <t>798261-000</t>
  </si>
  <si>
    <t>BRKT-4-SS</t>
  </si>
  <si>
    <t>642845-000</t>
  </si>
  <si>
    <t>CBR-2-1-A (B3)</t>
  </si>
  <si>
    <t>425766-000</t>
  </si>
  <si>
    <t>AMPS-0-0602001-0</t>
  </si>
  <si>
    <t>045686050307</t>
  </si>
  <si>
    <t>045686050338</t>
  </si>
  <si>
    <t>EA4752-000</t>
  </si>
  <si>
    <t>CSJG-2812</t>
  </si>
  <si>
    <t>045686058846</t>
  </si>
  <si>
    <t>EA4772-000</t>
  </si>
  <si>
    <t>CSJG-2812M5</t>
  </si>
  <si>
    <t>045686058860</t>
  </si>
  <si>
    <t>418220-000</t>
  </si>
  <si>
    <t>ALR-AM-2-A-NB</t>
  </si>
  <si>
    <t>CL2448-000</t>
  </si>
  <si>
    <t>CF1720-000</t>
  </si>
  <si>
    <t>BCIC-RECLOSERCOVER(B6)</t>
  </si>
  <si>
    <t>908604-000</t>
  </si>
  <si>
    <t>ALR-TL-115</t>
  </si>
  <si>
    <t>929618-000</t>
  </si>
  <si>
    <t>ALR-TL-1168</t>
  </si>
  <si>
    <t>751826-000</t>
  </si>
  <si>
    <t>045686061099</t>
  </si>
  <si>
    <t>045686061105</t>
  </si>
  <si>
    <t>045686061150</t>
  </si>
  <si>
    <t>045686061181</t>
  </si>
  <si>
    <t>045686061211</t>
  </si>
  <si>
    <t>045686061228</t>
  </si>
  <si>
    <t>045686061235</t>
  </si>
  <si>
    <t>045686061242</t>
  </si>
  <si>
    <t>045686061259</t>
  </si>
  <si>
    <t>045686061303</t>
  </si>
  <si>
    <t>045686061334</t>
  </si>
  <si>
    <t>045686061365</t>
  </si>
  <si>
    <t>CR1327-000</t>
  </si>
  <si>
    <t>AMPS-0-1710729-4</t>
  </si>
  <si>
    <t>CR1328-000</t>
  </si>
  <si>
    <t>AMPS-0-1710729-5</t>
  </si>
  <si>
    <t>CR1329-000</t>
  </si>
  <si>
    <t>AMPS-0-1710729-6</t>
  </si>
  <si>
    <t>CR1331-000</t>
  </si>
  <si>
    <t>AMPS-0-1710729-8</t>
  </si>
  <si>
    <t>CR1335-000</t>
  </si>
  <si>
    <t>AMPS-0-1710730-3</t>
  </si>
  <si>
    <t>CR1336-000</t>
  </si>
  <si>
    <t>AMPS-0-1710730-4</t>
  </si>
  <si>
    <t>045686057252</t>
  </si>
  <si>
    <t>CR1337-000</t>
  </si>
  <si>
    <t>AMPS-0-1710731-1</t>
  </si>
  <si>
    <t>045686057269</t>
  </si>
  <si>
    <t>CR1338-000</t>
  </si>
  <si>
    <t>AMPS-0-1710731-2</t>
  </si>
  <si>
    <t>045686057276</t>
  </si>
  <si>
    <t>CR1340-000</t>
  </si>
  <si>
    <t>AMPS-0-1710731-4</t>
  </si>
  <si>
    <t>045686057290</t>
  </si>
  <si>
    <t>CR1341-000</t>
  </si>
  <si>
    <t>AMPS-0-1710731-5</t>
  </si>
  <si>
    <t>045686057306</t>
  </si>
  <si>
    <t>CR1342-000</t>
  </si>
  <si>
    <t>AMPS-0-1710731-6</t>
  </si>
  <si>
    <t>045686040971</t>
  </si>
  <si>
    <t>045686005086</t>
  </si>
  <si>
    <t>676296-000</t>
  </si>
  <si>
    <t>AMPS-0-0081673-2</t>
  </si>
  <si>
    <t>CL0777-000</t>
  </si>
  <si>
    <t>CL0778-000</t>
  </si>
  <si>
    <t>882765-000</t>
  </si>
  <si>
    <t>CRPS-2120</t>
  </si>
  <si>
    <t>577846-000</t>
  </si>
  <si>
    <t>CRPS-248</t>
  </si>
  <si>
    <t>298227-000</t>
  </si>
  <si>
    <t>CRPS-260</t>
  </si>
  <si>
    <t>135225-000</t>
  </si>
  <si>
    <t>CRPS-290</t>
  </si>
  <si>
    <t>922288-000</t>
  </si>
  <si>
    <t>CRSM-107/29-1000</t>
  </si>
  <si>
    <t>D02250-000</t>
  </si>
  <si>
    <t>337100-000</t>
  </si>
  <si>
    <t>F60764-000</t>
  </si>
  <si>
    <t>HVT-Z-151-J</t>
  </si>
  <si>
    <t>D05683-000</t>
  </si>
  <si>
    <t>HVT-Z-151-SG</t>
  </si>
  <si>
    <t>CG8891-000</t>
  </si>
  <si>
    <t>EB0284-000</t>
  </si>
  <si>
    <t>CPGI-BAT-CLIP</t>
  </si>
  <si>
    <t>045686007240</t>
  </si>
  <si>
    <t>045686003396</t>
  </si>
  <si>
    <t>045686054770</t>
  </si>
  <si>
    <t>EB0312-000</t>
  </si>
  <si>
    <t>CPGI-B-106-1503-5</t>
  </si>
  <si>
    <t>FCSM-51/16-A/U (B40)</t>
  </si>
  <si>
    <t>365194-000</t>
  </si>
  <si>
    <t>FCSM-68/22-1200-S(B10)</t>
  </si>
  <si>
    <t>021146-000</t>
  </si>
  <si>
    <t>FCSM-9/3-1200-S(B25)</t>
  </si>
  <si>
    <t>789760-000</t>
  </si>
  <si>
    <t>FCSM-90/30-1200-S(B5)</t>
  </si>
  <si>
    <t>011589-000</t>
  </si>
  <si>
    <t>FH-2618A-1</t>
  </si>
  <si>
    <t>413987-000</t>
  </si>
  <si>
    <t>AMPS-0-0069633-2</t>
  </si>
  <si>
    <t>328616-000</t>
  </si>
  <si>
    <t>AMPS-0-0069674-0</t>
  </si>
  <si>
    <t>292500-000</t>
  </si>
  <si>
    <t>AMPS-0-0069684-0</t>
  </si>
  <si>
    <t>865572-000</t>
  </si>
  <si>
    <t>AMPS-0-0069685-1</t>
  </si>
  <si>
    <t>183128-000</t>
  </si>
  <si>
    <t>AMPS-0-0069816-0</t>
  </si>
  <si>
    <t>176466-000</t>
  </si>
  <si>
    <t>AMPS-0-0069833-1</t>
  </si>
  <si>
    <t>191289-000</t>
  </si>
  <si>
    <t>200D966-4/97(B5)</t>
  </si>
  <si>
    <t>590637-000</t>
  </si>
  <si>
    <t>205A046-4/97(B20)</t>
  </si>
  <si>
    <t>467149-000</t>
  </si>
  <si>
    <t>205A047-4/97(B10)</t>
  </si>
  <si>
    <t>608439-000</t>
  </si>
  <si>
    <t>205A058-4/97(B5)</t>
  </si>
  <si>
    <t>734510-000</t>
  </si>
  <si>
    <t>205A420-4/172 (B9)</t>
  </si>
  <si>
    <t>578941-000</t>
  </si>
  <si>
    <t>205A440-4/172 (B5)</t>
  </si>
  <si>
    <t>996176-000</t>
  </si>
  <si>
    <t>AD-1358 LPG REG W/GAGE</t>
  </si>
  <si>
    <t>CA7323-000</t>
  </si>
  <si>
    <t>045686002634</t>
  </si>
  <si>
    <t>CA7325-000</t>
  </si>
  <si>
    <t>045686002641</t>
  </si>
  <si>
    <t>045686042234</t>
  </si>
  <si>
    <t>CL5803-000</t>
  </si>
  <si>
    <t>CPGI-1217204-1-K</t>
  </si>
  <si>
    <t>408971-000</t>
  </si>
  <si>
    <t>914517-000</t>
  </si>
  <si>
    <t>GILS-4/0(B72)</t>
  </si>
  <si>
    <t>C14728-000</t>
  </si>
  <si>
    <t>GPRT-350/4P-500/1P(B6)</t>
  </si>
  <si>
    <t>CA1261-000</t>
  </si>
  <si>
    <t>GPRT-350/4P-500/1P-C-B6</t>
  </si>
  <si>
    <t>A86865-000</t>
  </si>
  <si>
    <t>GPRT-350/6P-500/2P(B6)</t>
  </si>
  <si>
    <t>CA1262-000</t>
  </si>
  <si>
    <t>GPRT-350/6P-500/2P-C-B6</t>
  </si>
  <si>
    <t>F31957-000</t>
  </si>
  <si>
    <t>GPRT-350-3P(B6)</t>
  </si>
  <si>
    <t>CA1256-000</t>
  </si>
  <si>
    <t>GPRT-350-3P-C(B6)</t>
  </si>
  <si>
    <t>E80847-000</t>
  </si>
  <si>
    <t>GPRT-350-4P(B6)</t>
  </si>
  <si>
    <t>CA1257-000</t>
  </si>
  <si>
    <t>GPRT-350-4P-C(B6)</t>
  </si>
  <si>
    <t>E17231-000</t>
  </si>
  <si>
    <t>GPRT-350-5P(B6)</t>
  </si>
  <si>
    <t>045686034932</t>
  </si>
  <si>
    <t>045686034956</t>
  </si>
  <si>
    <t>045686034970</t>
  </si>
  <si>
    <t>045686060283</t>
  </si>
  <si>
    <t>045686060306</t>
  </si>
  <si>
    <t>045686060313</t>
  </si>
  <si>
    <t>045686060320</t>
  </si>
  <si>
    <t>045686060337</t>
  </si>
  <si>
    <t>676219-000</t>
  </si>
  <si>
    <t>BCIC-24/11/12(B3)</t>
  </si>
  <si>
    <t>965316-000</t>
  </si>
  <si>
    <t>526474-000</t>
  </si>
  <si>
    <t>CG6176-000</t>
  </si>
  <si>
    <t>CPGI-BUCH-1-1437381-7</t>
  </si>
  <si>
    <t>EB8304-000</t>
  </si>
  <si>
    <t>ELB-35-600S900</t>
  </si>
  <si>
    <t>ED2696-000</t>
  </si>
  <si>
    <t>ELB-35-600S-A2</t>
  </si>
  <si>
    <t>ED2698-000</t>
  </si>
  <si>
    <t>ELB-35-600S-A3</t>
  </si>
  <si>
    <t>ED2676-000</t>
  </si>
  <si>
    <t>ED2678-000</t>
  </si>
  <si>
    <t>ED2680-000</t>
  </si>
  <si>
    <t>EB8316-000</t>
  </si>
  <si>
    <t>ELB-35-600T1000</t>
  </si>
  <si>
    <t>EB8310-000</t>
  </si>
  <si>
    <t>ELB-35-600T900</t>
  </si>
  <si>
    <t>ED2699-000</t>
  </si>
  <si>
    <t>ELB-35-600T-A3</t>
  </si>
  <si>
    <t>ED2701-000</t>
  </si>
  <si>
    <t>ELB-35-600T-A4</t>
  </si>
  <si>
    <t>ED2679-000</t>
  </si>
  <si>
    <t>ED2681-000</t>
  </si>
  <si>
    <t>EB8322-000</t>
  </si>
  <si>
    <t>ELB-35-600U1250</t>
  </si>
  <si>
    <t>ED2682-000</t>
  </si>
  <si>
    <t>EB8328-000</t>
  </si>
  <si>
    <t>ELB-35-600V1250</t>
  </si>
  <si>
    <t>ED2683-000</t>
  </si>
  <si>
    <t>ED2727-000</t>
  </si>
  <si>
    <t>ELB-35-610F-A1</t>
  </si>
  <si>
    <t>ED2704-000</t>
  </si>
  <si>
    <t>EB8205-000</t>
  </si>
  <si>
    <t>ELB-35-610G1</t>
  </si>
  <si>
    <t>EB8211-000</t>
  </si>
  <si>
    <t>ELB-35-610G10</t>
  </si>
  <si>
    <t>631252-000</t>
  </si>
  <si>
    <t>ESA-2</t>
  </si>
  <si>
    <t>011577-000</t>
  </si>
  <si>
    <t>ESC-1/A (B50)</t>
  </si>
  <si>
    <t>468307-000</t>
  </si>
  <si>
    <t>ESC-2/A (B50)</t>
  </si>
  <si>
    <t>033233-000</t>
  </si>
  <si>
    <t>ESC-3/A (B40)</t>
  </si>
  <si>
    <t>766749-000</t>
  </si>
  <si>
    <t>ESC-4/A (B20)</t>
  </si>
  <si>
    <t>377085-000</t>
  </si>
  <si>
    <t>ESC-5/A (B10)</t>
  </si>
  <si>
    <t>253609-000</t>
  </si>
  <si>
    <t>ESC-6/A (B10)</t>
  </si>
  <si>
    <t>145685-000</t>
  </si>
  <si>
    <t>ESC-7/A (B10)</t>
  </si>
  <si>
    <t>834686N001</t>
  </si>
  <si>
    <t>EXRM-0607</t>
  </si>
  <si>
    <t>D52966N001</t>
  </si>
  <si>
    <t>EXRM-0982-I-22.5</t>
  </si>
  <si>
    <t>D47412N001</t>
  </si>
  <si>
    <t>EXRM-0982-R-20-4</t>
  </si>
  <si>
    <t>765099-000</t>
  </si>
  <si>
    <t>FCSM-120/40-1200-S(B5)</t>
  </si>
  <si>
    <t>ED2708-000</t>
  </si>
  <si>
    <t>ED2710-000</t>
  </si>
  <si>
    <t>EB8235-000</t>
  </si>
  <si>
    <t>ELB-35-610L250</t>
  </si>
  <si>
    <t>ED2711-000</t>
  </si>
  <si>
    <t>EB8241-000</t>
  </si>
  <si>
    <t>ELB-35-610M300</t>
  </si>
  <si>
    <t>EB8247-000</t>
  </si>
  <si>
    <t>ELB-35-610M350</t>
  </si>
  <si>
    <t>C69450-000</t>
  </si>
  <si>
    <t>AMPS-0-1443454-3</t>
  </si>
  <si>
    <t>045686066063</t>
  </si>
  <si>
    <t>IDP-TMS-101-RIBBON-4HT</t>
  </si>
  <si>
    <t>433590-000</t>
  </si>
  <si>
    <t>045686055890</t>
  </si>
  <si>
    <t>045686055913</t>
  </si>
  <si>
    <t>045686055920</t>
  </si>
  <si>
    <t>045686055937</t>
  </si>
  <si>
    <t>045686055944</t>
  </si>
  <si>
    <t>045686055951</t>
  </si>
  <si>
    <t>045686055968</t>
  </si>
  <si>
    <t>045686055975</t>
  </si>
  <si>
    <t>045686055982</t>
  </si>
  <si>
    <t>045686055999</t>
  </si>
  <si>
    <t>045686056002</t>
  </si>
  <si>
    <t>045686056019</t>
  </si>
  <si>
    <t>045686056026</t>
  </si>
  <si>
    <t>045686056033</t>
  </si>
  <si>
    <t>045686056040</t>
  </si>
  <si>
    <t>045686056057</t>
  </si>
  <si>
    <t>F90657-000</t>
  </si>
  <si>
    <t>GELWRAP-18/4-150(B6)</t>
  </si>
  <si>
    <t>F60655-000</t>
  </si>
  <si>
    <t>GELWRAP-18/4-200-(B6)</t>
  </si>
  <si>
    <t>971920-000</t>
  </si>
  <si>
    <t>GELWRAP-18/4-250(B6)</t>
  </si>
  <si>
    <t>D83074-000</t>
  </si>
  <si>
    <t>GELWRAP-18/4-300(B6)</t>
  </si>
  <si>
    <t>E13495-000</t>
  </si>
  <si>
    <t>GELWRAP-33/10-150(B6)</t>
  </si>
  <si>
    <t>E86269-000</t>
  </si>
  <si>
    <t>GELWRAP-33/10-200(B6)</t>
  </si>
  <si>
    <t>EA7082-000</t>
  </si>
  <si>
    <t>CSJA-JCN/EG-3513</t>
  </si>
  <si>
    <t>EA7104-000</t>
  </si>
  <si>
    <t>CSJA-JCN/EG-3513M5</t>
  </si>
  <si>
    <t>EA7083-000</t>
  </si>
  <si>
    <t>CSJA-JCN/EG-3514</t>
  </si>
  <si>
    <t>EA7105-000</t>
  </si>
  <si>
    <t>CSJA-JCN/EG-3514M8</t>
  </si>
  <si>
    <t>EA7106-000</t>
  </si>
  <si>
    <t>CSJA-JCN/EG-3514M9</t>
  </si>
  <si>
    <t>CF9558-000</t>
  </si>
  <si>
    <t>CSJ-EG-1</t>
  </si>
  <si>
    <t>UTLX-0-1099899-1</t>
  </si>
  <si>
    <t>045686003266</t>
  </si>
  <si>
    <t>A96574-000</t>
  </si>
  <si>
    <t>UTLX-0-1099899-2</t>
  </si>
  <si>
    <t>045686007011</t>
  </si>
  <si>
    <t>CG8886-000</t>
  </si>
  <si>
    <t>HVT-Z-153-G-750C</t>
  </si>
  <si>
    <t>CB2505-000</t>
  </si>
  <si>
    <t>HVT-Z-153-J</t>
  </si>
  <si>
    <t>635416-000</t>
  </si>
  <si>
    <t>HVT-Z-153-SG</t>
  </si>
  <si>
    <t>CG8899-000</t>
  </si>
  <si>
    <t>HVT-Z-153-SG-500C</t>
  </si>
  <si>
    <t>CG8901-000</t>
  </si>
  <si>
    <t>HVT-Z-153-SG-750C</t>
  </si>
  <si>
    <t>CB2513-000</t>
  </si>
  <si>
    <t>HVT-Z-153-SJ</t>
  </si>
  <si>
    <t>588830-000</t>
  </si>
  <si>
    <t>HVT-Z-154-G</t>
  </si>
  <si>
    <t>CB2507-000</t>
  </si>
  <si>
    <t>HVT-Z-154-J</t>
  </si>
  <si>
    <t>E15761-000</t>
  </si>
  <si>
    <t>HVT-Z-154-SG</t>
  </si>
  <si>
    <t>CB2514-000</t>
  </si>
  <si>
    <t>HVT-Z-154-SJ</t>
  </si>
  <si>
    <t>F33141-000</t>
  </si>
  <si>
    <t>GELWRAP-33/10-350(B10)</t>
  </si>
  <si>
    <t>709794-000</t>
  </si>
  <si>
    <t>GELWRAP-50/20-200(B12)</t>
  </si>
  <si>
    <t>D61559-000</t>
  </si>
  <si>
    <t>GELWRAP-50/20-250(B12)</t>
  </si>
  <si>
    <t>128958-000</t>
  </si>
  <si>
    <t>GELWRAP-50/20-300(B12)</t>
  </si>
  <si>
    <t>C76897-000</t>
  </si>
  <si>
    <t>GELWRAP-50/20-350(B12)</t>
  </si>
  <si>
    <t>A97829-000</t>
  </si>
  <si>
    <t>GELWRAP-50/20-400(B12)</t>
  </si>
  <si>
    <t>E76035-000</t>
  </si>
  <si>
    <t>GELWRAP-ES-65/25-150(B6)</t>
  </si>
  <si>
    <t>C45090-000</t>
  </si>
  <si>
    <t>GELWRAP-ES-65/25-150-B24</t>
  </si>
  <si>
    <t>F45169-000</t>
  </si>
  <si>
    <t>GELWRAP-MS-GRD-1(B3)</t>
  </si>
  <si>
    <t>A81534-000</t>
  </si>
  <si>
    <t>GELWRAP-MS-GRD-2(B3)</t>
  </si>
  <si>
    <t>C39864-000</t>
  </si>
  <si>
    <t>GELWRAP-MS-GRD-3(B3)</t>
  </si>
  <si>
    <t>E23469-000</t>
  </si>
  <si>
    <t>GELWRAP-PAD-2X8(B6)</t>
  </si>
  <si>
    <t>045686050697</t>
  </si>
  <si>
    <t>045686050703</t>
  </si>
  <si>
    <t>045686050758</t>
  </si>
  <si>
    <t>045686050765</t>
  </si>
  <si>
    <t>045686050772</t>
  </si>
  <si>
    <t>CP4754-000</t>
  </si>
  <si>
    <t>045686059300</t>
  </si>
  <si>
    <t>CM7298-000</t>
  </si>
  <si>
    <t>CPGI-CWT-9005-8</t>
  </si>
  <si>
    <t>EB1049-000</t>
  </si>
  <si>
    <t>CPGI-CWT-9005-BULK</t>
  </si>
  <si>
    <t>EB0313-000</t>
  </si>
  <si>
    <t>CPGI-D-406-0001-10</t>
  </si>
  <si>
    <t>EB1050-000</t>
  </si>
  <si>
    <t>CPGI-D-406-0001-BULK</t>
  </si>
  <si>
    <t>EB0314-000</t>
  </si>
  <si>
    <t>CPGI-D-406-0002-8</t>
  </si>
  <si>
    <t>CN3264-000</t>
  </si>
  <si>
    <t>CPGI-D-406-0002-BULK</t>
  </si>
  <si>
    <t>EB0315-000</t>
  </si>
  <si>
    <t>CPGI-D-406-0003-6</t>
  </si>
  <si>
    <t>EB1051-000</t>
  </si>
  <si>
    <t>CPGI-D-406-0003-BULK</t>
  </si>
  <si>
    <t>C81203-000</t>
  </si>
  <si>
    <t>CFTS-2-(B5)</t>
  </si>
  <si>
    <t>900151-000</t>
  </si>
  <si>
    <t>CFTS-3-(B5)</t>
  </si>
  <si>
    <t>122157-000</t>
  </si>
  <si>
    <t>CFTS-4-(B5)</t>
  </si>
  <si>
    <t>943861-000</t>
  </si>
  <si>
    <t>CFTS-5-(B5)</t>
  </si>
  <si>
    <t>150794-000</t>
  </si>
  <si>
    <t>821645-000</t>
  </si>
  <si>
    <t>CL0776-000</t>
  </si>
  <si>
    <t>045686035281</t>
  </si>
  <si>
    <t>045686035298</t>
  </si>
  <si>
    <t>045686035304</t>
  </si>
  <si>
    <t>045686035311</t>
  </si>
  <si>
    <t>045686035328</t>
  </si>
  <si>
    <t>045686035335</t>
  </si>
  <si>
    <t>045686035342</t>
  </si>
  <si>
    <t>045686035359</t>
  </si>
  <si>
    <t>045686035366</t>
  </si>
  <si>
    <t>045686035373</t>
  </si>
  <si>
    <t>045686035380</t>
  </si>
  <si>
    <t>045686035397</t>
  </si>
  <si>
    <t>045686035403</t>
  </si>
  <si>
    <t>045686035410</t>
  </si>
  <si>
    <t>045686035427</t>
  </si>
  <si>
    <t>045686035434</t>
  </si>
  <si>
    <t>045686035441</t>
  </si>
  <si>
    <t>045686035458</t>
  </si>
  <si>
    <t>045686035465</t>
  </si>
  <si>
    <t>045686035472</t>
  </si>
  <si>
    <t>045686035489</t>
  </si>
  <si>
    <t>045686035496</t>
  </si>
  <si>
    <t>045686035502</t>
  </si>
  <si>
    <t>045686035519</t>
  </si>
  <si>
    <t>045686035533</t>
  </si>
  <si>
    <t>045686035540</t>
  </si>
  <si>
    <t>045686035557</t>
  </si>
  <si>
    <t>045686035564</t>
  </si>
  <si>
    <t>045686035571</t>
  </si>
  <si>
    <t>045686035601</t>
  </si>
  <si>
    <t>045686035618</t>
  </si>
  <si>
    <t>996129-000</t>
  </si>
  <si>
    <t>AD-1432-ACD10FT-LPG-HOSE</t>
  </si>
  <si>
    <t>996042-000</t>
  </si>
  <si>
    <t>AD-1434-ACD30FT-LPG-HOSE</t>
  </si>
  <si>
    <t>CM9453-000</t>
  </si>
  <si>
    <t>HVS-S-1522S-M4</t>
  </si>
  <si>
    <t>CM9455-000</t>
  </si>
  <si>
    <t>HVS-S-1522S-M5</t>
  </si>
  <si>
    <t>CM9457-000</t>
  </si>
  <si>
    <t>HVS-S-1523S-M6</t>
  </si>
  <si>
    <t>CM9458-000</t>
  </si>
  <si>
    <t>HVS-S-1524S-M8</t>
  </si>
  <si>
    <t>CM9460-000</t>
  </si>
  <si>
    <t>HVS-S-1524S-M9</t>
  </si>
  <si>
    <t>EB0339-000</t>
  </si>
  <si>
    <t>HVS-S-1534S-M8</t>
  </si>
  <si>
    <t>EB0340-000</t>
  </si>
  <si>
    <t>HVS-S-1534S-M9</t>
  </si>
  <si>
    <t>943193-000</t>
  </si>
  <si>
    <t>HVS-SHIM-1</t>
  </si>
  <si>
    <t>621653-000</t>
  </si>
  <si>
    <t>HVS-SHIM-2</t>
  </si>
  <si>
    <t>624759-000</t>
  </si>
  <si>
    <t>HVS-SHIM-3</t>
  </si>
  <si>
    <t>440963-000</t>
  </si>
  <si>
    <t>AMPS-1-0275187-4</t>
  </si>
  <si>
    <t>101752-000</t>
  </si>
  <si>
    <t>AMPS-1-0275187-5</t>
  </si>
  <si>
    <t>174766-000</t>
  </si>
  <si>
    <t>AMPS-1-0275187-6</t>
  </si>
  <si>
    <t>715266-000</t>
  </si>
  <si>
    <t>AMPS-1-0275187-7</t>
  </si>
  <si>
    <t>922712-000</t>
  </si>
  <si>
    <t>AMPS-1-0275187-8</t>
  </si>
  <si>
    <t>456990-000</t>
  </si>
  <si>
    <t>AMPS-1-0276337-1</t>
  </si>
  <si>
    <t>AMPS-1-0602121-3</t>
  </si>
  <si>
    <t>685794-000</t>
  </si>
  <si>
    <t>AMPS-1-0602121-4</t>
  </si>
  <si>
    <t>361372-000</t>
  </si>
  <si>
    <t>AMPS-1-0602180-0</t>
  </si>
  <si>
    <t>612432-000</t>
  </si>
  <si>
    <t>AMPS-1-0602180-1</t>
  </si>
  <si>
    <t>127838-000</t>
  </si>
  <si>
    <t>AMPS-1-0602180-2</t>
  </si>
  <si>
    <t>414546-000</t>
  </si>
  <si>
    <t>863155-000</t>
  </si>
  <si>
    <t>833301-000</t>
  </si>
  <si>
    <t>HVS-1581D</t>
  </si>
  <si>
    <t>045686033348</t>
  </si>
  <si>
    <t>045686003457</t>
  </si>
  <si>
    <t>045686036851</t>
  </si>
  <si>
    <t>045686036868</t>
  </si>
  <si>
    <t>045686036875</t>
  </si>
  <si>
    <t>045686036882</t>
  </si>
  <si>
    <t>045686036899</t>
  </si>
  <si>
    <t>CJ0533-000</t>
  </si>
  <si>
    <t>CPGI-BUCH-2-1437392-3</t>
  </si>
  <si>
    <t>045686033980</t>
  </si>
  <si>
    <t>045686062744</t>
  </si>
  <si>
    <t>045686062751</t>
  </si>
  <si>
    <t>045686062799</t>
  </si>
  <si>
    <t>045686062805</t>
  </si>
  <si>
    <t>045686062812</t>
  </si>
  <si>
    <t>045686062829</t>
  </si>
  <si>
    <t>045686062843</t>
  </si>
  <si>
    <t>045686062850</t>
  </si>
  <si>
    <t>045686062867</t>
  </si>
  <si>
    <t>E08117-000</t>
  </si>
  <si>
    <t>045686001293</t>
  </si>
  <si>
    <t>BCIC-8D/14-H1(B3)</t>
  </si>
  <si>
    <t>834983-000</t>
  </si>
  <si>
    <t>BCIC-8D/15-H0(B3)</t>
  </si>
  <si>
    <t>896503-000</t>
  </si>
  <si>
    <t>BCIC-8D/18-H0(B3)</t>
  </si>
  <si>
    <t>363962-000</t>
  </si>
  <si>
    <t>BCIC-8D/6-3(B3)</t>
  </si>
  <si>
    <t>927126-000</t>
  </si>
  <si>
    <t>BCIC-9/10/3-L(B3)</t>
  </si>
  <si>
    <t>257557-000</t>
  </si>
  <si>
    <t>BCIC-9D/19-3(B3)</t>
  </si>
  <si>
    <t>045686037759</t>
  </si>
  <si>
    <t>045686037766</t>
  </si>
  <si>
    <t>045686037773</t>
  </si>
  <si>
    <t>045686037780</t>
  </si>
  <si>
    <t>045686037797</t>
  </si>
  <si>
    <t>045686037803</t>
  </si>
  <si>
    <t>045686037810</t>
  </si>
  <si>
    <t>045686037827</t>
  </si>
  <si>
    <t>045686037834</t>
  </si>
  <si>
    <t>045686037841</t>
  </si>
  <si>
    <t>045686037858</t>
  </si>
  <si>
    <t>045686037865</t>
  </si>
  <si>
    <t>045686037872</t>
  </si>
  <si>
    <t>045686037889</t>
  </si>
  <si>
    <t>045686037896</t>
  </si>
  <si>
    <t>045686037926</t>
  </si>
  <si>
    <t>045686037933</t>
  </si>
  <si>
    <t>045686037940</t>
  </si>
  <si>
    <t>045686037957</t>
  </si>
  <si>
    <t>045686037964</t>
  </si>
  <si>
    <t>045686002399</t>
  </si>
  <si>
    <t>045686005871</t>
  </si>
  <si>
    <t>984054-000</t>
  </si>
  <si>
    <t xml:space="preserve">ALR-AT-30 </t>
  </si>
  <si>
    <t>298296-000</t>
  </si>
  <si>
    <t>ALR-AT-368</t>
  </si>
  <si>
    <t>862971-000</t>
  </si>
  <si>
    <t>BCIC-SG-101-(B3)</t>
  </si>
  <si>
    <t>244748-000</t>
  </si>
  <si>
    <t>AMPS-0-0276915-1</t>
  </si>
  <si>
    <t>MWTM-35/12-1200-S (B25)</t>
  </si>
  <si>
    <t>771271-000</t>
  </si>
  <si>
    <t>MWTM-35/12-A/U(B100)</t>
  </si>
  <si>
    <t>884389-000</t>
  </si>
  <si>
    <t>MWTM-50/16-1200-S-(B15)</t>
  </si>
  <si>
    <t>045686006816</t>
  </si>
  <si>
    <t>EB0310-000</t>
  </si>
  <si>
    <t>CPGI-B-106-1501-6</t>
  </si>
  <si>
    <t>EB0311-000</t>
  </si>
  <si>
    <t>CPGI-B-106-1502-5</t>
  </si>
  <si>
    <t>AMPS-0-0561118-1</t>
  </si>
  <si>
    <t>A14397-000</t>
  </si>
  <si>
    <t>UTLX-1-1099939-5</t>
  </si>
  <si>
    <t>045686006717</t>
  </si>
  <si>
    <t>045686055821</t>
  </si>
  <si>
    <t>108178-000</t>
  </si>
  <si>
    <t>AMPS-0-0083005-2</t>
  </si>
  <si>
    <t>090792-000</t>
  </si>
  <si>
    <t>AMPS-0-0083005-4</t>
  </si>
  <si>
    <t>E73164-000</t>
  </si>
  <si>
    <t>868471-000</t>
  </si>
  <si>
    <t>SHRINKMARK-10-2-S2-9</t>
  </si>
  <si>
    <t>045686006236</t>
  </si>
  <si>
    <t>491967-000</t>
  </si>
  <si>
    <t>SHRINKMARK-10-2-S2-9-1K</t>
  </si>
  <si>
    <t>045686004843</t>
  </si>
  <si>
    <t>189883-000</t>
  </si>
  <si>
    <t>SHRINKMARK-10-2-S3-9</t>
  </si>
  <si>
    <t>045686003839</t>
  </si>
  <si>
    <t>134529-000</t>
  </si>
  <si>
    <t>EB0308-000</t>
  </si>
  <si>
    <t>CPGI-B-106-2502-5</t>
  </si>
  <si>
    <t>045686002382</t>
  </si>
  <si>
    <t>045686006267</t>
  </si>
  <si>
    <t>045686004379</t>
  </si>
  <si>
    <t>045686005062</t>
  </si>
  <si>
    <t>CG6220-000</t>
  </si>
  <si>
    <t>CPGI-BUCH-1437381-1</t>
  </si>
  <si>
    <t>100384-000</t>
  </si>
  <si>
    <t>AMPS-1-0276337-2</t>
  </si>
  <si>
    <t>539318-000</t>
  </si>
  <si>
    <t>AMPS-1-0276337-3</t>
  </si>
  <si>
    <t>434668-000</t>
  </si>
  <si>
    <t>AMPS-1-0276337-4</t>
  </si>
  <si>
    <t>955186-000</t>
  </si>
  <si>
    <t>AMPS-1-0276337-7</t>
  </si>
  <si>
    <t>105110-000</t>
  </si>
  <si>
    <t>AMPS-1-0276337-8</t>
  </si>
  <si>
    <t>990590-000</t>
  </si>
  <si>
    <t>AMPS-1-0602031-0</t>
  </si>
  <si>
    <t>085662-000</t>
  </si>
  <si>
    <t>AMPS-1-0602031-2</t>
  </si>
  <si>
    <t>197886-000</t>
  </si>
  <si>
    <t>AMPS-1-0602031-3</t>
  </si>
  <si>
    <t>780008-000</t>
  </si>
  <si>
    <t>AMPS-1-0602031-4</t>
  </si>
  <si>
    <t>633968-000</t>
  </si>
  <si>
    <t>AMPS-1-0602031-5</t>
  </si>
  <si>
    <t>166124-000</t>
  </si>
  <si>
    <t>AMPS-1-0602031-6</t>
  </si>
  <si>
    <t>863442-000</t>
  </si>
  <si>
    <t>AMPS-1-0602031-7</t>
  </si>
  <si>
    <t>874824-000</t>
  </si>
  <si>
    <t>AMPS-1-0602031-8</t>
  </si>
  <si>
    <t>644460-000</t>
  </si>
  <si>
    <t>AMPS-1-0602031-9</t>
  </si>
  <si>
    <t>648864-000</t>
  </si>
  <si>
    <t>AMPS-1-0602121-0</t>
  </si>
  <si>
    <t>906322-000</t>
  </si>
  <si>
    <t>AMPS-1-0602121-1</t>
  </si>
  <si>
    <t>664134-000</t>
  </si>
  <si>
    <t>AMPS-1-0602121-2</t>
  </si>
  <si>
    <t>950168-000</t>
  </si>
  <si>
    <t>045686040278</t>
  </si>
  <si>
    <t>045686040285</t>
  </si>
  <si>
    <t>045686040308</t>
  </si>
  <si>
    <t>HVES-3-1591</t>
  </si>
  <si>
    <t>156121-000</t>
  </si>
  <si>
    <t>HVES-3-1592</t>
  </si>
  <si>
    <t>477475-000</t>
  </si>
  <si>
    <t>AMPS-0-0306348-1</t>
  </si>
  <si>
    <t>ALR-M-PV</t>
  </si>
  <si>
    <t>476512-000</t>
  </si>
  <si>
    <t>CL5493-000</t>
  </si>
  <si>
    <t>CPGI-2008144-1-K6</t>
  </si>
  <si>
    <t>045686042173</t>
  </si>
  <si>
    <t>045686035106</t>
  </si>
  <si>
    <t>045686035113</t>
  </si>
  <si>
    <t>045686035120</t>
  </si>
  <si>
    <t>045686035144</t>
  </si>
  <si>
    <t>045686035175</t>
  </si>
  <si>
    <t>045686035182</t>
  </si>
  <si>
    <t>045686035199</t>
  </si>
  <si>
    <t>045686035229</t>
  </si>
  <si>
    <t>045686035236</t>
  </si>
  <si>
    <t>045686035250</t>
  </si>
  <si>
    <t>045686035267</t>
  </si>
  <si>
    <t>045686035274</t>
  </si>
  <si>
    <t>045686033928</t>
  </si>
  <si>
    <t>045686065127</t>
  </si>
  <si>
    <t>FH-2629-KIT</t>
  </si>
  <si>
    <t>340691-000</t>
  </si>
  <si>
    <t>436524-000</t>
  </si>
  <si>
    <t>AMPS-0-0080665-3</t>
  </si>
  <si>
    <t>FH-2629-TORCH ASSY</t>
  </si>
  <si>
    <t>C50342-000</t>
  </si>
  <si>
    <t>FH-2640-PS-KIT</t>
  </si>
  <si>
    <t>045686065134</t>
  </si>
  <si>
    <t>045686065141</t>
  </si>
  <si>
    <t>045686065158</t>
  </si>
  <si>
    <t>045686065172</t>
  </si>
  <si>
    <t>045686065189</t>
  </si>
  <si>
    <t>045686065196</t>
  </si>
  <si>
    <t>045686065202</t>
  </si>
  <si>
    <t>045686065219</t>
  </si>
  <si>
    <t>045686065226</t>
  </si>
  <si>
    <t>045686065240</t>
  </si>
  <si>
    <t>045686065257</t>
  </si>
  <si>
    <t>045686065264</t>
  </si>
  <si>
    <t>045686065271</t>
  </si>
  <si>
    <t>045686065288</t>
  </si>
  <si>
    <t>045686065295</t>
  </si>
  <si>
    <t>045686065301</t>
  </si>
  <si>
    <t>F83951-000</t>
  </si>
  <si>
    <t>UTLX-1-1443403-4</t>
  </si>
  <si>
    <t>045686033942</t>
  </si>
  <si>
    <t>D36803-000</t>
  </si>
  <si>
    <t>UTLX-1-1443403-6</t>
  </si>
  <si>
    <t>045686033966</t>
  </si>
  <si>
    <t>045686060221</t>
  </si>
  <si>
    <t>CR7828-000</t>
  </si>
  <si>
    <t>MVCC-G-45/1.75X4(B24)</t>
  </si>
  <si>
    <t>CS7744-000</t>
  </si>
  <si>
    <t>BCAC-IC-7D/12(B6)</t>
  </si>
  <si>
    <t>CS7743-000</t>
  </si>
  <si>
    <t>BCAC-G-IC-7D/12(B6)</t>
  </si>
  <si>
    <t>CR3053-000</t>
  </si>
  <si>
    <t>BCAC-G-IC-8D/18(B6)</t>
  </si>
  <si>
    <t>045686032792</t>
  </si>
  <si>
    <t>045686032808</t>
  </si>
  <si>
    <t>045686005499</t>
  </si>
  <si>
    <t>045686032815</t>
  </si>
  <si>
    <t>RNF-100-1/4-250-WHT</t>
  </si>
  <si>
    <t>375607-000</t>
  </si>
  <si>
    <t>RNF-100-1/4-25-BLK</t>
  </si>
  <si>
    <t>114005-000</t>
  </si>
  <si>
    <t>RNF-100-1/4-25-CLR</t>
  </si>
  <si>
    <t>735713-000</t>
  </si>
  <si>
    <t>320299-000</t>
  </si>
  <si>
    <t>AD-3015-04  SP=1</t>
  </si>
  <si>
    <t>CF5866-000</t>
  </si>
  <si>
    <t>ALK-L823</t>
  </si>
  <si>
    <t>CL8618-000</t>
  </si>
  <si>
    <t>PC</t>
  </si>
  <si>
    <t>694472-000</t>
  </si>
  <si>
    <t>045686039258</t>
  </si>
  <si>
    <t>045686039265</t>
  </si>
  <si>
    <t>045686039289</t>
  </si>
  <si>
    <t>045686039296</t>
  </si>
  <si>
    <t>045686039302</t>
  </si>
  <si>
    <t>045686039319</t>
  </si>
  <si>
    <t>045686039326</t>
  </si>
  <si>
    <t>045686039333</t>
  </si>
  <si>
    <t>045686039340</t>
  </si>
  <si>
    <t>045686039364</t>
  </si>
  <si>
    <t>045686039371</t>
  </si>
  <si>
    <t>045686039388</t>
  </si>
  <si>
    <t>045686039395</t>
  </si>
  <si>
    <t>045686039401</t>
  </si>
  <si>
    <t>045686039418</t>
  </si>
  <si>
    <t>045686039425</t>
  </si>
  <si>
    <t>045686039432</t>
  </si>
  <si>
    <t>045686039449</t>
  </si>
  <si>
    <t>045686039456</t>
  </si>
  <si>
    <t>045686039463</t>
  </si>
  <si>
    <t>045686039470</t>
  </si>
  <si>
    <t>045686039487</t>
  </si>
  <si>
    <t>045686039494</t>
  </si>
  <si>
    <t>045686039500</t>
  </si>
  <si>
    <t>045686039517</t>
  </si>
  <si>
    <t>045686039524</t>
  </si>
  <si>
    <t>045686039531</t>
  </si>
  <si>
    <t>045686039555</t>
  </si>
  <si>
    <t>045686039562</t>
  </si>
  <si>
    <t>045686039579</t>
  </si>
  <si>
    <t>045686039586</t>
  </si>
  <si>
    <t>045686039593</t>
  </si>
  <si>
    <t>045686039609</t>
  </si>
  <si>
    <t>045686039616</t>
  </si>
  <si>
    <t>045686039623</t>
  </si>
  <si>
    <t>045686039630</t>
  </si>
  <si>
    <t>045686039647</t>
  </si>
  <si>
    <t>045686039654</t>
  </si>
  <si>
    <t>045686039661</t>
  </si>
  <si>
    <t>045686039678</t>
  </si>
  <si>
    <t>045686039685</t>
  </si>
  <si>
    <t>045686039692</t>
  </si>
  <si>
    <t>045686039708</t>
  </si>
  <si>
    <t>045686039715</t>
  </si>
  <si>
    <t>045686039722</t>
  </si>
  <si>
    <t>045686039739</t>
  </si>
  <si>
    <t>045686039746</t>
  </si>
  <si>
    <t>045686039753</t>
  </si>
  <si>
    <t>045686039760</t>
  </si>
  <si>
    <t>045686039777</t>
  </si>
  <si>
    <t>436386-000</t>
  </si>
  <si>
    <t>045686031009</t>
  </si>
  <si>
    <t>614348-000</t>
  </si>
  <si>
    <t>AMPS-0-0308967-1</t>
  </si>
  <si>
    <t>036672-000</t>
  </si>
  <si>
    <t>CPGI-ALR-AA-105</t>
  </si>
  <si>
    <t>F12633-000</t>
  </si>
  <si>
    <t>CPGI-ALR-AA-105W</t>
  </si>
  <si>
    <t>CPGI-SGRS-3-5</t>
  </si>
  <si>
    <t>CM7294-000</t>
  </si>
  <si>
    <t>CPGI-SGRS-4-4</t>
  </si>
  <si>
    <t>SHRINKMARK-250-2-9-1K</t>
  </si>
  <si>
    <t>045686032648</t>
  </si>
  <si>
    <t>444053-000</t>
  </si>
  <si>
    <t>SHRINKMARK-250-2-S1-4</t>
  </si>
  <si>
    <t>045686032655</t>
  </si>
  <si>
    <t>424909-000</t>
  </si>
  <si>
    <t>CR8834-000</t>
  </si>
  <si>
    <t>CR8835-000</t>
  </si>
  <si>
    <t>045686059423</t>
  </si>
  <si>
    <t>045686059430</t>
  </si>
  <si>
    <t>045686005222</t>
  </si>
  <si>
    <t>045686002368</t>
  </si>
  <si>
    <t>EA4749-000</t>
  </si>
  <si>
    <t>CSJG-1512</t>
  </si>
  <si>
    <t>045686058747</t>
  </si>
  <si>
    <t>045686004133</t>
  </si>
  <si>
    <t>EB8268-000</t>
  </si>
  <si>
    <t>ELB-35-600Q600</t>
  </si>
  <si>
    <t>ED2694-000</t>
  </si>
  <si>
    <t>ELB-35-600Q-A2</t>
  </si>
  <si>
    <t>ED2674-000</t>
  </si>
  <si>
    <t>EB8274-000</t>
  </si>
  <si>
    <t>ELB-35-600R600</t>
  </si>
  <si>
    <t>EB8280-000</t>
  </si>
  <si>
    <t>ELB-35-600R650</t>
  </si>
  <si>
    <t>EB8286-000</t>
  </si>
  <si>
    <t>ELB-35-600R750</t>
  </si>
  <si>
    <t>ED2695-000</t>
  </si>
  <si>
    <t>ELB-35-600R-A2</t>
  </si>
  <si>
    <t>ED2697-000</t>
  </si>
  <si>
    <t>ELB-35-600R-A3</t>
  </si>
  <si>
    <t>ED2675-000</t>
  </si>
  <si>
    <t>ED2677-000</t>
  </si>
  <si>
    <t>EB8292-000</t>
  </si>
  <si>
    <t>ELB-35-600S750</t>
  </si>
  <si>
    <t>EB8298-000</t>
  </si>
  <si>
    <t>ELB-35-600S800</t>
  </si>
  <si>
    <t>HVT-Z-253/353-SJ-T8</t>
  </si>
  <si>
    <t>HVT-Z-252/352-G</t>
  </si>
  <si>
    <t>AMPS-0-1443414-1</t>
  </si>
  <si>
    <t>AMPS-0-0083631-1</t>
  </si>
  <si>
    <t>916606-000</t>
  </si>
  <si>
    <t>AMPS-0-0083631-2</t>
  </si>
  <si>
    <t>511736-000</t>
  </si>
  <si>
    <t>AMPS-0-0083631-3</t>
  </si>
  <si>
    <t>226240-000</t>
  </si>
  <si>
    <t>AMPS-0-0083631-4</t>
  </si>
  <si>
    <t>337138-000</t>
  </si>
  <si>
    <t>AMPS-0-0083631-5</t>
  </si>
  <si>
    <t>977824-000</t>
  </si>
  <si>
    <t>D37366-000</t>
  </si>
  <si>
    <t>AMPS-0-0052041-3</t>
  </si>
  <si>
    <t>045686007394</t>
  </si>
  <si>
    <t>CA8540-000</t>
  </si>
  <si>
    <t>CPGI-RNF-100-1-48-WHSK</t>
  </si>
  <si>
    <t>045686003013</t>
  </si>
  <si>
    <t>450807-000</t>
  </si>
  <si>
    <t>SHRINKMARK-18-2-4-1K</t>
  </si>
  <si>
    <t>045686032464</t>
  </si>
  <si>
    <t>041075-000</t>
  </si>
  <si>
    <t>SHRINKMARK-18-2-9</t>
  </si>
  <si>
    <t>045686003402</t>
  </si>
  <si>
    <t>050805-000</t>
  </si>
  <si>
    <t>SHRINKMARK-18-2-9-1K</t>
  </si>
  <si>
    <t>045686003488</t>
  </si>
  <si>
    <t>045686061396</t>
  </si>
  <si>
    <t>045686061426</t>
  </si>
  <si>
    <t>045686061433</t>
  </si>
  <si>
    <t>045686061440</t>
  </si>
  <si>
    <t>045686061457</t>
  </si>
  <si>
    <t>045686061488</t>
  </si>
  <si>
    <t>045686061518</t>
  </si>
  <si>
    <t>045686061549</t>
  </si>
  <si>
    <t>045686061570</t>
  </si>
  <si>
    <t>045686061600</t>
  </si>
  <si>
    <t>045686061617</t>
  </si>
  <si>
    <t>045686061624</t>
  </si>
  <si>
    <t>045686061631</t>
  </si>
  <si>
    <t>045686061648</t>
  </si>
  <si>
    <t>045686061679</t>
  </si>
  <si>
    <t>045686061709</t>
  </si>
  <si>
    <t>045686061730</t>
  </si>
  <si>
    <t>045686061747</t>
  </si>
  <si>
    <t>045686061792</t>
  </si>
  <si>
    <t>045686061822</t>
  </si>
  <si>
    <t>045686061839</t>
  </si>
  <si>
    <t>045686061846</t>
  </si>
  <si>
    <t>045686061853</t>
  </si>
  <si>
    <t>045686061884</t>
  </si>
  <si>
    <t>045686061914</t>
  </si>
  <si>
    <t>045686061945</t>
  </si>
  <si>
    <t>507650-000</t>
  </si>
  <si>
    <t>AMPS-0-0081667-1</t>
  </si>
  <si>
    <t>CM7295-000</t>
  </si>
  <si>
    <t>CPGI-CWT-9002-15</t>
  </si>
  <si>
    <t>EB1046-000</t>
  </si>
  <si>
    <t>CPGI-CWT-9002-BULK</t>
  </si>
  <si>
    <t>CM7296-000</t>
  </si>
  <si>
    <t>CPGI-CWT-9003-12</t>
  </si>
  <si>
    <t>EB1047-000</t>
  </si>
  <si>
    <t>CPGI-CWT-9003-BULK</t>
  </si>
  <si>
    <t>CM7297-000</t>
  </si>
  <si>
    <t>CPGI-CWT-9004-10</t>
  </si>
  <si>
    <t>EB1048-000</t>
  </si>
  <si>
    <t>CPGI-CWT-9004-BULK</t>
  </si>
  <si>
    <t>045686150007</t>
  </si>
  <si>
    <t>213502-000</t>
  </si>
  <si>
    <t>AMPS-0-0080408-6</t>
  </si>
  <si>
    <t>665724-000</t>
  </si>
  <si>
    <t>AMPS-0-0080408-7</t>
  </si>
  <si>
    <t>099022-000</t>
  </si>
  <si>
    <t>AMPS-0-0080665-2</t>
  </si>
  <si>
    <t>045686054060</t>
  </si>
  <si>
    <t>045686054077</t>
  </si>
  <si>
    <t>045686054084</t>
  </si>
  <si>
    <t>045686054091</t>
  </si>
  <si>
    <t>045686054107</t>
  </si>
  <si>
    <t>045686054114</t>
  </si>
  <si>
    <t>045686054121</t>
  </si>
  <si>
    <t>045686054138</t>
  </si>
  <si>
    <t>045686054145</t>
  </si>
  <si>
    <t>045686054152</t>
  </si>
  <si>
    <t>045686054169</t>
  </si>
  <si>
    <t>045686054176</t>
  </si>
  <si>
    <t>045686054183</t>
  </si>
  <si>
    <t>045686054190</t>
  </si>
  <si>
    <t>045686054206</t>
  </si>
  <si>
    <t>045686054213</t>
  </si>
  <si>
    <t>045686054220</t>
  </si>
  <si>
    <t>045686054237</t>
  </si>
  <si>
    <t>ED2746-000</t>
  </si>
  <si>
    <t>ELB-35-610V-A4</t>
  </si>
  <si>
    <t>ED2726-000</t>
  </si>
  <si>
    <t>EA7241-000</t>
  </si>
  <si>
    <t>GMRS-100/40-1050</t>
  </si>
  <si>
    <t>ED6742-000</t>
  </si>
  <si>
    <t>GMRS-100/40-1200</t>
  </si>
  <si>
    <t>ED6740-000</t>
  </si>
  <si>
    <t>045686041923</t>
  </si>
  <si>
    <t>045686041930</t>
  </si>
  <si>
    <t>045686041954</t>
  </si>
  <si>
    <t>045686042074</t>
  </si>
  <si>
    <t>045686042296</t>
  </si>
  <si>
    <t>045686043644</t>
  </si>
  <si>
    <t>045686043897</t>
  </si>
  <si>
    <t>045686043903</t>
  </si>
  <si>
    <t>A26628-000</t>
  </si>
  <si>
    <t>045686033843</t>
  </si>
  <si>
    <t>C85928-000</t>
  </si>
  <si>
    <t>045686033867</t>
  </si>
  <si>
    <t>C76909-000</t>
  </si>
  <si>
    <t>045686033874</t>
  </si>
  <si>
    <t>A17764-000</t>
  </si>
  <si>
    <t>045686033881</t>
  </si>
  <si>
    <t>F70587-000</t>
  </si>
  <si>
    <t>045686033898</t>
  </si>
  <si>
    <t>CL4491-000</t>
  </si>
  <si>
    <t>CSJA-1521</t>
  </si>
  <si>
    <t>CL9210-000</t>
  </si>
  <si>
    <t>CSJA-1521M1</t>
  </si>
  <si>
    <t>EA3544-000</t>
  </si>
  <si>
    <t>CSJA-1521M4</t>
  </si>
  <si>
    <t>EA3545-000</t>
  </si>
  <si>
    <t>CSJA-1521M5</t>
  </si>
  <si>
    <t>CF6026-000</t>
  </si>
  <si>
    <t>CSJA-1522</t>
  </si>
  <si>
    <t>CF9550-000</t>
  </si>
  <si>
    <t>CSJA-1522M1</t>
  </si>
  <si>
    <t>CF9552-000</t>
  </si>
  <si>
    <t>CSJA-1522M2</t>
  </si>
  <si>
    <t>EA3546-000</t>
  </si>
  <si>
    <t>CSJA-1522M6</t>
  </si>
  <si>
    <t>EA3547-000</t>
  </si>
  <si>
    <t>CSJA-1522M7</t>
  </si>
  <si>
    <t>CL8118-000</t>
  </si>
  <si>
    <t>CSJA-1523</t>
  </si>
  <si>
    <t>CL9211-000</t>
  </si>
  <si>
    <t>CSJA-1523M2</t>
  </si>
  <si>
    <t>EA3548-000</t>
  </si>
  <si>
    <t>CSJA-1523M8</t>
  </si>
  <si>
    <t>CM1363-000</t>
  </si>
  <si>
    <t>CSJA-1524</t>
  </si>
  <si>
    <t>EA3549-000</t>
  </si>
  <si>
    <t>CSJA-1524M9</t>
  </si>
  <si>
    <t>CF9549-000</t>
  </si>
  <si>
    <t>CSJA-2822</t>
  </si>
  <si>
    <t>CF9553-000</t>
  </si>
  <si>
    <t>CSJA-2822M1</t>
  </si>
  <si>
    <t>CF9557-000</t>
  </si>
  <si>
    <t>CP4172-000</t>
  </si>
  <si>
    <t>LVBT-4-R-01(B2)</t>
  </si>
  <si>
    <t>045686065325</t>
  </si>
  <si>
    <t>045686034246</t>
  </si>
  <si>
    <t>CJ0587-000</t>
  </si>
  <si>
    <t>CPGI-BUCH-1-1437390-2</t>
  </si>
  <si>
    <t>045686034239</t>
  </si>
  <si>
    <t>045686033232</t>
  </si>
  <si>
    <t>045686004690</t>
  </si>
  <si>
    <t>045686033249</t>
  </si>
  <si>
    <t>F28222-000</t>
  </si>
  <si>
    <t>IDP-1330-0607-10</t>
  </si>
  <si>
    <t>045686030545</t>
  </si>
  <si>
    <t>CF7459-000</t>
  </si>
  <si>
    <t>IDP-1330-0607-T200</t>
  </si>
  <si>
    <t>045686031443</t>
  </si>
  <si>
    <t>CN1750-000</t>
  </si>
  <si>
    <t>CL2247-000</t>
  </si>
  <si>
    <t>045686042128</t>
  </si>
  <si>
    <t>901803-000</t>
  </si>
  <si>
    <t>HVSA-3-822S</t>
  </si>
  <si>
    <t>294343-000</t>
  </si>
  <si>
    <t>HVSA-3-823S</t>
  </si>
  <si>
    <t>683361-000</t>
  </si>
  <si>
    <t>HVSA-3-824S</t>
  </si>
  <si>
    <t>920829-000</t>
  </si>
  <si>
    <t>HVSA-4</t>
  </si>
  <si>
    <t>EB0175-000</t>
  </si>
  <si>
    <t>HVS-C-1511S-J</t>
  </si>
  <si>
    <t>EB0176-000</t>
  </si>
  <si>
    <t>HVS-C-1512S-J</t>
  </si>
  <si>
    <t>EB0327-000</t>
  </si>
  <si>
    <t>RDSS-CLIP-100</t>
  </si>
  <si>
    <t>296347-000</t>
  </si>
  <si>
    <t>RDSS-CLIP-125(S5)</t>
  </si>
  <si>
    <t>741939-000</t>
  </si>
  <si>
    <t>RDSS-CLIP-150(S5)</t>
  </si>
  <si>
    <t>196693-000</t>
  </si>
  <si>
    <t>RDSS-CLIP-45(S5)</t>
  </si>
  <si>
    <t>291933-000</t>
  </si>
  <si>
    <t>RDSS-CLIP-75(S5)</t>
  </si>
  <si>
    <t>826061-000</t>
  </si>
  <si>
    <t>AMPS-0-0602180-7</t>
  </si>
  <si>
    <t>113384-000</t>
  </si>
  <si>
    <t>AMPS-0-0602180-8</t>
  </si>
  <si>
    <t>157940-000</t>
  </si>
  <si>
    <t>AMPS-0-0602180-9</t>
  </si>
  <si>
    <t>260666-000</t>
  </si>
  <si>
    <t>AMPS-0-0602201-0</t>
  </si>
  <si>
    <t>384624-000</t>
  </si>
  <si>
    <t>AMPS-0-0602237-0</t>
  </si>
  <si>
    <t>804722-000</t>
  </si>
  <si>
    <t>AMPS-0-0602247-0</t>
  </si>
  <si>
    <t>AMPS-0-1710722-2</t>
  </si>
  <si>
    <t>045686056743</t>
  </si>
  <si>
    <t>CR1283-000</t>
  </si>
  <si>
    <t>AMPS-0-1710722-3</t>
  </si>
  <si>
    <t>830921-000</t>
  </si>
  <si>
    <t>SHRINKMARK-2-2-S3-9</t>
  </si>
  <si>
    <t>045686006076</t>
  </si>
  <si>
    <t>805831-000</t>
  </si>
  <si>
    <t>SHRINKMARK-250-2-4</t>
  </si>
  <si>
    <t>045686032624</t>
  </si>
  <si>
    <t>867295-000</t>
  </si>
  <si>
    <t>SHRINKMARK-250-2-4-1K</t>
  </si>
  <si>
    <t>045686032631</t>
  </si>
  <si>
    <t>228347-000</t>
  </si>
  <si>
    <t>SHRINKMARK-250-2-9</t>
  </si>
  <si>
    <t>045686003983</t>
  </si>
  <si>
    <t>017907-000</t>
  </si>
  <si>
    <t>A53052-000</t>
  </si>
  <si>
    <t>045686033812</t>
  </si>
  <si>
    <t>045686005109</t>
  </si>
  <si>
    <t>045686004331</t>
  </si>
  <si>
    <t>045686005116</t>
  </si>
  <si>
    <t>045686004898</t>
  </si>
  <si>
    <t>045686005604</t>
  </si>
  <si>
    <t>045686006540</t>
  </si>
  <si>
    <t>CL5508-000</t>
  </si>
  <si>
    <t>CPGI-2008152-1-K6</t>
  </si>
  <si>
    <t>638449-000</t>
  </si>
  <si>
    <t>HV-BRAID-6-1520</t>
  </si>
  <si>
    <t>125589-000</t>
  </si>
  <si>
    <t>HV-BRAID-8-1520</t>
  </si>
  <si>
    <t>CL5495-000</t>
  </si>
  <si>
    <t>CPGI-2008836-2-K2</t>
  </si>
  <si>
    <t>045686042203</t>
  </si>
  <si>
    <t>A52835-000</t>
  </si>
  <si>
    <t>CPGI-208169-2</t>
  </si>
  <si>
    <t>045686001453</t>
  </si>
  <si>
    <t>CF4147-000</t>
  </si>
  <si>
    <t>CPGI-208169-2-BULK</t>
  </si>
  <si>
    <t>045686033621</t>
  </si>
  <si>
    <t>EB0286-000</t>
  </si>
  <si>
    <t>CPGI-2-1838143-0-10</t>
  </si>
  <si>
    <t>EB0287-000</t>
  </si>
  <si>
    <t>CPGI-2-1838145-0-10</t>
  </si>
  <si>
    <t>EB0302-000</t>
  </si>
  <si>
    <t>CPGI-2-1838145-0-100</t>
  </si>
  <si>
    <t>EB0264-000</t>
  </si>
  <si>
    <t>CPGI-2-1838150-0-10</t>
  </si>
  <si>
    <t>RNF-100-1/16-25-WHT</t>
  </si>
  <si>
    <t>049753-000</t>
  </si>
  <si>
    <t>RNF-100-1/2-150-BLK</t>
  </si>
  <si>
    <t>229125-000</t>
  </si>
  <si>
    <t>RNF-100-1/2-150-BLU</t>
  </si>
  <si>
    <t>828695-000</t>
  </si>
  <si>
    <t>RDSS-100(S10)</t>
  </si>
  <si>
    <t>E56010-000</t>
  </si>
  <si>
    <t>RDSS-100(S3)</t>
  </si>
  <si>
    <t>588693-000</t>
  </si>
  <si>
    <t>RDSS-125(S10)</t>
  </si>
  <si>
    <t>D20934-000</t>
  </si>
  <si>
    <t>PART NUMBER</t>
  </si>
  <si>
    <t>CATALOG NUMBER</t>
  </si>
  <si>
    <t>Product Info</t>
  </si>
  <si>
    <t>WEB LINK</t>
  </si>
  <si>
    <t>UPC CODES</t>
  </si>
  <si>
    <t>UOM</t>
  </si>
  <si>
    <t>FH-AD-3061-23-PS-REGULAT</t>
  </si>
  <si>
    <t>E62182-000</t>
  </si>
  <si>
    <t>UTLX-1-1099899-0</t>
  </si>
  <si>
    <t>045686007912</t>
  </si>
  <si>
    <t>045686003211</t>
  </si>
  <si>
    <t>F34241-000</t>
  </si>
  <si>
    <t>CPGI-GELWRAP-33/10-250</t>
  </si>
  <si>
    <t>RNF-100-1-1/2-25-CLR</t>
  </si>
  <si>
    <t>727751-000</t>
  </si>
  <si>
    <t>RNF-100-1-1/2-25-WHT</t>
  </si>
  <si>
    <t>354161-000</t>
  </si>
  <si>
    <t>RNF-100-1-25-BLK</t>
  </si>
  <si>
    <t>CG8875-000</t>
  </si>
  <si>
    <t>HVT-Z-151-G-2C</t>
  </si>
  <si>
    <t>HVS-824S</t>
  </si>
  <si>
    <t>C95583-000</t>
  </si>
  <si>
    <t>HVS-824S-FS</t>
  </si>
  <si>
    <t>587967-000</t>
  </si>
  <si>
    <t>HVS-825S</t>
  </si>
  <si>
    <t>456941-000</t>
  </si>
  <si>
    <t>HVS-501</t>
  </si>
  <si>
    <t>775314-000</t>
  </si>
  <si>
    <t>HVS-502</t>
  </si>
  <si>
    <t>443693-000</t>
  </si>
  <si>
    <t>HVS-503</t>
  </si>
  <si>
    <t>761103-000</t>
  </si>
  <si>
    <t>HVS-821S</t>
  </si>
  <si>
    <t>511570-000</t>
  </si>
  <si>
    <t>AMPS-0-0083750-3</t>
  </si>
  <si>
    <t>223622-000</t>
  </si>
  <si>
    <t>AMPS-0-0083750-6</t>
  </si>
  <si>
    <t>091468-000</t>
  </si>
  <si>
    <t>AMPS-0-0083751-1</t>
  </si>
  <si>
    <t>178368-000</t>
  </si>
  <si>
    <t>AMPS-0-0083751-3</t>
  </si>
  <si>
    <t>099082-000</t>
  </si>
  <si>
    <t>AMPS-0-0083843-1</t>
  </si>
  <si>
    <t>045686051656</t>
  </si>
  <si>
    <t>045686051663</t>
  </si>
  <si>
    <t>045686051670</t>
  </si>
  <si>
    <t>045686051687</t>
  </si>
  <si>
    <t>045686051694</t>
  </si>
  <si>
    <t>045686051700</t>
  </si>
  <si>
    <t>045686051717</t>
  </si>
  <si>
    <t>045686051724</t>
  </si>
  <si>
    <t>045686051731</t>
  </si>
  <si>
    <t>045686051748</t>
  </si>
  <si>
    <t>045686051755</t>
  </si>
  <si>
    <t>045686051762</t>
  </si>
  <si>
    <t>127796-000</t>
  </si>
  <si>
    <t>AMPS-0-0083747-1</t>
  </si>
  <si>
    <t>191082-000</t>
  </si>
  <si>
    <t>AMPS-0-0083747-2</t>
  </si>
  <si>
    <t>CR8501-000</t>
  </si>
  <si>
    <t>HVS-C-1512S-RJ-M4</t>
  </si>
  <si>
    <t>CR8502-000</t>
  </si>
  <si>
    <t>HVS-C-1512S-RJ-M5</t>
  </si>
  <si>
    <t>CR8517-000</t>
  </si>
  <si>
    <t>HVS-C-2523S-RJ-M8</t>
  </si>
  <si>
    <t>CP5676-000</t>
  </si>
  <si>
    <t>BCIC-G-RECLOSER-200(B6)</t>
  </si>
  <si>
    <t>045686059140</t>
  </si>
  <si>
    <t>045686059157</t>
  </si>
  <si>
    <t>HVT-Z-253/353-G-750C</t>
  </si>
  <si>
    <t>CB2528-000</t>
  </si>
  <si>
    <t>HVT-Z-253/353-J</t>
  </si>
  <si>
    <t>ED2772-000</t>
  </si>
  <si>
    <t>ELB-15/28-610E-A1</t>
  </si>
  <si>
    <t>ED2775-000</t>
  </si>
  <si>
    <t>ELB-15/28-610E-A2</t>
  </si>
  <si>
    <t>ED2751-000</t>
  </si>
  <si>
    <t>ED2754-000</t>
  </si>
  <si>
    <t>EB8634-000</t>
  </si>
  <si>
    <t>ELB-15/28-610F250</t>
  </si>
  <si>
    <t>EB8637-000</t>
  </si>
  <si>
    <t>ELB-15/28-610F300</t>
  </si>
  <si>
    <t>EB8640-000</t>
  </si>
  <si>
    <t>ELB-15/28-610F350</t>
  </si>
  <si>
    <t>EB8631-000</t>
  </si>
  <si>
    <t>ELB-15/28-610F40</t>
  </si>
  <si>
    <t>EB8643-000</t>
  </si>
  <si>
    <t>ELB-15/28-610F400</t>
  </si>
  <si>
    <t>045686033072</t>
  </si>
  <si>
    <t>045686033089</t>
  </si>
  <si>
    <t>045686033096</t>
  </si>
  <si>
    <t>045686033102</t>
  </si>
  <si>
    <t>045686033119</t>
  </si>
  <si>
    <t>045686033126</t>
  </si>
  <si>
    <t>045686033133</t>
  </si>
  <si>
    <t>045686033140</t>
  </si>
  <si>
    <t>045686033157</t>
  </si>
  <si>
    <t>045686033164</t>
  </si>
  <si>
    <t>045686033171</t>
  </si>
  <si>
    <t>045686033188</t>
  </si>
  <si>
    <t>045686033195</t>
  </si>
  <si>
    <t>045686033201</t>
  </si>
  <si>
    <t>GMRS-100/40-750</t>
  </si>
  <si>
    <t>ED6741-000</t>
  </si>
  <si>
    <t>GMRS-100/40-850</t>
  </si>
  <si>
    <t>EA7239-000</t>
  </si>
  <si>
    <t>ED6739-000</t>
  </si>
  <si>
    <t>GMRS-75/25-1200</t>
  </si>
  <si>
    <t>ED6738-000</t>
  </si>
  <si>
    <t>GMRS-75/25-650</t>
  </si>
  <si>
    <t>EA7240-000</t>
  </si>
  <si>
    <t>GMRS-75/25-750</t>
  </si>
  <si>
    <t>CM4248-000</t>
  </si>
  <si>
    <t>GMRS-75/25-850</t>
  </si>
  <si>
    <t>cn8630-000</t>
  </si>
  <si>
    <t>HVT-Z-254/354-SLC</t>
  </si>
  <si>
    <t>CP7906-000</t>
  </si>
  <si>
    <t>MVCC-25/1.0X6(B36)</t>
  </si>
  <si>
    <t>CF2960-000</t>
  </si>
  <si>
    <t>MWTM-16/5-1200/U(B10)</t>
  </si>
  <si>
    <t>CF2950-000</t>
  </si>
  <si>
    <t>045686051236</t>
  </si>
  <si>
    <t>045686051243</t>
  </si>
  <si>
    <t>045686051250</t>
  </si>
  <si>
    <t>045686051274</t>
  </si>
  <si>
    <t>045686051281</t>
  </si>
  <si>
    <t>045686051304</t>
  </si>
  <si>
    <t>045686051311</t>
  </si>
  <si>
    <t>045686051328</t>
  </si>
  <si>
    <t>045686051335</t>
  </si>
  <si>
    <t>045686051342</t>
  </si>
  <si>
    <t>045686051380</t>
  </si>
  <si>
    <t>045686051410</t>
  </si>
  <si>
    <t>045686051427</t>
  </si>
  <si>
    <t>045686051434</t>
  </si>
  <si>
    <t>045686051441</t>
  </si>
  <si>
    <t>045686051458</t>
  </si>
  <si>
    <t>045686051465</t>
  </si>
  <si>
    <t>045686051472</t>
  </si>
  <si>
    <t>045686051489</t>
  </si>
  <si>
    <t>045686051496</t>
  </si>
  <si>
    <t>045686051502</t>
  </si>
  <si>
    <t>045686051519</t>
  </si>
  <si>
    <t>045686051526</t>
  </si>
  <si>
    <t>045686051533</t>
  </si>
  <si>
    <t>045686051540</t>
  </si>
  <si>
    <t>045686051564</t>
  </si>
  <si>
    <t>CM7932-000</t>
  </si>
  <si>
    <t>CSJA-3525</t>
  </si>
  <si>
    <t>EA7084-000</t>
  </si>
  <si>
    <t>747605-000</t>
  </si>
  <si>
    <t>MBSM-160/42-1200</t>
  </si>
  <si>
    <t>045686049592</t>
  </si>
  <si>
    <t>045686049608</t>
  </si>
  <si>
    <t>045686049820</t>
  </si>
  <si>
    <t>927962-000</t>
  </si>
  <si>
    <t>AMPS-0-0081416-1</t>
  </si>
  <si>
    <t>380236-000</t>
  </si>
  <si>
    <t>AMPS-0-0081416-3</t>
  </si>
  <si>
    <t>CS3240-000</t>
  </si>
  <si>
    <t>MOD-3A-AG-HVT</t>
  </si>
  <si>
    <t>CR5853-000</t>
  </si>
  <si>
    <t>SL-4/0-120V-F-01(B1)</t>
  </si>
  <si>
    <t>CR5848-000</t>
  </si>
  <si>
    <t>SL-250-120V-F-01(B1)</t>
  </si>
  <si>
    <t>CR5850-000</t>
  </si>
  <si>
    <t>SL-350-120V-F-01(B1)</t>
  </si>
  <si>
    <t>CR5856-000</t>
  </si>
  <si>
    <t>SL-500-120V-F-01(B1)</t>
  </si>
  <si>
    <t>C33062-000</t>
  </si>
  <si>
    <t>BCIC-SG-201-SCE(B12)</t>
  </si>
  <si>
    <t>CJ2148-000</t>
  </si>
  <si>
    <t>045686047604</t>
  </si>
  <si>
    <t>045686045464</t>
  </si>
  <si>
    <t>045686045457</t>
  </si>
  <si>
    <t>045686045440</t>
  </si>
  <si>
    <t>045686045433</t>
  </si>
  <si>
    <t>045686045426</t>
  </si>
  <si>
    <t>CJ0566-000</t>
  </si>
  <si>
    <t>CPGI-BUCH-1546235-1</t>
  </si>
  <si>
    <t>045686034079</t>
  </si>
  <si>
    <t>730125-000</t>
  </si>
  <si>
    <t>RNF-100-1/2-150-GRN</t>
  </si>
  <si>
    <t>970533-000</t>
  </si>
  <si>
    <t>RNF-100-1/2-150-RED</t>
  </si>
  <si>
    <t>366657-000</t>
  </si>
  <si>
    <t>RNF-100-1/2-150-WHT</t>
  </si>
  <si>
    <t>910219-000</t>
  </si>
  <si>
    <t>RNF-100-1/2-25-BLK</t>
  </si>
  <si>
    <t>074883-000</t>
  </si>
  <si>
    <t>RNF-100-1/2-25-CLR</t>
  </si>
  <si>
    <t>D05004-000</t>
  </si>
  <si>
    <t>HVS-823S-FS</t>
  </si>
  <si>
    <t>801809-000</t>
  </si>
  <si>
    <t>045686053698</t>
  </si>
  <si>
    <t>045686053704</t>
  </si>
  <si>
    <t>045686053711</t>
  </si>
  <si>
    <t>045686053728</t>
  </si>
  <si>
    <t>045686053735</t>
  </si>
  <si>
    <t>045686053742</t>
  </si>
  <si>
    <t>045686053759</t>
  </si>
  <si>
    <t>045686053766</t>
  </si>
  <si>
    <t>045686053773</t>
  </si>
  <si>
    <t>045686052110</t>
  </si>
  <si>
    <t>045686052127</t>
  </si>
  <si>
    <t>045686052134</t>
  </si>
  <si>
    <t>045686052141</t>
  </si>
  <si>
    <t>045686052158</t>
  </si>
  <si>
    <t>045686052165</t>
  </si>
  <si>
    <t>045686052172</t>
  </si>
  <si>
    <t>045686052196</t>
  </si>
  <si>
    <t>045686052219</t>
  </si>
  <si>
    <t>045686052325</t>
  </si>
  <si>
    <t>045686052646</t>
  </si>
  <si>
    <t>045686052653</t>
  </si>
  <si>
    <t>ELB-15/28-610E350</t>
  </si>
  <si>
    <t>EB8622-000</t>
  </si>
  <si>
    <t>207361-000</t>
  </si>
  <si>
    <t>HVS-T-2583E</t>
  </si>
  <si>
    <t>304241-000</t>
  </si>
  <si>
    <t>HVS-T-2584E</t>
  </si>
  <si>
    <t>812965-000</t>
  </si>
  <si>
    <t>HVS-T-3582S</t>
  </si>
  <si>
    <t>407425-000</t>
  </si>
  <si>
    <t>HVS-T-3583S</t>
  </si>
  <si>
    <t>722789-000</t>
  </si>
  <si>
    <t>HVSY-1522S</t>
  </si>
  <si>
    <t>A80406-000</t>
  </si>
  <si>
    <t>045520-000</t>
  </si>
  <si>
    <t>RRBB-6-1.25MX1.25M-(B3)</t>
  </si>
  <si>
    <t>954688-000</t>
  </si>
  <si>
    <t>RRGS-35/470-FT(B12)</t>
  </si>
  <si>
    <t>CJ-750-5W5W-CU-FT-B1</t>
  </si>
  <si>
    <t>CM7926-000</t>
  </si>
  <si>
    <t>CPGI-ALR-PL-120S-B</t>
  </si>
  <si>
    <t>045686049417</t>
  </si>
  <si>
    <t>EA3553-000</t>
  </si>
  <si>
    <t>045686048403</t>
  </si>
  <si>
    <t>987224-000</t>
  </si>
  <si>
    <t>259224-000</t>
  </si>
  <si>
    <t>GELWRAP-T-55/25-250(B10)</t>
  </si>
  <si>
    <t>F24535-000</t>
  </si>
  <si>
    <t>GELWRAP-UF-200(B10)</t>
  </si>
  <si>
    <t>765669-000</t>
  </si>
  <si>
    <t>GHFC-1-90(B10)</t>
  </si>
  <si>
    <t>166533-000</t>
  </si>
  <si>
    <t>GHFC-1-90(B100)</t>
  </si>
  <si>
    <t>C48562-000</t>
  </si>
  <si>
    <t>GHFC-2.5-90(B30)</t>
  </si>
  <si>
    <t>294925-000</t>
  </si>
  <si>
    <t>GHFC-2-90(B10)</t>
  </si>
  <si>
    <t>348333-000</t>
  </si>
  <si>
    <t>GHFC-2-90(B100)</t>
  </si>
  <si>
    <t>E57273-000</t>
  </si>
  <si>
    <t>GHFC-3-350(B6)</t>
  </si>
  <si>
    <t>045686040988</t>
  </si>
  <si>
    <t>045686040995</t>
  </si>
  <si>
    <t>045686041046</t>
  </si>
  <si>
    <t>045686041053</t>
  </si>
  <si>
    <t>045686041084</t>
  </si>
  <si>
    <t>045686041091</t>
  </si>
  <si>
    <t>045686041107</t>
  </si>
  <si>
    <t>045686041114</t>
  </si>
  <si>
    <t>045686041145</t>
  </si>
  <si>
    <t>045686041176</t>
  </si>
  <si>
    <t>045686041183</t>
  </si>
  <si>
    <t>045686041251</t>
  </si>
  <si>
    <t>045686051977</t>
  </si>
  <si>
    <t>045686051984</t>
  </si>
  <si>
    <t>045686052004</t>
  </si>
  <si>
    <t>045686052035</t>
  </si>
  <si>
    <t>045686052042</t>
  </si>
  <si>
    <t>045686052066</t>
  </si>
  <si>
    <t>045686052080</t>
  </si>
  <si>
    <t>045686052097</t>
  </si>
  <si>
    <t>045686052103</t>
  </si>
  <si>
    <t>EB8616-000</t>
  </si>
  <si>
    <t>ELB-15/28-610E20</t>
  </si>
  <si>
    <t>EB8625-000</t>
  </si>
  <si>
    <t>ELB-15/28-610E250</t>
  </si>
  <si>
    <t>EB8619-000</t>
  </si>
  <si>
    <t>ELB-15/28-610E30</t>
  </si>
  <si>
    <t>EB8628-000</t>
  </si>
  <si>
    <t>CPGI-2-1838153-0-10</t>
  </si>
  <si>
    <t>EB0288-000</t>
  </si>
  <si>
    <t>EB0306-000</t>
  </si>
  <si>
    <t>CPGI-8-52041-3-5</t>
  </si>
  <si>
    <t>EB0274-000</t>
  </si>
  <si>
    <t>CPGI-8-52264-1-4</t>
  </si>
  <si>
    <t>EB0275-000</t>
  </si>
  <si>
    <t>CPGI-8-52266-4-3</t>
  </si>
  <si>
    <t>ELB-15/28-610E40</t>
  </si>
  <si>
    <t>999416-000</t>
  </si>
  <si>
    <t>IDP-SB050100WE10</t>
  </si>
  <si>
    <t>045686030767</t>
  </si>
  <si>
    <t>IDP-1330-0619-10</t>
  </si>
  <si>
    <t>045686045518</t>
  </si>
  <si>
    <t>CN1751-000</t>
  </si>
  <si>
    <t>IDP-1330-0619-T200</t>
  </si>
  <si>
    <t>045686045525</t>
  </si>
  <si>
    <t>EB8646-000</t>
  </si>
  <si>
    <t>ELB-15/28-610F500</t>
  </si>
  <si>
    <t>ED2773-000</t>
  </si>
  <si>
    <t>ELB-15/28-610F-A1</t>
  </si>
  <si>
    <t>ED2776-000</t>
  </si>
  <si>
    <t>ELB-15/28-610F-A2</t>
  </si>
  <si>
    <t>ED2755-000</t>
  </si>
  <si>
    <t>EB8649-000</t>
  </si>
  <si>
    <t>ELB-15/28-610G300</t>
  </si>
  <si>
    <t>EB8652-000</t>
  </si>
  <si>
    <t>ELB-15/28-610G350</t>
  </si>
  <si>
    <t>EB8655-000</t>
  </si>
  <si>
    <t>ELB-15/28-610G400</t>
  </si>
  <si>
    <t>EB8658-000</t>
  </si>
  <si>
    <t>ELB-15/28-610G500</t>
  </si>
  <si>
    <t>EB8661-000</t>
  </si>
  <si>
    <t>ELB-15/28-610G600</t>
  </si>
  <si>
    <t>EB8664-000</t>
  </si>
  <si>
    <t>ELB-15/28-610G650</t>
  </si>
  <si>
    <t>MWTM-35/12-1200/U(B10)</t>
  </si>
  <si>
    <t>045734-000</t>
  </si>
  <si>
    <t>TFT-151E-4/0</t>
  </si>
  <si>
    <t>904268-000</t>
  </si>
  <si>
    <t>TFT-252E-1/0</t>
  </si>
  <si>
    <t>768582-000</t>
  </si>
  <si>
    <t>TFT-252E-4/0</t>
  </si>
  <si>
    <t>AMPS-1-0602180-3</t>
  </si>
  <si>
    <t>107682-000</t>
  </si>
  <si>
    <t>AMPS-1-0602180-4</t>
  </si>
  <si>
    <t>720704-000</t>
  </si>
  <si>
    <t>AMPS-1-0602180-5</t>
  </si>
  <si>
    <t>633690-000</t>
  </si>
  <si>
    <t>045686006120</t>
  </si>
  <si>
    <t>045686004164</t>
  </si>
  <si>
    <t>045686005772</t>
  </si>
  <si>
    <t>045686003877</t>
  </si>
  <si>
    <t>045686004140</t>
  </si>
  <si>
    <t>045686006021</t>
  </si>
  <si>
    <t>045686005642</t>
  </si>
  <si>
    <t>045686006304</t>
  </si>
  <si>
    <t>045686003709</t>
  </si>
  <si>
    <t>045686003426</t>
  </si>
  <si>
    <t>045686003990</t>
  </si>
  <si>
    <t>045686005727</t>
  </si>
  <si>
    <t>045686006533</t>
  </si>
  <si>
    <t>045686004430</t>
  </si>
  <si>
    <t>045686006380</t>
  </si>
  <si>
    <t>CS2897-000</t>
  </si>
  <si>
    <t>HVS-503-TRACT</t>
  </si>
  <si>
    <t>CS2678-000</t>
  </si>
  <si>
    <t>ELB-35-600-FWES</t>
  </si>
  <si>
    <t>045686059904</t>
  </si>
  <si>
    <t>045686059973</t>
  </si>
  <si>
    <t>045686059980</t>
  </si>
  <si>
    <t>045686059997</t>
  </si>
  <si>
    <t>045686060009</t>
  </si>
  <si>
    <t>045686060054</t>
  </si>
  <si>
    <t>045686060061</t>
  </si>
  <si>
    <t>045686059942</t>
  </si>
  <si>
    <t>EB8562-000</t>
  </si>
  <si>
    <t>ELB-15/28-610A1</t>
  </si>
  <si>
    <t>EB8565-000</t>
  </si>
  <si>
    <t>ELB-15/28-610A2</t>
  </si>
  <si>
    <t>ED2768-000</t>
  </si>
  <si>
    <t>ELB-15/28-610A-A1</t>
  </si>
  <si>
    <t>ED2747-000</t>
  </si>
  <si>
    <t>EB8568-000</t>
  </si>
  <si>
    <t>ELB-15/28-610B1</t>
  </si>
  <si>
    <t>EB8574-000</t>
  </si>
  <si>
    <t>ELB-15/28-610B10</t>
  </si>
  <si>
    <t>EB8571-000</t>
  </si>
  <si>
    <t>ELB-15/28-610B2</t>
  </si>
  <si>
    <t>EB8577-000</t>
  </si>
  <si>
    <t>ELB-15/28-610B20</t>
  </si>
  <si>
    <t>ED2769-000</t>
  </si>
  <si>
    <t>ELB-15/28-610B-A1</t>
  </si>
  <si>
    <t>ED2748-000</t>
  </si>
  <si>
    <t>AMPS-0-0602380-5</t>
  </si>
  <si>
    <t>825226-000</t>
  </si>
  <si>
    <t>AMPS-0-0602380-6</t>
  </si>
  <si>
    <t>947860-000</t>
  </si>
  <si>
    <t>E37581-000</t>
  </si>
  <si>
    <t>CPGI-GTAP-1</t>
  </si>
  <si>
    <t>045686000470</t>
  </si>
  <si>
    <t>BCIC-TR205-L(B3)</t>
  </si>
  <si>
    <t>791209-000</t>
  </si>
  <si>
    <t>BCIC-TR205-R(B3)</t>
  </si>
  <si>
    <t>839083-000</t>
  </si>
  <si>
    <t>BCIS-1-10(B33)</t>
  </si>
  <si>
    <t>659585-000</t>
  </si>
  <si>
    <t>CBR-3-1-A (B3)</t>
  </si>
  <si>
    <t>774741-000</t>
  </si>
  <si>
    <t>CBR-3-2-A (B3)</t>
  </si>
  <si>
    <t>226877-000</t>
  </si>
  <si>
    <t>CBR-3-3-A (B3)</t>
  </si>
  <si>
    <t>861763-000</t>
  </si>
  <si>
    <t>094307-000</t>
  </si>
  <si>
    <t>CBR-4-1-A (B3)</t>
  </si>
  <si>
    <t>775717-000</t>
  </si>
  <si>
    <t>CBR-4-2-A (B3)</t>
  </si>
  <si>
    <t>463721-000</t>
  </si>
  <si>
    <t>CBR-4-3-A (B3)</t>
  </si>
  <si>
    <t>642409-000</t>
  </si>
  <si>
    <t>CBR-4-4-A (B3)</t>
  </si>
  <si>
    <t>315865-000</t>
  </si>
  <si>
    <t>CBR-6-1-A (B3)</t>
  </si>
  <si>
    <t>320457-000</t>
  </si>
  <si>
    <t>CBR-6-2-A (B3)</t>
  </si>
  <si>
    <t>701587-000</t>
  </si>
  <si>
    <t>CBR-PLUG (B6)</t>
  </si>
  <si>
    <t>452705-000</t>
  </si>
  <si>
    <t>CFTS-1-(B5)</t>
  </si>
  <si>
    <t>A36570-000</t>
  </si>
  <si>
    <t>GELWRAP-33/10-250(B6)</t>
  </si>
  <si>
    <t>A66578-000</t>
  </si>
  <si>
    <t>GELWRAP-33/10-300(B12)</t>
  </si>
  <si>
    <t>D70973-000</t>
  </si>
  <si>
    <t>045686040773</t>
  </si>
  <si>
    <t>045686040780</t>
  </si>
  <si>
    <t>045686040797</t>
  </si>
  <si>
    <t>045686040803</t>
  </si>
  <si>
    <t>045686040810</t>
  </si>
  <si>
    <t>045686040827</t>
  </si>
  <si>
    <t>045686040834</t>
  </si>
  <si>
    <t>045686040858</t>
  </si>
  <si>
    <t>045686040865</t>
  </si>
  <si>
    <t>045686040872</t>
  </si>
  <si>
    <t>045686040919</t>
  </si>
  <si>
    <t>045686040926</t>
  </si>
  <si>
    <t>045686040933</t>
  </si>
  <si>
    <t>045686040940</t>
  </si>
  <si>
    <t>EB8580-000</t>
  </si>
  <si>
    <t>ELB-15/28-610C1</t>
  </si>
  <si>
    <t>EB8586-000</t>
  </si>
  <si>
    <t>ELB-15/28-610C10</t>
  </si>
  <si>
    <t>EB8583-000</t>
  </si>
  <si>
    <t>ELB-15/28-610C2</t>
  </si>
  <si>
    <t>EB8589-000</t>
  </si>
  <si>
    <t>ELB-15/28-610C20</t>
  </si>
  <si>
    <t>EB8592-000</t>
  </si>
  <si>
    <t>ELB-15/28-610C30</t>
  </si>
  <si>
    <t>EB8595-000</t>
  </si>
  <si>
    <t>ELB-15/28-610C40</t>
  </si>
  <si>
    <t>ED2770-000</t>
  </si>
  <si>
    <t>ELB-15/28-610C-A1</t>
  </si>
  <si>
    <t>ED2749-000</t>
  </si>
  <si>
    <t>ED2752-000</t>
  </si>
  <si>
    <t>EB8598-000</t>
  </si>
  <si>
    <t>ELB-15/28-610D1</t>
  </si>
  <si>
    <t>EB8601-000</t>
  </si>
  <si>
    <t>ELB-15/28-610D10</t>
  </si>
  <si>
    <t>EB8604-000</t>
  </si>
  <si>
    <t>ELB-15/28-610D20</t>
  </si>
  <si>
    <t>742836-000</t>
  </si>
  <si>
    <t>AMPS-0-0608338-1</t>
  </si>
  <si>
    <t>257406-000</t>
  </si>
  <si>
    <t>147234-000</t>
  </si>
  <si>
    <t>084077-000</t>
  </si>
  <si>
    <t>EPPA-034-E</t>
  </si>
  <si>
    <t>987223-000</t>
  </si>
  <si>
    <t>EPPA-034-F</t>
  </si>
  <si>
    <t>EPPA-034-G</t>
  </si>
  <si>
    <t>987225-000</t>
  </si>
  <si>
    <t>EPPA-034-H</t>
  </si>
  <si>
    <t>045686044610</t>
  </si>
  <si>
    <t>045686044634</t>
  </si>
  <si>
    <t>045686044641</t>
  </si>
  <si>
    <t>045686044658</t>
  </si>
  <si>
    <t>045686044665</t>
  </si>
  <si>
    <t>045686044672</t>
  </si>
  <si>
    <t>045686044689</t>
  </si>
  <si>
    <t>045686044696</t>
  </si>
  <si>
    <t>045686044702</t>
  </si>
  <si>
    <t>045686044795</t>
  </si>
  <si>
    <t>045686044801</t>
  </si>
  <si>
    <t>045686044832</t>
  </si>
  <si>
    <t>045686058952</t>
  </si>
  <si>
    <t>EA4776-000</t>
  </si>
  <si>
    <t>CSJG-3513M5</t>
  </si>
  <si>
    <t>045686058976</t>
  </si>
  <si>
    <t>D99331-000</t>
  </si>
  <si>
    <t>EPPA-101-2-2000-18</t>
  </si>
  <si>
    <t>045686069835</t>
  </si>
  <si>
    <t>045686066339</t>
  </si>
  <si>
    <t>CU4483-000</t>
  </si>
  <si>
    <t>045686069040</t>
  </si>
  <si>
    <t>CU6542-000</t>
  </si>
  <si>
    <t>JGK-MS-HC-2</t>
  </si>
  <si>
    <t>045686069064</t>
  </si>
  <si>
    <t>CSBS-500-1000</t>
  </si>
  <si>
    <t>045686069859</t>
  </si>
  <si>
    <t>CPGI-RD/BLK-BAT-ID</t>
  </si>
  <si>
    <t>CR9378-000</t>
  </si>
  <si>
    <t>CPGI-RD-SNAP-CONN-KT-5</t>
  </si>
  <si>
    <t>CR9379-000</t>
  </si>
  <si>
    <t>CPGI-BL-SNAP-CONN-KT-5</t>
  </si>
  <si>
    <t>CR9380-000</t>
  </si>
  <si>
    <t>CPGI-YW-SNAP-CONN-KT-5</t>
  </si>
  <si>
    <t>CR9381-000</t>
  </si>
  <si>
    <t>045686059386</t>
  </si>
  <si>
    <t>045686059393</t>
  </si>
  <si>
    <t>045686059409</t>
  </si>
  <si>
    <t>045686059416</t>
  </si>
  <si>
    <t>AMPS-0-0602380-7</t>
  </si>
  <si>
    <t>638364-000</t>
  </si>
  <si>
    <t>AMPS-0-0602502-0</t>
  </si>
  <si>
    <t>053000-000</t>
  </si>
  <si>
    <t>AMPS-0-0602585-0</t>
  </si>
  <si>
    <t>026702-000</t>
  </si>
  <si>
    <t>AMPS-0-0602586-0</t>
  </si>
  <si>
    <t>172778-000</t>
  </si>
  <si>
    <t>AMPS-0-0607501-1</t>
  </si>
  <si>
    <t>CL2248-000</t>
  </si>
  <si>
    <t>ED2183-000</t>
  </si>
  <si>
    <t>EE0433-000</t>
  </si>
  <si>
    <t>WCSM-12/3-300-S(B50)</t>
  </si>
  <si>
    <t>EE0434-000</t>
  </si>
  <si>
    <t>WCSM-12/3-150-S-(B50)</t>
  </si>
  <si>
    <t>EE0435-000</t>
  </si>
  <si>
    <t>WCSM-12/3-1200-S-(B25)</t>
  </si>
  <si>
    <t>EE0438-000</t>
  </si>
  <si>
    <t>WCSM-16/4-150-S-(B50)</t>
  </si>
  <si>
    <t>EE0439-000</t>
  </si>
  <si>
    <t>WCSM-16/4-1200-S-(B25)</t>
  </si>
  <si>
    <t>EE0443-000</t>
  </si>
  <si>
    <t>WCSM-24/6-300-S-(B50)</t>
  </si>
  <si>
    <t>EE0446-000</t>
  </si>
  <si>
    <t>WCSM-24/6-225-S-(B50)</t>
  </si>
  <si>
    <t>EE0447-000</t>
  </si>
  <si>
    <t>WCSM-24/6-150-S-(B50)</t>
  </si>
  <si>
    <t>EE0450-000</t>
  </si>
  <si>
    <t>WCSM-24/6-1200-S-(B25)</t>
  </si>
  <si>
    <t>EE0455-000</t>
  </si>
  <si>
    <t>WCSM-34/8-300-S-(B50)</t>
  </si>
  <si>
    <t>EE0458-000</t>
  </si>
  <si>
    <t>WCSM-34/8-225-S-(B50)</t>
  </si>
  <si>
    <t>EE0460-000</t>
  </si>
  <si>
    <t>WCSM-34/8-150-S-(B50)</t>
  </si>
  <si>
    <t>EE0461-000</t>
  </si>
  <si>
    <t>WCSM-34/8-1200-S-(B25)</t>
  </si>
  <si>
    <t>EE0466-000</t>
  </si>
  <si>
    <t>WCSM-48/12-300-S-(B40)</t>
  </si>
  <si>
    <t>EE0467-000</t>
  </si>
  <si>
    <t>WCSM-48/12-250/S(B40)</t>
  </si>
  <si>
    <t>EE0468-000</t>
  </si>
  <si>
    <t>WCSM-48/12-225-S-(B40)</t>
  </si>
  <si>
    <t>EE0470-000</t>
  </si>
  <si>
    <t>WCSM-48/12-150-S-(B40)</t>
  </si>
  <si>
    <t>EE0471-000</t>
  </si>
  <si>
    <t>WCSM-48/12-1200-S-(B10)</t>
  </si>
  <si>
    <t>EE0474-000</t>
  </si>
  <si>
    <t>WCSM-56/16-300-S-(B30)</t>
  </si>
  <si>
    <t>EE0475-000</t>
  </si>
  <si>
    <t>WCSM-56/16-225-S-(B30)</t>
  </si>
  <si>
    <t>EE0476-000</t>
  </si>
  <si>
    <t>WCSM-56/16-150-S(B25)</t>
  </si>
  <si>
    <t>EE0477-000</t>
  </si>
  <si>
    <t>WCSM-56/16-1200-S-(B10)</t>
  </si>
  <si>
    <t>EE0478-000</t>
  </si>
  <si>
    <t>166319-000</t>
  </si>
  <si>
    <t>EB1044-000</t>
  </si>
  <si>
    <t>CPGI-B-106-7502-BULK</t>
  </si>
  <si>
    <t>EB0285-000</t>
  </si>
  <si>
    <t>CPGI-BAT-CLAMP</t>
  </si>
  <si>
    <t>CPGI-CTY-18-120-BLK-L</t>
  </si>
  <si>
    <t>045686029402</t>
  </si>
  <si>
    <t>045686005369</t>
  </si>
  <si>
    <t>045686032822</t>
  </si>
  <si>
    <t>045686032839</t>
  </si>
  <si>
    <t>045686004386</t>
  </si>
  <si>
    <t>CL3262-000</t>
  </si>
  <si>
    <t>SHRINKMARK-4-2-9-1K</t>
  </si>
  <si>
    <t>045686005826</t>
  </si>
  <si>
    <t>045686004447</t>
  </si>
  <si>
    <t>SHRINKMARK-250-2-S2-9</t>
  </si>
  <si>
    <t>045686032679</t>
  </si>
  <si>
    <t>680613-000</t>
  </si>
  <si>
    <t>SHRINKMARK-3/16-CARTRIDG</t>
  </si>
  <si>
    <t>045686032709</t>
  </si>
  <si>
    <t>CN1172-000</t>
  </si>
  <si>
    <t>SHRINKMARK-4-2-4-1K</t>
  </si>
  <si>
    <t>045686045501</t>
  </si>
  <si>
    <t>D76122-000</t>
  </si>
  <si>
    <t>IDP-SB050143WE5-T200</t>
  </si>
  <si>
    <t>045686030798</t>
  </si>
  <si>
    <t>e26221-000</t>
  </si>
  <si>
    <t>IDP-SB080150WE10</t>
  </si>
  <si>
    <t>045686030804</t>
  </si>
  <si>
    <t>E72129-000</t>
  </si>
  <si>
    <t>IDP-SB080150WE5-T200</t>
  </si>
  <si>
    <t>045686030811</t>
  </si>
  <si>
    <t>698376-000</t>
  </si>
  <si>
    <t>402962-000</t>
  </si>
  <si>
    <t>CF7403-000</t>
  </si>
  <si>
    <t>CPGI-CTY-04-18-NAT-C</t>
  </si>
  <si>
    <t>045686029013</t>
  </si>
  <si>
    <t>045686035083</t>
  </si>
  <si>
    <t>045686035090</t>
  </si>
  <si>
    <t>AMPS-0-0083866-6</t>
  </si>
  <si>
    <t>CL2696-000</t>
  </si>
  <si>
    <t>IDP-HLX125WE2NEL60S</t>
  </si>
  <si>
    <t>045686042098</t>
  </si>
  <si>
    <t>CL2695-000</t>
  </si>
  <si>
    <t>IDP-HLX125WE4NEL60S</t>
  </si>
  <si>
    <t>045686042081</t>
  </si>
  <si>
    <t>CJ8938-000</t>
  </si>
  <si>
    <t>IDP-T200-SPINDLE</t>
  </si>
  <si>
    <t>ELB-15/28-600-T1WAY</t>
  </si>
  <si>
    <t>ELB-15/28-600-T2WAY</t>
  </si>
  <si>
    <t>ELB-15/28-600-T3WAY</t>
  </si>
  <si>
    <t>ELB-15/28-600-T4WAY</t>
  </si>
  <si>
    <t>ELB-15/28-610-T1WAY</t>
  </si>
  <si>
    <t>ELB-15/28-610-T2WAY</t>
  </si>
  <si>
    <t>ELB-15/28-610-T3WAY</t>
  </si>
  <si>
    <t>ELB-15/28-610-T4WAY</t>
  </si>
  <si>
    <t>ELB-35-600-T1WAY</t>
  </si>
  <si>
    <t>ELB-35-600-T2WAY</t>
  </si>
  <si>
    <t>ELB-35-600-T3WAY</t>
  </si>
  <si>
    <t>ELB-35-600-T4WAY</t>
  </si>
  <si>
    <t>ELB-35-610-T1WAY</t>
  </si>
  <si>
    <t>ELB-35-610-T2WAY</t>
  </si>
  <si>
    <t>ELB-35-610-T3WAY</t>
  </si>
  <si>
    <t>ELB-35-610-T4WAY</t>
  </si>
  <si>
    <t>ED2728-000</t>
  </si>
  <si>
    <t>ELB-35-610G-A1</t>
  </si>
  <si>
    <t>ED2705-000</t>
  </si>
  <si>
    <t>EB8217-000</t>
  </si>
  <si>
    <t>ELB-35-610H20</t>
  </si>
  <si>
    <t>AMPS-0-1710725-7</t>
  </si>
  <si>
    <t>045686056958</t>
  </si>
  <si>
    <t>CR1305-000</t>
  </si>
  <si>
    <t>AMPS-0-1710725-8</t>
  </si>
  <si>
    <t>045686056965</t>
  </si>
  <si>
    <t>CR1308-000</t>
  </si>
  <si>
    <t>AMPS-0-1710726-2</t>
  </si>
  <si>
    <t>CR1309-000</t>
  </si>
  <si>
    <t>AMPS-0-1710726-3</t>
  </si>
  <si>
    <t>045686056996</t>
  </si>
  <si>
    <t>CR1310-000</t>
  </si>
  <si>
    <t>RVS-12 (B50)</t>
  </si>
  <si>
    <t>E20368-000</t>
  </si>
  <si>
    <t>UTLX-1-1443402-1</t>
  </si>
  <si>
    <t>045686033744</t>
  </si>
  <si>
    <t>C91178-000</t>
  </si>
  <si>
    <t>UTLX-1-1443402-2</t>
  </si>
  <si>
    <t>045686033751</t>
  </si>
  <si>
    <t>AMPS-0-1710732-1</t>
  </si>
  <si>
    <t>045686057351</t>
  </si>
  <si>
    <t>CR1421-000</t>
  </si>
  <si>
    <t>AMPS-0-1710732-2</t>
  </si>
  <si>
    <t>045686057368</t>
  </si>
  <si>
    <t>CR1422-000</t>
  </si>
  <si>
    <t>841360-000</t>
  </si>
  <si>
    <t>TFT-151E-1/0</t>
  </si>
  <si>
    <t>078815-000</t>
  </si>
  <si>
    <t>TFT-151E-G</t>
  </si>
  <si>
    <t>276741-000</t>
  </si>
  <si>
    <t>TFT-151E-SG</t>
  </si>
  <si>
    <t>TECK-14</t>
  </si>
  <si>
    <t>870567-000</t>
  </si>
  <si>
    <t>TECK-41</t>
  </si>
  <si>
    <t>393677-000</t>
  </si>
  <si>
    <t>TECK-42</t>
  </si>
  <si>
    <t>305169-000</t>
  </si>
  <si>
    <t>TECK-43</t>
  </si>
  <si>
    <t>927035-000</t>
  </si>
  <si>
    <t>TECK-44</t>
  </si>
  <si>
    <t>349729-000</t>
  </si>
  <si>
    <t>TECK-531</t>
  </si>
  <si>
    <t>155713-000</t>
  </si>
  <si>
    <t>TECK-532</t>
  </si>
  <si>
    <t>581642-000</t>
  </si>
  <si>
    <t>029173-000</t>
  </si>
  <si>
    <t>BCIC-3212-01(B3)</t>
  </si>
  <si>
    <t>497663-000</t>
  </si>
  <si>
    <t>504156-000</t>
  </si>
  <si>
    <t>BCIC-3D/6-3(B3)</t>
  </si>
  <si>
    <t>795939-000</t>
  </si>
  <si>
    <t>BCIC-4/12/4-H(B3)</t>
  </si>
  <si>
    <t>841623-000</t>
  </si>
  <si>
    <t>JGK-MS-1 (B3)</t>
  </si>
  <si>
    <t>996775-000</t>
  </si>
  <si>
    <t>AMPS-1-0081723-1</t>
  </si>
  <si>
    <t>912182-000</t>
  </si>
  <si>
    <t>AMPS-1-0081723-2</t>
  </si>
  <si>
    <t>758202-000</t>
  </si>
  <si>
    <t>AMPS-1-0081723-3</t>
  </si>
  <si>
    <t>045686050352</t>
  </si>
  <si>
    <t>045686050420</t>
  </si>
  <si>
    <t>045686048069</t>
  </si>
  <si>
    <t>045686048076</t>
  </si>
  <si>
    <t>045686048083</t>
  </si>
  <si>
    <t>368772-000</t>
  </si>
  <si>
    <t>AMPS-1-0083447-0</t>
  </si>
  <si>
    <t>643708-000</t>
  </si>
  <si>
    <t>AMPS-1-0083592-0</t>
  </si>
  <si>
    <t>045686037186</t>
  </si>
  <si>
    <t>045686037193</t>
  </si>
  <si>
    <t>045686037216</t>
  </si>
  <si>
    <t>045686037223</t>
  </si>
  <si>
    <t>372710-000</t>
  </si>
  <si>
    <t>AMPS-0-0602061-0</t>
  </si>
  <si>
    <t>129298-000</t>
  </si>
  <si>
    <t>AMPS-0-0602080-0</t>
  </si>
  <si>
    <t>145476-000</t>
  </si>
  <si>
    <t>AMPS-0-0602089-0</t>
  </si>
  <si>
    <t>165378-000</t>
  </si>
  <si>
    <t>AMPS-0-0602093-0</t>
  </si>
  <si>
    <t>418156-000</t>
  </si>
  <si>
    <t>AMPS-0-0602097-0</t>
  </si>
  <si>
    <t>203308-000</t>
  </si>
  <si>
    <t>AMPS-0-0602099-0</t>
  </si>
  <si>
    <t>507018-000</t>
  </si>
  <si>
    <t>AMPS-0-0602104-0</t>
  </si>
  <si>
    <t>305142-000</t>
  </si>
  <si>
    <t>AMPS-0-0602107-0</t>
  </si>
  <si>
    <t>360764-000</t>
  </si>
  <si>
    <t>AMPS-0-0602115-0</t>
  </si>
  <si>
    <t>120520-000</t>
  </si>
  <si>
    <t>AMPS-0-0602121-0</t>
  </si>
  <si>
    <t>320534-000</t>
  </si>
  <si>
    <t>AMPS-0-0602121-1</t>
  </si>
  <si>
    <t>703944-000</t>
  </si>
  <si>
    <t>D80266-000</t>
  </si>
  <si>
    <t>BCAC-8D/14-01(B6)</t>
  </si>
  <si>
    <t>A28785-000</t>
  </si>
  <si>
    <t>BCAC-BYPASS-02(B1)</t>
  </si>
  <si>
    <t>260068-000</t>
  </si>
  <si>
    <t>ESA-1</t>
  </si>
  <si>
    <t>AMPS-0-0602121-2</t>
  </si>
  <si>
    <t>094400-000</t>
  </si>
  <si>
    <t>AMPS-0-0602121-3</t>
  </si>
  <si>
    <t>107534-000</t>
  </si>
  <si>
    <t>AMPS-0-0602121-4</t>
  </si>
  <si>
    <t>353300-000</t>
  </si>
  <si>
    <t>AMPS-0-0602121-5</t>
  </si>
  <si>
    <t>392438-000</t>
  </si>
  <si>
    <t>AMPS-0-0602121-6</t>
  </si>
  <si>
    <t>324668-000</t>
  </si>
  <si>
    <t>AMPS-0-0602121-7</t>
  </si>
  <si>
    <t>937706-000</t>
  </si>
  <si>
    <t>AMPS-0-0602121-8</t>
  </si>
  <si>
    <t>159308-000</t>
  </si>
  <si>
    <t>CP4167-000</t>
  </si>
  <si>
    <t>LVBT-1-R-01(B8)</t>
  </si>
  <si>
    <t>UTLX-0-1099898-8</t>
  </si>
  <si>
    <t>045686007257</t>
  </si>
  <si>
    <t>D17470-000</t>
  </si>
  <si>
    <t>217580-000</t>
  </si>
  <si>
    <t>LM-1-VINYL-WE</t>
  </si>
  <si>
    <t>045686003945</t>
  </si>
  <si>
    <t>613210-000</t>
  </si>
  <si>
    <t>LM-1-VINYL-YW</t>
  </si>
  <si>
    <t>C44222-000</t>
  </si>
  <si>
    <t>IDP-SB100143WE2.5-T200</t>
  </si>
  <si>
    <t>045686030828</t>
  </si>
  <si>
    <t>518806-000</t>
  </si>
  <si>
    <t>IDP-SB100143WE5</t>
  </si>
  <si>
    <t>045686030835</t>
  </si>
  <si>
    <t>A31310-000</t>
  </si>
  <si>
    <t>IDP-SB100225WE2.5-T200</t>
  </si>
  <si>
    <t>045686030842</t>
  </si>
  <si>
    <t>CF5637-000</t>
  </si>
  <si>
    <t>IDP-CM-SCE-50-4H-9</t>
  </si>
  <si>
    <t>045686031924</t>
  </si>
  <si>
    <t>CF5638-000</t>
  </si>
  <si>
    <t>IDP-CM-SCE-50-6H-9</t>
  </si>
  <si>
    <t>045686031931</t>
  </si>
  <si>
    <t>IDP-SB100594WE0.5-T200</t>
  </si>
  <si>
    <t>045686030880</t>
  </si>
  <si>
    <t>029884-000</t>
  </si>
  <si>
    <t>IDP-SB100594WE1</t>
  </si>
  <si>
    <t>045686030897</t>
  </si>
  <si>
    <t>F97003-000</t>
  </si>
  <si>
    <t>IDP-SB190594WE1</t>
  </si>
  <si>
    <t>045686030903</t>
  </si>
  <si>
    <t>F41844-000</t>
  </si>
  <si>
    <t>IDP-SB200225WE1-T200</t>
  </si>
  <si>
    <t>045686030927</t>
  </si>
  <si>
    <t>045686049905</t>
  </si>
  <si>
    <t>045686049912</t>
  </si>
  <si>
    <t>CR2767-000</t>
  </si>
  <si>
    <t>TFT-150R-G</t>
  </si>
  <si>
    <t>404853-000</t>
  </si>
  <si>
    <t>TFT-151E</t>
  </si>
  <si>
    <t>ED2688-000</t>
  </si>
  <si>
    <t>ELB-35-600K-A1</t>
  </si>
  <si>
    <t>ED2665-000</t>
  </si>
  <si>
    <t>ED2667-000</t>
  </si>
  <si>
    <t>EB8232-000</t>
  </si>
  <si>
    <t>ELB-35-600L250</t>
  </si>
  <si>
    <t>ED2689-000</t>
  </si>
  <si>
    <t>ELB-35-600L-A1</t>
  </si>
  <si>
    <t>ED2668-000</t>
  </si>
  <si>
    <t>EB8238-000</t>
  </si>
  <si>
    <t>ELB-35-600M300</t>
  </si>
  <si>
    <t>MVCC-45/1.75x4(B24)</t>
  </si>
  <si>
    <t>953853-000</t>
  </si>
  <si>
    <t>BCIC-13D/13-HO(B3)</t>
  </si>
  <si>
    <t>022528-000</t>
  </si>
  <si>
    <t>ALR-BF-208-277</t>
  </si>
  <si>
    <t>812812-000</t>
  </si>
  <si>
    <t>134448-000</t>
  </si>
  <si>
    <t>AMPS-0-0275187-2</t>
  </si>
  <si>
    <t>289568-000</t>
  </si>
  <si>
    <t>AMPS-0-0275187-3</t>
  </si>
  <si>
    <t>122824-000</t>
  </si>
  <si>
    <t>AMPS-0-0275187-4</t>
  </si>
  <si>
    <t>922430-000</t>
  </si>
  <si>
    <t>AMPS-0-0275187-5</t>
  </si>
  <si>
    <t>139156-000</t>
  </si>
  <si>
    <t>AMPS-0-0275187-6</t>
  </si>
  <si>
    <t>268812-000</t>
  </si>
  <si>
    <t>AMPS-0-0275187-7</t>
  </si>
  <si>
    <t>679276-000</t>
  </si>
  <si>
    <t>AMPS-0-0275187-8</t>
  </si>
  <si>
    <t>248588-000</t>
  </si>
  <si>
    <t>AMPS-0-0275187-9</t>
  </si>
  <si>
    <t>611000-000</t>
  </si>
  <si>
    <t>AMPS-0-0275435-1</t>
  </si>
  <si>
    <t>466536-000</t>
  </si>
  <si>
    <t>AMPS-0-0275436-1</t>
  </si>
  <si>
    <t>449094-000</t>
  </si>
  <si>
    <t>AMPS-0-0276300-1</t>
  </si>
  <si>
    <t>651574-000</t>
  </si>
  <si>
    <t>AMPS-0-0276337-2</t>
  </si>
  <si>
    <t>841597-000</t>
  </si>
  <si>
    <t>CRSM-CT-53/13-200</t>
  </si>
  <si>
    <t>337143-000</t>
  </si>
  <si>
    <t>CRSM-CT-84/20-250</t>
  </si>
  <si>
    <t>E20628-000</t>
  </si>
  <si>
    <t>310084-000</t>
  </si>
  <si>
    <t>AMPS-69338-4</t>
  </si>
  <si>
    <t>244890-000</t>
  </si>
  <si>
    <t>AMPS-69338-5</t>
  </si>
  <si>
    <t>CRSM-34/10-1200</t>
  </si>
  <si>
    <t>196146-000</t>
  </si>
  <si>
    <t>CRSM-34/10-150</t>
  </si>
  <si>
    <t>657871-000</t>
  </si>
  <si>
    <t>CRSM-34/10-200</t>
  </si>
  <si>
    <t>E81059-000</t>
  </si>
  <si>
    <t>CRSM-34/10-400</t>
  </si>
  <si>
    <t>237497-000</t>
  </si>
  <si>
    <t>CRSM-53/13-1200</t>
  </si>
  <si>
    <t>633602-000</t>
  </si>
  <si>
    <t>CRSM-53/13-200</t>
  </si>
  <si>
    <t>721359-000</t>
  </si>
  <si>
    <t>CRSM-84/20-1200</t>
  </si>
  <si>
    <t>916911-000</t>
  </si>
  <si>
    <t>CRSM-84/20-1500(B10)</t>
  </si>
  <si>
    <t>298891-000</t>
  </si>
  <si>
    <t>CRSM-84/20-750</t>
  </si>
  <si>
    <t>364197-000</t>
  </si>
  <si>
    <t>CRSM-CT-34/10-150</t>
  </si>
  <si>
    <t>CSJA-JCN/EG-1511M1</t>
  </si>
  <si>
    <t>EA7085-000</t>
  </si>
  <si>
    <t>CSJA-JCN/EG-1512M1</t>
  </si>
  <si>
    <t>EA7086-000</t>
  </si>
  <si>
    <t>CSJA-JCN/EG-1512M2</t>
  </si>
  <si>
    <t>EA7089-000</t>
  </si>
  <si>
    <t>CSJA-JCN/EG-2813M2</t>
  </si>
  <si>
    <t>CP7898-000</t>
  </si>
  <si>
    <t>BCIC-G-DPIN-556-01(B6)</t>
  </si>
  <si>
    <t>CR0371-000</t>
  </si>
  <si>
    <t>BCIC-G-DSMPIN-795-01(B6)</t>
  </si>
  <si>
    <t>CP3126-000</t>
  </si>
  <si>
    <t>BCIC-G-SMPIN-795(B6)</t>
  </si>
  <si>
    <t>ED8092-000</t>
  </si>
  <si>
    <t>BCIC-RLP-01(B50)</t>
  </si>
  <si>
    <t>045686050581</t>
  </si>
  <si>
    <t>045686050598</t>
  </si>
  <si>
    <t>045686050604</t>
  </si>
  <si>
    <t>045686050611</t>
  </si>
  <si>
    <t>045686050628</t>
  </si>
  <si>
    <t>045686050635</t>
  </si>
  <si>
    <t>045686050642</t>
  </si>
  <si>
    <t>045686050659</t>
  </si>
  <si>
    <t>045686050673</t>
  </si>
  <si>
    <t>045686050680</t>
  </si>
  <si>
    <t>HVS-C-1512S-J-M1</t>
  </si>
  <si>
    <t>EB0177-000</t>
  </si>
  <si>
    <t>HVS-C-1513S-J</t>
  </si>
  <si>
    <t>EB0178-000</t>
  </si>
  <si>
    <t>HVS-C-1514S-J</t>
  </si>
  <si>
    <t>CL7584-000</t>
  </si>
  <si>
    <t>HVS-C-1521S</t>
  </si>
  <si>
    <t>CL0572-000</t>
  </si>
  <si>
    <t>HVS-C-1522S</t>
  </si>
  <si>
    <t>CN1928-000</t>
  </si>
  <si>
    <t>HVS-C-1522S-M1</t>
  </si>
  <si>
    <t>CL7586-000</t>
  </si>
  <si>
    <t>045686004010</t>
  </si>
  <si>
    <t>C22472-000</t>
  </si>
  <si>
    <t>UTLX-0-1099939-1</t>
  </si>
  <si>
    <t>045686007073</t>
  </si>
  <si>
    <t>D82399-000</t>
  </si>
  <si>
    <t>UTLX-0-1099939-2</t>
  </si>
  <si>
    <t>045686007578</t>
  </si>
  <si>
    <t>F21907-000</t>
  </si>
  <si>
    <t>UTLX-0-1099939-3</t>
  </si>
  <si>
    <t>045686008131</t>
  </si>
  <si>
    <t>ELB-15/28-610J750</t>
  </si>
  <si>
    <t>EB8697-000</t>
  </si>
  <si>
    <t>ELB-15/28-610J800</t>
  </si>
  <si>
    <t>EB8700-000</t>
  </si>
  <si>
    <t>ELB-15/28-610J900</t>
  </si>
  <si>
    <t>ED2779-000</t>
  </si>
  <si>
    <t>ELB-15/28-610J-A2</t>
  </si>
  <si>
    <t>ED2782-000</t>
  </si>
  <si>
    <t>ELB-15/28-610J-A3</t>
  </si>
  <si>
    <t>ED2760-000</t>
  </si>
  <si>
    <t>ED2763-000</t>
  </si>
  <si>
    <t>ED2765-000</t>
  </si>
  <si>
    <t>EB8712-000</t>
  </si>
  <si>
    <t>ELB-15/28-610K1000</t>
  </si>
  <si>
    <t>EB8715-000</t>
  </si>
  <si>
    <t>ELB-15/28-610K1250</t>
  </si>
  <si>
    <t>EB8706-000</t>
  </si>
  <si>
    <t>ELB-15/28-610K800</t>
  </si>
  <si>
    <t>EB8709-000</t>
  </si>
  <si>
    <t>ELB-15/28-610K900</t>
  </si>
  <si>
    <t>ED2783-000</t>
  </si>
  <si>
    <t>ELB-15/28-610K-A3</t>
  </si>
  <si>
    <t>ED2764-000</t>
  </si>
  <si>
    <t>ED2766-000</t>
  </si>
  <si>
    <t>EB8718-000</t>
  </si>
  <si>
    <t>ELB-15/28-610L1250</t>
  </si>
  <si>
    <t>ED2767-000</t>
  </si>
  <si>
    <t>CS1358-000</t>
  </si>
  <si>
    <t>ED2684-000</t>
  </si>
  <si>
    <t>ELB-35-600F-A1</t>
  </si>
  <si>
    <t>ED2787-000</t>
  </si>
  <si>
    <t>EB8202-000</t>
  </si>
  <si>
    <t>ELB-35-600G1</t>
  </si>
  <si>
    <t>EB8208-000</t>
  </si>
  <si>
    <t>ELB-35-600G10</t>
  </si>
  <si>
    <t>CU4329-000</t>
  </si>
  <si>
    <t>CU2199-000</t>
  </si>
  <si>
    <t>045686006250</t>
  </si>
  <si>
    <t>045686006410</t>
  </si>
  <si>
    <t>045686006571</t>
  </si>
  <si>
    <t>045686034710</t>
  </si>
  <si>
    <t>045686034727</t>
  </si>
  <si>
    <t>045686034758</t>
  </si>
  <si>
    <t>045686034772</t>
  </si>
  <si>
    <t>045686048410</t>
  </si>
  <si>
    <t>045686048441</t>
  </si>
  <si>
    <t>C15487-000</t>
  </si>
  <si>
    <t>CPGI-GHFC-2-90</t>
  </si>
  <si>
    <t>045686000500</t>
  </si>
  <si>
    <t>D47628-000</t>
  </si>
  <si>
    <t>CPGI-GILS-4/0</t>
  </si>
  <si>
    <t>045686000494</t>
  </si>
  <si>
    <t>351011-000</t>
  </si>
  <si>
    <t>MBSM-43/8-1200</t>
  </si>
  <si>
    <t>852963-000</t>
  </si>
  <si>
    <t>MBSM-75/15-1200(B6)</t>
  </si>
  <si>
    <t>028372-000</t>
  </si>
  <si>
    <t>MCK-1L</t>
  </si>
  <si>
    <t>905232-000</t>
  </si>
  <si>
    <t>MCK-1V</t>
  </si>
  <si>
    <t>327340-000</t>
  </si>
  <si>
    <t>MCK-1V-CAP (B60)</t>
  </si>
  <si>
    <t>726426-000</t>
  </si>
  <si>
    <t>MCK-2L</t>
  </si>
  <si>
    <t>840744-000</t>
  </si>
  <si>
    <t>MCK-2V</t>
  </si>
  <si>
    <t>922091-000</t>
  </si>
  <si>
    <t>MCK-2V-CAP (B60)</t>
  </si>
  <si>
    <t>712836-000</t>
  </si>
  <si>
    <t>MCK-3V</t>
  </si>
  <si>
    <t>053174-000</t>
  </si>
  <si>
    <t>MCK-3V-CAP  (B60)</t>
  </si>
  <si>
    <t>223092-000</t>
  </si>
  <si>
    <t>MCK-4V</t>
  </si>
  <si>
    <t>MCK-5-1L</t>
  </si>
  <si>
    <t>ED2758-000</t>
  </si>
  <si>
    <t>ED2761-000</t>
  </si>
  <si>
    <t>EB8670-000</t>
  </si>
  <si>
    <t>ELB-15/28-610H500</t>
  </si>
  <si>
    <t>AMPS-1-0083623-0</t>
  </si>
  <si>
    <t>486786-000</t>
  </si>
  <si>
    <t>AMPS-1-0083623-1</t>
  </si>
  <si>
    <t>570358-000</t>
  </si>
  <si>
    <t>AMPS-1-0083623-2</t>
  </si>
  <si>
    <t>712242-000</t>
  </si>
  <si>
    <t>AMPS-1-0083623-5</t>
  </si>
  <si>
    <t>061822-000</t>
  </si>
  <si>
    <t>AMPS-1-0083623-7</t>
  </si>
  <si>
    <t>434778-000</t>
  </si>
  <si>
    <t>AMPS-1-0083623-9</t>
  </si>
  <si>
    <t>308810-000</t>
  </si>
  <si>
    <t>AMPS-1-0083630-0</t>
  </si>
  <si>
    <t>429866-000</t>
  </si>
  <si>
    <t>AMPS-1-0083631-1</t>
  </si>
  <si>
    <t>866022-000</t>
  </si>
  <si>
    <t>BCIC-SG-101-H2(B3)</t>
  </si>
  <si>
    <t>014670-000</t>
  </si>
  <si>
    <t>BCIC-SG-101-SCE(B3)</t>
  </si>
  <si>
    <t>584306-000</t>
  </si>
  <si>
    <t>BCIC-SG-201-SCE(B3)</t>
  </si>
  <si>
    <t>209749-000</t>
  </si>
  <si>
    <t>045686004485</t>
  </si>
  <si>
    <t>045686003952</t>
  </si>
  <si>
    <t>045686005932</t>
  </si>
  <si>
    <t>045686005260</t>
  </si>
  <si>
    <t>045686005307</t>
  </si>
  <si>
    <t>045686004638</t>
  </si>
  <si>
    <t>045686006311</t>
  </si>
  <si>
    <t>045686006137</t>
  </si>
  <si>
    <t>045686005987</t>
  </si>
  <si>
    <t>045686005352</t>
  </si>
  <si>
    <t>045686002351</t>
  </si>
  <si>
    <t>045686033256</t>
  </si>
  <si>
    <t>045686005697</t>
  </si>
  <si>
    <t>045686033263</t>
  </si>
  <si>
    <t>045686033270</t>
  </si>
  <si>
    <t>C44242-000</t>
  </si>
  <si>
    <t>CPGI-1116415-2</t>
  </si>
  <si>
    <t>045686001460</t>
  </si>
  <si>
    <t>CF4146-000</t>
  </si>
  <si>
    <t>CPGI-1116415-2-BULK</t>
  </si>
  <si>
    <t>045686033645</t>
  </si>
  <si>
    <t>CA7311-000</t>
  </si>
  <si>
    <t>045686002511</t>
  </si>
  <si>
    <t>CA7310-000</t>
  </si>
  <si>
    <t>045686002504</t>
  </si>
  <si>
    <t>EB8842-000</t>
  </si>
  <si>
    <t>CPGI-1116616-3</t>
  </si>
  <si>
    <t>074371-000</t>
  </si>
  <si>
    <t>RNF-100-1/2-25-WHT</t>
  </si>
  <si>
    <t>277001-000</t>
  </si>
  <si>
    <t>RNF-100-1/4-250-BLK</t>
  </si>
  <si>
    <t>984809-000</t>
  </si>
  <si>
    <t>542635-000</t>
  </si>
  <si>
    <t>HVS-T-1592S</t>
  </si>
  <si>
    <t>182991-000</t>
  </si>
  <si>
    <t>HVS-T-1593S</t>
  </si>
  <si>
    <t>440655-000</t>
  </si>
  <si>
    <t>HVS-T-2582E</t>
  </si>
  <si>
    <t>045686041589</t>
  </si>
  <si>
    <t>045686041596</t>
  </si>
  <si>
    <t>045686041619</t>
  </si>
  <si>
    <t>045686041626</t>
  </si>
  <si>
    <t>045686041657</t>
  </si>
  <si>
    <t>045686041664</t>
  </si>
  <si>
    <t>045686041671</t>
  </si>
  <si>
    <t>045686041695</t>
  </si>
  <si>
    <t>045686041701</t>
  </si>
  <si>
    <t>045686041718</t>
  </si>
  <si>
    <t>045686041725</t>
  </si>
  <si>
    <t>045686041732</t>
  </si>
  <si>
    <t>045686041749</t>
  </si>
  <si>
    <t>045686041756</t>
  </si>
  <si>
    <t>045686041770</t>
  </si>
  <si>
    <t>AMPS-0-0608877-1</t>
  </si>
  <si>
    <t>F70187-000</t>
  </si>
  <si>
    <t>GELCAP-8-GRD-2</t>
  </si>
  <si>
    <t>A98934-000</t>
  </si>
  <si>
    <t>GELCAP-8-NS-1V(B1)</t>
  </si>
  <si>
    <t>A08850-000</t>
  </si>
  <si>
    <t>GELCAP-8-NS-1VEX(B1)</t>
  </si>
  <si>
    <t>C15359-000</t>
  </si>
  <si>
    <t>GELCAP-8-NS-2V(B1)</t>
  </si>
  <si>
    <t>F61828-000</t>
  </si>
  <si>
    <t>GELCAP-8-S-1V(B1)</t>
  </si>
  <si>
    <t>D89216-000</t>
  </si>
  <si>
    <t>GELCAP-8-S-1VEX(B1)</t>
  </si>
  <si>
    <t>D08865-000</t>
  </si>
  <si>
    <t>GELCAP-8-S-2V(B1)</t>
  </si>
  <si>
    <t>F40658-000</t>
  </si>
  <si>
    <t>GELCAP-SL-2/0-3HOLE(B10)</t>
  </si>
  <si>
    <t>CP1967-000</t>
  </si>
  <si>
    <t>093852-000</t>
  </si>
  <si>
    <t>GELWRAP-18/4-100(B6)</t>
  </si>
  <si>
    <t>045686041640</t>
  </si>
  <si>
    <t>045686041961</t>
  </si>
  <si>
    <t>045686041978</t>
  </si>
  <si>
    <t>045686041985</t>
  </si>
  <si>
    <t>045686041992</t>
  </si>
  <si>
    <t>A35442-000</t>
  </si>
  <si>
    <t>UTLX-0-1099898-1</t>
  </si>
  <si>
    <t>045686006809</t>
  </si>
  <si>
    <t>868620-000</t>
  </si>
  <si>
    <t>UTLX-0-1099898-2</t>
  </si>
  <si>
    <t>045686006243</t>
  </si>
  <si>
    <t>591555N001</t>
  </si>
  <si>
    <t>EPPA-034-L</t>
  </si>
  <si>
    <t>573161N001</t>
  </si>
  <si>
    <t>EPPA-034-M</t>
  </si>
  <si>
    <t>365067-000</t>
  </si>
  <si>
    <t>045686043729</t>
  </si>
  <si>
    <t>045686043712</t>
  </si>
  <si>
    <t>045686043705</t>
  </si>
  <si>
    <t>045686043699</t>
  </si>
  <si>
    <t>045686043682</t>
  </si>
  <si>
    <t>045686043675</t>
  </si>
  <si>
    <t>045686043668</t>
  </si>
  <si>
    <t>045686043651</t>
  </si>
  <si>
    <t>045686034789</t>
  </si>
  <si>
    <t>045686034796</t>
  </si>
  <si>
    <t>045686034802</t>
  </si>
  <si>
    <t>045686034819</t>
  </si>
  <si>
    <t>045686034826</t>
  </si>
  <si>
    <t>045686034833</t>
  </si>
  <si>
    <t>045686034840</t>
  </si>
  <si>
    <t>045686034857</t>
  </si>
  <si>
    <t>045686034871</t>
  </si>
  <si>
    <t>045686034895</t>
  </si>
  <si>
    <t>045686034918</t>
  </si>
  <si>
    <t>AMPS-0-0083843-6</t>
  </si>
  <si>
    <t>206602-000</t>
  </si>
  <si>
    <t>AMPS-0-0083843-7</t>
  </si>
  <si>
    <t>728094-000</t>
  </si>
  <si>
    <t>AMPS-0-0083843-8</t>
  </si>
  <si>
    <t>024900-000</t>
  </si>
  <si>
    <t>AMPS-0-0083843-9</t>
  </si>
  <si>
    <t>000144-000</t>
  </si>
  <si>
    <t>AMPS-0-0083861-1</t>
  </si>
  <si>
    <t>501396-000</t>
  </si>
  <si>
    <t>AMPS-0-0083866-4</t>
  </si>
  <si>
    <t>094224-000</t>
  </si>
  <si>
    <t>045686001613</t>
  </si>
  <si>
    <t>CB1985-000</t>
  </si>
  <si>
    <t>CPGI-GELWRAP-UF-250UL</t>
  </si>
  <si>
    <t>045686003198</t>
  </si>
  <si>
    <t>F05949-000</t>
  </si>
  <si>
    <t>CPGI-GHFC-1-90</t>
  </si>
  <si>
    <t>045686000517</t>
  </si>
  <si>
    <t>CL8619-000</t>
  </si>
  <si>
    <t>CL7947-000</t>
  </si>
  <si>
    <t>E89931-000</t>
  </si>
  <si>
    <t>C68131-000</t>
  </si>
  <si>
    <t>CM9694-000</t>
  </si>
  <si>
    <t>ASBT-2-350</t>
  </si>
  <si>
    <t>CM9695-000</t>
  </si>
  <si>
    <t>ASBT-350-750</t>
  </si>
  <si>
    <t>CM9696-000</t>
  </si>
  <si>
    <t>EB8613-000</t>
  </si>
  <si>
    <t>ELB-15/28-610D250</t>
  </si>
  <si>
    <t>131750-000</t>
  </si>
  <si>
    <t>AMPS-1-0602300-2</t>
  </si>
  <si>
    <t>328460-000</t>
  </si>
  <si>
    <t>AMPS-1-0602300-4</t>
  </si>
  <si>
    <t>634880-000</t>
  </si>
  <si>
    <t>AMPS-2-0275187-8</t>
  </si>
  <si>
    <t>A70102-000</t>
  </si>
  <si>
    <t>AMPS-2-0276337-8</t>
  </si>
  <si>
    <t>520746-000</t>
  </si>
  <si>
    <t>AMPS-2-0602031-0</t>
  </si>
  <si>
    <t>461680-000</t>
  </si>
  <si>
    <t>AMPS-2-0602031-1</t>
  </si>
  <si>
    <t>578600-000</t>
  </si>
  <si>
    <t>AMPS-2-0602031-2</t>
  </si>
  <si>
    <t>104670-000</t>
  </si>
  <si>
    <t>AMPS-3-0275187-0</t>
  </si>
  <si>
    <t>974824-000</t>
  </si>
  <si>
    <t>AMPS-3-0275187-1</t>
  </si>
  <si>
    <t>976632-000</t>
  </si>
  <si>
    <t>AMPS-3-0275187-3</t>
  </si>
  <si>
    <t>141744-000</t>
  </si>
  <si>
    <t>AMPS-3-0275187-4</t>
  </si>
  <si>
    <t>045686033218</t>
  </si>
  <si>
    <t>045686005079</t>
  </si>
  <si>
    <t>428660-000</t>
  </si>
  <si>
    <t>HVBC-42</t>
  </si>
  <si>
    <t>753320-000</t>
  </si>
  <si>
    <t>HVBC-43</t>
  </si>
  <si>
    <t>313564-000</t>
  </si>
  <si>
    <t>HVBC-44</t>
  </si>
  <si>
    <t>583280-000</t>
  </si>
  <si>
    <t>HVBC-61</t>
  </si>
  <si>
    <t>913901-000</t>
  </si>
  <si>
    <t>HVBC-62</t>
  </si>
  <si>
    <t>859885-000</t>
  </si>
  <si>
    <t>HVBC-64</t>
  </si>
  <si>
    <t>517839-000</t>
  </si>
  <si>
    <t>HV-BRAID-4-1520</t>
  </si>
  <si>
    <t>048802-000</t>
  </si>
  <si>
    <t>AMPS-0-0109424-1</t>
  </si>
  <si>
    <t>348906-000</t>
  </si>
  <si>
    <t>AMPS-0-0109433-1</t>
  </si>
  <si>
    <t>638414-000</t>
  </si>
  <si>
    <t>AMPS-0-0083962-1</t>
  </si>
  <si>
    <t>045686035625</t>
  </si>
  <si>
    <t>045686035632</t>
  </si>
  <si>
    <t>045686035649</t>
  </si>
  <si>
    <t>045686035656</t>
  </si>
  <si>
    <t>045686035663</t>
  </si>
  <si>
    <t>045686035670</t>
  </si>
  <si>
    <t>045686035687</t>
  </si>
  <si>
    <t>045686035694</t>
  </si>
  <si>
    <t>447443-000</t>
  </si>
  <si>
    <t>HMSS-4-40  (B100)</t>
  </si>
  <si>
    <t>635803-000</t>
  </si>
  <si>
    <t>HMSS-6-40  (B100)</t>
  </si>
  <si>
    <t>658917-000</t>
  </si>
  <si>
    <t>HVBC-41</t>
  </si>
  <si>
    <t>351778-000</t>
  </si>
  <si>
    <t>409988-000</t>
  </si>
  <si>
    <t>AMPS-0-0276337-5</t>
  </si>
  <si>
    <t>350414-000</t>
  </si>
  <si>
    <t>AMPS-0-0276337-6</t>
  </si>
  <si>
    <t>016896-000</t>
  </si>
  <si>
    <t>AMPS-0-0276337-7</t>
  </si>
  <si>
    <t>731710-000</t>
  </si>
  <si>
    <t>AMPS-0-0276337-8</t>
  </si>
  <si>
    <t>387730-000</t>
  </si>
  <si>
    <t>AMPS-0-0276337-9</t>
  </si>
  <si>
    <t>782758-000</t>
  </si>
  <si>
    <t>AMPS-0-0276478-1</t>
  </si>
  <si>
    <t>A13980-000</t>
  </si>
  <si>
    <t>045686030996</t>
  </si>
  <si>
    <t>536002-000</t>
  </si>
  <si>
    <t>045686004997</t>
  </si>
  <si>
    <t>360954-000</t>
  </si>
  <si>
    <t>AMPS-69338-1</t>
  </si>
  <si>
    <t>889454-000</t>
  </si>
  <si>
    <t>AMPS-69338-2</t>
  </si>
  <si>
    <t>871788-000</t>
  </si>
  <si>
    <t>100058-000</t>
  </si>
  <si>
    <t>AMPS-3-0275187-9</t>
  </si>
  <si>
    <t>750456-000</t>
  </si>
  <si>
    <t>AMPS-3-0276337-0</t>
  </si>
  <si>
    <t>E46036-000</t>
  </si>
  <si>
    <t>AMPS-3-0276337-2</t>
  </si>
  <si>
    <t>113742-000</t>
  </si>
  <si>
    <t>AMPS-3-0276337-3</t>
  </si>
  <si>
    <t>137260-000</t>
  </si>
  <si>
    <t>AMPS-3-0276337-4</t>
  </si>
  <si>
    <t>863406-000</t>
  </si>
  <si>
    <t>AMPS-3-0276337-5</t>
  </si>
  <si>
    <t>147032-000</t>
  </si>
  <si>
    <t>AMPS-3-0276337-7</t>
  </si>
  <si>
    <t>CN3456-000</t>
  </si>
  <si>
    <t>CM9738-000</t>
  </si>
  <si>
    <t>MVCC-G-25/1.0(B25)</t>
  </si>
  <si>
    <t>CN5708-000</t>
  </si>
  <si>
    <t>MVFT-G-2-12(B4)</t>
  </si>
  <si>
    <t>230840-000</t>
  </si>
  <si>
    <t>MVLC-14-A/241C(100)</t>
  </si>
  <si>
    <t>C12500-000</t>
  </si>
  <si>
    <t>MVLC-14-A/U-C(100)</t>
  </si>
  <si>
    <t>D93039-000</t>
  </si>
  <si>
    <t>MVLC-18-1830/U(B18)</t>
  </si>
  <si>
    <t>147654-000</t>
  </si>
  <si>
    <t>MVLC-18-A/241-C(75)</t>
  </si>
  <si>
    <t>269732-000</t>
  </si>
  <si>
    <t>MVLC-18-A/U-C(75)</t>
  </si>
  <si>
    <t>D05791-000</t>
  </si>
  <si>
    <t>MVLC-18-TOOL-03-2006</t>
  </si>
  <si>
    <t>E32129-000</t>
  </si>
  <si>
    <t>MVLC-38-A/241-1830(B18)</t>
  </si>
  <si>
    <t>782218-000</t>
  </si>
  <si>
    <t>MVLC-HAND-TOOL-02</t>
  </si>
  <si>
    <t>E88941-000</t>
  </si>
  <si>
    <t>MVLC-HAND-TOOL-14</t>
  </si>
  <si>
    <t>HVS-C-1523S</t>
  </si>
  <si>
    <t>CN1929-000</t>
  </si>
  <si>
    <t>HVS-C-1523S-M2</t>
  </si>
  <si>
    <t>CL7587-000</t>
  </si>
  <si>
    <t>HVS-C-1524S</t>
  </si>
  <si>
    <t>EB0179-000</t>
  </si>
  <si>
    <t>HVS-C-1531S</t>
  </si>
  <si>
    <t>EB0180-000</t>
  </si>
  <si>
    <t>HVS-C-1532S</t>
  </si>
  <si>
    <t>EB0334-000</t>
  </si>
  <si>
    <t>HVS-C-1532S-M1</t>
  </si>
  <si>
    <t>EB0181-000</t>
  </si>
  <si>
    <t>HVS-C-1533S</t>
  </si>
  <si>
    <t>EB0182-000</t>
  </si>
  <si>
    <t>045686035847</t>
  </si>
  <si>
    <t>045686035854</t>
  </si>
  <si>
    <t>045686035861</t>
  </si>
  <si>
    <t>045686035878</t>
  </si>
  <si>
    <t>045686035892</t>
  </si>
  <si>
    <t>045686035908</t>
  </si>
  <si>
    <t>045686035922</t>
  </si>
  <si>
    <t>045686035946</t>
  </si>
  <si>
    <t>045686035960</t>
  </si>
  <si>
    <t>045686035984</t>
  </si>
  <si>
    <t>485533-000</t>
  </si>
  <si>
    <t>HVS-3-2522S</t>
  </si>
  <si>
    <t>513447-000</t>
  </si>
  <si>
    <t>HVS-3-2591E</t>
  </si>
  <si>
    <t>272687-000</t>
  </si>
  <si>
    <t>HVS-3-501</t>
  </si>
  <si>
    <t>EPPA-034-O</t>
  </si>
  <si>
    <t>803571-000</t>
  </si>
  <si>
    <t>045686004119</t>
  </si>
  <si>
    <t>CPGI-BUCH-1546234-1</t>
  </si>
  <si>
    <t>045686034062</t>
  </si>
  <si>
    <t>045686032983</t>
  </si>
  <si>
    <t>045686032990</t>
  </si>
  <si>
    <t>045686007783</t>
  </si>
  <si>
    <t>045686033003</t>
  </si>
  <si>
    <t>045686005819</t>
  </si>
  <si>
    <t>045686033010</t>
  </si>
  <si>
    <t>045686033027</t>
  </si>
  <si>
    <t>045686004157</t>
  </si>
  <si>
    <t>045686033034</t>
  </si>
  <si>
    <t>045686033041</t>
  </si>
  <si>
    <t>045686002962</t>
  </si>
  <si>
    <t>045686004928</t>
  </si>
  <si>
    <t>045686005154</t>
  </si>
  <si>
    <t>045686033065</t>
  </si>
  <si>
    <t>045686042135</t>
  </si>
  <si>
    <t>045686004300</t>
  </si>
  <si>
    <t>045686006632</t>
  </si>
  <si>
    <t>045686032846</t>
  </si>
  <si>
    <t>045686003310</t>
  </si>
  <si>
    <t>045686004041</t>
  </si>
  <si>
    <t>045686003778</t>
  </si>
  <si>
    <t>045686005802</t>
  </si>
  <si>
    <t>045686006014</t>
  </si>
  <si>
    <t>045686005376</t>
  </si>
  <si>
    <t>045686006359</t>
  </si>
  <si>
    <t>045686006038</t>
  </si>
  <si>
    <t>045686003334</t>
  </si>
  <si>
    <t>045686005406</t>
  </si>
  <si>
    <t>F17300-000</t>
  </si>
  <si>
    <t>UTLX-1-1443403-7</t>
  </si>
  <si>
    <t>045686033973</t>
  </si>
  <si>
    <t>F01145-000</t>
  </si>
  <si>
    <t>045686033652</t>
  </si>
  <si>
    <t>HVT-252-G</t>
  </si>
  <si>
    <t>254009-000</t>
  </si>
  <si>
    <t>HVT-252-J</t>
  </si>
  <si>
    <t>811978-000</t>
  </si>
  <si>
    <t>HVT-252-SG</t>
  </si>
  <si>
    <t>347466-000</t>
  </si>
  <si>
    <t>HVT-252-SJ</t>
  </si>
  <si>
    <t>ASBT-600-1000</t>
  </si>
  <si>
    <t>738285-000</t>
  </si>
  <si>
    <t>BBIT-100/40-A/U(B50)</t>
  </si>
  <si>
    <t>FT</t>
  </si>
  <si>
    <t>419641-000</t>
  </si>
  <si>
    <t>BBIT-150/60-A/U(B50)</t>
  </si>
  <si>
    <t>RNF-100-3/16-25-BLK</t>
  </si>
  <si>
    <t>691019-000</t>
  </si>
  <si>
    <t>RNF-100-3/16-25-CLR</t>
  </si>
  <si>
    <t>971031-000</t>
  </si>
  <si>
    <t>RNF-100-3/16-25-WHT</t>
  </si>
  <si>
    <t>068359-000</t>
  </si>
  <si>
    <t>RNF-100-3/32-25-BLK</t>
  </si>
  <si>
    <t>790015-000</t>
  </si>
  <si>
    <t>HVS-SHIM-4</t>
  </si>
  <si>
    <t>045686053391</t>
  </si>
  <si>
    <t>045686053407</t>
  </si>
  <si>
    <t>045686053414</t>
  </si>
  <si>
    <t>045686053421</t>
  </si>
  <si>
    <t>045686053438</t>
  </si>
  <si>
    <t>045686053445</t>
  </si>
  <si>
    <t>045686053452</t>
  </si>
  <si>
    <t>045686053469</t>
  </si>
  <si>
    <t>045686053476</t>
  </si>
  <si>
    <t>045686053483</t>
  </si>
  <si>
    <t>045686053490</t>
  </si>
  <si>
    <t>045686053506</t>
  </si>
  <si>
    <t>045686053513</t>
  </si>
  <si>
    <t>045686053520</t>
  </si>
  <si>
    <t>045686053544</t>
  </si>
  <si>
    <t>045686053551</t>
  </si>
  <si>
    <t>045686053568</t>
  </si>
  <si>
    <t>045686053575</t>
  </si>
  <si>
    <t>045686053582</t>
  </si>
  <si>
    <t>045686053599</t>
  </si>
  <si>
    <t>045686053605</t>
  </si>
  <si>
    <t>045686053612</t>
  </si>
  <si>
    <t>045686053629</t>
  </si>
  <si>
    <t>045686053636</t>
  </si>
  <si>
    <t>045686053643</t>
  </si>
  <si>
    <t>045686053650</t>
  </si>
  <si>
    <t>045686053667</t>
  </si>
  <si>
    <t>045686053674</t>
  </si>
  <si>
    <t>045686053681</t>
  </si>
  <si>
    <t>ALR-SST-PV-IES-UL</t>
  </si>
  <si>
    <t>267592-000</t>
  </si>
  <si>
    <t>AMPS-0-0569398-1</t>
  </si>
  <si>
    <t>247140-000</t>
  </si>
  <si>
    <t>AMPS-0-0600403-0</t>
  </si>
  <si>
    <t>377424-000</t>
  </si>
  <si>
    <t>AMPS-0-0600411-0</t>
  </si>
  <si>
    <t>594524-000</t>
  </si>
  <si>
    <t>AMPS-0-0600446-0</t>
  </si>
  <si>
    <t>489356-000</t>
  </si>
  <si>
    <t>AMPS-0-0600447-0</t>
  </si>
  <si>
    <t>852450-000</t>
  </si>
  <si>
    <t>AMPS-0-0600448-0</t>
  </si>
  <si>
    <t>275944-000</t>
  </si>
  <si>
    <t>AMPS-0-0600455-0</t>
  </si>
  <si>
    <t>777770-000</t>
  </si>
  <si>
    <t>234361-000</t>
  </si>
  <si>
    <t>HVS-1514S-J</t>
  </si>
  <si>
    <t>618951-000</t>
  </si>
  <si>
    <t>HVS-1521S</t>
  </si>
  <si>
    <t>706627-000</t>
  </si>
  <si>
    <t>HVS-1521S-W</t>
  </si>
  <si>
    <t>986511-000</t>
  </si>
  <si>
    <t>HVS-1522S</t>
  </si>
  <si>
    <t>327201-000</t>
  </si>
  <si>
    <t>HVS-1522S-W</t>
  </si>
  <si>
    <t>248715-000</t>
  </si>
  <si>
    <t>HVS-1523S</t>
  </si>
  <si>
    <t>965415-000</t>
  </si>
  <si>
    <t>HVS-1523S-W</t>
  </si>
  <si>
    <t>601351-000</t>
  </si>
  <si>
    <t>HVS-1524S-W</t>
  </si>
  <si>
    <t>894847-000</t>
  </si>
  <si>
    <t>HVS-1525S</t>
  </si>
  <si>
    <t>262299-000</t>
  </si>
  <si>
    <t>HVS-1525S-W</t>
  </si>
  <si>
    <t>AMPS-0-0881787-1</t>
  </si>
  <si>
    <t>149256-000</t>
  </si>
  <si>
    <t>AMPS-0-1443208-1</t>
  </si>
  <si>
    <t>804390-000</t>
  </si>
  <si>
    <t>AMPS-0-1443209-1</t>
  </si>
  <si>
    <t>045686038398</t>
  </si>
  <si>
    <t>045686038404</t>
  </si>
  <si>
    <t>045686004782</t>
  </si>
  <si>
    <t>045686003389</t>
  </si>
  <si>
    <t>045686049967</t>
  </si>
  <si>
    <t>045686049981</t>
  </si>
  <si>
    <t>045686050048</t>
  </si>
  <si>
    <t>045686050154</t>
  </si>
  <si>
    <t>045686050215</t>
  </si>
  <si>
    <t>WCSM-56/16-100-S(B100)</t>
  </si>
  <si>
    <t>EE0481-000</t>
  </si>
  <si>
    <t>WCSM-70/20-600S(B10)</t>
  </si>
  <si>
    <t>EE0482-000</t>
  </si>
  <si>
    <t>WCSM-70/20-450-S-(B15)</t>
  </si>
  <si>
    <t>EE0483-000</t>
  </si>
  <si>
    <t>WCSM-70/20-400-S(B50)</t>
  </si>
  <si>
    <t>EE0484-000</t>
  </si>
  <si>
    <t>WCSM-70/20-300-S-(B15)</t>
  </si>
  <si>
    <t>EE0487-000</t>
  </si>
  <si>
    <t>WCSM-70/20-150-S(B25)</t>
  </si>
  <si>
    <t>EE0488-000</t>
  </si>
  <si>
    <t>WCSM-70/20-1200-S-(B10)</t>
  </si>
  <si>
    <t>EE0492-000</t>
  </si>
  <si>
    <t>WCSM-110/30-450-S(B9)</t>
  </si>
  <si>
    <t>EE0494-000</t>
  </si>
  <si>
    <t>WCSM-110/30-300-S-(B15)</t>
  </si>
  <si>
    <t>EE0495-000</t>
  </si>
  <si>
    <t>WCSM-110/30-1200-S-(B5)</t>
  </si>
  <si>
    <t>EE0497-000</t>
  </si>
  <si>
    <t>EE0498-000</t>
  </si>
  <si>
    <t>WCSM-130/35-300-S(B10)</t>
  </si>
  <si>
    <t>EE0501-000</t>
  </si>
  <si>
    <t>WCSM-130/35-1200-S(B5)</t>
  </si>
  <si>
    <t>045686070220</t>
  </si>
  <si>
    <t>045686070237</t>
  </si>
  <si>
    <t>045686070244</t>
  </si>
  <si>
    <t>045686070572</t>
  </si>
  <si>
    <t>045686070589</t>
  </si>
  <si>
    <t>045686070596</t>
  </si>
  <si>
    <t>045686070282</t>
  </si>
  <si>
    <t>045686070299</t>
  </si>
  <si>
    <t>045686070305</t>
  </si>
  <si>
    <t>045686070268</t>
  </si>
  <si>
    <t>045686070275</t>
  </si>
  <si>
    <t>045686070312</t>
  </si>
  <si>
    <t>045686070329</t>
  </si>
  <si>
    <t>045686070336</t>
  </si>
  <si>
    <t>045686070343</t>
  </si>
  <si>
    <t>045686070350</t>
  </si>
  <si>
    <t>045686070367</t>
  </si>
  <si>
    <t>045686070374</t>
  </si>
  <si>
    <t>045686070381</t>
  </si>
  <si>
    <t>045686070398</t>
  </si>
  <si>
    <t>045686070404</t>
  </si>
  <si>
    <t>045686070411</t>
  </si>
  <si>
    <t>045686070428</t>
  </si>
  <si>
    <t>045686070435</t>
  </si>
  <si>
    <t>045686070459</t>
  </si>
  <si>
    <t>045686070466</t>
  </si>
  <si>
    <t>045686070473</t>
  </si>
  <si>
    <t>045686070480</t>
  </si>
  <si>
    <t>045686070497</t>
  </si>
  <si>
    <t>045686070510</t>
  </si>
  <si>
    <t>045686070527</t>
  </si>
  <si>
    <t>045686070534</t>
  </si>
  <si>
    <t>045686070541</t>
  </si>
  <si>
    <t>045686070558</t>
  </si>
  <si>
    <t>045686070565</t>
  </si>
  <si>
    <t>301392-000</t>
  </si>
  <si>
    <t>595188-000</t>
  </si>
  <si>
    <t>940650-000</t>
  </si>
  <si>
    <t>131520-000</t>
  </si>
  <si>
    <t>ALR-AA-1068</t>
  </si>
  <si>
    <t>AMPS-0-1710726-4</t>
  </si>
  <si>
    <t>045686057009</t>
  </si>
  <si>
    <t>CR1311-000</t>
  </si>
  <si>
    <t>AMPS-0-1710727-1</t>
  </si>
  <si>
    <t>045686057016</t>
  </si>
  <si>
    <t>CR1312-000</t>
  </si>
  <si>
    <t>AMPS-0-1710727-2</t>
  </si>
  <si>
    <t>CR1313-000</t>
  </si>
  <si>
    <t>AMPS-0-1710727-3</t>
  </si>
  <si>
    <t>CR1314-000</t>
  </si>
  <si>
    <t>CF7467-000</t>
  </si>
  <si>
    <t>CPGI-CTY-25-175-BLK-L</t>
  </si>
  <si>
    <t>045686029464</t>
  </si>
  <si>
    <t>CR1420-000</t>
  </si>
  <si>
    <t>ELB-35-610R-A3</t>
  </si>
  <si>
    <t>ED2718-000</t>
  </si>
  <si>
    <t>ED2720-000</t>
  </si>
  <si>
    <t>EB8295-000</t>
  </si>
  <si>
    <t>ELB-35-610S750</t>
  </si>
  <si>
    <t>EB8301-000</t>
  </si>
  <si>
    <t>ELB-35-610S800</t>
  </si>
  <si>
    <t>EB8307-000</t>
  </si>
  <si>
    <t>ELB-35-610S900</t>
  </si>
  <si>
    <t>ED2739-000</t>
  </si>
  <si>
    <t>ELB-35-610S-A2</t>
  </si>
  <si>
    <t>ED2741-000</t>
  </si>
  <si>
    <t>ELB-35-610S-A3</t>
  </si>
  <si>
    <t>ED2743-000</t>
  </si>
  <si>
    <t>ELB-35-610S-A4</t>
  </si>
  <si>
    <t>ED2719-000</t>
  </si>
  <si>
    <t>ED2721-000</t>
  </si>
  <si>
    <t>ED2723-000</t>
  </si>
  <si>
    <t>EB8319-000</t>
  </si>
  <si>
    <t>ELB-35-610T1000</t>
  </si>
  <si>
    <t>EB8313-000</t>
  </si>
  <si>
    <t>ELB-35-610T900</t>
  </si>
  <si>
    <t>ED2742-000</t>
  </si>
  <si>
    <t>ELB-35-610T-A3</t>
  </si>
  <si>
    <t>ED2744-000</t>
  </si>
  <si>
    <t>ELB-35-610T-A4</t>
  </si>
  <si>
    <t>ED2722-000</t>
  </si>
  <si>
    <t>ED2724-000</t>
  </si>
  <si>
    <t>EB8325-000</t>
  </si>
  <si>
    <t>ELB-35-610U1250</t>
  </si>
  <si>
    <t>ED2745-000</t>
  </si>
  <si>
    <t>ELB-35-610U-A4</t>
  </si>
  <si>
    <t>ED2725-000</t>
  </si>
  <si>
    <t>EB8331-000</t>
  </si>
  <si>
    <t>ELB-35-610V1250</t>
  </si>
  <si>
    <t>045686055562</t>
  </si>
  <si>
    <t>RDSS-IT-16</t>
  </si>
  <si>
    <t>702905-000</t>
  </si>
  <si>
    <t>RNF-100-1/16-25-BLK</t>
  </si>
  <si>
    <t>894021-000</t>
  </si>
  <si>
    <t>RNF-100-1/16-25-CLR</t>
  </si>
  <si>
    <t>121557-000</t>
  </si>
  <si>
    <t>914264-000</t>
  </si>
  <si>
    <t>721671-000</t>
  </si>
  <si>
    <t>HVS-3-502</t>
  </si>
  <si>
    <t>067399-000</t>
  </si>
  <si>
    <t>HVS-3-503</t>
  </si>
  <si>
    <t>860357-000</t>
  </si>
  <si>
    <t>HVS-3511S-J</t>
  </si>
  <si>
    <t>635357-000</t>
  </si>
  <si>
    <t>HVS-3/C-4</t>
  </si>
  <si>
    <t>045686038244</t>
  </si>
  <si>
    <t>045686038251</t>
  </si>
  <si>
    <t>045686038268</t>
  </si>
  <si>
    <t>045686038282</t>
  </si>
  <si>
    <t>045686038305</t>
  </si>
  <si>
    <t>045686038312</t>
  </si>
  <si>
    <t>045686038329</t>
  </si>
  <si>
    <t>045686038374</t>
  </si>
  <si>
    <t>045686038381</t>
  </si>
  <si>
    <t>667950-000</t>
  </si>
  <si>
    <t>HVS-3-1592</t>
  </si>
  <si>
    <t>128207-000</t>
  </si>
  <si>
    <t>HVS-3-1593</t>
  </si>
  <si>
    <t>958319-000</t>
  </si>
  <si>
    <t>432347-000</t>
  </si>
  <si>
    <t>HVT-353-LC</t>
  </si>
  <si>
    <t>028005-000</t>
  </si>
  <si>
    <t>HVT-353-SG</t>
  </si>
  <si>
    <t>424239-000</t>
  </si>
  <si>
    <t>HVT-353-SJ</t>
  </si>
  <si>
    <t>335367-000</t>
  </si>
  <si>
    <t>HVT-354-G</t>
  </si>
  <si>
    <t>028630-000</t>
  </si>
  <si>
    <t>HVT-354-SG</t>
  </si>
  <si>
    <t>321424-000</t>
  </si>
  <si>
    <t>HVT-354-SJ</t>
  </si>
  <si>
    <t>525338-000</t>
  </si>
  <si>
    <t>HVT-355-SG</t>
  </si>
  <si>
    <t>790702-000</t>
  </si>
  <si>
    <t>HVT-51</t>
  </si>
  <si>
    <t>045686056293</t>
  </si>
  <si>
    <t>045686056309</t>
  </si>
  <si>
    <t>045686056316</t>
  </si>
  <si>
    <t>045686056347</t>
  </si>
  <si>
    <t>045686056354</t>
  </si>
  <si>
    <t>045686056361</t>
  </si>
  <si>
    <t>045686056378</t>
  </si>
  <si>
    <t>EA3554-000</t>
  </si>
  <si>
    <t>CSJA-3524M8</t>
  </si>
  <si>
    <t>C95542-000</t>
  </si>
  <si>
    <t>AMPS-5-0276337-3</t>
  </si>
  <si>
    <t>762042-000</t>
  </si>
  <si>
    <t>AMPS-5-0276337-5</t>
  </si>
  <si>
    <t>219676-000</t>
  </si>
  <si>
    <t>AMPS-5-0276337-8</t>
  </si>
  <si>
    <t>906272-000</t>
  </si>
  <si>
    <t>CF5625-000</t>
  </si>
  <si>
    <t>IDP-SST71-316</t>
  </si>
  <si>
    <t>045686031405</t>
  </si>
  <si>
    <t>CPGI-BUCH-1437381-4</t>
  </si>
  <si>
    <t>045686034543</t>
  </si>
  <si>
    <t>CG6200-000</t>
  </si>
  <si>
    <t>CPGI-BUCH-1437381-8</t>
  </si>
  <si>
    <t>045686034482</t>
  </si>
  <si>
    <t>045686056064</t>
  </si>
  <si>
    <t>CR4528-000</t>
  </si>
  <si>
    <t>BCIC-G-DSMPIN-795-24(B3)</t>
  </si>
  <si>
    <t>045686054893</t>
  </si>
  <si>
    <t>045686054909</t>
  </si>
  <si>
    <t>045686054916</t>
  </si>
  <si>
    <t>045686054923</t>
  </si>
  <si>
    <t>045686055005</t>
  </si>
  <si>
    <t>045686055036</t>
  </si>
  <si>
    <t>045686055067</t>
  </si>
  <si>
    <t>045686055074</t>
  </si>
  <si>
    <t>045686055081</t>
  </si>
  <si>
    <t>045686055098</t>
  </si>
  <si>
    <t>045686055128</t>
  </si>
  <si>
    <t>045686055135</t>
  </si>
  <si>
    <t>045686055159</t>
  </si>
  <si>
    <t>045686055166</t>
  </si>
  <si>
    <t>045686055173</t>
  </si>
  <si>
    <t>045686055203</t>
  </si>
  <si>
    <t>045686055210</t>
  </si>
  <si>
    <t>045686055234</t>
  </si>
  <si>
    <t>045686055241</t>
  </si>
  <si>
    <t>045686055265</t>
  </si>
  <si>
    <t>045686055272</t>
  </si>
  <si>
    <t>045686055302</t>
  </si>
  <si>
    <t>045686055319</t>
  </si>
  <si>
    <t>045686055326</t>
  </si>
  <si>
    <t>045686055333</t>
  </si>
  <si>
    <t>045686055340</t>
  </si>
  <si>
    <t>045686055357</t>
  </si>
  <si>
    <t>045686055364</t>
  </si>
  <si>
    <t>045686055371</t>
  </si>
  <si>
    <t>045686055388</t>
  </si>
  <si>
    <t>045686055395</t>
  </si>
  <si>
    <t>045686055401</t>
  </si>
  <si>
    <t>045686055418</t>
  </si>
  <si>
    <t>045686055425</t>
  </si>
  <si>
    <t>045686055432</t>
  </si>
  <si>
    <t>045686055449</t>
  </si>
  <si>
    <t>045686055463</t>
  </si>
  <si>
    <t>045686055470</t>
  </si>
  <si>
    <t>045686055487</t>
  </si>
  <si>
    <t>045686055494</t>
  </si>
  <si>
    <t>045686055500</t>
  </si>
  <si>
    <t>045686055517</t>
  </si>
  <si>
    <t>045686055524</t>
  </si>
  <si>
    <t>045686055531</t>
  </si>
  <si>
    <t>045686055548</t>
  </si>
  <si>
    <t>045686055555</t>
  </si>
  <si>
    <t>ED2729-000</t>
  </si>
  <si>
    <t>ELB-35-610H-A1</t>
  </si>
  <si>
    <t>ED2706-000</t>
  </si>
  <si>
    <t>EB8223-000</t>
  </si>
  <si>
    <t>ELB-35-610J30</t>
  </si>
  <si>
    <t>CP4470-000</t>
  </si>
  <si>
    <t>ELB-35-610J40</t>
  </si>
  <si>
    <t>ED2730-000</t>
  </si>
  <si>
    <t>ELB-35-610J-A1</t>
  </si>
  <si>
    <t>ED2707-000</t>
  </si>
  <si>
    <t>ED2709-000</t>
  </si>
  <si>
    <t>CP5978-000</t>
  </si>
  <si>
    <t>ELB-35-610K10</t>
  </si>
  <si>
    <t>EB8229-000</t>
  </si>
  <si>
    <t>ELB-35-610K40</t>
  </si>
  <si>
    <t>ED2731-000</t>
  </si>
  <si>
    <t>ELB-35-610K-A1</t>
  </si>
  <si>
    <t>791129-000</t>
  </si>
  <si>
    <t>HVT-253-SG</t>
  </si>
  <si>
    <t>548643-000</t>
  </si>
  <si>
    <t>HVT-253-SJ</t>
  </si>
  <si>
    <t>774767-000</t>
  </si>
  <si>
    <t>HVT-254-G</t>
  </si>
  <si>
    <t>812332-000</t>
  </si>
  <si>
    <t>HVT-254-SG</t>
  </si>
  <si>
    <t>661596-000</t>
  </si>
  <si>
    <t>HVT-254-SJ</t>
  </si>
  <si>
    <t>431181-000</t>
  </si>
  <si>
    <t>HVT-254-SLC</t>
  </si>
  <si>
    <t>438909-000</t>
  </si>
  <si>
    <t>HVT-255-G</t>
  </si>
  <si>
    <t>116781-000</t>
  </si>
  <si>
    <t>HVT-255-SG</t>
  </si>
  <si>
    <t>022731-000</t>
  </si>
  <si>
    <t>HVT-3-1591-SG</t>
  </si>
  <si>
    <t>035875-000</t>
  </si>
  <si>
    <t>HVT-3-1592-SG</t>
  </si>
  <si>
    <t>428887-000</t>
  </si>
  <si>
    <t>HVT-3-1593-G</t>
  </si>
  <si>
    <t>298363-000</t>
  </si>
  <si>
    <t>HVT-3-1593-SG</t>
  </si>
  <si>
    <t>523476-000</t>
  </si>
  <si>
    <t>HVT-352-G</t>
  </si>
  <si>
    <t>167150-000</t>
  </si>
  <si>
    <t>HVT-352-J</t>
  </si>
  <si>
    <t>445603-000</t>
  </si>
  <si>
    <t>HVT-352-SG</t>
  </si>
  <si>
    <t>677296-000</t>
  </si>
  <si>
    <t>HVT-352-SJ</t>
  </si>
  <si>
    <t>862969-000</t>
  </si>
  <si>
    <t>HVT-353-G</t>
  </si>
  <si>
    <t>748558-000</t>
  </si>
  <si>
    <t>HVT-353-J</t>
  </si>
  <si>
    <t>045686059966</t>
  </si>
  <si>
    <t>206107-000</t>
  </si>
  <si>
    <t>HVS-3/C-2</t>
  </si>
  <si>
    <t>744167-000</t>
  </si>
  <si>
    <t>HVS-3/C-3</t>
  </si>
  <si>
    <t>045686047901</t>
  </si>
  <si>
    <t>045686047895</t>
  </si>
  <si>
    <t>045686047888</t>
  </si>
  <si>
    <t>045686047871</t>
  </si>
  <si>
    <t>045686047864</t>
  </si>
  <si>
    <t>045686047857</t>
  </si>
  <si>
    <t>045686047826</t>
  </si>
  <si>
    <t>872588-000</t>
  </si>
  <si>
    <t>HVT-52</t>
  </si>
  <si>
    <t>973635-000</t>
  </si>
  <si>
    <t>FH-2649-PS-KIT</t>
  </si>
  <si>
    <t>246794-000</t>
  </si>
  <si>
    <t>C90322-000</t>
  </si>
  <si>
    <t>645965-000</t>
  </si>
  <si>
    <t>051073-000</t>
  </si>
  <si>
    <t>EHVS-6922-W-CXXX</t>
  </si>
  <si>
    <t>853011-000</t>
  </si>
  <si>
    <t>918969-000</t>
  </si>
  <si>
    <t>EHVT-462-G</t>
  </si>
  <si>
    <t>408397-000</t>
  </si>
  <si>
    <t>EHVT-462-SG</t>
  </si>
  <si>
    <t>161283-000</t>
  </si>
  <si>
    <t>EHVT-463-SG</t>
  </si>
  <si>
    <t>985423-000</t>
  </si>
  <si>
    <t>EHVT-464-SG</t>
  </si>
  <si>
    <t>919523-000</t>
  </si>
  <si>
    <t>EHVT-465-G</t>
  </si>
  <si>
    <t>721699-000</t>
  </si>
  <si>
    <t>EHVT-465-SG</t>
  </si>
  <si>
    <t>185655-000</t>
  </si>
  <si>
    <t>EHVT-691-G</t>
  </si>
  <si>
    <t>721679N002</t>
  </si>
  <si>
    <t>EHVT-691-SG</t>
  </si>
  <si>
    <t>756707-000</t>
  </si>
  <si>
    <t>EHVT-692-G</t>
  </si>
  <si>
    <t>734803-000</t>
  </si>
  <si>
    <t>EHVT-692-SG</t>
  </si>
  <si>
    <t>385219-000</t>
  </si>
  <si>
    <t>EHVT-693-SG</t>
  </si>
  <si>
    <t>D56792-000</t>
  </si>
  <si>
    <t>EHVT-BP</t>
  </si>
  <si>
    <t>125290-000</t>
  </si>
  <si>
    <t>AMPS-0-0083747-3</t>
  </si>
  <si>
    <t>538924-000</t>
  </si>
  <si>
    <t>AMPS-0-0083747-4</t>
  </si>
  <si>
    <t>166070-000</t>
  </si>
  <si>
    <t>AMPS-0-0083748-1</t>
  </si>
  <si>
    <t>127014-000</t>
  </si>
  <si>
    <t>AMPS-0-0083748-2</t>
  </si>
  <si>
    <t>373820-000</t>
  </si>
  <si>
    <t>AMPS-0-0083748-3</t>
  </si>
  <si>
    <t>870316-000</t>
  </si>
  <si>
    <t>AMPS-0-0083748-4</t>
  </si>
  <si>
    <t>669272-000</t>
  </si>
  <si>
    <t>AMPS-0-0083749-1</t>
  </si>
  <si>
    <t>828026-000</t>
  </si>
  <si>
    <t>AMPS-0-0083749-2</t>
  </si>
  <si>
    <t>052186-000</t>
  </si>
  <si>
    <t>AMPS-0-0083749-3</t>
  </si>
  <si>
    <t>628612-000</t>
  </si>
  <si>
    <t>AMPS-0-0083749-4</t>
  </si>
  <si>
    <t>045686048359</t>
  </si>
  <si>
    <t>045686048380</t>
  </si>
  <si>
    <t>045686048397</t>
  </si>
  <si>
    <t>EB8673-000</t>
  </si>
  <si>
    <t>ELB-15/28-610H600</t>
  </si>
  <si>
    <t>EB8676-000</t>
  </si>
  <si>
    <t>ELB-15/28-610H650</t>
  </si>
  <si>
    <t>EB8679-000</t>
  </si>
  <si>
    <t>ELB-15/28-610H750</t>
  </si>
  <si>
    <t>EB8682-000</t>
  </si>
  <si>
    <t>ELB-15/28-610H800</t>
  </si>
  <si>
    <t>EB8685-000</t>
  </si>
  <si>
    <t>ELB-15/28-610H900</t>
  </si>
  <si>
    <t>ED2778-000</t>
  </si>
  <si>
    <t>ELB-15/28-610H-A2</t>
  </si>
  <si>
    <t>ED2781-000</t>
  </si>
  <si>
    <t>ELB-15/28-610H-A3</t>
  </si>
  <si>
    <t>ED2757-000</t>
  </si>
  <si>
    <t>ED2759-000</t>
  </si>
  <si>
    <t>ED2762-000</t>
  </si>
  <si>
    <t>EB8703-000</t>
  </si>
  <si>
    <t>ELB-15/28-610J1000</t>
  </si>
  <si>
    <t>EB8688-000</t>
  </si>
  <si>
    <t>ELB-15/28-610J600</t>
  </si>
  <si>
    <t>EB8691-000</t>
  </si>
  <si>
    <t>ELB-15/28-610J650</t>
  </si>
  <si>
    <t>EB8694-000</t>
  </si>
  <si>
    <t>AMPS-0-0047667-8</t>
  </si>
  <si>
    <t>460382-000</t>
  </si>
  <si>
    <t>AMPS-0-0069437-0</t>
  </si>
  <si>
    <t>015490-000</t>
  </si>
  <si>
    <t>AMPS-0-0069610-1</t>
  </si>
  <si>
    <t>073840-000</t>
  </si>
  <si>
    <t>AMPS-0-0069611-0</t>
  </si>
  <si>
    <t>163334-000</t>
  </si>
  <si>
    <t>701728-000</t>
  </si>
  <si>
    <t>AMPS-0-0081723-1</t>
  </si>
  <si>
    <t>163424-000</t>
  </si>
  <si>
    <t>AMPS-0-0081723-2</t>
  </si>
  <si>
    <t>744802-000</t>
  </si>
  <si>
    <t>AMPS-0-0081723-8</t>
  </si>
  <si>
    <t>553386-000</t>
  </si>
  <si>
    <t>AMPS-0-0081723-9</t>
  </si>
  <si>
    <t>045686053780</t>
  </si>
  <si>
    <t>AMPS-0-0083630-7</t>
  </si>
  <si>
    <t>234502-000</t>
  </si>
  <si>
    <t>AMPS-0-0083630-8</t>
  </si>
  <si>
    <t>117954-000</t>
  </si>
  <si>
    <t>AMPS-0-0083630-9</t>
  </si>
  <si>
    <t>C23858-000</t>
  </si>
  <si>
    <t>UTLX-0-1099899-6</t>
  </si>
  <si>
    <t>045686007080</t>
  </si>
  <si>
    <t>119812-000</t>
  </si>
  <si>
    <t>UTLX-0-1099899-7</t>
  </si>
  <si>
    <t>045686003679</t>
  </si>
  <si>
    <t>E52078-000</t>
  </si>
  <si>
    <t>UTLX-0-1099899-8</t>
  </si>
  <si>
    <t>045686007875</t>
  </si>
  <si>
    <t>239140-000</t>
  </si>
  <si>
    <t>UTLX-0-1099899-9</t>
  </si>
  <si>
    <t>136857-000</t>
  </si>
  <si>
    <t>HVS-EG2</t>
  </si>
  <si>
    <t>747843-000</t>
  </si>
  <si>
    <t>HVS-EG3</t>
  </si>
  <si>
    <t>063891-000</t>
  </si>
  <si>
    <t>045686046416</t>
  </si>
  <si>
    <t>045686046423</t>
  </si>
  <si>
    <t>045686046430</t>
  </si>
  <si>
    <t>045686046508</t>
  </si>
  <si>
    <t>045686046515</t>
  </si>
  <si>
    <t>045686046522</t>
  </si>
  <si>
    <t>045686046539</t>
  </si>
  <si>
    <t>045686046546</t>
  </si>
  <si>
    <t>045686053971</t>
  </si>
  <si>
    <t>045686053988</t>
  </si>
  <si>
    <t>045686053995</t>
  </si>
  <si>
    <t>045686054008</t>
  </si>
  <si>
    <t>045686054015</t>
  </si>
  <si>
    <t>045686054022</t>
  </si>
  <si>
    <t>045686044849</t>
  </si>
  <si>
    <t>CR3052-000</t>
  </si>
  <si>
    <t>BCAC-IC-8D/18(B6)</t>
  </si>
  <si>
    <t>045686059089</t>
  </si>
  <si>
    <t>034764-000</t>
  </si>
  <si>
    <t>AMPS-0-0083623-2</t>
  </si>
  <si>
    <t>100308-000</t>
  </si>
  <si>
    <t>F51958-000</t>
  </si>
  <si>
    <t>AMPS-0-1443312-1</t>
  </si>
  <si>
    <t>E89572-000</t>
  </si>
  <si>
    <t>045686039845</t>
  </si>
  <si>
    <t>045686039869</t>
  </si>
  <si>
    <t>045686039876</t>
  </si>
  <si>
    <t>045686039883</t>
  </si>
  <si>
    <t>045686039906</t>
  </si>
  <si>
    <t>045686039920</t>
  </si>
  <si>
    <t>045686039944</t>
  </si>
  <si>
    <t>045686039951</t>
  </si>
  <si>
    <t>045686039975</t>
  </si>
  <si>
    <t>045686039982</t>
  </si>
  <si>
    <t>045686040001</t>
  </si>
  <si>
    <t>045686040018</t>
  </si>
  <si>
    <t>045686040025</t>
  </si>
  <si>
    <t>045686040032</t>
  </si>
  <si>
    <t>045686040049</t>
  </si>
  <si>
    <t>045686040056</t>
  </si>
  <si>
    <t>045686040063</t>
  </si>
  <si>
    <t>045686040070</t>
  </si>
  <si>
    <t>045686040087</t>
  </si>
  <si>
    <t>045686040094</t>
  </si>
  <si>
    <t>045686040100</t>
  </si>
  <si>
    <t>EB0307-000</t>
  </si>
  <si>
    <t>CPGI-B-106-2401-6</t>
  </si>
  <si>
    <t>773122-000</t>
  </si>
  <si>
    <t>HVT-53</t>
  </si>
  <si>
    <t>148513-000</t>
  </si>
  <si>
    <t>HVT-80-G</t>
  </si>
  <si>
    <t>919170-000</t>
  </si>
  <si>
    <t>HVT-80-SG</t>
  </si>
  <si>
    <t>197090-000</t>
  </si>
  <si>
    <t>HVT-81-G</t>
  </si>
  <si>
    <t>326049-000</t>
  </si>
  <si>
    <t>HVT-81-SG</t>
  </si>
  <si>
    <t>099585-000</t>
  </si>
  <si>
    <t>HVT-82-G</t>
  </si>
  <si>
    <t>792778-000</t>
  </si>
  <si>
    <t>HVT-82-SG</t>
  </si>
  <si>
    <t>341649-000</t>
  </si>
  <si>
    <t>HVT-83-G</t>
  </si>
  <si>
    <t>336929-000</t>
  </si>
  <si>
    <t>HVT-83-SG</t>
  </si>
  <si>
    <t>675374-000</t>
  </si>
  <si>
    <t>045686062072</t>
  </si>
  <si>
    <t>045686062089</t>
  </si>
  <si>
    <t>045686062096</t>
  </si>
  <si>
    <t>045686062102</t>
  </si>
  <si>
    <t>045686062119</t>
  </si>
  <si>
    <t>045686062126</t>
  </si>
  <si>
    <t>045686062157</t>
  </si>
  <si>
    <t>045686062188</t>
  </si>
  <si>
    <t>045686062218</t>
  </si>
  <si>
    <t>045686062249</t>
  </si>
  <si>
    <t>045686062270</t>
  </si>
  <si>
    <t>045686062300</t>
  </si>
  <si>
    <t>045686062317</t>
  </si>
  <si>
    <t>045686062324</t>
  </si>
  <si>
    <t>045686062331</t>
  </si>
  <si>
    <t>045686062348</t>
  </si>
  <si>
    <t>045686062355</t>
  </si>
  <si>
    <t>045686062386</t>
  </si>
  <si>
    <t>045686062416</t>
  </si>
  <si>
    <t>045686062447</t>
  </si>
  <si>
    <t>045686062478</t>
  </si>
  <si>
    <t>045686062508</t>
  </si>
  <si>
    <t>045686062539</t>
  </si>
  <si>
    <t>045686062546</t>
  </si>
  <si>
    <t>045686062560</t>
  </si>
  <si>
    <t>045686062577</t>
  </si>
  <si>
    <t>045686062584</t>
  </si>
  <si>
    <t>045686062591</t>
  </si>
  <si>
    <t>045686062621</t>
  </si>
  <si>
    <t>045686062652</t>
  </si>
  <si>
    <t>045686062683</t>
  </si>
  <si>
    <t>045686062713</t>
  </si>
  <si>
    <t>AMPS-0-0602300-1</t>
  </si>
  <si>
    <t>579054-000</t>
  </si>
  <si>
    <t>AMPS-0-0602300-2</t>
  </si>
  <si>
    <t>609172-000</t>
  </si>
  <si>
    <t>AMPS-0-0602300-3</t>
  </si>
  <si>
    <t>356292-000</t>
  </si>
  <si>
    <t>AMPS-0-0602300-4</t>
  </si>
  <si>
    <t>206814-000</t>
  </si>
  <si>
    <t>AMPS-0-0602300-5</t>
  </si>
  <si>
    <t>276018-000</t>
  </si>
  <si>
    <t>AMPS-0-0602300-6</t>
  </si>
  <si>
    <t>570204-000</t>
  </si>
  <si>
    <t>AMPS-0-0602300-7</t>
  </si>
  <si>
    <t>610492-000</t>
  </si>
  <si>
    <t>AMPS-0-0602300-8</t>
  </si>
  <si>
    <t>220958-000</t>
  </si>
  <si>
    <t>AMPS-0-0602300-9</t>
  </si>
  <si>
    <t>438920-000</t>
  </si>
  <si>
    <t>AMPS-0-0602380-0</t>
  </si>
  <si>
    <t>990100-000</t>
  </si>
  <si>
    <t>AMPS-0-0602380-1</t>
  </si>
  <si>
    <t>438852-000</t>
  </si>
  <si>
    <t>AMPS-0-0602380-2</t>
  </si>
  <si>
    <t>047776-000</t>
  </si>
  <si>
    <t>AMPS-0-0602380-3</t>
  </si>
  <si>
    <t>369142-000</t>
  </si>
  <si>
    <t>AMPS-0-0602380-4</t>
  </si>
  <si>
    <t>086552-000</t>
  </si>
  <si>
    <t>921440-000</t>
  </si>
  <si>
    <t>AMPS-0-0083364-1</t>
  </si>
  <si>
    <t>913966-000</t>
  </si>
  <si>
    <t>AMPS-0-0083396-1</t>
  </si>
  <si>
    <t>D47513-000</t>
  </si>
  <si>
    <t>AMPS-0-0083423-1</t>
  </si>
  <si>
    <t>083242-000</t>
  </si>
  <si>
    <t>045686003433</t>
  </si>
  <si>
    <t>016593-000</t>
  </si>
  <si>
    <t>SHRINKMARK-18-2-9-2.5K</t>
  </si>
  <si>
    <t>045686032471</t>
  </si>
  <si>
    <t>ED2670-000</t>
  </si>
  <si>
    <t>ED2672-000</t>
  </si>
  <si>
    <t>EB8262-000</t>
  </si>
  <si>
    <t>ELB-35-600P500</t>
  </si>
  <si>
    <t>ED2693-000</t>
  </si>
  <si>
    <t>ELB-35-600P-A2</t>
  </si>
  <si>
    <t>ED2671-000</t>
  </si>
  <si>
    <t>ED2673-000</t>
  </si>
  <si>
    <t>E38457-000</t>
  </si>
  <si>
    <t>CPGI-CRSM-CT-34/10-150</t>
  </si>
  <si>
    <t>045686000579</t>
  </si>
  <si>
    <t>CL5802-000</t>
  </si>
  <si>
    <t>CPGI-1217204-1</t>
  </si>
  <si>
    <t>045686004034</t>
  </si>
  <si>
    <t>045686004058</t>
  </si>
  <si>
    <t>045686004195</t>
  </si>
  <si>
    <t>045686004355</t>
  </si>
  <si>
    <t>045686004539</t>
  </si>
  <si>
    <t>045686004560</t>
  </si>
  <si>
    <t>045686004614</t>
  </si>
  <si>
    <t>045686004706</t>
  </si>
  <si>
    <t>045686004713</t>
  </si>
  <si>
    <t>045686005000</t>
  </si>
  <si>
    <t>045686005024</t>
  </si>
  <si>
    <t>045686005048</t>
  </si>
  <si>
    <t>045686005390</t>
  </si>
  <si>
    <t>045686005789</t>
  </si>
  <si>
    <t>045686005864</t>
  </si>
  <si>
    <t>AMPS-0-0083631-6</t>
  </si>
  <si>
    <t>473258-000</t>
  </si>
  <si>
    <t>AMPS-0-0083631-7</t>
  </si>
  <si>
    <t>534292-000</t>
  </si>
  <si>
    <t>AMPS-0-0083631-8</t>
  </si>
  <si>
    <t>820398-000</t>
  </si>
  <si>
    <t>AMPS-0-0083631-9</t>
  </si>
  <si>
    <t>F17017-000</t>
  </si>
  <si>
    <t>SHRINKMARK-12-2-S3-9-2.5</t>
  </si>
  <si>
    <t>045686032389</t>
  </si>
  <si>
    <t>871593-000</t>
  </si>
  <si>
    <t>SHRINKMARK-18-2-4</t>
  </si>
  <si>
    <t>045686032457</t>
  </si>
  <si>
    <t>045686041862</t>
  </si>
  <si>
    <t>045686041879</t>
  </si>
  <si>
    <t>045686041886</t>
  </si>
  <si>
    <t>045686041893</t>
  </si>
  <si>
    <t>045686041916</t>
  </si>
  <si>
    <t>045686047109</t>
  </si>
  <si>
    <t>ED2735-000</t>
  </si>
  <si>
    <t>ELB-35-610N-A2</t>
  </si>
  <si>
    <t>ED2713-000</t>
  </si>
  <si>
    <t>ED2715-000</t>
  </si>
  <si>
    <t>EB8265-000</t>
  </si>
  <si>
    <t>ELB-35-610P500</t>
  </si>
  <si>
    <t>ED2736-000</t>
  </si>
  <si>
    <t>ELB-35-610P-A2</t>
  </si>
  <si>
    <t>ED2714-000</t>
  </si>
  <si>
    <t>ED2716-000</t>
  </si>
  <si>
    <t>EB8271-000</t>
  </si>
  <si>
    <t>ELB-35-610Q600</t>
  </si>
  <si>
    <t>ED2737-000</t>
  </si>
  <si>
    <t>ELB-35-610Q-A2</t>
  </si>
  <si>
    <t>ED2717-000</t>
  </si>
  <si>
    <t>EB8277-000</t>
  </si>
  <si>
    <t>ELB-35-610R600</t>
  </si>
  <si>
    <t>EB8283-000</t>
  </si>
  <si>
    <t>ELB-35-610R650</t>
  </si>
  <si>
    <t>EB8289-000</t>
  </si>
  <si>
    <t>ELB-35-610R750</t>
  </si>
  <si>
    <t>ED2738-000</t>
  </si>
  <si>
    <t>ELB-35-610R-A2</t>
  </si>
  <si>
    <t>ED2740-000</t>
  </si>
  <si>
    <t>394200-000</t>
  </si>
  <si>
    <t>E85144-000</t>
  </si>
  <si>
    <t>ALR-6090-VPS</t>
  </si>
  <si>
    <t>045686049837</t>
  </si>
  <si>
    <t>KY712J-000</t>
  </si>
  <si>
    <t>ALR-7060-VFS</t>
  </si>
  <si>
    <t>HK379T-000</t>
  </si>
  <si>
    <t>ALR-7060-VPS</t>
  </si>
  <si>
    <t>4Z9454-000</t>
  </si>
  <si>
    <t>ALR-7090-VFS</t>
  </si>
  <si>
    <t>L2134Z-000</t>
  </si>
  <si>
    <t>ALR-7090-VPS</t>
  </si>
  <si>
    <t>499268-000</t>
  </si>
  <si>
    <t>551817-000</t>
  </si>
  <si>
    <t>HVS-LR-200/50-1200</t>
  </si>
  <si>
    <t>827673-000</t>
  </si>
  <si>
    <t>HVS-LR-200/50-600</t>
  </si>
  <si>
    <t>254625-000</t>
  </si>
  <si>
    <t>HVS-LR-75/15-1200</t>
  </si>
  <si>
    <t>972937-000</t>
  </si>
  <si>
    <t>HVS-LR-75/15-600</t>
  </si>
  <si>
    <t>477807-000</t>
  </si>
  <si>
    <t>HVS-MESH-2-5000</t>
  </si>
  <si>
    <t>157071-000</t>
  </si>
  <si>
    <t>HVSR-1582</t>
  </si>
  <si>
    <t>198817-000</t>
  </si>
  <si>
    <t>HVSR-1583</t>
  </si>
  <si>
    <t>839283-000</t>
  </si>
  <si>
    <t>HVSR-1584</t>
  </si>
  <si>
    <t>121159-000</t>
  </si>
  <si>
    <t>HVSR-2583E</t>
  </si>
  <si>
    <t>086293-000</t>
  </si>
  <si>
    <t>HVSR-T-1582</t>
  </si>
  <si>
    <t>571969-000</t>
  </si>
  <si>
    <t>HVSR-T-1583</t>
  </si>
  <si>
    <t>021369-000</t>
  </si>
  <si>
    <t>HVSR-T-1584</t>
  </si>
  <si>
    <t>587213-000</t>
  </si>
  <si>
    <t>HVSR-T-2582E</t>
  </si>
  <si>
    <t>087745-000</t>
  </si>
  <si>
    <t>HVSR-T-2583E</t>
  </si>
  <si>
    <t>AMPS-0-0083447-7</t>
  </si>
  <si>
    <t>627790-000</t>
  </si>
  <si>
    <t>AMPS-0-0083447-9</t>
  </si>
  <si>
    <t>800496-000</t>
  </si>
  <si>
    <t>AMPS-0-0083470-1</t>
  </si>
  <si>
    <t>701902-000</t>
  </si>
  <si>
    <t>AMPS-0-0083470-2</t>
  </si>
  <si>
    <t>823864-000</t>
  </si>
  <si>
    <t>AMPS-0-0083470-3</t>
  </si>
  <si>
    <t>120374-000</t>
  </si>
  <si>
    <t>AMPS-0-0083470-4</t>
  </si>
  <si>
    <t>056750-000</t>
  </si>
  <si>
    <t>AMPS-0-0083471-1</t>
  </si>
  <si>
    <t>045686039807</t>
  </si>
  <si>
    <t>045686039814</t>
  </si>
  <si>
    <t>045686039821</t>
  </si>
  <si>
    <t>329444-000</t>
  </si>
  <si>
    <t>AMPS-0-0602143-0</t>
  </si>
  <si>
    <t>652280-000</t>
  </si>
  <si>
    <t>AMPS-0-0602162-0</t>
  </si>
  <si>
    <t>153998-000</t>
  </si>
  <si>
    <t>AMPS-0-0602163-0</t>
  </si>
  <si>
    <t>501780-000</t>
  </si>
  <si>
    <t>AMPS-0-0602173-0</t>
  </si>
  <si>
    <t>406344-000</t>
  </si>
  <si>
    <t>AMPS-0-0602174-0</t>
  </si>
  <si>
    <t>504498-000</t>
  </si>
  <si>
    <t>AMPS-0-0602178-0</t>
  </si>
  <si>
    <t>900540-000</t>
  </si>
  <si>
    <t>AMPS-0-0602180-0</t>
  </si>
  <si>
    <t>633888-000</t>
  </si>
  <si>
    <t>AMPS-0-0602180-1</t>
  </si>
  <si>
    <t>111584-000</t>
  </si>
  <si>
    <t>AMPS-0-0602180-2</t>
  </si>
  <si>
    <t>264112-000</t>
  </si>
  <si>
    <t>AMPS-0-0602180-3</t>
  </si>
  <si>
    <t>502588-000</t>
  </si>
  <si>
    <t>AMPS-0-0602180-4</t>
  </si>
  <si>
    <t>802234-000</t>
  </si>
  <si>
    <t>958933-000</t>
  </si>
  <si>
    <t>BISG-60/115-02(S10)</t>
  </si>
  <si>
    <t>D35653-000</t>
  </si>
  <si>
    <t>BISG-60/115-03-HOT(B10)</t>
  </si>
  <si>
    <t>C70612-000</t>
  </si>
  <si>
    <t>BISG-G-60/115-02(S10)</t>
  </si>
  <si>
    <t>C68970-000</t>
  </si>
  <si>
    <t>BISG-G-60/115-03-HOT-B10</t>
  </si>
  <si>
    <t>895543-000</t>
  </si>
  <si>
    <t>RVS-14(B5)</t>
  </si>
  <si>
    <t>445859-000</t>
  </si>
  <si>
    <t>RVS-14-SK(B6)</t>
  </si>
  <si>
    <t>941623-000</t>
  </si>
  <si>
    <t>RVS-15-SK(B6)</t>
  </si>
  <si>
    <t>A15446-000</t>
  </si>
  <si>
    <t>S1052-3-3000-(B5)</t>
  </si>
  <si>
    <t>741240-000</t>
  </si>
  <si>
    <t>S1085-22-200(B60)</t>
  </si>
  <si>
    <t>253963-000</t>
  </si>
  <si>
    <t>S1085-3-380  (B15)</t>
  </si>
  <si>
    <t>358223-000</t>
  </si>
  <si>
    <t>S1171-4-300  (B100)</t>
  </si>
  <si>
    <t>563427-000</t>
  </si>
  <si>
    <t>F46697-000</t>
  </si>
  <si>
    <t>UTLX-0-1099939-4</t>
  </si>
  <si>
    <t>045686008186</t>
  </si>
  <si>
    <t>C33825-000</t>
  </si>
  <si>
    <t>CPGI-GELCAP-1</t>
  </si>
  <si>
    <t>045686000562</t>
  </si>
  <si>
    <t>HVT-84-G</t>
  </si>
  <si>
    <t>326591-000</t>
  </si>
  <si>
    <t>HVT-84-SG</t>
  </si>
  <si>
    <t>530957-000</t>
  </si>
  <si>
    <t>HVT-M-151</t>
  </si>
  <si>
    <t>709807-000</t>
  </si>
  <si>
    <t>HVT-M-151-S</t>
  </si>
  <si>
    <t>636039-000</t>
  </si>
  <si>
    <t>HVT-M-152</t>
  </si>
  <si>
    <t>397687-000</t>
  </si>
  <si>
    <t>HVT-M-152-S</t>
  </si>
  <si>
    <t>054847-000</t>
  </si>
  <si>
    <t>HVT-M-251</t>
  </si>
  <si>
    <t>344053-000</t>
  </si>
  <si>
    <t>HVT-M-251-S</t>
  </si>
  <si>
    <t>EB8873-000</t>
  </si>
  <si>
    <t>CPGI-SNL-1-18-10-CP-CL-2</t>
  </si>
  <si>
    <t>EB8875-000</t>
  </si>
  <si>
    <t>CPGI-SNL-1-18-12-Y-CL-2</t>
  </si>
  <si>
    <t>EB8877-000</t>
  </si>
  <si>
    <t>CPGI-SNL-1-20-16-B-CL-3</t>
  </si>
  <si>
    <t>EB0298-000</t>
  </si>
  <si>
    <t>SHRINKMARK-10-2-S3-9-1K</t>
  </si>
  <si>
    <t>045686003723</t>
  </si>
  <si>
    <t>513661-000</t>
  </si>
  <si>
    <t>SHRINKMARK-10-2-S3-9-2.5</t>
  </si>
  <si>
    <t>045686032365</t>
  </si>
  <si>
    <t>222657-000</t>
  </si>
  <si>
    <t>SHRINKMARK-12-2-4</t>
  </si>
  <si>
    <t>045686032396</t>
  </si>
  <si>
    <t>926035-000</t>
  </si>
  <si>
    <t>CS4644-000</t>
  </si>
  <si>
    <t>D29063-000</t>
  </si>
  <si>
    <t>BCIC-G-PIN-556-01(B6)</t>
  </si>
  <si>
    <t>A34170-000</t>
  </si>
  <si>
    <t>BCIC-G-PIN-556-01-24(B6)</t>
  </si>
  <si>
    <t>E42704-000</t>
  </si>
  <si>
    <t>BCIC-G-PIN-795-01(B6)</t>
  </si>
  <si>
    <t>C60779-000</t>
  </si>
  <si>
    <t>BCIC-G-PIN-795-01-24(B3)</t>
  </si>
  <si>
    <t>D51704-000</t>
  </si>
  <si>
    <t>BCIC-G-POR-228-795(B6)</t>
  </si>
  <si>
    <t>CF3998-000</t>
  </si>
  <si>
    <t>BCIC-G-RT-795-01(B6)</t>
  </si>
  <si>
    <t>HVS-C-1534S</t>
  </si>
  <si>
    <t>424417-001</t>
  </si>
  <si>
    <t>HVS-EG1</t>
  </si>
  <si>
    <t>973208-000</t>
  </si>
  <si>
    <t>AMPS-0-0081416-6</t>
  </si>
  <si>
    <t>045686046553</t>
  </si>
  <si>
    <t>045686046560</t>
  </si>
  <si>
    <t>045686046577</t>
  </si>
  <si>
    <t>045686046720</t>
  </si>
  <si>
    <t>045686047291</t>
  </si>
  <si>
    <t>120360-000</t>
  </si>
  <si>
    <t>AMPS-0-0083589-4</t>
  </si>
  <si>
    <t>993648-000</t>
  </si>
  <si>
    <t>AMPS-0-0083592-1</t>
  </si>
  <si>
    <t>224208-000</t>
  </si>
  <si>
    <t>AMPS-0-0083592-2</t>
  </si>
  <si>
    <t>961396-000</t>
  </si>
  <si>
    <t>AMPS-0-0083592-3</t>
  </si>
  <si>
    <t>709928-000</t>
  </si>
  <si>
    <t>AMPS-0-0083592-4</t>
  </si>
  <si>
    <t>462328-000</t>
  </si>
  <si>
    <t>AMPS-0-0083592-5</t>
  </si>
  <si>
    <t>412582-000</t>
  </si>
  <si>
    <t>AMPS-0-0083592-6</t>
  </si>
  <si>
    <t>942336-000</t>
  </si>
  <si>
    <t>AMPS-0-0083592-7</t>
  </si>
  <si>
    <t>346696-000</t>
  </si>
  <si>
    <t>AMPS-0-0083592-8</t>
  </si>
  <si>
    <t>184278-000</t>
  </si>
  <si>
    <t>AMPS-0-0083592-9</t>
  </si>
  <si>
    <t>419062-000</t>
  </si>
  <si>
    <t>AMPS-0-0083623-1</t>
  </si>
  <si>
    <t>108160-000</t>
  </si>
  <si>
    <t>AMPS-3-0275187-7</t>
  </si>
  <si>
    <t>CPGI-GELCAP-SL-2/0-3HOLE</t>
  </si>
  <si>
    <t>045686000531</t>
  </si>
  <si>
    <t>D65188-000</t>
  </si>
  <si>
    <t>CPGI-GELWRAP-18/4-200</t>
  </si>
  <si>
    <t>045686000487</t>
  </si>
  <si>
    <t>045686040582</t>
  </si>
  <si>
    <t>045686040599</t>
  </si>
  <si>
    <t>045686040605</t>
  </si>
  <si>
    <t>045686040612</t>
  </si>
  <si>
    <t>045686040629</t>
  </si>
  <si>
    <t>045686040636</t>
  </si>
  <si>
    <t>045686040643</t>
  </si>
  <si>
    <t>045686040650</t>
  </si>
  <si>
    <t>045686040667</t>
  </si>
  <si>
    <t>045686040674</t>
  </si>
  <si>
    <t>045686040681</t>
  </si>
  <si>
    <t>045686040698</t>
  </si>
  <si>
    <t>045686040704</t>
  </si>
  <si>
    <t>045686040711</t>
  </si>
  <si>
    <t>045686040728</t>
  </si>
  <si>
    <t>045686040735</t>
  </si>
  <si>
    <t>045686040742</t>
  </si>
  <si>
    <t>045686040759</t>
  </si>
  <si>
    <t>045686040766</t>
  </si>
  <si>
    <t>HVT-154-SG</t>
  </si>
  <si>
    <t>536437-000</t>
  </si>
  <si>
    <t>HVT-154-SJ</t>
  </si>
  <si>
    <t>E22930-000</t>
  </si>
  <si>
    <t>HVT-155-SG</t>
  </si>
  <si>
    <t>466319-000</t>
  </si>
  <si>
    <t>HVT-1591-G</t>
  </si>
  <si>
    <t>485553-000</t>
  </si>
  <si>
    <t>HVT-1591-SG</t>
  </si>
  <si>
    <t>741281-000</t>
  </si>
  <si>
    <t>HVT-1592-G</t>
  </si>
  <si>
    <t>791137-000</t>
  </si>
  <si>
    <t>HVT-1592-SG</t>
  </si>
  <si>
    <t>823722-000</t>
  </si>
  <si>
    <t>FCSM-177/63- 600-S  (B6)</t>
  </si>
  <si>
    <t>633746-000</t>
  </si>
  <si>
    <t>FCSM-177/63-1200-S(B5)</t>
  </si>
  <si>
    <t>900799-000</t>
  </si>
  <si>
    <t>FCSM-19/6-1200-S(B25)</t>
  </si>
  <si>
    <t>AMPS-0-0069612-0</t>
  </si>
  <si>
    <t>496438-000</t>
  </si>
  <si>
    <t>243509-000</t>
  </si>
  <si>
    <t>045686053797</t>
  </si>
  <si>
    <t>045686053803</t>
  </si>
  <si>
    <t>045686053810</t>
  </si>
  <si>
    <t>045686053827</t>
  </si>
  <si>
    <t>045686053834</t>
  </si>
  <si>
    <t>045686053841</t>
  </si>
  <si>
    <t>045686053858</t>
  </si>
  <si>
    <t>045686053865</t>
  </si>
  <si>
    <t>045686053872</t>
  </si>
  <si>
    <t>045686053889</t>
  </si>
  <si>
    <t>045686053896</t>
  </si>
  <si>
    <t>045686053902</t>
  </si>
  <si>
    <t>045686053919</t>
  </si>
  <si>
    <t>045686053926</t>
  </si>
  <si>
    <t>045686053933</t>
  </si>
  <si>
    <t>045686053940</t>
  </si>
  <si>
    <t>045686053957</t>
  </si>
  <si>
    <t>045686053964</t>
  </si>
  <si>
    <t>AMPS-0-1443412-1</t>
  </si>
  <si>
    <t>CA0826-000</t>
  </si>
  <si>
    <t>AMPS-0-1443413-1</t>
  </si>
  <si>
    <t>CA0827-000</t>
  </si>
  <si>
    <t>832122-000</t>
  </si>
  <si>
    <t>AMPS-3-0275187-6</t>
  </si>
  <si>
    <t>410632-000</t>
  </si>
  <si>
    <t>AMPS-0-0083647-1</t>
  </si>
  <si>
    <t>045686041268</t>
  </si>
  <si>
    <t>045686041275</t>
  </si>
  <si>
    <t>045686041282</t>
  </si>
  <si>
    <t>045686041299</t>
  </si>
  <si>
    <t>045686041312</t>
  </si>
  <si>
    <t>045686041329</t>
  </si>
  <si>
    <t>045686041336</t>
  </si>
  <si>
    <t>045686041343</t>
  </si>
  <si>
    <t>045686041350</t>
  </si>
  <si>
    <t>045686041367</t>
  </si>
  <si>
    <t>045686041374</t>
  </si>
  <si>
    <t>045686041381</t>
  </si>
  <si>
    <t>045686041404</t>
  </si>
  <si>
    <t>045686041480</t>
  </si>
  <si>
    <t>045686041497</t>
  </si>
  <si>
    <t>045686041503</t>
  </si>
  <si>
    <t>045686041510</t>
  </si>
  <si>
    <t>045686041527</t>
  </si>
  <si>
    <t>045686041541</t>
  </si>
  <si>
    <t>045686041558</t>
  </si>
  <si>
    <t>045686041565</t>
  </si>
  <si>
    <t>ELB-15/28-610G-A1</t>
  </si>
  <si>
    <t>ED2777-000</t>
  </si>
  <si>
    <t>ELB-15/28-610G-A2</t>
  </si>
  <si>
    <t>ED2780-000</t>
  </si>
  <si>
    <t>ELB-15/28-610G-A3</t>
  </si>
  <si>
    <t>ED2756-000</t>
  </si>
  <si>
    <t>566376-000</t>
  </si>
  <si>
    <t>GELCAP-1(B5)</t>
  </si>
  <si>
    <t>986734-000</t>
  </si>
  <si>
    <t>GELCAP-2(B5)</t>
  </si>
  <si>
    <t>632692-000</t>
  </si>
  <si>
    <t>GELCAP-3(B5)</t>
  </si>
  <si>
    <t>292284-000</t>
  </si>
  <si>
    <t>GELCAP-4(B5)</t>
  </si>
  <si>
    <t>F35550-000</t>
  </si>
  <si>
    <t>GELCAP-8-GRD-1</t>
  </si>
  <si>
    <t>AMPS-1-0602180-6</t>
  </si>
  <si>
    <t>617754-000</t>
  </si>
  <si>
    <t>344911-000</t>
  </si>
  <si>
    <t>MOD-3B-HVT</t>
  </si>
  <si>
    <t>044191-000</t>
  </si>
  <si>
    <t>MOD-3X-HVT</t>
  </si>
  <si>
    <t>973437-000</t>
  </si>
  <si>
    <t>MOD-3Y-HVT</t>
  </si>
  <si>
    <t>D10451-000</t>
  </si>
  <si>
    <t>MOD-3Z-TFT</t>
  </si>
  <si>
    <t>067612-000</t>
  </si>
  <si>
    <t>MOD-S1-314-SKIRTS</t>
  </si>
  <si>
    <t>046324-000</t>
  </si>
  <si>
    <t>MOD-S2-325-SKIRTS</t>
  </si>
  <si>
    <t>641241-000</t>
  </si>
  <si>
    <t>MOD-S3-336-SKIRTS</t>
  </si>
  <si>
    <t>291188-000</t>
  </si>
  <si>
    <t>MOD-S4-346-SKIRTS</t>
  </si>
  <si>
    <t>525222-000</t>
  </si>
  <si>
    <t>MOD-S5-357-SKIRTS</t>
  </si>
  <si>
    <t>HVS-3/C-1</t>
  </si>
  <si>
    <t>HVS-3-2521S</t>
  </si>
  <si>
    <t>EA4755-000</t>
  </si>
  <si>
    <t>CSJG-3513</t>
  </si>
  <si>
    <t>045686049615</t>
  </si>
  <si>
    <t>045686049844</t>
  </si>
  <si>
    <t>045686048106</t>
  </si>
  <si>
    <t>045686048113</t>
  </si>
  <si>
    <t>045686048120</t>
  </si>
  <si>
    <t>045686048137</t>
  </si>
  <si>
    <t>045686048144</t>
  </si>
  <si>
    <t>045686048151</t>
  </si>
  <si>
    <t>045686048168</t>
  </si>
  <si>
    <t>045686048175</t>
  </si>
  <si>
    <t>045686048182</t>
  </si>
  <si>
    <t>CB1982-000</t>
  </si>
  <si>
    <t>045686003204</t>
  </si>
  <si>
    <t>CB1978-000</t>
  </si>
  <si>
    <t>CPGI-GELWRAP-18/4-250UL</t>
  </si>
  <si>
    <t>045686005444</t>
  </si>
  <si>
    <t>045686003372</t>
  </si>
  <si>
    <t>045686004805</t>
  </si>
  <si>
    <t>045686005512</t>
  </si>
  <si>
    <t>045686005888</t>
  </si>
  <si>
    <t>045686003976</t>
  </si>
  <si>
    <t>CBR-3-4-A (B3)</t>
  </si>
  <si>
    <t>045686006199</t>
  </si>
  <si>
    <t>045686003563</t>
  </si>
  <si>
    <t>045686005895</t>
  </si>
  <si>
    <t>045686004744</t>
  </si>
  <si>
    <t>045686005437</t>
  </si>
  <si>
    <t>045686000302</t>
  </si>
  <si>
    <t>045686002337</t>
  </si>
  <si>
    <t>045686002344</t>
  </si>
  <si>
    <t>045686006496</t>
  </si>
  <si>
    <t>A22899-000</t>
  </si>
  <si>
    <t>CPGI-1116377-2</t>
  </si>
  <si>
    <t>045686001477</t>
  </si>
  <si>
    <t>CF4145-000</t>
  </si>
  <si>
    <t>CPGI-1116377-2-BULK</t>
  </si>
  <si>
    <t>045686033638</t>
  </si>
  <si>
    <t>045686034673</t>
  </si>
  <si>
    <t>CG6206-000</t>
  </si>
  <si>
    <t>570500-000</t>
  </si>
  <si>
    <t>MRS-12-10</t>
  </si>
  <si>
    <t>326257-000</t>
  </si>
  <si>
    <t>MRS-12-24</t>
  </si>
  <si>
    <t>167019-000</t>
  </si>
  <si>
    <t>MRS-34-24</t>
  </si>
  <si>
    <t>407236-000</t>
  </si>
  <si>
    <t>MRS-34-30</t>
  </si>
  <si>
    <t>347861-000</t>
  </si>
  <si>
    <t>MRS-56-30</t>
  </si>
  <si>
    <t>CP4753-000</t>
  </si>
  <si>
    <t>CN3822-000</t>
  </si>
  <si>
    <t>CM2535-000</t>
  </si>
  <si>
    <t>JGK-MS-2 (B3)</t>
  </si>
  <si>
    <t>213759-000</t>
  </si>
  <si>
    <t>JGK-MS-3 (B3)</t>
  </si>
  <si>
    <t>279899-000</t>
  </si>
  <si>
    <t>LVIT-150/50-A/U-UL(B100)</t>
  </si>
  <si>
    <t>380945-000</t>
  </si>
  <si>
    <t>LVIT-30/10-A/U-UL (B200)</t>
  </si>
  <si>
    <t>224817-000</t>
  </si>
  <si>
    <t>LVIT-75/25-A/U-UL (B100)</t>
  </si>
  <si>
    <t>782647-000</t>
  </si>
  <si>
    <t>LV-MSK-045(B20)</t>
  </si>
  <si>
    <t>609269-000</t>
  </si>
  <si>
    <t>LV-MSK-046(B15)</t>
  </si>
  <si>
    <t>622577-000</t>
  </si>
  <si>
    <t>LV-MSK-047</t>
  </si>
  <si>
    <t>422997-000</t>
  </si>
  <si>
    <t>571963-000</t>
  </si>
  <si>
    <t>TFT-153R-G</t>
  </si>
  <si>
    <t>445891-000</t>
  </si>
  <si>
    <t>TFT-153R-SG</t>
  </si>
  <si>
    <t>499307-000</t>
  </si>
  <si>
    <t>TFT-154E</t>
  </si>
  <si>
    <t>830433-000</t>
  </si>
  <si>
    <t>TFT-154E-SG</t>
  </si>
  <si>
    <t>570947-000</t>
  </si>
  <si>
    <t>TFT-154R-SG</t>
  </si>
  <si>
    <t>047709-000</t>
  </si>
  <si>
    <t>TFT-251E</t>
  </si>
  <si>
    <t>366560-000</t>
  </si>
  <si>
    <t>E06317-000</t>
  </si>
  <si>
    <t>HVT-Z-253/353-SG</t>
  </si>
  <si>
    <t>CG8936-000</t>
  </si>
  <si>
    <t>HVT-Z-253/353-SG-4/0C</t>
  </si>
  <si>
    <t>CG8930-000</t>
  </si>
  <si>
    <t>HVT-Z-253/353-SG-500C</t>
  </si>
  <si>
    <t>CB1372-000</t>
  </si>
  <si>
    <t>045686043910</t>
  </si>
  <si>
    <t>045686043927</t>
  </si>
  <si>
    <t>045686043934</t>
  </si>
  <si>
    <t>045686043958</t>
  </si>
  <si>
    <t>045686043965</t>
  </si>
  <si>
    <t>045686043972</t>
  </si>
  <si>
    <t>045686043989</t>
  </si>
  <si>
    <t>045686043996</t>
  </si>
  <si>
    <t>045686044016</t>
  </si>
  <si>
    <t>045686044023</t>
  </si>
  <si>
    <t>045686044030</t>
  </si>
  <si>
    <t>045686044047</t>
  </si>
  <si>
    <t>045686044054</t>
  </si>
  <si>
    <t>045686044061</t>
  </si>
  <si>
    <t>045686044085</t>
  </si>
  <si>
    <t>045686044092</t>
  </si>
  <si>
    <t>045686044108</t>
  </si>
  <si>
    <t>045686044115</t>
  </si>
  <si>
    <t>045686044122</t>
  </si>
  <si>
    <t>045686044153</t>
  </si>
  <si>
    <t>045686044160</t>
  </si>
  <si>
    <t>045686044177</t>
  </si>
  <si>
    <t>045686044481</t>
  </si>
  <si>
    <t>045686045570</t>
  </si>
  <si>
    <t>045686045624</t>
  </si>
  <si>
    <t>045686045648</t>
  </si>
  <si>
    <t>045686045655</t>
  </si>
  <si>
    <t>045686045662</t>
  </si>
  <si>
    <t>045686046027</t>
  </si>
  <si>
    <t>045686046034</t>
  </si>
  <si>
    <t>045686046072</t>
  </si>
  <si>
    <t>045686046096</t>
  </si>
  <si>
    <t>045686046102</t>
  </si>
  <si>
    <t>045686046133</t>
  </si>
  <si>
    <t>045686046140</t>
  </si>
  <si>
    <t>045686046157</t>
  </si>
  <si>
    <t>045686046171</t>
  </si>
  <si>
    <t>045686046188</t>
  </si>
  <si>
    <t>045686046195</t>
  </si>
  <si>
    <t>045686046201</t>
  </si>
  <si>
    <t>045686046218</t>
  </si>
  <si>
    <t>045686046225</t>
  </si>
  <si>
    <t>045686046232</t>
  </si>
  <si>
    <t>045686046249</t>
  </si>
  <si>
    <t>045686046256</t>
  </si>
  <si>
    <t>045686046324</t>
  </si>
  <si>
    <t>045686046331</t>
  </si>
  <si>
    <t>045686046386</t>
  </si>
  <si>
    <t>045686046393</t>
  </si>
  <si>
    <t>045686046409</t>
  </si>
  <si>
    <t>IDP-SB200225WE2.5</t>
  </si>
  <si>
    <t>045686030934</t>
  </si>
  <si>
    <t>E14607-000</t>
  </si>
  <si>
    <t>IDP-SB200375WE1-T200</t>
  </si>
  <si>
    <t>045686030941</t>
  </si>
  <si>
    <t>A87886-000</t>
  </si>
  <si>
    <t>IDP-SB200375WE2.5</t>
  </si>
  <si>
    <t>045686030958</t>
  </si>
  <si>
    <t>E67233-000</t>
  </si>
  <si>
    <t>IDP-SB200743WE1</t>
  </si>
  <si>
    <t>045686030972</t>
  </si>
  <si>
    <t>028145-000</t>
  </si>
  <si>
    <t>CBR-2-2-A (B3)</t>
  </si>
  <si>
    <t>476449-000</t>
  </si>
  <si>
    <t>CBR-2-3-A (B3)</t>
  </si>
  <si>
    <t>045686046317</t>
  </si>
  <si>
    <t>045686046058</t>
  </si>
  <si>
    <t>045686046300</t>
  </si>
  <si>
    <t>045686046294</t>
  </si>
  <si>
    <t>045686046287</t>
  </si>
  <si>
    <t>045686046263</t>
  </si>
  <si>
    <t>045686060245</t>
  </si>
  <si>
    <t>045686046591</t>
  </si>
  <si>
    <t>045686046164</t>
  </si>
  <si>
    <t>036925-000</t>
  </si>
  <si>
    <t>HVT-M-582</t>
  </si>
  <si>
    <t>546439-000</t>
  </si>
  <si>
    <t>HVT-M-582-S</t>
  </si>
  <si>
    <t>528453-000</t>
  </si>
  <si>
    <t>HVT-M-583</t>
  </si>
  <si>
    <t>801947-000</t>
  </si>
  <si>
    <t>HVT-M-583-S</t>
  </si>
  <si>
    <t>C92986-000</t>
  </si>
  <si>
    <t>HVT-Z-151-G</t>
  </si>
  <si>
    <t>CL2258-000</t>
  </si>
  <si>
    <t>045686038817</t>
  </si>
  <si>
    <t>045686038824</t>
  </si>
  <si>
    <t>D22233-000</t>
  </si>
  <si>
    <t>AMPS-0-0083005-1</t>
  </si>
  <si>
    <t>AMPS-0-1710523-1</t>
  </si>
  <si>
    <t>045686005956</t>
  </si>
  <si>
    <t>045686004867</t>
  </si>
  <si>
    <t>045686003365</t>
  </si>
  <si>
    <t>045686003631</t>
  </si>
  <si>
    <t>045686003617</t>
  </si>
  <si>
    <t>045686004263</t>
  </si>
  <si>
    <t>045686006441</t>
  </si>
  <si>
    <t>045686006502</t>
  </si>
  <si>
    <t>045686061976</t>
  </si>
  <si>
    <t>045686062003</t>
  </si>
  <si>
    <t>045686062034</t>
  </si>
  <si>
    <t>045686062065</t>
  </si>
  <si>
    <t>045686044856</t>
  </si>
  <si>
    <t>045686044863</t>
  </si>
  <si>
    <t>045686045549</t>
  </si>
  <si>
    <t>045686045556</t>
  </si>
  <si>
    <t>045686045563</t>
  </si>
  <si>
    <t>EB0305-000</t>
  </si>
  <si>
    <t>CPGI-735411-4</t>
  </si>
  <si>
    <t>EB8244-000</t>
  </si>
  <si>
    <t>ELB-35-600M350</t>
  </si>
  <si>
    <t>ED2690-000</t>
  </si>
  <si>
    <t>ELB-35-600M-A1</t>
  </si>
  <si>
    <t>ED2691-000</t>
  </si>
  <si>
    <t>ELB-35-600M-A2</t>
  </si>
  <si>
    <t>ED2669-000</t>
  </si>
  <si>
    <t>EB8250-000</t>
  </si>
  <si>
    <t>ELB-35-600N450</t>
  </si>
  <si>
    <t>EB8256-000</t>
  </si>
  <si>
    <t>ELB-35-600N500</t>
  </si>
  <si>
    <t>ED2692-000</t>
  </si>
  <si>
    <t>ELB-35-600N-A2</t>
  </si>
  <si>
    <t>045686006045</t>
  </si>
  <si>
    <t>045686006144</t>
  </si>
  <si>
    <t>CL6659-000</t>
  </si>
  <si>
    <t>BCAC-G-CUTOUT-200(B3)</t>
  </si>
  <si>
    <t>045686000326</t>
  </si>
  <si>
    <t>045686041787</t>
  </si>
  <si>
    <t>045686041794</t>
  </si>
  <si>
    <t>045686041800</t>
  </si>
  <si>
    <t>045686041817</t>
  </si>
  <si>
    <t>045686041824</t>
  </si>
  <si>
    <t>045686041848</t>
  </si>
  <si>
    <t>045686041855</t>
  </si>
  <si>
    <t>AMPS-602248</t>
  </si>
  <si>
    <t>904624-000</t>
  </si>
  <si>
    <t>AMPS-6-0276337-0</t>
  </si>
  <si>
    <t>809828-000</t>
  </si>
  <si>
    <t>AMPS-6-0276337-2</t>
  </si>
  <si>
    <t>045686048199</t>
  </si>
  <si>
    <t>045686048205</t>
  </si>
  <si>
    <t>045686048212</t>
  </si>
  <si>
    <t>045686048229</t>
  </si>
  <si>
    <t>045686048236</t>
  </si>
  <si>
    <t>045686049424</t>
  </si>
  <si>
    <t>045686044627</t>
  </si>
  <si>
    <t>045686048335</t>
  </si>
  <si>
    <t>431513-000</t>
  </si>
  <si>
    <t>HVS-3512S-J</t>
  </si>
  <si>
    <t>721379-000</t>
  </si>
  <si>
    <t>HVS-3513S-J</t>
  </si>
  <si>
    <t>754259-000</t>
  </si>
  <si>
    <t>HVS-3521S</t>
  </si>
  <si>
    <t>146905-000</t>
  </si>
  <si>
    <t>HVS-3522S</t>
  </si>
  <si>
    <t>390319-000</t>
  </si>
  <si>
    <t>HVS-3523S</t>
  </si>
  <si>
    <t>CJ1004-000</t>
  </si>
  <si>
    <t>HVS-3524S</t>
  </si>
  <si>
    <t>907763-000</t>
  </si>
  <si>
    <t>HVS-3531-LC</t>
  </si>
  <si>
    <t>529459-000</t>
  </si>
  <si>
    <t>HVS-3533-LC</t>
  </si>
  <si>
    <t>539105-000</t>
  </si>
  <si>
    <t>HVS-3582D</t>
  </si>
  <si>
    <t>135999-000</t>
  </si>
  <si>
    <t>HVS-3583D</t>
  </si>
  <si>
    <t>001995-000</t>
  </si>
  <si>
    <t>HVS-3584D</t>
  </si>
  <si>
    <t>015475-000</t>
  </si>
  <si>
    <t>HVS-3-821S</t>
  </si>
  <si>
    <t>324033-000</t>
  </si>
  <si>
    <t>HVS-3-822S</t>
  </si>
  <si>
    <t>103245-000</t>
  </si>
  <si>
    <t>HVS-3-823S</t>
  </si>
  <si>
    <t>556299-000</t>
  </si>
  <si>
    <t>HVS-3-824S</t>
  </si>
  <si>
    <t>543730-000</t>
  </si>
  <si>
    <t>AMPS-0-0083750-1</t>
  </si>
  <si>
    <t>668188-000</t>
  </si>
  <si>
    <t>LM-1/2-VINYL-YW</t>
  </si>
  <si>
    <t>045686005536</t>
  </si>
  <si>
    <t>206868-000</t>
  </si>
  <si>
    <t>LM-1/4-TUBE-WE</t>
  </si>
  <si>
    <t>045686003907</t>
  </si>
  <si>
    <t>257802-000</t>
  </si>
  <si>
    <t>LM-1/8-TUBE-WE</t>
  </si>
  <si>
    <t>045686004072</t>
  </si>
  <si>
    <t>A93970-000</t>
  </si>
  <si>
    <t>UTLX-0-1099939-6</t>
  </si>
  <si>
    <t>CL9239-000</t>
  </si>
  <si>
    <t>CSJ-EG-2</t>
  </si>
  <si>
    <t>CL9240-000</t>
  </si>
  <si>
    <t>CSJ-EG-3</t>
  </si>
  <si>
    <t>985444-000</t>
  </si>
  <si>
    <t>E7512-0160</t>
  </si>
  <si>
    <t>349430-000</t>
  </si>
  <si>
    <t>E7512-0220</t>
  </si>
  <si>
    <t>045686048458</t>
  </si>
  <si>
    <t>045686048472</t>
  </si>
  <si>
    <t>045686048618</t>
  </si>
  <si>
    <t>045686049431</t>
  </si>
  <si>
    <t>045686049448</t>
  </si>
  <si>
    <t>045686049455</t>
  </si>
  <si>
    <t>045686049462</t>
  </si>
  <si>
    <t>045686049585</t>
  </si>
  <si>
    <t>TCPN</t>
  </si>
  <si>
    <t>CM2536-000</t>
  </si>
  <si>
    <t>AMPS-0-0069610-2</t>
  </si>
  <si>
    <t>F88204-000</t>
  </si>
  <si>
    <t>AMPS-0-1443448-1</t>
  </si>
  <si>
    <t>1974178-1</t>
  </si>
  <si>
    <t>ASBS 2-3/0-S</t>
  </si>
  <si>
    <t>ED6436-000</t>
  </si>
  <si>
    <t>BCAC-G-AR-4D-2(B24)</t>
  </si>
  <si>
    <t>878742-000</t>
  </si>
  <si>
    <t>BCAC-G-CUTOUT-100-P2-B12</t>
  </si>
  <si>
    <t>R35123-000</t>
  </si>
  <si>
    <t>BCIC-7/12/7-1(B3)</t>
  </si>
  <si>
    <t>CU6002-000</t>
  </si>
  <si>
    <t>BCIC-G-PIN/CT-795-01(B6)</t>
  </si>
  <si>
    <t>T87977-000</t>
  </si>
  <si>
    <t>CBR-2-1-A-(B280)</t>
  </si>
  <si>
    <t>T65456-000</t>
  </si>
  <si>
    <t>CBR-2-2-A-(B160)</t>
  </si>
  <si>
    <t>R20465-000</t>
  </si>
  <si>
    <t>CBR-2-3-A-(B40)</t>
  </si>
  <si>
    <t>R46454-000</t>
  </si>
  <si>
    <t>CBR-3-1-A-(B100)</t>
  </si>
  <si>
    <t>733330-000</t>
  </si>
  <si>
    <t>CBR-3-2-A-(B100)</t>
  </si>
  <si>
    <t>B45489-000</t>
  </si>
  <si>
    <t>CBR-3-3-A-(B50)</t>
  </si>
  <si>
    <t>798797-000</t>
  </si>
  <si>
    <t>CBR-3-4-A-(B15)</t>
  </si>
  <si>
    <t>T24456-000</t>
  </si>
  <si>
    <t>CBR-4-1-A-(B120)</t>
  </si>
  <si>
    <t>G35140-000</t>
  </si>
  <si>
    <t>CBR-4-2-A-(B65)</t>
  </si>
  <si>
    <t>G63145-000</t>
  </si>
  <si>
    <t>CBR-4-3-A-(B40)</t>
  </si>
  <si>
    <t>874989-000</t>
  </si>
  <si>
    <t>CBR-4-4-A-(B15)</t>
  </si>
  <si>
    <t>F45664-000</t>
  </si>
  <si>
    <t>CBR-6-1-A-(B30)</t>
  </si>
  <si>
    <t>HT6214-000</t>
  </si>
  <si>
    <t>CBR-6-2-A-(B15)</t>
  </si>
  <si>
    <t>CN9153-000</t>
  </si>
  <si>
    <t>CFTS-1-(B20)</t>
  </si>
  <si>
    <t>CZ3716-000</t>
  </si>
  <si>
    <t>CFTS-1-(B250)</t>
  </si>
  <si>
    <t>CN9154-000</t>
  </si>
  <si>
    <t>CFTS-2-(B20)</t>
  </si>
  <si>
    <t>CZ3357-000</t>
  </si>
  <si>
    <t>CFTS-2-(B250)</t>
  </si>
  <si>
    <t>CN9155-000</t>
  </si>
  <si>
    <t>CFTS-3-(B10)</t>
  </si>
  <si>
    <t>CZ9654-000</t>
  </si>
  <si>
    <t>CFTS-3-(B100)</t>
  </si>
  <si>
    <t>CN9156-000</t>
  </si>
  <si>
    <t>CFTS-4-(B10)</t>
  </si>
  <si>
    <t>CZ0029-000</t>
  </si>
  <si>
    <t>CFTS-4-(B50)</t>
  </si>
  <si>
    <t>CN9157-000</t>
  </si>
  <si>
    <t>CFTS-5-(B10)</t>
  </si>
  <si>
    <t>CZ0055-000</t>
  </si>
  <si>
    <t>CFTS-5-(B16)</t>
  </si>
  <si>
    <t>EE5639-000</t>
  </si>
  <si>
    <t>ELB-15/28-200-ETP15</t>
  </si>
  <si>
    <t>EE5640-000</t>
  </si>
  <si>
    <t>ELB-15/28-200-ETP25</t>
  </si>
  <si>
    <t>EE5636-000</t>
  </si>
  <si>
    <t>EE5637-000</t>
  </si>
  <si>
    <t>ELB-15/28-200-LRTP25</t>
  </si>
  <si>
    <t>EE5631-000</t>
  </si>
  <si>
    <t>EE5633-000</t>
  </si>
  <si>
    <t>ELB-15-200-IC</t>
  </si>
  <si>
    <t>FG1611-000</t>
  </si>
  <si>
    <t>ELB-15-210A-BODY</t>
  </si>
  <si>
    <t>EE5624-000</t>
  </si>
  <si>
    <t>ELB-15-210B10</t>
  </si>
  <si>
    <t>FG1283-000</t>
  </si>
  <si>
    <t>ELB-15-210B10-ES</t>
  </si>
  <si>
    <t>EE5623-000</t>
  </si>
  <si>
    <t>ELB-15-210B2</t>
  </si>
  <si>
    <t>EE5625-000</t>
  </si>
  <si>
    <t>ELB-15-210B20</t>
  </si>
  <si>
    <t>FG1282-000</t>
  </si>
  <si>
    <t>ELB-15-210B20-ES</t>
  </si>
  <si>
    <t>FG1284-000</t>
  </si>
  <si>
    <t>ELB-15-210B2-ES</t>
  </si>
  <si>
    <t>FG1612-000</t>
  </si>
  <si>
    <t>ELB-15-210B-BODY</t>
  </si>
  <si>
    <t>FG1617-000</t>
  </si>
  <si>
    <t>ELB-15-210B-BODY-ES</t>
  </si>
  <si>
    <t>EE5626-000</t>
  </si>
  <si>
    <t>ELB-15-210C20</t>
  </si>
  <si>
    <t>FG1281-000</t>
  </si>
  <si>
    <t>ELB-15-210C20-ES</t>
  </si>
  <si>
    <t>EE5627-000</t>
  </si>
  <si>
    <t>ELB-15-210C40</t>
  </si>
  <si>
    <t>FG1280-000</t>
  </si>
  <si>
    <t>ELB-15-210C40-ES</t>
  </si>
  <si>
    <t>FG1613-000</t>
  </si>
  <si>
    <t>ELB-15-210C-BODY</t>
  </si>
  <si>
    <t>FG1618-000</t>
  </si>
  <si>
    <t>ELB-15-210C-BODY-ES</t>
  </si>
  <si>
    <t>FG1614-000</t>
  </si>
  <si>
    <t>ELB-15-210D-BODY</t>
  </si>
  <si>
    <t>FG1627-000</t>
  </si>
  <si>
    <t>ELB-15-210-PROBE</t>
  </si>
  <si>
    <t>EE5632-000</t>
  </si>
  <si>
    <t>ELB-25-200-BI</t>
  </si>
  <si>
    <t>EE5643-000</t>
  </si>
  <si>
    <t>ELB-25-200-GRD</t>
  </si>
  <si>
    <t>EE5634-000</t>
  </si>
  <si>
    <t>ELB-25-200-IC</t>
  </si>
  <si>
    <t>EE5628-000</t>
  </si>
  <si>
    <t>ELB-25-210B10</t>
  </si>
  <si>
    <t>FG1457-000</t>
  </si>
  <si>
    <t>ELB-25-210B10-ES</t>
  </si>
  <si>
    <t>FG1621-000</t>
  </si>
  <si>
    <t>ELB-25-210B-BODY</t>
  </si>
  <si>
    <t>FG1631-000</t>
  </si>
  <si>
    <t>ELB-25-210B-BODY-ES</t>
  </si>
  <si>
    <t>EE5629-000</t>
  </si>
  <si>
    <t>ELB-25-210C20</t>
  </si>
  <si>
    <t>FG1454-000</t>
  </si>
  <si>
    <t>ELB-25-210C20-ES</t>
  </si>
  <si>
    <t>FG1622-000</t>
  </si>
  <si>
    <t>ELB-25-210C-BODY</t>
  </si>
  <si>
    <t>FG1629-000</t>
  </si>
  <si>
    <t>ELB-25-210C-BODY-ES</t>
  </si>
  <si>
    <t>EE5630-000</t>
  </si>
  <si>
    <t>ELB-25-210D40</t>
  </si>
  <si>
    <t>FG1458-000</t>
  </si>
  <si>
    <t>ELB-25-210D40-ES</t>
  </si>
  <si>
    <t>FG1623-000</t>
  </si>
  <si>
    <t>ELB-25-210D-BODY</t>
  </si>
  <si>
    <t>FG1628-000</t>
  </si>
  <si>
    <t>ELB-25-210D-BODY-ES</t>
  </si>
  <si>
    <t>FG1626-000</t>
  </si>
  <si>
    <t>ELB-25-210-PROBE</t>
  </si>
  <si>
    <t>FG1606-000</t>
  </si>
  <si>
    <t>ELB-CONN-BCM2E-1</t>
  </si>
  <si>
    <t>FG1607-000</t>
  </si>
  <si>
    <t>ELB-CONN-BCM2E-1/0</t>
  </si>
  <si>
    <t>FG1604-000</t>
  </si>
  <si>
    <t>ELB-CONN-BCM2E-2</t>
  </si>
  <si>
    <t>FG1608-000</t>
  </si>
  <si>
    <t>ELB-CONN-BCM2E-2/0</t>
  </si>
  <si>
    <t>FG1603-000</t>
  </si>
  <si>
    <t>ELB-CONN-BCM2E-3</t>
  </si>
  <si>
    <t>FG1609-000</t>
  </si>
  <si>
    <t>ELB-CONN-BCM2E-3/0</t>
  </si>
  <si>
    <t>FG1602-000</t>
  </si>
  <si>
    <t>ELB-CONN-BCM2E-4</t>
  </si>
  <si>
    <t>FG1610-000</t>
  </si>
  <si>
    <t>ELB-CONN-BCM2E-4/0</t>
  </si>
  <si>
    <t>FG1601-000</t>
  </si>
  <si>
    <t>ELB-CONN-BCM2E-5</t>
  </si>
  <si>
    <t>FG1600-000</t>
  </si>
  <si>
    <t>ELB-CONN-BCM2E-6</t>
  </si>
  <si>
    <t>FG1655-000</t>
  </si>
  <si>
    <t>FH-TH-1650-ELECTRIC-GUN</t>
  </si>
  <si>
    <t>C35022-000</t>
  </si>
  <si>
    <t>GHVT-691-SSG(NS)</t>
  </si>
  <si>
    <t>A17138-000</t>
  </si>
  <si>
    <t>HVIA-SLIDE-RAIL-1580</t>
  </si>
  <si>
    <t>F91095-000</t>
  </si>
  <si>
    <t>HVIA-SLIDE-RAIL-200</t>
  </si>
  <si>
    <t>IDP-T200-PRINTER</t>
  </si>
  <si>
    <t>EC8456-000</t>
  </si>
  <si>
    <t>T200-IDENT-CUTTER</t>
  </si>
  <si>
    <t>EC8869-000</t>
  </si>
  <si>
    <t>47667-8</t>
  </si>
  <si>
    <t>52041-3</t>
  </si>
  <si>
    <t>69610-1</t>
  </si>
  <si>
    <t>69610-2</t>
  </si>
  <si>
    <t>69633-2</t>
  </si>
  <si>
    <t>69685-1</t>
  </si>
  <si>
    <t>69833-1</t>
  </si>
  <si>
    <t>80408-2</t>
  </si>
  <si>
    <t>80408-4</t>
  </si>
  <si>
    <t>80408-6</t>
  </si>
  <si>
    <t>80408-7</t>
  </si>
  <si>
    <t>80665-2</t>
  </si>
  <si>
    <t>80665-3</t>
  </si>
  <si>
    <t>81416-1</t>
  </si>
  <si>
    <t>81416-3</t>
  </si>
  <si>
    <t>81416-6</t>
  </si>
  <si>
    <t>81667-1</t>
  </si>
  <si>
    <t>81673-2</t>
  </si>
  <si>
    <t>81723-1</t>
  </si>
  <si>
    <t>81723-2</t>
  </si>
  <si>
    <t>81723-8</t>
  </si>
  <si>
    <t>81723-9</t>
  </si>
  <si>
    <t>83005-1</t>
  </si>
  <si>
    <t>83005-2</t>
  </si>
  <si>
    <t>83005-4</t>
  </si>
  <si>
    <t>83005-5</t>
  </si>
  <si>
    <t>83010-1</t>
  </si>
  <si>
    <t>83364-1</t>
  </si>
  <si>
    <t>83396-1</t>
  </si>
  <si>
    <t>83423-1</t>
  </si>
  <si>
    <t>83447-7</t>
  </si>
  <si>
    <t>83447-9</t>
  </si>
  <si>
    <t>83470-1</t>
  </si>
  <si>
    <t>83470-2</t>
  </si>
  <si>
    <t>83470-3</t>
  </si>
  <si>
    <t>83470-4</t>
  </si>
  <si>
    <t>83471-1</t>
  </si>
  <si>
    <t>83589-4</t>
  </si>
  <si>
    <t>83592-1</t>
  </si>
  <si>
    <t>83592-2</t>
  </si>
  <si>
    <t>83592-3</t>
  </si>
  <si>
    <t>83592-4</t>
  </si>
  <si>
    <t>83592-5</t>
  </si>
  <si>
    <t>83592-6</t>
  </si>
  <si>
    <t>83592-7</t>
  </si>
  <si>
    <t>83592-8</t>
  </si>
  <si>
    <t>83592-9</t>
  </si>
  <si>
    <t>83623-1</t>
  </si>
  <si>
    <t>83623-2</t>
  </si>
  <si>
    <t>83623-3</t>
  </si>
  <si>
    <t>83623-4</t>
  </si>
  <si>
    <t>83623-5</t>
  </si>
  <si>
    <t>83623-7</t>
  </si>
  <si>
    <t>83623-8</t>
  </si>
  <si>
    <t>83623-9</t>
  </si>
  <si>
    <t>83630-1</t>
  </si>
  <si>
    <t>83630-2</t>
  </si>
  <si>
    <t>83630-3</t>
  </si>
  <si>
    <t>83630-4</t>
  </si>
  <si>
    <t>83630-5</t>
  </si>
  <si>
    <t>83630-6</t>
  </si>
  <si>
    <t>83630-7</t>
  </si>
  <si>
    <t>83630-8</t>
  </si>
  <si>
    <t>83630-9</t>
  </si>
  <si>
    <t>83631-1</t>
  </si>
  <si>
    <t>83631-2</t>
  </si>
  <si>
    <t>83631-3</t>
  </si>
  <si>
    <t>83631-4</t>
  </si>
  <si>
    <t>83631-5</t>
  </si>
  <si>
    <t>83631-6</t>
  </si>
  <si>
    <t>83631-7</t>
  </si>
  <si>
    <t>83631-8</t>
  </si>
  <si>
    <t>83631-9</t>
  </si>
  <si>
    <t>83647-1</t>
  </si>
  <si>
    <t>83747-1</t>
  </si>
  <si>
    <t>83747-2</t>
  </si>
  <si>
    <t>83747-3</t>
  </si>
  <si>
    <t>83747-4</t>
  </si>
  <si>
    <t>83748-1</t>
  </si>
  <si>
    <t>83748-2</t>
  </si>
  <si>
    <t>83748-3</t>
  </si>
  <si>
    <t>83748-4</t>
  </si>
  <si>
    <t>83749-1</t>
  </si>
  <si>
    <t>83749-2</t>
  </si>
  <si>
    <t>83749-3</t>
  </si>
  <si>
    <t>83749-4</t>
  </si>
  <si>
    <t>83750-1</t>
  </si>
  <si>
    <t>83750-3</t>
  </si>
  <si>
    <t>83750-6</t>
  </si>
  <si>
    <t>83751-1</t>
  </si>
  <si>
    <t>83751-3</t>
  </si>
  <si>
    <t>83843-1</t>
  </si>
  <si>
    <t>83843-2</t>
  </si>
  <si>
    <t>83843-3</t>
  </si>
  <si>
    <t>83843-4</t>
  </si>
  <si>
    <t>83843-5</t>
  </si>
  <si>
    <t>83843-6</t>
  </si>
  <si>
    <t>83843-7</t>
  </si>
  <si>
    <t>83843-8</t>
  </si>
  <si>
    <t>83843-9</t>
  </si>
  <si>
    <t>83861-1</t>
  </si>
  <si>
    <t>83866-4</t>
  </si>
  <si>
    <t>83866-6</t>
  </si>
  <si>
    <t>83962-1</t>
  </si>
  <si>
    <t>109424-1</t>
  </si>
  <si>
    <t>109433-1</t>
  </si>
  <si>
    <t>109717-1</t>
  </si>
  <si>
    <t>275187-1</t>
  </si>
  <si>
    <t>275187-2</t>
  </si>
  <si>
    <t>275187-3</t>
  </si>
  <si>
    <t>275187-4</t>
  </si>
  <si>
    <t>275187-5</t>
  </si>
  <si>
    <t>275187-6</t>
  </si>
  <si>
    <t>275187-7</t>
  </si>
  <si>
    <t>275187-8</t>
  </si>
  <si>
    <t>275187-9</t>
  </si>
  <si>
    <t>275435-1</t>
  </si>
  <si>
    <t>275436-1</t>
  </si>
  <si>
    <t>276300-1</t>
  </si>
  <si>
    <t>276337-2</t>
  </si>
  <si>
    <t>276337-5</t>
  </si>
  <si>
    <t>276337-6</t>
  </si>
  <si>
    <t>276337-7</t>
  </si>
  <si>
    <t>276337-8</t>
  </si>
  <si>
    <t>276337-9</t>
  </si>
  <si>
    <t>276478-1</t>
  </si>
  <si>
    <t>276915-1</t>
  </si>
  <si>
    <t>306347-1</t>
  </si>
  <si>
    <t>306348-1</t>
  </si>
  <si>
    <t>306349-1</t>
  </si>
  <si>
    <t>306349-2</t>
  </si>
  <si>
    <t>306350-2</t>
  </si>
  <si>
    <t>306814-3</t>
  </si>
  <si>
    <t>308967-1</t>
  </si>
  <si>
    <t>314196-1</t>
  </si>
  <si>
    <t>314199-1</t>
  </si>
  <si>
    <t>444033-1</t>
  </si>
  <si>
    <t>561118-1</t>
  </si>
  <si>
    <t>569398-1</t>
  </si>
  <si>
    <t>602031-8</t>
  </si>
  <si>
    <t>602031-9</t>
  </si>
  <si>
    <t>602046-1</t>
  </si>
  <si>
    <t>602046-2</t>
  </si>
  <si>
    <t>602046-3</t>
  </si>
  <si>
    <t>602046-4</t>
  </si>
  <si>
    <t>602046-5</t>
  </si>
  <si>
    <t>602046-6</t>
  </si>
  <si>
    <t>602046-7</t>
  </si>
  <si>
    <t>602046-9</t>
  </si>
  <si>
    <t>602121-1</t>
  </si>
  <si>
    <t>602121-2</t>
  </si>
  <si>
    <t>602121-3</t>
  </si>
  <si>
    <t>602121-4</t>
  </si>
  <si>
    <t>602121-5</t>
  </si>
  <si>
    <t>602121-6</t>
  </si>
  <si>
    <t>602121-7</t>
  </si>
  <si>
    <t>602121-8</t>
  </si>
  <si>
    <t>602121-9</t>
  </si>
  <si>
    <t>602180-1</t>
  </si>
  <si>
    <t>602180-2</t>
  </si>
  <si>
    <t>602180-3</t>
  </si>
  <si>
    <t>602180-4</t>
  </si>
  <si>
    <t>602180-5</t>
  </si>
  <si>
    <t>602180-6</t>
  </si>
  <si>
    <t>602180-7</t>
  </si>
  <si>
    <t>602180-8</t>
  </si>
  <si>
    <t>602180-9</t>
  </si>
  <si>
    <t>602283-1</t>
  </si>
  <si>
    <t>602283-2</t>
  </si>
  <si>
    <t>602283-3</t>
  </si>
  <si>
    <t>602283-4</t>
  </si>
  <si>
    <t>602283-5</t>
  </si>
  <si>
    <t>602283-6</t>
  </si>
  <si>
    <t>602283-7</t>
  </si>
  <si>
    <t>602283-8</t>
  </si>
  <si>
    <t>602300-1</t>
  </si>
  <si>
    <t>602300-2</t>
  </si>
  <si>
    <t>602300-3</t>
  </si>
  <si>
    <t>602300-4</t>
  </si>
  <si>
    <t>602300-5</t>
  </si>
  <si>
    <t>602300-6</t>
  </si>
  <si>
    <t>602300-7</t>
  </si>
  <si>
    <t>602300-8</t>
  </si>
  <si>
    <t>602300-9</t>
  </si>
  <si>
    <t>602380-1</t>
  </si>
  <si>
    <t>602380-2</t>
  </si>
  <si>
    <t>602380-3</t>
  </si>
  <si>
    <t>602380-4</t>
  </si>
  <si>
    <t>602380-5</t>
  </si>
  <si>
    <t>602380-6</t>
  </si>
  <si>
    <t>602380-7</t>
  </si>
  <si>
    <t>607501-1</t>
  </si>
  <si>
    <t>608338-1</t>
  </si>
  <si>
    <t>608877-1</t>
  </si>
  <si>
    <t>881787-1</t>
  </si>
  <si>
    <t>1443208-1</t>
  </si>
  <si>
    <t>1443209-1</t>
  </si>
  <si>
    <t>1443312-1</t>
  </si>
  <si>
    <t>1443412-1</t>
  </si>
  <si>
    <t>1443413-1</t>
  </si>
  <si>
    <t>1443414-1</t>
  </si>
  <si>
    <t>1443448-1</t>
  </si>
  <si>
    <t>1443454-3</t>
  </si>
  <si>
    <t>1710523-1</t>
  </si>
  <si>
    <t>1710722-2</t>
  </si>
  <si>
    <t>1710722-3</t>
  </si>
  <si>
    <t>1710722-4</t>
  </si>
  <si>
    <t>1710723-1</t>
  </si>
  <si>
    <t>1710723-2</t>
  </si>
  <si>
    <t>1710723-4</t>
  </si>
  <si>
    <t>1710723-5</t>
  </si>
  <si>
    <t>1710723-6</t>
  </si>
  <si>
    <t>1710723-8</t>
  </si>
  <si>
    <t>1710723-9</t>
  </si>
  <si>
    <t>1710724-2</t>
  </si>
  <si>
    <t>1710724-3</t>
  </si>
  <si>
    <t>1710724-4</t>
  </si>
  <si>
    <t>1710725-1</t>
  </si>
  <si>
    <t>1710725-2</t>
  </si>
  <si>
    <t>1710725-4</t>
  </si>
  <si>
    <t>1710725-5</t>
  </si>
  <si>
    <t>1710725-6</t>
  </si>
  <si>
    <t>1710725-7</t>
  </si>
  <si>
    <t>1710725-8</t>
  </si>
  <si>
    <t>1710726-2</t>
  </si>
  <si>
    <t>1710726-3</t>
  </si>
  <si>
    <t>1710726-4</t>
  </si>
  <si>
    <t>1710727-1</t>
  </si>
  <si>
    <t>1710727-2</t>
  </si>
  <si>
    <t>1710727-3</t>
  </si>
  <si>
    <t>1710727-4</t>
  </si>
  <si>
    <t>1710727-5</t>
  </si>
  <si>
    <t>1710727-6</t>
  </si>
  <si>
    <t>1710727-8</t>
  </si>
  <si>
    <t>1710728-2</t>
  </si>
  <si>
    <t>1710728-3</t>
  </si>
  <si>
    <t>1710729-1</t>
  </si>
  <si>
    <t>1710729-2</t>
  </si>
  <si>
    <t>1710729-4</t>
  </si>
  <si>
    <t>1710729-5</t>
  </si>
  <si>
    <t>1710729-6</t>
  </si>
  <si>
    <t>1710729-8</t>
  </si>
  <si>
    <t>1710730-3</t>
  </si>
  <si>
    <t>1710730-4</t>
  </si>
  <si>
    <t>1710731-1</t>
  </si>
  <si>
    <t>1710731-2</t>
  </si>
  <si>
    <t>1710731-4</t>
  </si>
  <si>
    <t>1710731-5</t>
  </si>
  <si>
    <t>1710731-6</t>
  </si>
  <si>
    <t>1710731-8</t>
  </si>
  <si>
    <t>1710732-1</t>
  </si>
  <si>
    <t>1710732-2</t>
  </si>
  <si>
    <t>1710732-3</t>
  </si>
  <si>
    <t>1710732-4</t>
  </si>
  <si>
    <t>1710733-1</t>
  </si>
  <si>
    <t>1710733-2</t>
  </si>
  <si>
    <t>1710733-4</t>
  </si>
  <si>
    <t>1710733-5</t>
  </si>
  <si>
    <t>1710733-7</t>
  </si>
  <si>
    <t>1710733-8</t>
  </si>
  <si>
    <t>1710734-1</t>
  </si>
  <si>
    <t>1710735-1</t>
  </si>
  <si>
    <t>1710735-3</t>
  </si>
  <si>
    <t>1710735-4</t>
  </si>
  <si>
    <t>1710735-5</t>
  </si>
  <si>
    <t>1710735-6</t>
  </si>
  <si>
    <t>1710735-7</t>
  </si>
  <si>
    <t>1710735-8</t>
  </si>
  <si>
    <t>1710736-1</t>
  </si>
  <si>
    <t>1710737-1</t>
  </si>
  <si>
    <t>1710737-3</t>
  </si>
  <si>
    <t>1710737-5</t>
  </si>
  <si>
    <t>1-81723-0</t>
  </si>
  <si>
    <t>1-81723-1</t>
  </si>
  <si>
    <t>1-81723-2</t>
  </si>
  <si>
    <t>1-81723-3</t>
  </si>
  <si>
    <t>1-83447-0</t>
  </si>
  <si>
    <t>1-83592-0</t>
  </si>
  <si>
    <t>1-83592-3</t>
  </si>
  <si>
    <t>1-83623-0</t>
  </si>
  <si>
    <t>1-83623-1</t>
  </si>
  <si>
    <t>1-83623-2</t>
  </si>
  <si>
    <t>1-83623-5</t>
  </si>
  <si>
    <t>1-83623-7</t>
  </si>
  <si>
    <t>1-83623-9</t>
  </si>
  <si>
    <t>1-83630-0</t>
  </si>
  <si>
    <t>1-83631-1</t>
  </si>
  <si>
    <t>1-83631-4</t>
  </si>
  <si>
    <t>1-83631-5</t>
  </si>
  <si>
    <t>1-83631-7</t>
  </si>
  <si>
    <t>1-83631-8</t>
  </si>
  <si>
    <t>1-83843-0</t>
  </si>
  <si>
    <t>1-83843-1</t>
  </si>
  <si>
    <t>1-275187-0</t>
  </si>
  <si>
    <t>1-275187-1</t>
  </si>
  <si>
    <t>1-275187-2</t>
  </si>
  <si>
    <t>1-275187-3</t>
  </si>
  <si>
    <t>1-275187-4</t>
  </si>
  <si>
    <t>1-275187-5</t>
  </si>
  <si>
    <t>1-275187-6</t>
  </si>
  <si>
    <t>1-275187-7</t>
  </si>
  <si>
    <t>1-275187-8</t>
  </si>
  <si>
    <t>1-276337-1</t>
  </si>
  <si>
    <t>1-276337-2</t>
  </si>
  <si>
    <t>1-276337-3</t>
  </si>
  <si>
    <t>1-276337-4</t>
  </si>
  <si>
    <t>1-276337-7</t>
  </si>
  <si>
    <t>1-276337-8</t>
  </si>
  <si>
    <t>1-602031-0</t>
  </si>
  <si>
    <t>1-602031-2</t>
  </si>
  <si>
    <t>1-602031-3</t>
  </si>
  <si>
    <t>1-602031-4</t>
  </si>
  <si>
    <t>1-602031-5</t>
  </si>
  <si>
    <t>1-602031-6</t>
  </si>
  <si>
    <t>1-602031-7</t>
  </si>
  <si>
    <t>1-602031-8</t>
  </si>
  <si>
    <t>1-602031-9</t>
  </si>
  <si>
    <t>1-602121-0</t>
  </si>
  <si>
    <t>1-602121-1</t>
  </si>
  <si>
    <t>1-602121-2</t>
  </si>
  <si>
    <t>1-602121-3</t>
  </si>
  <si>
    <t>1-602121-4</t>
  </si>
  <si>
    <t>1-602180-0</t>
  </si>
  <si>
    <t>1-602180-1</t>
  </si>
  <si>
    <t>1-602180-2</t>
  </si>
  <si>
    <t>1-602180-3</t>
  </si>
  <si>
    <t>1-602180-4</t>
  </si>
  <si>
    <t>1-602180-5</t>
  </si>
  <si>
    <t>1-602180-6</t>
  </si>
  <si>
    <t>1-602300-2</t>
  </si>
  <si>
    <t>1-602300-4</t>
  </si>
  <si>
    <t>1443455-2</t>
  </si>
  <si>
    <t>2-275187-8</t>
  </si>
  <si>
    <t>2-276337-8</t>
  </si>
  <si>
    <t>2-602031-0</t>
  </si>
  <si>
    <t>2-602031-1</t>
  </si>
  <si>
    <t>2-602031-2</t>
  </si>
  <si>
    <t>3-275187-0</t>
  </si>
  <si>
    <t>3-275187-1</t>
  </si>
  <si>
    <t>3-275187-3</t>
  </si>
  <si>
    <t>3-275187-4</t>
  </si>
  <si>
    <t>3-275187-6</t>
  </si>
  <si>
    <t>3-275187-7</t>
  </si>
  <si>
    <t>3-275187-9</t>
  </si>
  <si>
    <t>3-276337-0</t>
  </si>
  <si>
    <t>3-276337-2</t>
  </si>
  <si>
    <t>3-276337-3</t>
  </si>
  <si>
    <t>3-276337-4</t>
  </si>
  <si>
    <t>3-276337-5</t>
  </si>
  <si>
    <t>3-276337-7</t>
  </si>
  <si>
    <t>4-275187-0</t>
  </si>
  <si>
    <t>4-276337-3</t>
  </si>
  <si>
    <t>4-276337-4</t>
  </si>
  <si>
    <t>4-276337-5</t>
  </si>
  <si>
    <t>4-276337-6</t>
  </si>
  <si>
    <t>4-276337-8</t>
  </si>
  <si>
    <t>4-276337-9</t>
  </si>
  <si>
    <t>5-276337-3</t>
  </si>
  <si>
    <t>5-276337-5</t>
  </si>
  <si>
    <t>5-276337-8</t>
  </si>
  <si>
    <t>6-276337-0</t>
  </si>
  <si>
    <t>6-276337-2</t>
  </si>
  <si>
    <t>69338-1</t>
  </si>
  <si>
    <t>69338-2</t>
  </si>
  <si>
    <t>69338-4</t>
  </si>
  <si>
    <t>69338-5</t>
  </si>
  <si>
    <t>1574846-4</t>
  </si>
  <si>
    <t>1099739-1</t>
  </si>
  <si>
    <t>1701211-3</t>
  </si>
  <si>
    <t>1974130-1</t>
  </si>
  <si>
    <t>1099383-1</t>
  </si>
  <si>
    <t>1099735-1</t>
  </si>
  <si>
    <t>1099848-1</t>
  </si>
  <si>
    <t>1099368-1</t>
  </si>
  <si>
    <t>1099369-1</t>
  </si>
  <si>
    <t>1099585-1</t>
  </si>
  <si>
    <t>2037215-1</t>
  </si>
  <si>
    <t>2099526-1</t>
  </si>
  <si>
    <t>1974127-1</t>
  </si>
  <si>
    <t>1099861-1</t>
  </si>
  <si>
    <t>1974136-1</t>
  </si>
  <si>
    <t>1974102-1</t>
  </si>
  <si>
    <t>1099879-1</t>
  </si>
  <si>
    <t>1974111-1</t>
  </si>
  <si>
    <t>CN8630-000</t>
  </si>
  <si>
    <t>A22234-000</t>
  </si>
  <si>
    <t>A35484-000</t>
  </si>
  <si>
    <t>A30158-000</t>
  </si>
  <si>
    <t>A30155-000</t>
  </si>
  <si>
    <t>A30159-000</t>
  </si>
  <si>
    <t>A30156-000</t>
  </si>
  <si>
    <t>A30157-000</t>
  </si>
  <si>
    <t>1727742-1</t>
  </si>
  <si>
    <t>1-708052-1</t>
  </si>
  <si>
    <t>1099898-1</t>
  </si>
  <si>
    <t>1099898-2</t>
  </si>
  <si>
    <t>1099898-4</t>
  </si>
  <si>
    <t>1099898-6</t>
  </si>
  <si>
    <t>1099898-8</t>
  </si>
  <si>
    <t>1099899-1</t>
  </si>
  <si>
    <t>1099899-2</t>
  </si>
  <si>
    <t>1099899-4</t>
  </si>
  <si>
    <t>1099899-6</t>
  </si>
  <si>
    <t>1099899-7</t>
  </si>
  <si>
    <t>1099899-8</t>
  </si>
  <si>
    <t>1099899-9</t>
  </si>
  <si>
    <t>1099939-1</t>
  </si>
  <si>
    <t>1099939-2</t>
  </si>
  <si>
    <t>1099939-3</t>
  </si>
  <si>
    <t>1099939-4</t>
  </si>
  <si>
    <t>1099939-6</t>
  </si>
  <si>
    <t>1099939-7</t>
  </si>
  <si>
    <t>1099939-8</t>
  </si>
  <si>
    <t>1099939-9</t>
  </si>
  <si>
    <t>1443402-1</t>
  </si>
  <si>
    <t>1443402-2</t>
  </si>
  <si>
    <t>1443402-4</t>
  </si>
  <si>
    <t>1443402-6</t>
  </si>
  <si>
    <t>1443402-7</t>
  </si>
  <si>
    <t>1443402-9</t>
  </si>
  <si>
    <t>1443403-1</t>
  </si>
  <si>
    <t>1443403-4</t>
  </si>
  <si>
    <t>1443403-6</t>
  </si>
  <si>
    <t>1443403-7</t>
  </si>
  <si>
    <t>1443403-8</t>
  </si>
  <si>
    <t>1443403-9</t>
  </si>
  <si>
    <t>1-1099898-0</t>
  </si>
  <si>
    <t>1-1099898-1</t>
  </si>
  <si>
    <t>1-1099898-2</t>
  </si>
  <si>
    <t>1-1099898-4</t>
  </si>
  <si>
    <t>1-1099899-0</t>
  </si>
  <si>
    <t>1-1099899-1</t>
  </si>
  <si>
    <t>1-1099899-2</t>
  </si>
  <si>
    <t>1-1099899-3</t>
  </si>
  <si>
    <t>1-1099899-5</t>
  </si>
  <si>
    <t>1-1099899-6</t>
  </si>
  <si>
    <t>1-1099899-8</t>
  </si>
  <si>
    <t>1-1099899-9</t>
  </si>
  <si>
    <t>1-1099939-0</t>
  </si>
  <si>
    <t>1-1099939-1</t>
  </si>
  <si>
    <t>1-1099939-2</t>
  </si>
  <si>
    <t>1-1099939-3</t>
  </si>
  <si>
    <t>1-1099939-4</t>
  </si>
  <si>
    <t>1-1099939-5</t>
  </si>
  <si>
    <t>1-1443402-0</t>
  </si>
  <si>
    <t>1-1443402-1</t>
  </si>
  <si>
    <t>1-1443402-2</t>
  </si>
  <si>
    <t>1-1443402-4</t>
  </si>
  <si>
    <t>1-1443402-6</t>
  </si>
  <si>
    <t>1-1443403-0</t>
  </si>
  <si>
    <t>1-1443403-2</t>
  </si>
  <si>
    <t>1-1443403-4</t>
  </si>
  <si>
    <t>1-1443403-6</t>
  </si>
  <si>
    <t>1-1443403-7</t>
  </si>
  <si>
    <t>045686079469</t>
  </si>
  <si>
    <t>045686079476</t>
  </si>
  <si>
    <t>045686056774</t>
  </si>
  <si>
    <t>045686056804</t>
  </si>
  <si>
    <t>045686056828</t>
  </si>
  <si>
    <t>045686056873</t>
  </si>
  <si>
    <t>045686056880</t>
  </si>
  <si>
    <t>045686056903</t>
  </si>
  <si>
    <t>045686056927</t>
  </si>
  <si>
    <t>045686056941</t>
  </si>
  <si>
    <t>045686056989</t>
  </si>
  <si>
    <t>045686057023</t>
  </si>
  <si>
    <t>045686057030</t>
  </si>
  <si>
    <t>045686057047</t>
  </si>
  <si>
    <t>045686057085</t>
  </si>
  <si>
    <t>045686057108</t>
  </si>
  <si>
    <t>045686057139</t>
  </si>
  <si>
    <t>045686057146</t>
  </si>
  <si>
    <t>045686057160</t>
  </si>
  <si>
    <t>045686057177</t>
  </si>
  <si>
    <t>045686057184</t>
  </si>
  <si>
    <t>045686057207</t>
  </si>
  <si>
    <t>045686057245</t>
  </si>
  <si>
    <t>045686057313</t>
  </si>
  <si>
    <t>045686057375</t>
  </si>
  <si>
    <t>045686057405</t>
  </si>
  <si>
    <t>045686057429</t>
  </si>
  <si>
    <t>045686057436</t>
  </si>
  <si>
    <t>045686057474</t>
  </si>
  <si>
    <t>045686057528</t>
  </si>
  <si>
    <t>045686057535</t>
  </si>
  <si>
    <t>045686057559</t>
  </si>
  <si>
    <t>045686057573</t>
  </si>
  <si>
    <t>045686057658</t>
  </si>
  <si>
    <t>045686079506</t>
  </si>
  <si>
    <t>045686079223</t>
  </si>
  <si>
    <t>045686079254</t>
  </si>
  <si>
    <t>045686079339</t>
  </si>
  <si>
    <t>045686079452</t>
  </si>
  <si>
    <t>045686079513</t>
  </si>
  <si>
    <t>045686079520</t>
  </si>
  <si>
    <t>045686079537</t>
  </si>
  <si>
    <t>045686079544</t>
  </si>
  <si>
    <t>045686079551</t>
  </si>
  <si>
    <t>045686079568</t>
  </si>
  <si>
    <t>045686079575</t>
  </si>
  <si>
    <t>045686079582</t>
  </si>
  <si>
    <t>045686079599</t>
  </si>
  <si>
    <t>045686079605</t>
  </si>
  <si>
    <t>045686079612</t>
  </si>
  <si>
    <t>045686079629</t>
  </si>
  <si>
    <t>045686079636</t>
  </si>
  <si>
    <t>045686079643</t>
  </si>
  <si>
    <t>045686079650</t>
  </si>
  <si>
    <t>045686079667</t>
  </si>
  <si>
    <t>045686079674</t>
  </si>
  <si>
    <t>045686079681</t>
  </si>
  <si>
    <t>045686079698</t>
  </si>
  <si>
    <t>045686079704</t>
  </si>
  <si>
    <t>045686079711</t>
  </si>
  <si>
    <t>045686079728</t>
  </si>
  <si>
    <t>045686079735</t>
  </si>
  <si>
    <t>045686079742</t>
  </si>
  <si>
    <t>045686080137</t>
  </si>
  <si>
    <t>045686079759</t>
  </si>
  <si>
    <t>045686080113</t>
  </si>
  <si>
    <t>045686079766</t>
  </si>
  <si>
    <t>045686079773</t>
  </si>
  <si>
    <t>045686080342</t>
  </si>
  <si>
    <t>045686079780</t>
  </si>
  <si>
    <t>045686079797</t>
  </si>
  <si>
    <t>045686079803</t>
  </si>
  <si>
    <t>045686079810</t>
  </si>
  <si>
    <t>045686079827</t>
  </si>
  <si>
    <t>045686079834</t>
  </si>
  <si>
    <t>045686080359</t>
  </si>
  <si>
    <t>045686080380</t>
  </si>
  <si>
    <t>045686079841</t>
  </si>
  <si>
    <t>045686079858</t>
  </si>
  <si>
    <t>045686079865</t>
  </si>
  <si>
    <t>045686079872</t>
  </si>
  <si>
    <t>045686080366</t>
  </si>
  <si>
    <t>045686080397</t>
  </si>
  <si>
    <t>045686080373</t>
  </si>
  <si>
    <t>045686080472</t>
  </si>
  <si>
    <t>045686080083</t>
  </si>
  <si>
    <t>045686080151</t>
  </si>
  <si>
    <t>045686080090</t>
  </si>
  <si>
    <t>045686080021</t>
  </si>
  <si>
    <t>045686080038</t>
  </si>
  <si>
    <t>045686080410</t>
  </si>
  <si>
    <t>045686080441</t>
  </si>
  <si>
    <t>045686080045</t>
  </si>
  <si>
    <t>045686080052</t>
  </si>
  <si>
    <t>045686080427</t>
  </si>
  <si>
    <t>045686080458</t>
  </si>
  <si>
    <t>045686080069</t>
  </si>
  <si>
    <t>045686080076</t>
  </si>
  <si>
    <t>045686080434</t>
  </si>
  <si>
    <t>045686080465</t>
  </si>
  <si>
    <t>045686080489</t>
  </si>
  <si>
    <t>045686080298</t>
  </si>
  <si>
    <t>045686080304</t>
  </si>
  <si>
    <t>045686080281</t>
  </si>
  <si>
    <t>045686080311</t>
  </si>
  <si>
    <t>045686080274</t>
  </si>
  <si>
    <t>045686080328</t>
  </si>
  <si>
    <t>045686080267</t>
  </si>
  <si>
    <t>045686080335</t>
  </si>
  <si>
    <t>045686080250</t>
  </si>
  <si>
    <t>045686080243</t>
  </si>
  <si>
    <t>045686079889</t>
  </si>
  <si>
    <t>045686079896</t>
  </si>
  <si>
    <t>045686079902</t>
  </si>
  <si>
    <t>045686079919</t>
  </si>
  <si>
    <t>24 x 12 x 12</t>
  </si>
  <si>
    <t>0.45 x 0.45 x 0.15</t>
  </si>
  <si>
    <t>0.45 x 0.45 x 0.3</t>
  </si>
  <si>
    <t>44.14 x 44.14 x 27.3</t>
  </si>
  <si>
    <t>0.45 x 0.33 x 0.29</t>
  </si>
  <si>
    <t>0.46 x 0.23 x 0.14</t>
  </si>
  <si>
    <t>0.37 x 0.28 x 0.19</t>
  </si>
  <si>
    <t>0.27 x 0.18 x 0.14</t>
  </si>
  <si>
    <t>14.5 x 11.5 x 8</t>
  </si>
  <si>
    <t>15.5 x 10 x 8.5</t>
  </si>
  <si>
    <t>0.53 x 0.27 x 0.32</t>
  </si>
  <si>
    <t>0.45 x 0.45 x 0.34</t>
  </si>
  <si>
    <t>4.25 x 6 x 4</t>
  </si>
  <si>
    <t>3.5 x 3.5 x 2.5</t>
  </si>
  <si>
    <t>14 x 12 x 7</t>
  </si>
  <si>
    <t>14 x 5 x 2</t>
  </si>
  <si>
    <t>18 x 6 x 6</t>
  </si>
  <si>
    <t>18 x 5 x 5</t>
  </si>
  <si>
    <t>11 x 4 x 3</t>
  </si>
  <si>
    <t>7 x 6 x 6</t>
  </si>
  <si>
    <t>14 x 7 x 7</t>
  </si>
  <si>
    <t>13 x 9 x 5</t>
  </si>
  <si>
    <t>14 x 12 x 6</t>
  </si>
  <si>
    <t>25 x 14 x 13</t>
  </si>
  <si>
    <t>12 x 7 x 5</t>
  </si>
  <si>
    <t>12 x 7 x 7</t>
  </si>
  <si>
    <t>24 x 14 x 7</t>
  </si>
  <si>
    <t>14 x 13 x 7</t>
  </si>
  <si>
    <t>7 x 7 x 7</t>
  </si>
  <si>
    <t>10.93 x 1.26 x 1.26</t>
  </si>
  <si>
    <t>7 x 7 x 6</t>
  </si>
  <si>
    <t>8 x 6 x 9</t>
  </si>
  <si>
    <t>14 x 12 x 12</t>
  </si>
  <si>
    <t>14 x 10 x 5</t>
  </si>
  <si>
    <t>15 x 15 x 13</t>
  </si>
  <si>
    <t>24 x 14 x 6</t>
  </si>
  <si>
    <t>50.5 x 15.06 x 13.5</t>
  </si>
  <si>
    <t>50.5 x 15.16 x 13.5</t>
  </si>
  <si>
    <t>51 x 14 x 16</t>
  </si>
  <si>
    <t>50.5 x 15 x 13.5</t>
  </si>
  <si>
    <t>60.3 x 15.06 x 15.5</t>
  </si>
  <si>
    <t>15 x 8 x 9</t>
  </si>
  <si>
    <t>7 x 3 x 3</t>
  </si>
  <si>
    <t>2.56 x 0.94 x 0.94</t>
  </si>
  <si>
    <t>8 x 6.5 x 3.5</t>
  </si>
  <si>
    <t>6.75 x 5.75 x 6</t>
  </si>
  <si>
    <t>13.75 x 6.5 x 6.5</t>
  </si>
  <si>
    <t>7 x 7 x 4</t>
  </si>
  <si>
    <t>22 x 18 x 10.5</t>
  </si>
  <si>
    <t>20 x 14 x 12</t>
  </si>
  <si>
    <t>22 x 15.25 x 13.75</t>
  </si>
  <si>
    <t>22 x 18.5 x 10.5</t>
  </si>
  <si>
    <t>22 x 14 x 15</t>
  </si>
  <si>
    <t>21 x 11 x 13</t>
  </si>
  <si>
    <t>16 x 13.5 x 6.5</t>
  </si>
  <si>
    <t>23.2 x 12.5 x 9.7</t>
  </si>
  <si>
    <t>100 x 24 x 24</t>
  </si>
  <si>
    <t>10 x 10 x 30</t>
  </si>
  <si>
    <t>16 x 16 x 16</t>
  </si>
  <si>
    <t>14 x 10 x 7</t>
  </si>
  <si>
    <t>23.5 x 16.5 x 8</t>
  </si>
  <si>
    <t>23.5 x 15 x 6.5</t>
  </si>
  <si>
    <t>0.22 x 0.22 x 0.15</t>
  </si>
  <si>
    <t>0.21 x 0.2 x 0.13</t>
  </si>
  <si>
    <t>0.22 x 0.21 x 0.14</t>
  </si>
  <si>
    <t>0.23 x 0.23 x 0.13</t>
  </si>
  <si>
    <t>0.22 x 0.21 x 0.24</t>
  </si>
  <si>
    <t>15 x 13 x 11</t>
  </si>
  <si>
    <t>19 x 14 x 6</t>
  </si>
  <si>
    <t>14.5 x 14.5 x 10.25</t>
  </si>
  <si>
    <t>14 x 6 x 6</t>
  </si>
  <si>
    <t>9 x 8 x 14</t>
  </si>
  <si>
    <t>8 x 7.25 x 3</t>
  </si>
  <si>
    <t>15.75 x 16 x 12</t>
  </si>
  <si>
    <t>18 x 12 x 18</t>
  </si>
  <si>
    <t>10 x 9 x 9</t>
  </si>
  <si>
    <t>6.75 x 6.5 x 4.5</t>
  </si>
  <si>
    <t>11.5 x 4 x 3.5</t>
  </si>
  <si>
    <t>17 x 6.5 x 5.5</t>
  </si>
  <si>
    <t>18 x 6.25 x 6.75</t>
  </si>
  <si>
    <t>10.75 x 4.25 x 2.25</t>
  </si>
  <si>
    <t>6 x 4.25 x 3.5</t>
  </si>
  <si>
    <t>11.5 x 2.25 x 4</t>
  </si>
  <si>
    <t>15 x 13 x 10</t>
  </si>
  <si>
    <t>18.5 x 14.25 x 4.5</t>
  </si>
  <si>
    <t>14 x 5 x 6</t>
  </si>
  <si>
    <t>10 x 7.5 x 4.75</t>
  </si>
  <si>
    <t>6.5 x 6.25 x 4.5</t>
  </si>
  <si>
    <t>6.75 x 6.75 x 4.75</t>
  </si>
  <si>
    <t>4.5 x 1.25 x 1.25</t>
  </si>
  <si>
    <t>14 x 10 x 4.5</t>
  </si>
  <si>
    <t>14 x 10.5 x 4.5</t>
  </si>
  <si>
    <t>1 x 4 x 4</t>
  </si>
  <si>
    <t>4 x 3 x 2</t>
  </si>
  <si>
    <t>5.25 x 2.75 x 1.5</t>
  </si>
  <si>
    <t>10 x 7 x 7</t>
  </si>
  <si>
    <t>16.25 x 11 x 12</t>
  </si>
  <si>
    <t>16.5 x 12.75 x 13</t>
  </si>
  <si>
    <t>5.5 x 3 x 1.5</t>
  </si>
  <si>
    <t>10 x 8 x 5</t>
  </si>
  <si>
    <t>10 x 4 x 6</t>
  </si>
  <si>
    <t>10.5 x 10.5 x 3.5</t>
  </si>
  <si>
    <t>31 x 31 x 18</t>
  </si>
  <si>
    <t>80 x 18 x 18</t>
  </si>
  <si>
    <t>31 x 31 x 14.5</t>
  </si>
  <si>
    <t>14.5 x 14.5 x 31.25</t>
  </si>
  <si>
    <t>6.5 x 6 x 4</t>
  </si>
  <si>
    <t>4 x 4 x 8</t>
  </si>
  <si>
    <t>13 x 13.25 x 4</t>
  </si>
  <si>
    <t>48 x 48 x 0.5</t>
  </si>
  <si>
    <t>28.25 x 6 x 2.75</t>
  </si>
  <si>
    <t>16.5 x 9.5 x 1.5</t>
  </si>
  <si>
    <t>16 x 16 x 11.75</t>
  </si>
  <si>
    <t>6 x 5.5 x 5.5</t>
  </si>
  <si>
    <t>10 x 7.5 x 4.5</t>
  </si>
  <si>
    <t>5 x 6 x 11</t>
  </si>
  <si>
    <t>3 x 6 x 6</t>
  </si>
  <si>
    <t>13 x 11 x 8</t>
  </si>
  <si>
    <t>6.5 x 7 x 4.5</t>
  </si>
  <si>
    <t>17 x 6 x 4</t>
  </si>
  <si>
    <t>4.5 x 3.5 x 3.5</t>
  </si>
  <si>
    <t>4.75 x 3.5 x 3.5</t>
  </si>
  <si>
    <t>5.5 x 7.5 x 3.75</t>
  </si>
  <si>
    <t>16 x 13 x 9</t>
  </si>
  <si>
    <t>19 x 13 x 9</t>
  </si>
  <si>
    <t>19 x 13 x 6</t>
  </si>
  <si>
    <t>7.25 x 5.5 x 3.75</t>
  </si>
  <si>
    <t>16 x 12 x 4</t>
  </si>
  <si>
    <t>7.25 x 5.5 x 3.25</t>
  </si>
  <si>
    <t>2.5 x 3.25 x 2.25</t>
  </si>
  <si>
    <t>5.5 x 8 x 3.5</t>
  </si>
  <si>
    <t>8 x 5 x 6</t>
  </si>
  <si>
    <t>19 x 16 x 4</t>
  </si>
  <si>
    <t>3.25 x 4.75 x 3.25</t>
  </si>
  <si>
    <t>6 x 5 x 4</t>
  </si>
  <si>
    <t>17 x 5 x 13</t>
  </si>
  <si>
    <t>3.5 x 4.75 x 3.25</t>
  </si>
  <si>
    <t>15.75 x 11.75 x 3.75</t>
  </si>
  <si>
    <t>11.5 x 16 x 4</t>
  </si>
  <si>
    <t>7 x 5.5 x 3.5</t>
  </si>
  <si>
    <t>6.75 x 6.25 x 4.75</t>
  </si>
  <si>
    <t>7.5 x 5.5 x 3.75</t>
  </si>
  <si>
    <t>8 x 4 x 2</t>
  </si>
  <si>
    <t>16 x 11.75 x 4</t>
  </si>
  <si>
    <t>17 x 16 x 8</t>
  </si>
  <si>
    <t>Fuquay-Varina, NC</t>
  </si>
  <si>
    <t>Yes</t>
  </si>
  <si>
    <t>045686080496</t>
  </si>
  <si>
    <t>045686080502</t>
  </si>
  <si>
    <t>045686080519</t>
  </si>
  <si>
    <t>045686080526</t>
  </si>
  <si>
    <t>045686080533</t>
  </si>
  <si>
    <t>045686080540</t>
  </si>
  <si>
    <t>045686080557</t>
  </si>
  <si>
    <t>045686080564</t>
  </si>
  <si>
    <t>045686080571</t>
  </si>
  <si>
    <t>045686080588</t>
  </si>
  <si>
    <t>045686080595</t>
  </si>
  <si>
    <t>045686080601</t>
  </si>
  <si>
    <t>045686080618</t>
  </si>
  <si>
    <t>045686080625</t>
  </si>
  <si>
    <t>045686080632</t>
  </si>
  <si>
    <t>045686080649</t>
  </si>
  <si>
    <t>045686080656</t>
  </si>
  <si>
    <t>045686080663</t>
  </si>
  <si>
    <t>045686080670</t>
  </si>
  <si>
    <t>045686080687</t>
  </si>
  <si>
    <t>045686080694</t>
  </si>
  <si>
    <t>045686080700</t>
  </si>
  <si>
    <t>045686080717</t>
  </si>
  <si>
    <t>045686080724</t>
  </si>
  <si>
    <t>045686080731</t>
  </si>
  <si>
    <t>045686080748</t>
  </si>
  <si>
    <t>045686080755</t>
  </si>
  <si>
    <t>045686080762</t>
  </si>
  <si>
    <t>045686080779</t>
  </si>
  <si>
    <t>045686080786</t>
  </si>
  <si>
    <t>045686080793</t>
  </si>
  <si>
    <t>045686080809</t>
  </si>
  <si>
    <t>045686080816</t>
  </si>
  <si>
    <t>045686080823</t>
  </si>
  <si>
    <t>045686080830</t>
  </si>
  <si>
    <t>045686080847</t>
  </si>
  <si>
    <t>045686080854</t>
  </si>
  <si>
    <t>045686080861</t>
  </si>
  <si>
    <t>045686080878</t>
  </si>
  <si>
    <t>045686080885</t>
  </si>
  <si>
    <t>045686080892</t>
  </si>
  <si>
    <t>045686080908</t>
  </si>
  <si>
    <t>045686080915</t>
  </si>
  <si>
    <t>045686080922</t>
  </si>
  <si>
    <t>045686080939</t>
  </si>
  <si>
    <t>045686080946</t>
  </si>
  <si>
    <t>045686080953</t>
  </si>
  <si>
    <t>045686080960</t>
  </si>
  <si>
    <t>045686080977</t>
  </si>
  <si>
    <t>045686080984</t>
  </si>
  <si>
    <t>045686080991</t>
  </si>
  <si>
    <t>045686081004</t>
  </si>
  <si>
    <t>045686081011</t>
  </si>
  <si>
    <t>045686081028</t>
  </si>
  <si>
    <t>045686081035</t>
  </si>
  <si>
    <t>045686081042</t>
  </si>
  <si>
    <t>CZ6368-000</t>
  </si>
  <si>
    <t>HVIA-STRIPPER-40/130</t>
  </si>
  <si>
    <t>045686081059</t>
  </si>
  <si>
    <t>GF1235-000</t>
  </si>
  <si>
    <t>GF1236-000</t>
  </si>
  <si>
    <t>GF1237-000</t>
  </si>
  <si>
    <t>FG1538-000</t>
  </si>
  <si>
    <t>FG1537-000</t>
  </si>
  <si>
    <t>FG1536-000</t>
  </si>
  <si>
    <t>FG1535-000</t>
  </si>
  <si>
    <t>FG1534-000</t>
  </si>
  <si>
    <t>CSJD-1521-A1</t>
  </si>
  <si>
    <t>CSJD-1523-A2</t>
  </si>
  <si>
    <t>CSJD-1524-A3</t>
  </si>
  <si>
    <t>CSJD-2821-A1</t>
  </si>
  <si>
    <t>CSJD-2823-A1</t>
  </si>
  <si>
    <t>CSJD-2823-A2</t>
  </si>
  <si>
    <t>CSJD-2824-A2</t>
  </si>
  <si>
    <t>CSJD-2824-A3</t>
  </si>
  <si>
    <t>045686081066</t>
  </si>
  <si>
    <t>045686081073</t>
  </si>
  <si>
    <t>045686081080</t>
  </si>
  <si>
    <t>045686081097</t>
  </si>
  <si>
    <t>045686081103</t>
  </si>
  <si>
    <t>045686081110</t>
  </si>
  <si>
    <t>045686081127</t>
  </si>
  <si>
    <t>045686081134</t>
  </si>
  <si>
    <t>GF2229-000</t>
  </si>
  <si>
    <t>GF2223-000</t>
  </si>
  <si>
    <t>GF2226-000</t>
  </si>
  <si>
    <t>GF2227-000</t>
  </si>
  <si>
    <t>GF1239-000</t>
  </si>
  <si>
    <t>GF2221-000</t>
  </si>
  <si>
    <t>GF2224-000</t>
  </si>
  <si>
    <t>GF2225-000</t>
  </si>
  <si>
    <t>CSJD-1521-C1</t>
  </si>
  <si>
    <t>CSJD-1521-C2</t>
  </si>
  <si>
    <t>CSJD-1523-C3</t>
  </si>
  <si>
    <t>CSJD-1524-C4</t>
  </si>
  <si>
    <t>CSJD-2821-C1</t>
  </si>
  <si>
    <t>CSJD-2823-C2</t>
  </si>
  <si>
    <t>CSJD-2823-C3</t>
  </si>
  <si>
    <t>CSJD-2824-C4</t>
  </si>
  <si>
    <t>045686081141</t>
  </si>
  <si>
    <t>045686081158</t>
  </si>
  <si>
    <t>045686081165</t>
  </si>
  <si>
    <t>045686081172</t>
  </si>
  <si>
    <t>045686081189</t>
  </si>
  <si>
    <t>045686081196</t>
  </si>
  <si>
    <t>045686081202</t>
  </si>
  <si>
    <t>045686081219</t>
  </si>
  <si>
    <t>CL2703-000</t>
  </si>
  <si>
    <t>AMPS-0-0083005-3</t>
  </si>
  <si>
    <t>045686081257</t>
  </si>
  <si>
    <t>83005-3</t>
  </si>
  <si>
    <t>FG1781-000</t>
  </si>
  <si>
    <t>ELB-200-CES-1</t>
  </si>
  <si>
    <t>FG1871-000</t>
  </si>
  <si>
    <t>ELB-200-CES-GRD-1</t>
  </si>
  <si>
    <t>FG1782-000</t>
  </si>
  <si>
    <t>ELB-200-GRD-1</t>
  </si>
  <si>
    <t>FG1780-000</t>
  </si>
  <si>
    <t>ELB-200-GRD-2</t>
  </si>
  <si>
    <t>045686081288</t>
  </si>
  <si>
    <t>045686081295</t>
  </si>
  <si>
    <t>045686081301</t>
  </si>
  <si>
    <t>045686081318</t>
  </si>
  <si>
    <t>EF5982-000</t>
  </si>
  <si>
    <t>EPPA-007-1/4OZ-BLUE(B20)</t>
  </si>
  <si>
    <t>045686081325</t>
  </si>
  <si>
    <t>STD PK</t>
  </si>
  <si>
    <t>C35564-000</t>
  </si>
  <si>
    <t>UTLX-0-1099939-5</t>
  </si>
  <si>
    <t>045686007103</t>
  </si>
  <si>
    <t>1099939-5</t>
  </si>
  <si>
    <t>045686082223</t>
  </si>
  <si>
    <t>605712-000</t>
  </si>
  <si>
    <t>045686081684</t>
  </si>
  <si>
    <t>BM3453-000</t>
  </si>
  <si>
    <t>BCAC-G-IC-10.5D/20(B6)</t>
  </si>
  <si>
    <t>045686081691</t>
  </si>
  <si>
    <t>BM3456-000</t>
  </si>
  <si>
    <t>BCAC-IC-10.5D/20(B6)</t>
  </si>
  <si>
    <t>045686081707</t>
  </si>
  <si>
    <t>CU7208-000</t>
  </si>
  <si>
    <t>BCIC-AFD-01(B10)</t>
  </si>
  <si>
    <t>045686079957</t>
  </si>
  <si>
    <t>BM9036-000</t>
  </si>
  <si>
    <t>CC26-38-FM-M12</t>
  </si>
  <si>
    <t>045686081615</t>
  </si>
  <si>
    <t>EF8402-000</t>
  </si>
  <si>
    <t>CC26-38-SN-M12</t>
  </si>
  <si>
    <t>045686081714</t>
  </si>
  <si>
    <t>BM9037-000</t>
  </si>
  <si>
    <t>CC38-50-FM-M12</t>
  </si>
  <si>
    <t>045686081622</t>
  </si>
  <si>
    <t>EF3980-000</t>
  </si>
  <si>
    <t>CC38-50-PL-M12</t>
  </si>
  <si>
    <t>045686081721</t>
  </si>
  <si>
    <t>EF3981-000</t>
  </si>
  <si>
    <t>CC38-50-SN-M12</t>
  </si>
  <si>
    <t>045686081738</t>
  </si>
  <si>
    <t>BM9038-000</t>
  </si>
  <si>
    <t>CC50-60-FM-M12</t>
  </si>
  <si>
    <t>045686081639</t>
  </si>
  <si>
    <t>EF8403-000</t>
  </si>
  <si>
    <t>CC50-60-PL-M12</t>
  </si>
  <si>
    <t>045686081745</t>
  </si>
  <si>
    <t>EF8404-000</t>
  </si>
  <si>
    <t>CC50-60-SN-M12</t>
  </si>
  <si>
    <t>045686081752</t>
  </si>
  <si>
    <t>BM9039-000</t>
  </si>
  <si>
    <t>CC60-70-FM-M12</t>
  </si>
  <si>
    <t>045686081646</t>
  </si>
  <si>
    <t>EF8405-000</t>
  </si>
  <si>
    <t>CC60-70-PL-M12</t>
  </si>
  <si>
    <t>045686081769</t>
  </si>
  <si>
    <t>EF8406-000</t>
  </si>
  <si>
    <t>CC60-70-SN-M12</t>
  </si>
  <si>
    <t>045686081776</t>
  </si>
  <si>
    <t>BM9040-000</t>
  </si>
  <si>
    <t>CC68-81-FM-M12</t>
  </si>
  <si>
    <t>045686081653</t>
  </si>
  <si>
    <t>CV8202-000</t>
  </si>
  <si>
    <t>CC68-81-SN-M12</t>
  </si>
  <si>
    <t>045686081783</t>
  </si>
  <si>
    <t>BM9041-000</t>
  </si>
  <si>
    <t>CC80-92-FM-M12</t>
  </si>
  <si>
    <t>045686081660</t>
  </si>
  <si>
    <t>EF8407-000</t>
  </si>
  <si>
    <t>CC80-92-PL-M12</t>
  </si>
  <si>
    <t>045686081790</t>
  </si>
  <si>
    <t>BM4863-000</t>
  </si>
  <si>
    <t>CC80-92-SN-M12</t>
  </si>
  <si>
    <t>045686082247</t>
  </si>
  <si>
    <t>EF8408-000</t>
  </si>
  <si>
    <t>045686081806</t>
  </si>
  <si>
    <t>BM4864-000</t>
  </si>
  <si>
    <t>CC92-106-FM-M12</t>
  </si>
  <si>
    <t>045686082254</t>
  </si>
  <si>
    <t>BM9042-000</t>
  </si>
  <si>
    <t>045686081677</t>
  </si>
  <si>
    <t>BM4872-000</t>
  </si>
  <si>
    <t>CC92-106-PL-M12</t>
  </si>
  <si>
    <t>045686082261</t>
  </si>
  <si>
    <t>EF8409-000</t>
  </si>
  <si>
    <t>045686081813</t>
  </si>
  <si>
    <t>BM4873-000</t>
  </si>
  <si>
    <t>CC92-106-SN-M12</t>
  </si>
  <si>
    <t>045686082308</t>
  </si>
  <si>
    <t>EF8410-000</t>
  </si>
  <si>
    <t>045686081820</t>
  </si>
  <si>
    <t>BM4879-000</t>
  </si>
  <si>
    <t>CCT26-38-PL-M12</t>
  </si>
  <si>
    <t>045686082278</t>
  </si>
  <si>
    <t>BM4880-000</t>
  </si>
  <si>
    <t>CCT26-38-SN-M12</t>
  </si>
  <si>
    <t>045686082285</t>
  </si>
  <si>
    <t>919523-00</t>
  </si>
  <si>
    <t>FG1885-000</t>
  </si>
  <si>
    <t>ELB-15-210B1-ES</t>
  </si>
  <si>
    <t>045686081844</t>
  </si>
  <si>
    <t>CJ2556-000</t>
  </si>
  <si>
    <t>EXRM-1858-CLEAT-50/75</t>
  </si>
  <si>
    <t>045686081875</t>
  </si>
  <si>
    <t>CJ2557-000</t>
  </si>
  <si>
    <t>EXRM-1858-CLEAT-75/100</t>
  </si>
  <si>
    <t>045686081882</t>
  </si>
  <si>
    <t>2182383-3</t>
  </si>
  <si>
    <t>045686081578</t>
  </si>
  <si>
    <t>2182407-5</t>
  </si>
  <si>
    <t>FILM29KV200ALYW/T450-500</t>
  </si>
  <si>
    <t>045686081530</t>
  </si>
  <si>
    <t>2182407-6</t>
  </si>
  <si>
    <t>FILM29KV200ALY-W/T-556.5</t>
  </si>
  <si>
    <t>045686081547</t>
  </si>
  <si>
    <t>2182383-2</t>
  </si>
  <si>
    <t>045686081561</t>
  </si>
  <si>
    <t>2182407-3</t>
  </si>
  <si>
    <t>FILM29KV200ASY-W/T-266.8</t>
  </si>
  <si>
    <t>045686081516</t>
  </si>
  <si>
    <t>2182407-2</t>
  </si>
  <si>
    <t>FILM29KV-200A-SY-W/T-4/0</t>
  </si>
  <si>
    <t>045686081509</t>
  </si>
  <si>
    <t>2182383-1</t>
  </si>
  <si>
    <t>045686081554</t>
  </si>
  <si>
    <t>2182407-1</t>
  </si>
  <si>
    <t>FILM29KV200A-XSY-W/T-1/0</t>
  </si>
  <si>
    <t>045686081493</t>
  </si>
  <si>
    <t>2182407-4</t>
  </si>
  <si>
    <t>FILM29KV200AXSYW/T336.4</t>
  </si>
  <si>
    <t>045686081523</t>
  </si>
  <si>
    <t>D12335-000</t>
  </si>
  <si>
    <t>GELWRAP-18/4-200-(B50)</t>
  </si>
  <si>
    <t>045686077649</t>
  </si>
  <si>
    <t>GELWRAP-TW-33-300</t>
  </si>
  <si>
    <t>045686056538</t>
  </si>
  <si>
    <t>CF9293-000</t>
  </si>
  <si>
    <t>GPRT-500-5P-C(B6)</t>
  </si>
  <si>
    <t>045686046270</t>
  </si>
  <si>
    <t>517033-000</t>
  </si>
  <si>
    <t>HVBC-63</t>
  </si>
  <si>
    <t>045686037209</t>
  </si>
  <si>
    <t>045686082230</t>
  </si>
  <si>
    <t>045686066407</t>
  </si>
  <si>
    <t>F94049-000</t>
  </si>
  <si>
    <t>SP-TR205PG</t>
  </si>
  <si>
    <t>045686067671</t>
  </si>
  <si>
    <t>926302-000</t>
  </si>
  <si>
    <t>SP-TR208PG</t>
  </si>
  <si>
    <t>045686067800</t>
  </si>
  <si>
    <t>A41722-000</t>
  </si>
  <si>
    <t>SP-TR210PG</t>
  </si>
  <si>
    <t>045686081899</t>
  </si>
  <si>
    <t>917418-000</t>
  </si>
  <si>
    <t>SP-TR214PG</t>
  </si>
  <si>
    <t>045686081905</t>
  </si>
  <si>
    <t>1-1198118-3</t>
  </si>
  <si>
    <t>415286-000</t>
  </si>
  <si>
    <t>045686081912</t>
  </si>
  <si>
    <t>A45254-000</t>
  </si>
  <si>
    <t>SP-TR225PG</t>
  </si>
  <si>
    <t>045686067664</t>
  </si>
  <si>
    <t>D72276-000</t>
  </si>
  <si>
    <t>SP-TR227PG</t>
  </si>
  <si>
    <t>045686081929</t>
  </si>
  <si>
    <t>A63960-000</t>
  </si>
  <si>
    <t>SP-TR231PG</t>
  </si>
  <si>
    <t>045686081936</t>
  </si>
  <si>
    <t>D06758-000</t>
  </si>
  <si>
    <t>SP-TR278PG</t>
  </si>
  <si>
    <t>045686081950</t>
  </si>
  <si>
    <t>ED8814-000</t>
  </si>
  <si>
    <t>SP-TR286PG</t>
  </si>
  <si>
    <t>045686081974</t>
  </si>
  <si>
    <t>ED8813-000</t>
  </si>
  <si>
    <t>EE3507-000</t>
  </si>
  <si>
    <t>SP-TR289PG</t>
  </si>
  <si>
    <t>045686081998</t>
  </si>
  <si>
    <t>EE6133-000</t>
  </si>
  <si>
    <t>SP-TR295PG</t>
  </si>
  <si>
    <t>045686082001</t>
  </si>
  <si>
    <t>EE3508-000</t>
  </si>
  <si>
    <t>SP-TR304PG</t>
  </si>
  <si>
    <t>045686082018</t>
  </si>
  <si>
    <t>EE3513-000</t>
  </si>
  <si>
    <t>SP-TR316PG</t>
  </si>
  <si>
    <t>045686082025</t>
  </si>
  <si>
    <t>EE3511-000</t>
  </si>
  <si>
    <t>SP-TR367PG</t>
  </si>
  <si>
    <t>045686082032</t>
  </si>
  <si>
    <t>CY2302-000</t>
  </si>
  <si>
    <t>SP-TR369PG</t>
  </si>
  <si>
    <t>045686082049</t>
  </si>
  <si>
    <t>CH8691-000</t>
  </si>
  <si>
    <t>SP-TR371PG</t>
  </si>
  <si>
    <t>045686082063</t>
  </si>
  <si>
    <t>CH8692-000</t>
  </si>
  <si>
    <t>SP-TR373PG</t>
  </si>
  <si>
    <t>045686082070</t>
  </si>
  <si>
    <t>EE9619-000</t>
  </si>
  <si>
    <t>SP-TR391PG02</t>
  </si>
  <si>
    <t>045686082087</t>
  </si>
  <si>
    <t>AMPACT</t>
  </si>
  <si>
    <t>23.2 x 9.7 x 12.5</t>
  </si>
  <si>
    <t>Returnable</t>
  </si>
  <si>
    <t>23 x 10 x 13</t>
  </si>
  <si>
    <t>23 x 9.75 x 13</t>
  </si>
  <si>
    <t>60 x 20 x 20</t>
  </si>
  <si>
    <t>9 x 6 x 6</t>
  </si>
  <si>
    <t>8.25 x 8.25 x 3.5</t>
  </si>
  <si>
    <t>16 x 6.5 x 4.5</t>
  </si>
  <si>
    <t>24 x 12 x 8</t>
  </si>
  <si>
    <t>Juarez, Mexico</t>
  </si>
  <si>
    <t>18.5 x 18.5 x 9.5</t>
  </si>
  <si>
    <t>23 x 23 x 11.75</t>
  </si>
  <si>
    <t>18 x 19 x 10</t>
  </si>
  <si>
    <t>18.25 x 18.2 x 9.75</t>
  </si>
  <si>
    <t>19 x 19 x 10</t>
  </si>
  <si>
    <t>15 x 12.5 x 10</t>
  </si>
  <si>
    <t>20 x 13 x 11</t>
  </si>
  <si>
    <t>15 x 11 x 10</t>
  </si>
  <si>
    <t>15.5 x 9.5 x 8</t>
  </si>
  <si>
    <t>22.9 x 22.9 x 11.1</t>
  </si>
  <si>
    <t>40.64 x 34.29 x 16.51</t>
  </si>
  <si>
    <t>29 x 20 x 10</t>
  </si>
  <si>
    <t>16.5 x 4.5 x 5</t>
  </si>
  <si>
    <t>18 x 17.5 x 8</t>
  </si>
  <si>
    <t>15 x 13 x 6</t>
  </si>
  <si>
    <t>46.4 x 19.4 x 25</t>
  </si>
  <si>
    <t>32 x 32 x 32</t>
  </si>
  <si>
    <t>22.5 x 23 x 11.75</t>
  </si>
  <si>
    <t>12 x 12 x 8</t>
  </si>
  <si>
    <t>52 x 16 x 13</t>
  </si>
  <si>
    <t>19 x 13.5 x 6</t>
  </si>
  <si>
    <t>32 x 11 x 12</t>
  </si>
  <si>
    <t>15.5 x 9 x 8</t>
  </si>
  <si>
    <t>30 x 25 x 20</t>
  </si>
  <si>
    <t>19 x 14 x 7</t>
  </si>
  <si>
    <t>10 x 10 x 10</t>
  </si>
  <si>
    <t>22 x 17 x 9.5</t>
  </si>
  <si>
    <t>16.25 x 11.25 x 6.5</t>
  </si>
  <si>
    <t>18 x 17 x 8</t>
  </si>
  <si>
    <t>17 x 13 x 3</t>
  </si>
  <si>
    <t>12.5 x 10.5 x 7.5</t>
  </si>
  <si>
    <t>20.5 x 13.5 x 11.5</t>
  </si>
  <si>
    <t>18 x 17 x 7.5</t>
  </si>
  <si>
    <t>16 x 12 x 7</t>
  </si>
  <si>
    <t>20 x 20 x 21</t>
  </si>
  <si>
    <t>33.02 x 25.4 x 17.78</t>
  </si>
  <si>
    <t>22.4 x 22.9 x 11</t>
  </si>
  <si>
    <t>62 x 10 x 20</t>
  </si>
  <si>
    <t>16 x 16 x 35.25</t>
  </si>
  <si>
    <t>19 x 19 x 60</t>
  </si>
  <si>
    <t>56 x 10 x 10</t>
  </si>
  <si>
    <t>36 x 16.5 x 16.5</t>
  </si>
  <si>
    <t>18.2 x 18.2 x 9</t>
  </si>
  <si>
    <t>24 x 10 x 13</t>
  </si>
  <si>
    <t>18 x 18.5 x 9.75</t>
  </si>
  <si>
    <t>45.8 x 45.8 x 22.2</t>
  </si>
  <si>
    <t>30 x 9 x 9</t>
  </si>
  <si>
    <t>13 x 12 x 8</t>
  </si>
  <si>
    <t>18 x 18.25 x 9.5</t>
  </si>
  <si>
    <t>22.5 x 22.75 x 12</t>
  </si>
  <si>
    <t>18 x 18 x 9</t>
  </si>
  <si>
    <t>16.5 x 16.5 x 17</t>
  </si>
  <si>
    <t>18 x 18.5 x 9.5</t>
  </si>
  <si>
    <t>6.5 x 6.5 x 4.5</t>
  </si>
  <si>
    <t>17 x 13 x 10</t>
  </si>
  <si>
    <t>17 x 13.1 x 12</t>
  </si>
  <si>
    <t>12.5 x 10.5 x 8</t>
  </si>
  <si>
    <t>25 x 20.25 x 14</t>
  </si>
  <si>
    <t>10 x 7 x 5</t>
  </si>
  <si>
    <t>14 x 10.25 x 4.25</t>
  </si>
  <si>
    <t>15 x 13 x 10.25</t>
  </si>
  <si>
    <t>20 x 4 x 5.25</t>
  </si>
  <si>
    <t>6.75 x 6.5 x 4.7</t>
  </si>
  <si>
    <t>7 x 7 x 5</t>
  </si>
  <si>
    <t>9.75 x 6.75 x 7.25</t>
  </si>
  <si>
    <t>43 x 13.25 x 8</t>
  </si>
  <si>
    <t>43 x 15 x 6.5</t>
  </si>
  <si>
    <t>20.32 x 10.8 x 16.51</t>
  </si>
  <si>
    <t>10 x 7 x 4</t>
  </si>
  <si>
    <t>20.32 x 20.32 x 10.16</t>
  </si>
  <si>
    <t>14 x 10 x 4</t>
  </si>
  <si>
    <t>12.7 x 12.7 x 10.16</t>
  </si>
  <si>
    <t>15.24 x 15.24 x 10.16</t>
  </si>
  <si>
    <t>10 x 5 x 3</t>
  </si>
  <si>
    <t>10 x 8 x 4</t>
  </si>
  <si>
    <t>13 x 10 x 8</t>
  </si>
  <si>
    <t>20.32 x 15.24 x 29.21</t>
  </si>
  <si>
    <t>7 x 6 x 5</t>
  </si>
  <si>
    <t>7 x 5 x 5</t>
  </si>
  <si>
    <t>20.32 x 10.79 x 24.13</t>
  </si>
  <si>
    <t>50 x 5 x 5</t>
  </si>
  <si>
    <t>51 x 6 x 6</t>
  </si>
  <si>
    <t>51 x 5 x 6</t>
  </si>
  <si>
    <t>5 x 3 x 2</t>
  </si>
  <si>
    <t>40 x 8.5 x 8.75</t>
  </si>
  <si>
    <t>10 x 5 x 50</t>
  </si>
  <si>
    <t>51 x 10.25 x 5.25</t>
  </si>
  <si>
    <t>62 x 10 x 10</t>
  </si>
  <si>
    <t>50 x 10 x 5</t>
  </si>
  <si>
    <t>61 x 6 x 6</t>
  </si>
  <si>
    <t>12.25 x 9 x 50</t>
  </si>
  <si>
    <t>68 x 7 x 7</t>
  </si>
  <si>
    <t>51 x 10 x 5</t>
  </si>
  <si>
    <t>28.5 x 5.5 x 3</t>
  </si>
  <si>
    <t>51 x 5.5 x 5.5</t>
  </si>
  <si>
    <t>19 x 7.25 x 8.5</t>
  </si>
  <si>
    <t>13 x 10 x 14</t>
  </si>
  <si>
    <t>14 x 10.5 x 4.75</t>
  </si>
  <si>
    <t>12.5 x 10.13 x 7</t>
  </si>
  <si>
    <t>27 x 5 x 5</t>
  </si>
  <si>
    <t>25.5 x 4 x 4</t>
  </si>
  <si>
    <t>32 x 5 x 5</t>
  </si>
  <si>
    <t>33 x 5.5 x 5.5</t>
  </si>
  <si>
    <t>73 x 7 x 7</t>
  </si>
  <si>
    <t>0.25 x 27 x 5</t>
  </si>
  <si>
    <t>36 x 4 x 5</t>
  </si>
  <si>
    <t>81.28 x 12.7 x 12.7</t>
  </si>
  <si>
    <t>16.5 x 4 x 2.5</t>
  </si>
  <si>
    <t>37 x 5 x 5</t>
  </si>
  <si>
    <t>42 x 5 x 5</t>
  </si>
  <si>
    <t>3.75 x 4.25 x 1.75</t>
  </si>
  <si>
    <t>7 x 7 x 68</t>
  </si>
  <si>
    <t>6 x 6 x 30</t>
  </si>
  <si>
    <t>40.5 x 8.25 x 8.5</t>
  </si>
  <si>
    <t>8 x 8 x 42</t>
  </si>
  <si>
    <t>30 x 10 x 10</t>
  </si>
  <si>
    <t>49.25 x 12.25 x 9</t>
  </si>
  <si>
    <t>10 x 10 x 50</t>
  </si>
  <si>
    <t>7 x 7 x 60</t>
  </si>
  <si>
    <t>51 x 10 x 9</t>
  </si>
  <si>
    <t>13 x 10 x 4</t>
  </si>
  <si>
    <t>10 x 3 x 3</t>
  </si>
  <si>
    <t>17 x 5 x 6</t>
  </si>
  <si>
    <t>19 x 7 x 8</t>
  </si>
  <si>
    <t>32 x 10 x 5</t>
  </si>
  <si>
    <t>10 x 8 x 6</t>
  </si>
  <si>
    <t>30 x 8.5 x 8.5</t>
  </si>
  <si>
    <t>13 x 4 x 2</t>
  </si>
  <si>
    <t>17 x 10 x 5</t>
  </si>
  <si>
    <t>10 x 5 x 6</t>
  </si>
  <si>
    <t>13 x 11 x 5</t>
  </si>
  <si>
    <t>40.64 x 30.48 x 25.4</t>
  </si>
  <si>
    <t>30.48 x 21.59 x 9.53</t>
  </si>
  <si>
    <t>13 x 9 x 4</t>
  </si>
  <si>
    <t>12 x 9 x 4</t>
  </si>
  <si>
    <t>25.4 x 17.78 x 10.16</t>
  </si>
  <si>
    <t>45.72 x 12.7 x 12.7</t>
  </si>
  <si>
    <t>45.72 x 18.42 x 13</t>
  </si>
  <si>
    <t>12 x 8.5 x 3.75</t>
  </si>
  <si>
    <t>40.64 x 30.48 x 30.48</t>
  </si>
  <si>
    <t>12 x 10 x 7.5</t>
  </si>
  <si>
    <t>15.5 x 10.5 x 13</t>
  </si>
  <si>
    <t>17 x 10 x 4</t>
  </si>
  <si>
    <t>14 x 4 x 10</t>
  </si>
  <si>
    <t>17 x 12 x 7</t>
  </si>
  <si>
    <t>18 x 7.25 x 5.12</t>
  </si>
  <si>
    <t>16.51 x 15.24 x 10.16</t>
  </si>
  <si>
    <t>32.26 x 32.26 x 25.81</t>
  </si>
  <si>
    <t>15 x 10.5 x 5.5</t>
  </si>
  <si>
    <t>20 x 12 x 12</t>
  </si>
  <si>
    <t>20 x 18 x 12</t>
  </si>
  <si>
    <t>19 x 15.75 x 15.25</t>
  </si>
  <si>
    <t>16 x 5 x 5</t>
  </si>
  <si>
    <t>19 x 8 x 7</t>
  </si>
  <si>
    <t>11 x 8 x 5</t>
  </si>
  <si>
    <t>15 x 13 x 10.5</t>
  </si>
  <si>
    <t>15 x 12.75 x 10.5</t>
  </si>
  <si>
    <t>51 x 10 x 13</t>
  </si>
  <si>
    <t>100 x 20 x 20</t>
  </si>
  <si>
    <t>20 x 10 x 100</t>
  </si>
  <si>
    <t>26 x 20 x 28</t>
  </si>
  <si>
    <t>20 x 20 x 100</t>
  </si>
  <si>
    <t>36.4 x 36.4 x 15</t>
  </si>
  <si>
    <t>50.5 x 10.25 x 5.25</t>
  </si>
  <si>
    <t>30 x 20.25 x 14</t>
  </si>
  <si>
    <t>51 x 13 x 10</t>
  </si>
  <si>
    <t>20 x 20 x 10</t>
  </si>
  <si>
    <t>100 x 10 x 10</t>
  </si>
  <si>
    <t>18 x 10.25 x 4.5</t>
  </si>
  <si>
    <t>16.5 x 11.5 x 7</t>
  </si>
  <si>
    <t>40.64 x 20.32 x 20.32</t>
  </si>
  <si>
    <t>14 x 11 x 5</t>
  </si>
  <si>
    <t>16.25 x 6 x 3.13</t>
  </si>
  <si>
    <t>12.5 x 10.5 x 7</t>
  </si>
  <si>
    <t>16.5 x 11.5 x 6.5</t>
  </si>
  <si>
    <t>8 x 7 x 3</t>
  </si>
  <si>
    <t>13 x 9 x 50</t>
  </si>
  <si>
    <t>19 x 15 x 8</t>
  </si>
  <si>
    <t>40 x 8 x 8</t>
  </si>
  <si>
    <t>6.75 x 6.75 x 4.5</t>
  </si>
  <si>
    <t>6 x 6 x 7</t>
  </si>
  <si>
    <t>31 x 6 x 7</t>
  </si>
  <si>
    <t>17 x 5 x 5</t>
  </si>
  <si>
    <t>24.5 x 6 x 14.5</t>
  </si>
  <si>
    <t>30 x 6 x 6</t>
  </si>
  <si>
    <t>30 x 14 x 7.75</t>
  </si>
  <si>
    <t>24.25 x 13.5 x 3.75</t>
  </si>
  <si>
    <t>30.5 x 8.25 x 8.5</t>
  </si>
  <si>
    <t>20 x 14 x 8</t>
  </si>
  <si>
    <t>74 x 11 x 6</t>
  </si>
  <si>
    <t>33 x 6 x 6</t>
  </si>
  <si>
    <t>33 x 5.5 x 5.25</t>
  </si>
  <si>
    <t>37 x 5.5 x 3</t>
  </si>
  <si>
    <t>33 x 5.75 x 5.75</t>
  </si>
  <si>
    <t>38 x 6 x 6</t>
  </si>
  <si>
    <t>42 x 8 x 8</t>
  </si>
  <si>
    <t>38 x 5.5 x 5.5</t>
  </si>
  <si>
    <t>51.5 x 5.5 x 5.5</t>
  </si>
  <si>
    <t>68 x 8 x 8</t>
  </si>
  <si>
    <t>64 x 7 x 7</t>
  </si>
  <si>
    <t>6.75 x 61.25 x 7.5</t>
  </si>
  <si>
    <t>60 x 7 x 7</t>
  </si>
  <si>
    <t>78 x 7 x 7</t>
  </si>
  <si>
    <t>51 x 5.75 x 5.25</t>
  </si>
  <si>
    <t>43 x 5.5 x 5.5</t>
  </si>
  <si>
    <t>50 x 5.5 x 5.25</t>
  </si>
  <si>
    <t>68 x 5 x 5</t>
  </si>
  <si>
    <t>37 x 5.5 x 2.5</t>
  </si>
  <si>
    <t>29.5 x 6 x 3.5</t>
  </si>
  <si>
    <t>35 x 5 x 5</t>
  </si>
  <si>
    <t>61 x 7 x 7</t>
  </si>
  <si>
    <t>87 x 9 x 8</t>
  </si>
  <si>
    <t>77 x 9 x 4.5</t>
  </si>
  <si>
    <t>77 x 8.75 x 4.5</t>
  </si>
  <si>
    <t>77 x 9 x 4</t>
  </si>
  <si>
    <t>64 x 8 x 8</t>
  </si>
  <si>
    <t>63 x 8 x 8</t>
  </si>
  <si>
    <t>68 x 8 x 4</t>
  </si>
  <si>
    <t>18 x 4.5 x 3</t>
  </si>
  <si>
    <t>37 x 11 x 5</t>
  </si>
  <si>
    <t>17.75 x 4.5 x 2.75</t>
  </si>
  <si>
    <t>12.5 x 10 x 7</t>
  </si>
  <si>
    <t>51 x 12.75 x 9.5</t>
  </si>
  <si>
    <t>64 x 7 x 70</t>
  </si>
  <si>
    <t>63 x 10 x 10</t>
  </si>
  <si>
    <t>16.5 x 6.5 x 3.5</t>
  </si>
  <si>
    <t>4 x 2 x 12</t>
  </si>
  <si>
    <t>40 x 8.25 x 9</t>
  </si>
  <si>
    <t>50 x 10 x 10</t>
  </si>
  <si>
    <t>51 x 12.5 x 9.5</t>
  </si>
  <si>
    <t>16.5 x 5 x 5.75</t>
  </si>
  <si>
    <t>18 x 5 x 3</t>
  </si>
  <si>
    <t>18.5 x 5.5 x 2.5</t>
  </si>
  <si>
    <t>20 x 6 x 3</t>
  </si>
  <si>
    <t>3 x 3 x 2</t>
  </si>
  <si>
    <t>33 x 11 x 6</t>
  </si>
  <si>
    <t>38 x 6 x 4</t>
  </si>
  <si>
    <t>33 x 10.5 x 5.5</t>
  </si>
  <si>
    <t>37.75 x 6.25 x 3.25</t>
  </si>
  <si>
    <t>31 x 6.5 x 6.5</t>
  </si>
  <si>
    <t>40 x 8.25 x 9.25</t>
  </si>
  <si>
    <t>40 x 9 x 9</t>
  </si>
  <si>
    <t>40 x 8 x 9</t>
  </si>
  <si>
    <t>42 x 5.5 x 5.5</t>
  </si>
  <si>
    <t>43 x 5.5 x 5.75</t>
  </si>
  <si>
    <t>40 x 8 x 8.5</t>
  </si>
  <si>
    <t>5 x 6 x 6</t>
  </si>
  <si>
    <t>16.5 x 5 x 6</t>
  </si>
  <si>
    <t>18 x 7 x 8</t>
  </si>
  <si>
    <t>72 x 10 x 5</t>
  </si>
  <si>
    <t>51 x 10.25 x 5.5</t>
  </si>
  <si>
    <t>16.5 x 4.75 x 5.75</t>
  </si>
  <si>
    <t>19 x 7 x 9</t>
  </si>
  <si>
    <t>33 x 5 x 6</t>
  </si>
  <si>
    <t>31 x 7 x 7</t>
  </si>
  <si>
    <t>30 x 9 x 10</t>
  </si>
  <si>
    <t>33 x 11 x 11</t>
  </si>
  <si>
    <t>16.75 x 5 x 6</t>
  </si>
  <si>
    <t>101.6 x 20.32 x 20.32</t>
  </si>
  <si>
    <t>5.75 x 6.25 x 6.5</t>
  </si>
  <si>
    <t>26 x 20 x 8</t>
  </si>
  <si>
    <t>18 x 18 x 9.75</t>
  </si>
  <si>
    <t>51 x 6.25 x 5.25</t>
  </si>
  <si>
    <t>14 x 10.25 x 4.5</t>
  </si>
  <si>
    <t>15.5 x 10 x 9</t>
  </si>
  <si>
    <t>30 x 26 x 20</t>
  </si>
  <si>
    <t>7.5 x 19 x 8.5</t>
  </si>
  <si>
    <t>10.25 x 7.25 x 4.5</t>
  </si>
  <si>
    <t>10 x 7.25 x 4.5</t>
  </si>
  <si>
    <t>14.25 x 10.13 x 4.5</t>
  </si>
  <si>
    <t>51 x 7 x 7</t>
  </si>
  <si>
    <t>33 x 10.5 x 5.25</t>
  </si>
  <si>
    <t>21 x 21 x 8</t>
  </si>
  <si>
    <t>20 x 20 x 7</t>
  </si>
  <si>
    <t>49 x 9 x 7</t>
  </si>
  <si>
    <t>36 x 14 x 14</t>
  </si>
  <si>
    <t>10 x 7.75 x 4.5</t>
  </si>
  <si>
    <t>126 x 20 x 20</t>
  </si>
  <si>
    <t>55 x 5 x 6</t>
  </si>
  <si>
    <t>18.5 x 18.5 x 9.25</t>
  </si>
  <si>
    <t>51 x 12.5 x 9.75</t>
  </si>
  <si>
    <t>12.5 x 1.05 x 7.5</t>
  </si>
  <si>
    <t>20 x 14 x 10</t>
  </si>
  <si>
    <t>10 x 10.25 x 10.5</t>
  </si>
  <si>
    <t>8 x 8 x 8</t>
  </si>
  <si>
    <t>40 x 20 x 8</t>
  </si>
  <si>
    <t>12 x 9 x 7</t>
  </si>
  <si>
    <t>7 x 6.5 x 4.5</t>
  </si>
  <si>
    <t>6.25 x 6.5 x 4.5</t>
  </si>
  <si>
    <t>12 x 12 x 3</t>
  </si>
  <si>
    <t>8 x 12 x 14</t>
  </si>
  <si>
    <t>22.75 x 22.75 x 12</t>
  </si>
  <si>
    <t>7.75 x 8 x 3.25</t>
  </si>
  <si>
    <t>7.5 x 8 x 3.5</t>
  </si>
  <si>
    <t>12 x 12 x 4</t>
  </si>
  <si>
    <t>8.5 x 7.75 x 3.5</t>
  </si>
  <si>
    <t>8 x 7.5 x 3.75</t>
  </si>
  <si>
    <t>8.25 x 7.75 x 4</t>
  </si>
  <si>
    <t>20 x 20 x 36</t>
  </si>
  <si>
    <t>26 x 9 x 9</t>
  </si>
  <si>
    <t>7.75 x 10.25 x 4.5</t>
  </si>
  <si>
    <t>7.25 x 10.25 x 4.5</t>
  </si>
  <si>
    <t>10.5 x 14 x 4.5</t>
  </si>
  <si>
    <t>10.5 x 12.75 x 7.5</t>
  </si>
  <si>
    <t>16.5 x 4.75 x 6</t>
  </si>
  <si>
    <t>16 x 16.5 x 17</t>
  </si>
  <si>
    <t>16.75 x 4.75 x 5.75</t>
  </si>
  <si>
    <t>33 x 8 x 5</t>
  </si>
  <si>
    <t>17 x 4 x 2</t>
  </si>
  <si>
    <t>13 x 12.5 x 5.5</t>
  </si>
  <si>
    <t>6.25 x 6 x 6.25</t>
  </si>
  <si>
    <t>8.5 x 4.5 x 4.5</t>
  </si>
  <si>
    <t>6.25 x 5.75 x 6.5</t>
  </si>
  <si>
    <t>6.5 x 6 x 6</t>
  </si>
  <si>
    <t>6 x 6.5 x 6.5</t>
  </si>
  <si>
    <t>6.5 x 5.75 x 6.5</t>
  </si>
  <si>
    <t>6.25 x 5.75 x 6.25</t>
  </si>
  <si>
    <t>6.25 x 6.5 x 6.5</t>
  </si>
  <si>
    <t>6.25 x 5.25 x 6.5</t>
  </si>
  <si>
    <t>5.25 x 6.25 x 6.25</t>
  </si>
  <si>
    <t>5.75 x 6.25 x 6.25</t>
  </si>
  <si>
    <t>13 x 12 x 6</t>
  </si>
  <si>
    <t>6 x 6.25 x 6.75</t>
  </si>
  <si>
    <t>13 x 13 x 6</t>
  </si>
  <si>
    <t>16 x 4 x 2.5</t>
  </si>
  <si>
    <t>22 x 8 x 8</t>
  </si>
  <si>
    <t>65 x 10 x 10</t>
  </si>
  <si>
    <t>80 x 6.26 x 6.26</t>
  </si>
  <si>
    <t>92 x 6.26 x 6.26</t>
  </si>
  <si>
    <t>106 x 8.46 x 8.46</t>
  </si>
  <si>
    <t>108 x 10 x 10</t>
  </si>
  <si>
    <t>122 x 10 x 10</t>
  </si>
  <si>
    <t>122 x 11 x 11</t>
  </si>
  <si>
    <t>2.54 x 2.54 x 2.54</t>
  </si>
  <si>
    <t>37 x 6 x 3</t>
  </si>
  <si>
    <t>32 x 6 x 6</t>
  </si>
  <si>
    <t>36 x 6 x 6</t>
  </si>
  <si>
    <t>37.5 x 6 x 3.25</t>
  </si>
  <si>
    <t>37.5 x 6 x 3.5</t>
  </si>
  <si>
    <t>15 x 4 x 3</t>
  </si>
  <si>
    <t>17 x 4 x 3</t>
  </si>
  <si>
    <t>14 x 10.25 x 4.75</t>
  </si>
  <si>
    <t>16.5 x 6.5 x 3.25</t>
  </si>
  <si>
    <t>17 x 6 x 3</t>
  </si>
  <si>
    <t>17 x 7 x 4</t>
  </si>
  <si>
    <t>16.25 x 11.5 x 7</t>
  </si>
  <si>
    <t>16 x 8 x 5</t>
  </si>
  <si>
    <t>16 x 12 x 8</t>
  </si>
  <si>
    <t>41.5 x 28.5 x 24.5</t>
  </si>
  <si>
    <t>21 x 20 x 20</t>
  </si>
  <si>
    <t>12.5 x 10.12 x 7</t>
  </si>
  <si>
    <t>15 x 12.2 x 10</t>
  </si>
  <si>
    <t>32 x 11 x 10</t>
  </si>
  <si>
    <t>Omni Stock?</t>
  </si>
  <si>
    <t>http://www.te.com/usa-en/product-191289-000.html</t>
  </si>
  <si>
    <t>http://www.te.com/usa-en/product-590637-000.html</t>
  </si>
  <si>
    <t>http://www.te.com/usa-en/product-467149-000.html</t>
  </si>
  <si>
    <t>http://www.te.com/usa-en/product-608439-000.html</t>
  </si>
  <si>
    <t>http://www.te.com/usa-en/product-734510-000.html</t>
  </si>
  <si>
    <t>http://www.te.com/usa-en/product-578941-000.html</t>
  </si>
  <si>
    <t>http://www.te.com/usa-en/product-996176-000.html</t>
  </si>
  <si>
    <t>http://www.te.com/usa-en/product-996129-000.html</t>
  </si>
  <si>
    <t>http://www.te.com/usa-en/product-996042-000.html</t>
  </si>
  <si>
    <t>http://www.te.com/usa-en/product-320299-000.html</t>
  </si>
  <si>
    <t>http://www.te.com/usa-en/product-CF5866-000.html</t>
  </si>
  <si>
    <t>http://www.te.com/usa-en/product-965316-000.html</t>
  </si>
  <si>
    <t>http://www.te.com/usa-en/product-394200-000.html</t>
  </si>
  <si>
    <t>http://www.te.com/usa-en/product-E85144-000.html</t>
  </si>
  <si>
    <t>http://www.te.com/usa-en/product-467894-000.html</t>
  </si>
  <si>
    <t>http://www.te.com/usa-en/product-PT553R-000.html</t>
  </si>
  <si>
    <t>http://www.te.com/usa-en/product-KY712J-000.html</t>
  </si>
  <si>
    <t>http://www.te.com/usa-en/product-HK379T-000.html</t>
  </si>
  <si>
    <t>http://www.te.com/usa-en/product-4Z9454-000.html</t>
  </si>
  <si>
    <t>http://www.te.com/usa-en/product-L2134Z-000.html</t>
  </si>
  <si>
    <t>http://www.te.com/usa-en/product-21244H-000.html</t>
  </si>
  <si>
    <t>http://www.te.com/usa-en/product-BB3399-000.html</t>
  </si>
  <si>
    <t>http://www.te.com/usa-en/product-CZ9645-000.html</t>
  </si>
  <si>
    <t>http://www.te.com/usa-en/product-499268-000.html</t>
  </si>
  <si>
    <t>http://www.te.com/usa-en/product-301392-000.html</t>
  </si>
  <si>
    <t>http://www.te.com/usa-en/product-595188-000.html</t>
  </si>
  <si>
    <t>http://www.te.com/usa-en/product-940650-000.html</t>
  </si>
  <si>
    <t>http://www.te.com/usa-en/product-131520-000.html</t>
  </si>
  <si>
    <t>http://www.te.com/usa-en/product-584026-000.html</t>
  </si>
  <si>
    <t>http://www.te.com/usa-en/product-702794-000.html</t>
  </si>
  <si>
    <t>http://www.te.com/usa-en/product-171638-000.html</t>
  </si>
  <si>
    <t>http://www.te.com/usa-en/product-914588-000.html</t>
  </si>
  <si>
    <t>http://www.te.com/usa-en/product-385640-000.html</t>
  </si>
  <si>
    <t>http://www.te.com/usa-en/product-607196-000.html</t>
  </si>
  <si>
    <t>http://www.te.com/usa-en/product-418220-000.html</t>
  </si>
  <si>
    <t>http://www.te.com/usa-en/product-023846-000.html</t>
  </si>
  <si>
    <t>http://www.te.com/usa-en/product-470636-000.html</t>
  </si>
  <si>
    <t>http://www.te.com/usa-en/product-301910-000.html</t>
  </si>
  <si>
    <t>http://www.te.com/usa-en/product-148582-000.html</t>
  </si>
  <si>
    <t>http://www.te.com/usa-en/product-635008-000.html</t>
  </si>
  <si>
    <t>http://www.te.com/usa-en/product-984054-000.html</t>
  </si>
  <si>
    <t>http://www.te.com/usa-en/product-298296-000.html</t>
  </si>
  <si>
    <t>http://www.te.com/usa-en/product-698376-000.html</t>
  </si>
  <si>
    <t>http://www.te.com/usa-en/product-402962-000.html</t>
  </si>
  <si>
    <t>http://www.te.com/usa-en/product-022528-000.html</t>
  </si>
  <si>
    <t>http://www.te.com/usa-en/product-812812-000.html</t>
  </si>
  <si>
    <t>http://www.te.com/usa-en/product-428660-000.html</t>
  </si>
  <si>
    <t>http://www.te.com/usa-en/product-690096-000.html</t>
  </si>
  <si>
    <t>http://www.te.com/usa-en/product-281328-000.html</t>
  </si>
  <si>
    <t>http://www.te.com/usa-en/product-061496-000.html</t>
  </si>
  <si>
    <t>http://www.te.com/usa-en/product-636452-000.html</t>
  </si>
  <si>
    <t>http://www.te.com/usa-en/product-608168-000.html</t>
  </si>
  <si>
    <t>http://www.te.com/usa-en/product-5J5271-000.html</t>
  </si>
  <si>
    <t>http://www.te.com/usa-en/product-304514-000.html</t>
  </si>
  <si>
    <t>http://www.te.com/usa-en/product-J2745D-000.html</t>
  </si>
  <si>
    <t>http://www.te.com/usa-en/product-476512-000.html</t>
  </si>
  <si>
    <t>http://www.te.com/usa-en/product-395430-000.html</t>
  </si>
  <si>
    <t>http://www.te.com/usa-en/product-027586-000.html</t>
  </si>
  <si>
    <t>http://www.te.com/usa-en/product-Y12345-000.html</t>
  </si>
  <si>
    <t>http://www.te.com/usa-en/product-D02595-000.html</t>
  </si>
  <si>
    <t>http://www.te.com/usa-en/product-8Q526Y-000.html</t>
  </si>
  <si>
    <t>http://www.te.com/usa-en/product-797970-000.html</t>
  </si>
  <si>
    <t>http://www.te.com/usa-en/product-023838-000.html</t>
  </si>
  <si>
    <t>http://www.te.com/usa-en/product-217152-000.html</t>
  </si>
  <si>
    <t>http://www.te.com/usa-en/product-147234-000.html</t>
  </si>
  <si>
    <t>http://www.te.com/usa-en/product-509548-000.html</t>
  </si>
  <si>
    <t>http://www.te.com/usa-en/product-263542-000.html</t>
  </si>
  <si>
    <t>http://www.te.com/usa-en/product-935286-000.html</t>
  </si>
  <si>
    <t>http://www.te.com/usa-en/product-3E7425-000.html</t>
  </si>
  <si>
    <t>http://www.te.com/usa-en/product-908604-000.html</t>
  </si>
  <si>
    <t>http://www.te.com/usa-en/product-929618-000.html</t>
  </si>
  <si>
    <t>http://www.te.com/usa-en/product-751826-000.html</t>
  </si>
  <si>
    <t>http://www.te.com/usa-en/product-47667-8.html</t>
  </si>
  <si>
    <t>http://www.te.com/usa-en/product-69437.html</t>
  </si>
  <si>
    <t>http://www.te.com/usa-en/product-69610-1.html</t>
  </si>
  <si>
    <t>http://www.te.com/usa-en/product-69610-2.html</t>
  </si>
  <si>
    <t>http://www.te.com/usa-en/product-69611.html</t>
  </si>
  <si>
    <t>http://www.te.com/usa-en/product-69612.html</t>
  </si>
  <si>
    <t>http://www.te.com/usa-en/product-69633-2.html</t>
  </si>
  <si>
    <t>http://www.te.com/usa-en/product-69674.html</t>
  </si>
  <si>
    <t>http://www.te.com/usa-en/product-69684.html</t>
  </si>
  <si>
    <t>http://www.te.com/usa-en/product-69685-1.html</t>
  </si>
  <si>
    <t>http://www.te.com/usa-en/product-69816.html</t>
  </si>
  <si>
    <t>http://www.te.com/usa-en/product-69833-1.html</t>
  </si>
  <si>
    <t>http://www.te.com/usa-en/product-69847.html</t>
  </si>
  <si>
    <t>http://www.te.com/usa-en/product-69883.html</t>
  </si>
  <si>
    <t>http://www.te.com/usa-en/product-69900.html</t>
  </si>
  <si>
    <t>http://www.te.com/usa-en/product-69947.html</t>
  </si>
  <si>
    <t>http://www.te.com/usa-en/product-80408-2.html</t>
  </si>
  <si>
    <t>http://www.te.com/usa-en/product-80408-4.html</t>
  </si>
  <si>
    <t>http://www.te.com/usa-en/product-80408-6.html</t>
  </si>
  <si>
    <t>http://www.te.com/usa-en/product-80408-7.html</t>
  </si>
  <si>
    <t>http://www.te.com/usa-en/product-80665-2.html</t>
  </si>
  <si>
    <t>http://www.te.com/usa-en/product-80665-3.html</t>
  </si>
  <si>
    <t>http://www.te.com/usa-en/product-81416-1.html</t>
  </si>
  <si>
    <t>http://www.te.com/usa-en/product-81416-3.html</t>
  </si>
  <si>
    <t>http://www.te.com/usa-en/product-81416-6.html</t>
  </si>
  <si>
    <t>http://www.te.com/usa-en/product-81667-1.html</t>
  </si>
  <si>
    <t>http://www.te.com/usa-en/product-81673-2.html</t>
  </si>
  <si>
    <t>http://www.te.com/usa-en/product-81723-1.html</t>
  </si>
  <si>
    <t>http://www.te.com/usa-en/product-81723-2.html</t>
  </si>
  <si>
    <t>http://www.te.com/usa-en/product-81723-8.html</t>
  </si>
  <si>
    <t>http://www.te.com/usa-en/product-81723-9.html</t>
  </si>
  <si>
    <t>http://www.te.com/usa-en/product-83005-1.html</t>
  </si>
  <si>
    <t>http://www.te.com/usa-en/product-83005-2.html</t>
  </si>
  <si>
    <t>http://www.te.com/usa-en/product-83005-3.html</t>
  </si>
  <si>
    <t>http://www.te.com/usa-en/product-83005-4.html</t>
  </si>
  <si>
    <t>http://www.te.com/usa-en/product-83005-5.html</t>
  </si>
  <si>
    <t>http://www.te.com/usa-en/product-83010-1.html</t>
  </si>
  <si>
    <t>http://www.te.com/usa-en/product-83364-1.html</t>
  </si>
  <si>
    <t>http://www.te.com/usa-en/product-83396-1.html</t>
  </si>
  <si>
    <t>http://www.te.com/usa-en/product-83423-1.html</t>
  </si>
  <si>
    <t>http://www.te.com/usa-en/product-83447-7.html</t>
  </si>
  <si>
    <t>http://www.te.com/usa-en/product-83447-9.html</t>
  </si>
  <si>
    <t>http://www.te.com/usa-en/product-83470-1.html</t>
  </si>
  <si>
    <t>http://www.te.com/usa-en/product-83470-2.html</t>
  </si>
  <si>
    <t>http://www.te.com/usa-en/product-83470-3.html</t>
  </si>
  <si>
    <t>http://www.te.com/usa-en/product-83470-4.html</t>
  </si>
  <si>
    <t>http://www.te.com/usa-en/product-83471-1.html</t>
  </si>
  <si>
    <t>http://www.te.com/usa-en/product-83589-4.html</t>
  </si>
  <si>
    <t>http://www.te.com/usa-en/product-83592-1.html</t>
  </si>
  <si>
    <t>http://www.te.com/usa-en/product-83592-2.html</t>
  </si>
  <si>
    <t>http://www.te.com/usa-en/product-83592-3.html</t>
  </si>
  <si>
    <t>http://www.te.com/usa-en/product-83592-4.html</t>
  </si>
  <si>
    <t>http://www.te.com/usa-en/product-83592-5.html</t>
  </si>
  <si>
    <t>http://www.te.com/usa-en/product-83592-6.html</t>
  </si>
  <si>
    <t>http://www.te.com/usa-en/product-83592-7.html</t>
  </si>
  <si>
    <t>http://www.te.com/usa-en/product-83592-8.html</t>
  </si>
  <si>
    <t>http://www.te.com/usa-en/product-83592-9.html</t>
  </si>
  <si>
    <t>http://www.te.com/usa-en/product-83623-1.html</t>
  </si>
  <si>
    <t>http://www.te.com/usa-en/product-83623-2.html</t>
  </si>
  <si>
    <t>http://www.te.com/usa-en/product-83623-3.html</t>
  </si>
  <si>
    <t>http://www.te.com/usa-en/product-83623-4.html</t>
  </si>
  <si>
    <t>http://www.te.com/usa-en/product-83623-5.html</t>
  </si>
  <si>
    <t>http://www.te.com/usa-en/product-83623-7.html</t>
  </si>
  <si>
    <t>http://www.te.com/usa-en/product-83623-8.html</t>
  </si>
  <si>
    <t>http://www.te.com/usa-en/product-83623-9.html</t>
  </si>
  <si>
    <t>http://www.te.com/usa-en/product-83630-1.html</t>
  </si>
  <si>
    <t>http://www.te.com/usa-en/product-83630-2.html</t>
  </si>
  <si>
    <t>http://www.te.com/usa-en/product-83630-3.html</t>
  </si>
  <si>
    <t>http://www.te.com/usa-en/product-83630-4.html</t>
  </si>
  <si>
    <t>http://www.te.com/usa-en/product-83630-5.html</t>
  </si>
  <si>
    <t>http://www.te.com/usa-en/product-83630-6.html</t>
  </si>
  <si>
    <t>http://www.te.com/usa-en/product-83630-7.html</t>
  </si>
  <si>
    <t>http://www.te.com/usa-en/product-83630-8.html</t>
  </si>
  <si>
    <t>http://www.te.com/usa-en/product-83630-9.html</t>
  </si>
  <si>
    <t>http://www.te.com/usa-en/product-83631-1.html</t>
  </si>
  <si>
    <t>http://www.te.com/usa-en/product-83631-2.html</t>
  </si>
  <si>
    <t>http://www.te.com/usa-en/product-83631-3.html</t>
  </si>
  <si>
    <t>http://www.te.com/usa-en/product-83631-4.html</t>
  </si>
  <si>
    <t>http://www.te.com/usa-en/product-83631-5.html</t>
  </si>
  <si>
    <t>http://www.te.com/usa-en/product-83631-6.html</t>
  </si>
  <si>
    <t>http://www.te.com/usa-en/product-83631-7.html</t>
  </si>
  <si>
    <t>http://www.te.com/usa-en/product-83631-8.html</t>
  </si>
  <si>
    <t>http://www.te.com/usa-en/product-83631-9.html</t>
  </si>
  <si>
    <t>http://www.te.com/usa-en/product-83647-1.html</t>
  </si>
  <si>
    <t>http://www.te.com/usa-en/product-83747-1.html</t>
  </si>
  <si>
    <t>http://www.te.com/usa-en/product-83747-2.html</t>
  </si>
  <si>
    <t>http://www.te.com/usa-en/product-83747-3.html</t>
  </si>
  <si>
    <t>http://www.te.com/usa-en/product-83747-4.html</t>
  </si>
  <si>
    <t>http://www.te.com/usa-en/product-83748-1.html</t>
  </si>
  <si>
    <t>http://www.te.com/usa-en/product-83748-2.html</t>
  </si>
  <si>
    <t>http://www.te.com/usa-en/product-83748-3.html</t>
  </si>
  <si>
    <t>http://www.te.com/usa-en/product-83748-4.html</t>
  </si>
  <si>
    <t>http://www.te.com/usa-en/product-83749-1.html</t>
  </si>
  <si>
    <t>http://www.te.com/usa-en/product-83749-2.html</t>
  </si>
  <si>
    <t>http://www.te.com/usa-en/product-83749-3.html</t>
  </si>
  <si>
    <t>http://www.te.com/usa-en/product-83749-4.html</t>
  </si>
  <si>
    <t>http://www.te.com/usa-en/product-83750-1.html</t>
  </si>
  <si>
    <t>http://www.te.com/usa-en/product-83750-3.html</t>
  </si>
  <si>
    <t>http://www.te.com/usa-en/product-83750-6.html</t>
  </si>
  <si>
    <t>http://www.te.com/usa-en/product-83751-1.html</t>
  </si>
  <si>
    <t>http://www.te.com/usa-en/product-83751-3.html</t>
  </si>
  <si>
    <t>http://www.te.com/usa-en/product-83843-1.html</t>
  </si>
  <si>
    <t>http://www.te.com/usa-en/product-83843-2.html</t>
  </si>
  <si>
    <t>http://www.te.com/usa-en/product-83843-3.html</t>
  </si>
  <si>
    <t>http://www.te.com/usa-en/product-83843-4.html</t>
  </si>
  <si>
    <t>http://www.te.com/usa-en/product-83843-5.html</t>
  </si>
  <si>
    <t>http://www.te.com/usa-en/product-83843-6.html</t>
  </si>
  <si>
    <t>http://www.te.com/usa-en/product-83843-7.html</t>
  </si>
  <si>
    <t>http://www.te.com/usa-en/product-83843-8.html</t>
  </si>
  <si>
    <t>http://www.te.com/usa-en/product-83843-9.html</t>
  </si>
  <si>
    <t>http://www.te.com/usa-en/product-83861-1.html</t>
  </si>
  <si>
    <t>http://www.te.com/usa-en/product-83866-4.html</t>
  </si>
  <si>
    <t>http://www.te.com/usa-en/product-83866-6.html</t>
  </si>
  <si>
    <t>http://www.te.com/usa-en/product-83962-1.html</t>
  </si>
  <si>
    <t>http://www.te.com/usa-en/product-109424-1.html</t>
  </si>
  <si>
    <t>http://www.te.com/usa-en/product-109433-1.html</t>
  </si>
  <si>
    <t>http://www.te.com/usa-en/product-109717-1.html</t>
  </si>
  <si>
    <t>http://www.te.com/usa-en/product-275187-1.html</t>
  </si>
  <si>
    <t>http://www.te.com/usa-en/product-275187-2.html</t>
  </si>
  <si>
    <t>http://www.te.com/usa-en/product-275187-3.html</t>
  </si>
  <si>
    <t>http://www.te.com/usa-en/product-275187-4.html</t>
  </si>
  <si>
    <t>http://www.te.com/usa-en/product-275187-5.html</t>
  </si>
  <si>
    <t>http://www.te.com/usa-en/product-275187-6.html</t>
  </si>
  <si>
    <t>http://www.te.com/usa-en/product-275187-7.html</t>
  </si>
  <si>
    <t>http://www.te.com/usa-en/product-275187-8.html</t>
  </si>
  <si>
    <t>http://www.te.com/usa-en/product-275187-9.html</t>
  </si>
  <si>
    <t>http://www.te.com/usa-en/product-275435-1.html</t>
  </si>
  <si>
    <t>http://www.te.com/usa-en/product-275436-1.html</t>
  </si>
  <si>
    <t>http://www.te.com/usa-en/product-276300-1.html</t>
  </si>
  <si>
    <t>http://www.te.com/usa-en/product-276337-2.html</t>
  </si>
  <si>
    <t>http://www.te.com/usa-en/product-276337-5.html</t>
  </si>
  <si>
    <t>http://www.te.com/usa-en/product-276337-6.html</t>
  </si>
  <si>
    <t>http://www.te.com/usa-en/product-276337-7.html</t>
  </si>
  <si>
    <t>http://www.te.com/usa-en/product-276337-8.html</t>
  </si>
  <si>
    <t>http://www.te.com/usa-en/product-276337-9.html</t>
  </si>
  <si>
    <t>http://www.te.com/usa-en/product-276478-1.html</t>
  </si>
  <si>
    <t>http://www.te.com/usa-en/product-276915-1.html</t>
  </si>
  <si>
    <t>http://www.te.com/usa-en/product-306347-1.html</t>
  </si>
  <si>
    <t>http://www.te.com/usa-en/product-306348-1.html</t>
  </si>
  <si>
    <t>http://www.te.com/usa-en/product-306349-1.html</t>
  </si>
  <si>
    <t>http://www.te.com/usa-en/product-306349-2.html</t>
  </si>
  <si>
    <t>http://www.te.com/usa-en/product-306350-2.html</t>
  </si>
  <si>
    <t>http://www.te.com/usa-en/product-306814-3.html</t>
  </si>
  <si>
    <t>http://www.te.com/usa-en/product-308967-1.html</t>
  </si>
  <si>
    <t>http://www.te.com/usa-en/product-314196-1.html</t>
  </si>
  <si>
    <t>http://www.te.com/usa-en/product-314199-1.html</t>
  </si>
  <si>
    <t>http://www.te.com/usa-en/product-444033-1.html</t>
  </si>
  <si>
    <t>http://www.te.com/usa-en/product-561118-1.html</t>
  </si>
  <si>
    <t>http://www.te.com/usa-en/product-569398-1.html</t>
  </si>
  <si>
    <t>http://www.te.com/usa-en/product-600403.html</t>
  </si>
  <si>
    <t>http://www.te.com/usa-en/product-600411.html</t>
  </si>
  <si>
    <t>http://www.te.com/usa-en/product-600446.html</t>
  </si>
  <si>
    <t>http://www.te.com/usa-en/product-600447.html</t>
  </si>
  <si>
    <t>http://www.te.com/usa-en/product-600448.html</t>
  </si>
  <si>
    <t>http://www.te.com/usa-en/product-600455.html</t>
  </si>
  <si>
    <t>http://www.te.com/usa-en/product-600456.html</t>
  </si>
  <si>
    <t>http://www.te.com/usa-en/product-600458.html</t>
  </si>
  <si>
    <t>http://www.te.com/usa-en/product-600459.html</t>
  </si>
  <si>
    <t>http://www.te.com/usa-en/product-600463.html</t>
  </si>
  <si>
    <t>http://www.te.com/usa-en/product-600464.html</t>
  </si>
  <si>
    <t>http://www.te.com/usa-en/product-600465.html</t>
  </si>
  <si>
    <t>http://www.te.com/usa-en/product-600466.html</t>
  </si>
  <si>
    <t>http://www.te.com/usa-en/product-600468.html</t>
  </si>
  <si>
    <t>http://www.te.com/usa-en/product-600469.html</t>
  </si>
  <si>
    <t>http://www.te.com/usa-en/product-600474.html</t>
  </si>
  <si>
    <t>http://www.te.com/usa-en/product-602000.html</t>
  </si>
  <si>
    <t>http://www.te.com/usa-en/product-602001.html</t>
  </si>
  <si>
    <t>http://www.te.com/usa-en/product-602002.html</t>
  </si>
  <si>
    <t>http://www.te.com/usa-en/product-602003.html</t>
  </si>
  <si>
    <t>http://www.te.com/usa-en/product-602004.html</t>
  </si>
  <si>
    <t>http://www.te.com/usa-en/product-602006.html</t>
  </si>
  <si>
    <t>http://www.te.com/usa-en/product-602007.html</t>
  </si>
  <si>
    <t>http://www.te.com/usa-en/product-602013.html</t>
  </si>
  <si>
    <t>http://www.te.com/usa-en/product-602014.html</t>
  </si>
  <si>
    <t>http://www.te.com/usa-en/product-602031-8.html</t>
  </si>
  <si>
    <t>http://www.te.com/usa-en/product-602031-9.html</t>
  </si>
  <si>
    <t>http://www.te.com/usa-en/product-602046-1.html</t>
  </si>
  <si>
    <t>http://www.te.com/usa-en/product-602046-2.html</t>
  </si>
  <si>
    <t>http://www.te.com/usa-en/product-602046-3.html</t>
  </si>
  <si>
    <t>http://www.te.com/usa-en/product-602046-4.html</t>
  </si>
  <si>
    <t>http://www.te.com/usa-en/product-602046-5.html</t>
  </si>
  <si>
    <t>http://www.te.com/usa-en/product-602046-6.html</t>
  </si>
  <si>
    <t>http://www.te.com/usa-en/product-602046-7.html</t>
  </si>
  <si>
    <t>http://www.te.com/usa-en/product-602046-9.html</t>
  </si>
  <si>
    <t>http://www.te.com/usa-en/product-602047.html</t>
  </si>
  <si>
    <t>http://www.te.com/usa-en/product-602061.html</t>
  </si>
  <si>
    <t>http://www.te.com/usa-en/product-602080.html</t>
  </si>
  <si>
    <t>http://www.te.com/usa-en/product-602089.html</t>
  </si>
  <si>
    <t>http://www.te.com/usa-en/product-602093.html</t>
  </si>
  <si>
    <t>http://www.te.com/usa-en/product-602097.html</t>
  </si>
  <si>
    <t>http://www.te.com/usa-en/product-602099.html</t>
  </si>
  <si>
    <t>http://www.te.com/usa-en/product-602104.html</t>
  </si>
  <si>
    <t>http://www.te.com/usa-en/product-602107.html</t>
  </si>
  <si>
    <t>http://www.te.com/usa-en/product-602115.html</t>
  </si>
  <si>
    <t>http://www.te.com/usa-en/product-602121.html</t>
  </si>
  <si>
    <t>http://www.te.com/usa-en/product-602121-1.html</t>
  </si>
  <si>
    <t>http://www.te.com/usa-en/product-602121-2.html</t>
  </si>
  <si>
    <t>http://www.te.com/usa-en/product-602121-3.html</t>
  </si>
  <si>
    <t>http://www.te.com/usa-en/product-602121-4.html</t>
  </si>
  <si>
    <t>http://www.te.com/usa-en/product-602121-5.html</t>
  </si>
  <si>
    <t>http://www.te.com/usa-en/product-602121-6.html</t>
  </si>
  <si>
    <t>http://www.te.com/usa-en/product-602121-7.html</t>
  </si>
  <si>
    <t>http://www.te.com/usa-en/product-602121-8.html</t>
  </si>
  <si>
    <t>http://www.te.com/usa-en/product-602121-9.html</t>
  </si>
  <si>
    <t>http://www.te.com/usa-en/product-602136.html</t>
  </si>
  <si>
    <t>http://www.te.com/usa-en/product-602142.html</t>
  </si>
  <si>
    <t>http://www.te.com/usa-en/product-602143.html</t>
  </si>
  <si>
    <t>http://www.te.com/usa-en/product-602162.html</t>
  </si>
  <si>
    <t>http://www.te.com/usa-en/product-602163.html</t>
  </si>
  <si>
    <t>http://www.te.com/usa-en/product-602173.html</t>
  </si>
  <si>
    <t>http://www.te.com/usa-en/product-602174.html</t>
  </si>
  <si>
    <t>http://www.te.com/usa-en/product-602178.html</t>
  </si>
  <si>
    <t>http://www.te.com/usa-en/product-602180.html</t>
  </si>
  <si>
    <t>http://www.te.com/usa-en/product-602180-1.html</t>
  </si>
  <si>
    <t>http://www.te.com/usa-en/product-602180-2.html</t>
  </si>
  <si>
    <t>http://www.te.com/usa-en/product-602180-3.html</t>
  </si>
  <si>
    <t>http://www.te.com/usa-en/product-602180-4.html</t>
  </si>
  <si>
    <t>http://www.te.com/usa-en/product-602180-5.html</t>
  </si>
  <si>
    <t>http://www.te.com/usa-en/product-602180-6.html</t>
  </si>
  <si>
    <t>http://www.te.com/usa-en/product-602180-7.html</t>
  </si>
  <si>
    <t>http://www.te.com/usa-en/product-602180-8.html</t>
  </si>
  <si>
    <t>http://www.te.com/usa-en/product-602180-9.html</t>
  </si>
  <si>
    <t>http://www.te.com/usa-en/product-602201.html</t>
  </si>
  <si>
    <t>http://www.te.com/usa-en/product-602237.html</t>
  </si>
  <si>
    <t>http://www.te.com/usa-en/product-602247.html</t>
  </si>
  <si>
    <t>http://www.te.com/usa-en/product-602283.html</t>
  </si>
  <si>
    <t>http://www.te.com/usa-en/product-602283-1.html</t>
  </si>
  <si>
    <t>http://www.te.com/usa-en/product-602283-2.html</t>
  </si>
  <si>
    <t>http://www.te.com/usa-en/product-602283-3.html</t>
  </si>
  <si>
    <t>http://www.te.com/usa-en/product-602283-4.html</t>
  </si>
  <si>
    <t>http://www.te.com/usa-en/product-602283-5.html</t>
  </si>
  <si>
    <t>http://www.te.com/usa-en/product-602283-6.html</t>
  </si>
  <si>
    <t>http://www.te.com/usa-en/product-602283-7.html</t>
  </si>
  <si>
    <t>http://www.te.com/usa-en/product-602283-8.html</t>
  </si>
  <si>
    <t>http://www.te.com/usa-en/product-602284.html</t>
  </si>
  <si>
    <t>http://www.te.com/usa-en/product-602285.html</t>
  </si>
  <si>
    <t>http://www.te.com/usa-en/product-602286.html</t>
  </si>
  <si>
    <t>http://www.te.com/usa-en/product-602287.html</t>
  </si>
  <si>
    <t>http://www.te.com/usa-en/product-602300.html</t>
  </si>
  <si>
    <t>http://www.te.com/usa-en/product-602300-1.html</t>
  </si>
  <si>
    <t>http://www.te.com/usa-en/product-602300-2.html</t>
  </si>
  <si>
    <t>http://www.te.com/usa-en/product-602300-3.html</t>
  </si>
  <si>
    <t>http://www.te.com/usa-en/product-602300-4.html</t>
  </si>
  <si>
    <t>http://www.te.com/usa-en/product-602300-5.html</t>
  </si>
  <si>
    <t>http://www.te.com/usa-en/product-602300-6.html</t>
  </si>
  <si>
    <t>http://www.te.com/usa-en/product-602300-7.html</t>
  </si>
  <si>
    <t>http://www.te.com/usa-en/product-602300-8.html</t>
  </si>
  <si>
    <t>http://www.te.com/usa-en/product-602300-9.html</t>
  </si>
  <si>
    <t>http://www.te.com/usa-en/product-602380.html</t>
  </si>
  <si>
    <t>http://www.te.com/usa-en/product-602380-1.html</t>
  </si>
  <si>
    <t>http://www.te.com/usa-en/product-602380-2.html</t>
  </si>
  <si>
    <t>http://www.te.com/usa-en/product-602380-3.html</t>
  </si>
  <si>
    <t>http://www.te.com/usa-en/product-602380-4.html</t>
  </si>
  <si>
    <t>http://www.te.com/usa-en/product-602380-5.html</t>
  </si>
  <si>
    <t>http://www.te.com/usa-en/product-602380-6.html</t>
  </si>
  <si>
    <t>http://www.te.com/usa-en/product-602380-7.html</t>
  </si>
  <si>
    <t>http://www.te.com/usa-en/product-602502.html</t>
  </si>
  <si>
    <t>http://www.te.com/usa-en/product-602585.html</t>
  </si>
  <si>
    <t>http://www.te.com/usa-en/product-602586.html</t>
  </si>
  <si>
    <t>http://www.te.com/usa-en/product-607501-1.html</t>
  </si>
  <si>
    <t>http://www.te.com/usa-en/product-608338-1.html</t>
  </si>
  <si>
    <t>http://www.te.com/usa-en/product-608877-1.html</t>
  </si>
  <si>
    <t>http://www.te.com/usa-en/product-881787-1.html</t>
  </si>
  <si>
    <t>http://www.te.com/usa-en/product-1443208-1.html</t>
  </si>
  <si>
    <t>http://www.te.com/usa-en/product-1443209-1.html</t>
  </si>
  <si>
    <t>http://www.te.com/usa-en/product-1443312-1.html</t>
  </si>
  <si>
    <t>http://www.te.com/usa-en/product-1443412-1.html</t>
  </si>
  <si>
    <t>http://www.te.com/usa-en/product-1443413-1.html</t>
  </si>
  <si>
    <t>http://www.te.com/usa-en/product-1443414-1.html</t>
  </si>
  <si>
    <t>http://www.te.com/usa-en/product-1443448-1.html</t>
  </si>
  <si>
    <t>http://www.te.com/usa-en/product-1443454-3.html</t>
  </si>
  <si>
    <t>http://www.te.com/usa-en/product-1710523-1.html</t>
  </si>
  <si>
    <t>http://www.te.com/usa-en/product-1710722-2.html</t>
  </si>
  <si>
    <t>http://www.te.com/usa-en/product-1710722-3.html</t>
  </si>
  <si>
    <t>http://www.te.com/usa-en/product-1710722-4.html</t>
  </si>
  <si>
    <t>http://www.te.com/usa-en/product-1710723-1.html</t>
  </si>
  <si>
    <t>http://www.te.com/usa-en/product-1710723-2.html</t>
  </si>
  <si>
    <t>http://www.te.com/usa-en/product-1710723-4.html</t>
  </si>
  <si>
    <t>http://www.te.com/usa-en/product-1710723-5.html</t>
  </si>
  <si>
    <t>http://www.te.com/usa-en/product-1710723-6.html</t>
  </si>
  <si>
    <t>http://www.te.com/usa-en/product-1710723-8.html</t>
  </si>
  <si>
    <t>http://www.te.com/usa-en/product-1710723-9.html</t>
  </si>
  <si>
    <t>http://www.te.com/usa-en/product-1710724-2.html</t>
  </si>
  <si>
    <t>http://www.te.com/usa-en/product-1710724-3.html</t>
  </si>
  <si>
    <t>http://www.te.com/usa-en/product-1710724-4.html</t>
  </si>
  <si>
    <t>http://www.te.com/usa-en/product-1710725-1.html</t>
  </si>
  <si>
    <t>http://www.te.com/usa-en/product-1710725-2.html</t>
  </si>
  <si>
    <t>http://www.te.com/usa-en/product-1710725-4.html</t>
  </si>
  <si>
    <t>http://www.te.com/usa-en/product-1710725-5.html</t>
  </si>
  <si>
    <t>http://www.te.com/usa-en/product-1710725-6.html</t>
  </si>
  <si>
    <t>http://www.te.com/usa-en/product-1710725-7.html</t>
  </si>
  <si>
    <t>http://www.te.com/usa-en/product-1710725-8.html</t>
  </si>
  <si>
    <t>http://www.te.com/usa-en/product-1710726-2.html</t>
  </si>
  <si>
    <t>http://www.te.com/usa-en/product-1710726-3.html</t>
  </si>
  <si>
    <t>http://www.te.com/usa-en/product-1710726-4.html</t>
  </si>
  <si>
    <t>http://www.te.com/usa-en/product-1710727-1.html</t>
  </si>
  <si>
    <t>http://www.te.com/usa-en/product-1710727-2.html</t>
  </si>
  <si>
    <t>http://www.te.com/usa-en/product-1710727-3.html</t>
  </si>
  <si>
    <t>http://www.te.com/usa-en/product-1710727-4.html</t>
  </si>
  <si>
    <t>http://www.te.com/usa-en/product-1710727-5.html</t>
  </si>
  <si>
    <t>http://www.te.com/usa-en/product-1710727-6.html</t>
  </si>
  <si>
    <t>http://www.te.com/usa-en/product-1710727-8.html</t>
  </si>
  <si>
    <t>http://www.te.com/usa-en/product-1710728-2.html</t>
  </si>
  <si>
    <t>http://www.te.com/usa-en/product-1710728-3.html</t>
  </si>
  <si>
    <t>http://www.te.com/usa-en/product-1710729-1.html</t>
  </si>
  <si>
    <t>http://www.te.com/usa-en/product-1710729-2.html</t>
  </si>
  <si>
    <t>http://www.te.com/usa-en/product-1710729-4.html</t>
  </si>
  <si>
    <t>http://www.te.com/usa-en/product-1710729-5.html</t>
  </si>
  <si>
    <t>http://www.te.com/usa-en/product-1710729-6.html</t>
  </si>
  <si>
    <t>http://www.te.com/usa-en/product-1710729-8.html</t>
  </si>
  <si>
    <t>http://www.te.com/usa-en/product-1710730-3.html</t>
  </si>
  <si>
    <t>http://www.te.com/usa-en/product-1710730-4.html</t>
  </si>
  <si>
    <t>http://www.te.com/usa-en/product-1710731-1.html</t>
  </si>
  <si>
    <t>http://www.te.com/usa-en/product-1710731-2.html</t>
  </si>
  <si>
    <t>http://www.te.com/usa-en/product-1710731-4.html</t>
  </si>
  <si>
    <t>http://www.te.com/usa-en/product-1710731-5.html</t>
  </si>
  <si>
    <t>http://www.te.com/usa-en/product-1710731-6.html</t>
  </si>
  <si>
    <t>http://www.te.com/usa-en/product-1710731-8.html</t>
  </si>
  <si>
    <t>http://www.te.com/usa-en/product-1710732-1.html</t>
  </si>
  <si>
    <t>http://www.te.com/usa-en/product-1710732-2.html</t>
  </si>
  <si>
    <t>http://www.te.com/usa-en/product-1710732-3.html</t>
  </si>
  <si>
    <t>http://www.te.com/usa-en/product-1710732-4.html</t>
  </si>
  <si>
    <t>http://www.te.com/usa-en/product-1710733-1.html</t>
  </si>
  <si>
    <t>http://www.te.com/usa-en/product-1710733-2.html</t>
  </si>
  <si>
    <t>http://www.te.com/usa-en/product-1710733-4.html</t>
  </si>
  <si>
    <t>http://www.te.com/usa-en/product-1710733-5.html</t>
  </si>
  <si>
    <t>http://www.te.com/usa-en/product-1710733-7.html</t>
  </si>
  <si>
    <t>http://www.te.com/usa-en/product-1710733-8.html</t>
  </si>
  <si>
    <t>http://www.te.com/usa-en/product-1710734-1.html</t>
  </si>
  <si>
    <t>http://www.te.com/usa-en/product-1710735-1.html</t>
  </si>
  <si>
    <t>http://www.te.com/usa-en/product-1710735-3.html</t>
  </si>
  <si>
    <t>http://www.te.com/usa-en/product-1710735-4.html</t>
  </si>
  <si>
    <t>http://www.te.com/usa-en/product-1710735-5.html</t>
  </si>
  <si>
    <t>http://www.te.com/usa-en/product-1710735-6.html</t>
  </si>
  <si>
    <t>http://www.te.com/usa-en/product-1710735-7.html</t>
  </si>
  <si>
    <t>http://www.te.com/usa-en/product-1710735-8.html</t>
  </si>
  <si>
    <t>http://www.te.com/usa-en/product-1710736-1.html</t>
  </si>
  <si>
    <t>http://www.te.com/usa-en/product-1710737-1.html</t>
  </si>
  <si>
    <t>http://www.te.com/usa-en/product-1710737-3.html</t>
  </si>
  <si>
    <t>http://www.te.com/usa-en/product-1710737-5.html</t>
  </si>
  <si>
    <t>http://www.te.com/usa-en/product-1-81723-0.html</t>
  </si>
  <si>
    <t>http://www.te.com/usa-en/product-1-81723-1.html</t>
  </si>
  <si>
    <t>http://www.te.com/usa-en/product-1-81723-2.html</t>
  </si>
  <si>
    <t>http://www.te.com/usa-en/product-1-81723-3.html</t>
  </si>
  <si>
    <t>http://www.te.com/usa-en/product-1-83447-0.html</t>
  </si>
  <si>
    <t>http://www.te.com/usa-en/product-1-83592-0.html</t>
  </si>
  <si>
    <t>http://www.te.com/usa-en/product-1-83592-3.html</t>
  </si>
  <si>
    <t>http://www.te.com/usa-en/product-1-83623-0.html</t>
  </si>
  <si>
    <t>http://www.te.com/usa-en/product-1-83623-1.html</t>
  </si>
  <si>
    <t>http://www.te.com/usa-en/product-1-83623-2.html</t>
  </si>
  <si>
    <t>http://www.te.com/usa-en/product-1-83623-5.html</t>
  </si>
  <si>
    <t>http://www.te.com/usa-en/product-1-83623-7.html</t>
  </si>
  <si>
    <t>http://www.te.com/usa-en/product-1-83623-9.html</t>
  </si>
  <si>
    <t>http://www.te.com/usa-en/product-1-83630-0.html</t>
  </si>
  <si>
    <t>http://www.te.com/usa-en/product-1-83631-1.html</t>
  </si>
  <si>
    <t>http://www.te.com/usa-en/product-1-83631-4.html</t>
  </si>
  <si>
    <t>http://www.te.com/usa-en/product-1-83631-5.html</t>
  </si>
  <si>
    <t>http://www.te.com/usa-en/product-1-83631-7.html</t>
  </si>
  <si>
    <t>http://www.te.com/usa-en/product-1-83631-8.html</t>
  </si>
  <si>
    <t>http://www.te.com/usa-en/product-1-83843-0.html</t>
  </si>
  <si>
    <t>http://www.te.com/usa-en/product-1-83843-1.html</t>
  </si>
  <si>
    <t>http://www.te.com/usa-en/product-1-275187-0.html</t>
  </si>
  <si>
    <t>http://www.te.com/usa-en/product-1-275187-1.html</t>
  </si>
  <si>
    <t>http://www.te.com/usa-en/product-1-275187-2.html</t>
  </si>
  <si>
    <t>http://www.te.com/usa-en/product-1-275187-3.html</t>
  </si>
  <si>
    <t>http://www.te.com/usa-en/product-1-275187-4.html</t>
  </si>
  <si>
    <t>http://www.te.com/usa-en/product-1-275187-5.html</t>
  </si>
  <si>
    <t>http://www.te.com/usa-en/product-1-275187-6.html</t>
  </si>
  <si>
    <t>http://www.te.com/usa-en/product-1-275187-7.html</t>
  </si>
  <si>
    <t>http://www.te.com/usa-en/product-1-275187-8.html</t>
  </si>
  <si>
    <t>http://www.te.com/usa-en/product-1-276337-1.html</t>
  </si>
  <si>
    <t>http://www.te.com/usa-en/product-1-276337-2.html</t>
  </si>
  <si>
    <t>http://www.te.com/usa-en/product-1-276337-3.html</t>
  </si>
  <si>
    <t>http://www.te.com/usa-en/product-1-276337-4.html</t>
  </si>
  <si>
    <t>http://www.te.com/usa-en/product-1-276337-7.html</t>
  </si>
  <si>
    <t>http://www.te.com/usa-en/product-1-276337-8.html</t>
  </si>
  <si>
    <t>http://www.te.com/usa-en/product-1-602031-0.html</t>
  </si>
  <si>
    <t>http://www.te.com/usa-en/product-1-602031-2.html</t>
  </si>
  <si>
    <t>http://www.te.com/usa-en/product-1-602031-3.html</t>
  </si>
  <si>
    <t>http://www.te.com/usa-en/product-1-602031-4.html</t>
  </si>
  <si>
    <t>http://www.te.com/usa-en/product-1-602031-5.html</t>
  </si>
  <si>
    <t>http://www.te.com/usa-en/product-1-602031-6.html</t>
  </si>
  <si>
    <t>http://www.te.com/usa-en/product-1-602031-7.html</t>
  </si>
  <si>
    <t>http://www.te.com/usa-en/product-1-602031-8.html</t>
  </si>
  <si>
    <t>http://www.te.com/usa-en/product-1-602031-9.html</t>
  </si>
  <si>
    <t>http://www.te.com/usa-en/product-1-602121-0.html</t>
  </si>
  <si>
    <t>http://www.te.com/usa-en/product-1-602121-1.html</t>
  </si>
  <si>
    <t>http://www.te.com/usa-en/product-1-602121-2.html</t>
  </si>
  <si>
    <t>http://www.te.com/usa-en/product-1-602121-3.html</t>
  </si>
  <si>
    <t>http://www.te.com/usa-en/product-1-602121-4.html</t>
  </si>
  <si>
    <t>http://www.te.com/usa-en/product-1-602180-0.html</t>
  </si>
  <si>
    <t>http://www.te.com/usa-en/product-1-602180-1.html</t>
  </si>
  <si>
    <t>http://www.te.com/usa-en/product-1-602180-2.html</t>
  </si>
  <si>
    <t>http://www.te.com/usa-en/product-1-602180-3.html</t>
  </si>
  <si>
    <t>http://www.te.com/usa-en/product-1-602180-4.html</t>
  </si>
  <si>
    <t>http://www.te.com/usa-en/product-1-602180-5.html</t>
  </si>
  <si>
    <t>http://www.te.com/usa-en/product-1-602180-6.html</t>
  </si>
  <si>
    <t>http://www.te.com/usa-en/product-1-602300-2.html</t>
  </si>
  <si>
    <t>http://www.te.com/usa-en/product-1-602300-4.html</t>
  </si>
  <si>
    <t>http://www.te.com/usa-en/product-1443455-2.html</t>
  </si>
  <si>
    <t>http://www.te.com/usa-en/product-2-275187-8.html</t>
  </si>
  <si>
    <t>http://www.te.com/usa-en/product-2-276337-8.html</t>
  </si>
  <si>
    <t>http://www.te.com/usa-en/product-2-602031-0.html</t>
  </si>
  <si>
    <t>http://www.te.com/usa-en/product-2-602031-1.html</t>
  </si>
  <si>
    <t>http://www.te.com/usa-en/product-2-602031-2.html</t>
  </si>
  <si>
    <t>http://www.te.com/usa-en/product-3-275187-0.html</t>
  </si>
  <si>
    <t>http://www.te.com/usa-en/product-3-275187-1.html</t>
  </si>
  <si>
    <t>http://www.te.com/usa-en/product-3-275187-3.html</t>
  </si>
  <si>
    <t>http://www.te.com/usa-en/product-3-275187-4.html</t>
  </si>
  <si>
    <t>http://www.te.com/usa-en/product-3-275187-6.html</t>
  </si>
  <si>
    <t>http://www.te.com/usa-en/product-3-275187-7.html</t>
  </si>
  <si>
    <t>http://www.te.com/usa-en/product-3-275187-9.html</t>
  </si>
  <si>
    <t>http://www.te.com/usa-en/product-3-276337-0.html</t>
  </si>
  <si>
    <t>http://www.te.com/usa-en/product-3-276337-2.html</t>
  </si>
  <si>
    <t>http://www.te.com/usa-en/product-3-276337-3.html</t>
  </si>
  <si>
    <t>http://www.te.com/usa-en/product-3-276337-4.html</t>
  </si>
  <si>
    <t>http://www.te.com/usa-en/product-3-276337-5.html</t>
  </si>
  <si>
    <t>http://www.te.com/usa-en/product-3-276337-7.html</t>
  </si>
  <si>
    <t>http://www.te.com/usa-en/product-4-275187-0.html</t>
  </si>
  <si>
    <t>http://www.te.com/usa-en/product-4-276337-3.html</t>
  </si>
  <si>
    <t>http://www.te.com/usa-en/product-4-276337-4.html</t>
  </si>
  <si>
    <t>http://www.te.com/usa-en/product-4-276337-5.html</t>
  </si>
  <si>
    <t>http://www.te.com/usa-en/product-4-276337-6.html</t>
  </si>
  <si>
    <t>http://www.te.com/usa-en/product-4-276337-8.html</t>
  </si>
  <si>
    <t>http://www.te.com/usa-en/product-4-276337-9.html</t>
  </si>
  <si>
    <t>http://www.te.com/usa-en/product-5-276337-3.html</t>
  </si>
  <si>
    <t>http://www.te.com/usa-en/product-5-276337-5.html</t>
  </si>
  <si>
    <t>http://www.te.com/usa-en/product-5-276337-8.html</t>
  </si>
  <si>
    <t>http://www.te.com/usa-en/product-602248.html</t>
  </si>
  <si>
    <t>http://www.te.com/usa-en/product-6-276337-0.html</t>
  </si>
  <si>
    <t>http://www.te.com/usa-en/product-6-276337-2.html</t>
  </si>
  <si>
    <t>http://www.te.com/usa-en/product-69338-1.html</t>
  </si>
  <si>
    <t>http://www.te.com/usa-en/product-69338-2.html</t>
  </si>
  <si>
    <t>http://www.te.com/usa-en/product-69338-4.html</t>
  </si>
  <si>
    <t>http://www.te.com/usa-en/product-69338-5.html</t>
  </si>
  <si>
    <t>http://www.te.com/usa-en/product-1974146-1.html</t>
  </si>
  <si>
    <t>http://www.te.com/usa-en/product-1974151-1.html</t>
  </si>
  <si>
    <t>http://www.te.com/usa-en/product-1974178-1.html</t>
  </si>
  <si>
    <t>http://www.te.com/usa-en/product-1974138-1.html</t>
  </si>
  <si>
    <t>http://www.te.com/usa-en/product-1974139-1.html</t>
  </si>
  <si>
    <t>http://www.te.com/usa-en/product-1974155-1.html</t>
  </si>
  <si>
    <t>http://www.te.com/usa-en/product-1974144-1.html</t>
  </si>
  <si>
    <t>http://www.te.com/usa-en/product-1974145-1.html</t>
  </si>
  <si>
    <t>http://www.te.com/usa-en/product-1574846-4.html</t>
  </si>
  <si>
    <t>http://www.te.com/usa-en/product-1099739-1.html</t>
  </si>
  <si>
    <t>http://www.te.com/usa-en/product-1701211-3.html</t>
  </si>
  <si>
    <t>http://www.te.com/usa-en/product-1974130-1.html</t>
  </si>
  <si>
    <t>http://www.te.com/usa-en/product-1099383-1.html</t>
  </si>
  <si>
    <t>http://www.te.com/usa-en/product-1099735-1.html</t>
  </si>
  <si>
    <t>http://www.te.com/usa-en/product-1099848-1.html</t>
  </si>
  <si>
    <t>http://www.te.com/usa-en/product-1974149-1.html</t>
  </si>
  <si>
    <t>http://www.te.com/usa-en/product-1099368-1.html</t>
  </si>
  <si>
    <t>http://www.te.com/usa-en/product-1099369-1.html</t>
  </si>
  <si>
    <t>http://www.te.com/usa-en/product-1099585-1.html</t>
  </si>
  <si>
    <t>http://www.te.com/usa-en/product-738285-000.html</t>
  </si>
  <si>
    <t>http://www.te.com/usa-en/product-419641-000.html</t>
  </si>
  <si>
    <t>http://www.te.com/usa-en/product-108727-000.html</t>
  </si>
  <si>
    <t>http://www.te.com/usa-en/product-188193-000.html</t>
  </si>
  <si>
    <t>http://www.te.com/usa-en/product-957749-000.html</t>
  </si>
  <si>
    <t>http://www.te.com/usa-en/product-197127-000.html</t>
  </si>
  <si>
    <t>http://www.te.com/usa-en/product-CJ9836-000.html</t>
  </si>
  <si>
    <t>http://www.te.com/usa-en/product-901284-000.html</t>
  </si>
  <si>
    <t>http://www.te.com/usa-en/product-CJ4410-000.html</t>
  </si>
  <si>
    <t>http://www.te.com/usa-en/product-D80266-000.html</t>
  </si>
  <si>
    <t>http://www.te.com/usa-en/product-A26087-000.html</t>
  </si>
  <si>
    <t>http://www.te.com/usa-en/product-A70988-000.html</t>
  </si>
  <si>
    <t>http://www.te.com/usa-en/product-CP5844-000.html</t>
  </si>
  <si>
    <t>http://www.te.com/usa-en/product-A28785-000.html</t>
  </si>
  <si>
    <t>http://www.te.com/usa-en/product-A90301-000.html</t>
  </si>
  <si>
    <t>http://www.te.com/usa-en/product-CJ4407-000.html</t>
  </si>
  <si>
    <t>http://www.te.com/usa-en/product-C51711-000.html</t>
  </si>
  <si>
    <t>http://www.te.com/usa-en/product-258162-000.html</t>
  </si>
  <si>
    <t>http://www.te.com/usa-en/product-ED6436-000.html</t>
  </si>
  <si>
    <t>http://www.te.com/usa-en/product-D12018-000.html</t>
  </si>
  <si>
    <t>http://www.te.com/usa-en/product-C85326-000.html</t>
  </si>
  <si>
    <t>http://www.te.com/usa-en/product-A37105-000.html</t>
  </si>
  <si>
    <t>http://www.te.com/usa-en/product-F36901-000.html</t>
  </si>
  <si>
    <t>http://www.te.com/usa-en/product-878742-000.html</t>
  </si>
  <si>
    <t>http://www.te.com/usa-en/product-CL6659-000.html</t>
  </si>
  <si>
    <t>http://www.te.com/usa-en/product-337774-000.html</t>
  </si>
  <si>
    <t>http://www.te.com/usa-en/product-CS7743-000.html</t>
  </si>
  <si>
    <t>http://www.te.com/usa-en/product-CR3053-000.html</t>
  </si>
  <si>
    <t>http://www.te.com/usa-en/product-CU3201-000.html</t>
  </si>
  <si>
    <t>http://www.te.com/usa-en/product-F92189-000.html</t>
  </si>
  <si>
    <t>http://www.te.com/usa-en/product-BR3669-000.html</t>
  </si>
  <si>
    <t>http://www.te.com/usa-en/product-CS7744-000.html</t>
  </si>
  <si>
    <t>http://www.te.com/usa-en/product-CR3052-000.html</t>
  </si>
  <si>
    <t>http://www.te.com/usa-en/product-CS8355-000.html</t>
  </si>
  <si>
    <t>http://www.te.com/usa-en/product-B57744-000.html</t>
  </si>
  <si>
    <t>http://www.te.com/usa-en/product-427984-000.html</t>
  </si>
  <si>
    <t>http://www.te.com/usa-en/product-F43262-000.html</t>
  </si>
  <si>
    <t>http://www.te.com/usa-en/product-E45699-000.html</t>
  </si>
  <si>
    <t>http://www.te.com/usa-en/product-930472-000.html</t>
  </si>
  <si>
    <t>http://www.te.com/usa-en/product-044800-000.html</t>
  </si>
  <si>
    <t>http://www.te.com/usa-en/product-CH8392-000.html</t>
  </si>
  <si>
    <t>http://www.te.com/usa-en/product-052923-000.html</t>
  </si>
  <si>
    <t>http://www.te.com/usa-en/product-891393-000.html</t>
  </si>
  <si>
    <t>http://www.te.com/usa-en/product-111371-000.html</t>
  </si>
  <si>
    <t>http://www.te.com/usa-en/product-130403-000.html</t>
  </si>
  <si>
    <t>http://www.te.com/usa-en/product-953853-000.html</t>
  </si>
  <si>
    <t>http://www.te.com/usa-en/product-544355-000.html</t>
  </si>
  <si>
    <t>http://www.te.com/usa-en/product-F37125-000.html</t>
  </si>
  <si>
    <t>http://www.te.com/usa-en/product-676219-000.html</t>
  </si>
  <si>
    <t>http://www.te.com/usa-en/product-029173-000.html</t>
  </si>
  <si>
    <t>http://www.te.com/usa-en/product-497663-000.html</t>
  </si>
  <si>
    <t>http://www.te.com/usa-en/product-504156-000.html</t>
  </si>
  <si>
    <t>http://www.te.com/usa-en/product-795939-000.html</t>
  </si>
  <si>
    <t>http://www.te.com/usa-en/product-912620-000.html</t>
  </si>
  <si>
    <t>http://www.te.com/usa-en/product-865047-000.html</t>
  </si>
  <si>
    <t>http://www.te.com/usa-en/product-837225-000.html</t>
  </si>
  <si>
    <t>http://www.te.com/usa-en/product-F87081-000.html</t>
  </si>
  <si>
    <t>http://www.te.com/usa-en/product-141108-000.html</t>
  </si>
  <si>
    <t>http://www.te.com/usa-en/product-770058-000.html</t>
  </si>
  <si>
    <t>http://www.te.com/usa-en/product-886979-000.html</t>
  </si>
  <si>
    <t>http://www.te.com/usa-en/product-117171-000.html</t>
  </si>
  <si>
    <t>http://www.te.com/usa-en/product-845447-000.html</t>
  </si>
  <si>
    <t>http://www.te.com/usa-en/product-273859-000.html</t>
  </si>
  <si>
    <t>http://www.te.com/usa-en/product-178733-000.html</t>
  </si>
  <si>
    <t>http://www.te.com/usa-en/product-502733-000.html</t>
  </si>
  <si>
    <t>http://www.te.com/usa-en/product-838021-000.html</t>
  </si>
  <si>
    <t>http://www.te.com/usa-en/product-581517-000.html</t>
  </si>
  <si>
    <t>http://www.te.com/usa-en/product-478331-000.html</t>
  </si>
  <si>
    <t>http://www.te.com/usa-en/product-529405-000.html</t>
  </si>
  <si>
    <t>http://www.te.com/usa-en/product-D96723-000.html</t>
  </si>
  <si>
    <t>http://www.te.com/usa-en/product-R35123-000.html</t>
  </si>
  <si>
    <t>http://www.te.com/usa-en/product-967693-000.html</t>
  </si>
  <si>
    <t>http://www.te.com/usa-en/product-692655-000.html</t>
  </si>
  <si>
    <t>http://www.te.com/usa-en/product-F94555-000.html</t>
  </si>
  <si>
    <t>http://www.te.com/usa-en/product-834983-000.html</t>
  </si>
  <si>
    <t>http://www.te.com/usa-en/product-896503-000.html</t>
  </si>
  <si>
    <t>http://www.te.com/usa-en/product-363962-000.html</t>
  </si>
  <si>
    <t>http://www.te.com/usa-en/product-927126-000.html</t>
  </si>
  <si>
    <t>http://www.te.com/usa-en/product-257557-000.html</t>
  </si>
  <si>
    <t>http://www.te.com/usa-en/product-A81789-000.html</t>
  </si>
  <si>
    <t>http://www.te.com/usa-en/product-A56210-000.html</t>
  </si>
  <si>
    <t>http://www.te.com/usa-en/product-CH8393-000.html</t>
  </si>
  <si>
    <t>http://www.te.com/usa-en/product-CF1442-000.html</t>
  </si>
  <si>
    <t>http://www.te.com/usa-en/product-C48363-000.html</t>
  </si>
  <si>
    <t>http://www.te.com/usa-en/product-332006-000.html</t>
  </si>
  <si>
    <t>http://www.te.com/usa-en/product-CX3874-000.html</t>
  </si>
  <si>
    <t>http://www.te.com/usa-en/product-CS0846-000.html</t>
  </si>
  <si>
    <t>http://www.te.com/usa-en/product-C18476-000.html</t>
  </si>
  <si>
    <t>http://www.te.com/usa-en/product-A37526-000.html</t>
  </si>
  <si>
    <t>http://www.te.com/usa-en/product-CA4106-000.html</t>
  </si>
  <si>
    <t>http://www.te.com/usa-en/product-C45445-000.html</t>
  </si>
  <si>
    <t>http://www.te.com/usa-en/product-F73660-000.html</t>
  </si>
  <si>
    <t>http://www.te.com/usa-en/product-E31878-000.html</t>
  </si>
  <si>
    <t>http://www.te.com/usa-en/product-E22924-000.html</t>
  </si>
  <si>
    <t>http://www.te.com/usa-en/product-C24881-000.html</t>
  </si>
  <si>
    <t>http://www.te.com/usa-en/product-E45052-000.html</t>
  </si>
  <si>
    <t>http://www.te.com/usa-en/product-E43398-000.html</t>
  </si>
  <si>
    <t>http://www.te.com/usa-en/product-F42213-000.html</t>
  </si>
  <si>
    <t>http://www.te.com/usa-en/product-CU4483-000.html</t>
  </si>
  <si>
    <t>http://www.te.com/usa-en/product-CP7898-000.html</t>
  </si>
  <si>
    <t>http://www.te.com/usa-en/product-CP8591-000.html</t>
  </si>
  <si>
    <t>http://www.te.com/usa-en/product-A03221-000.html</t>
  </si>
  <si>
    <t>http://www.te.com/usa-en/product-D53829-000.html</t>
  </si>
  <si>
    <t>http://www.te.com/usa-en/product-CR0371-000.html</t>
  </si>
  <si>
    <t>http://www.te.com/usa-en/product-CR4528-000.html</t>
  </si>
  <si>
    <t>http://www.te.com/usa-en/product-D63258-000.html</t>
  </si>
  <si>
    <t>http://www.te.com/usa-en/product-CU2199-000.html</t>
  </si>
  <si>
    <t>http://www.te.com/usa-en/product-CP4638-000.html</t>
  </si>
  <si>
    <t>http://www.te.com/usa-en/product-CU6002-000.html</t>
  </si>
  <si>
    <t>http://www.te.com/usa-en/product-F21104-000.html</t>
  </si>
  <si>
    <t>http://www.te.com/usa-en/product-D29063-000.html</t>
  </si>
  <si>
    <t>http://www.te.com/usa-en/product-A34170-000.html</t>
  </si>
  <si>
    <t>http://www.te.com/usa-en/product-E42704-000.html</t>
  </si>
  <si>
    <t>http://www.te.com/usa-en/product-C60779-000.html</t>
  </si>
  <si>
    <t>http://www.te.com/usa-en/product-D51704-000.html</t>
  </si>
  <si>
    <t>http://www.te.com/usa-en/product-CP5676-000.html</t>
  </si>
  <si>
    <t>http://www.te.com/usa-en/product-CR6675-000.html</t>
  </si>
  <si>
    <t>http://www.te.com/usa-en/product-CF3998-000.html</t>
  </si>
  <si>
    <t>http://www.te.com/usa-en/product-CA4105-000.html</t>
  </si>
  <si>
    <t>http://www.te.com/usa-en/product-CP3126-000.html</t>
  </si>
  <si>
    <t>http://www.te.com/usa-en/product-CP4529-000.html</t>
  </si>
  <si>
    <t>http://www.te.com/usa-en/product-964058-000.html</t>
  </si>
  <si>
    <t>http://www.te.com/usa-en/product-D92393-000.html</t>
  </si>
  <si>
    <t>http://www.te.com/usa-en/product-CL2448-000.html</t>
  </si>
  <si>
    <t>http://www.te.com/usa-en/product-CF1720-000.html</t>
  </si>
  <si>
    <t>http://www.te.com/usa-en/product-ED8092-000.html</t>
  </si>
  <si>
    <t>http://www.te.com/usa-en/product-CS4644-000.html</t>
  </si>
  <si>
    <t>http://www.te.com/usa-en/product-862971-000.html</t>
  </si>
  <si>
    <t>http://www.te.com/usa-en/product-866022-000.html</t>
  </si>
  <si>
    <t>http://www.te.com/usa-en/product-014670-000.html</t>
  </si>
  <si>
    <t>http://www.te.com/usa-en/product-C33062-000.html</t>
  </si>
  <si>
    <t>http://www.te.com/usa-en/product-584306-000.html</t>
  </si>
  <si>
    <t>http://www.te.com/usa-en/product-209749-000.html</t>
  </si>
  <si>
    <t>http://www.te.com/usa-en/product-791209-000.html</t>
  </si>
  <si>
    <t>http://www.te.com/usa-en/product-839083-000.html</t>
  </si>
  <si>
    <t>http://www.te.com/usa-en/product-CR8835-000.html</t>
  </si>
  <si>
    <t>http://www.te.com/usa-en/product-958933-000.html</t>
  </si>
  <si>
    <t>http://www.te.com/usa-en/product-D35653-000.html</t>
  </si>
  <si>
    <t>http://www.te.com/usa-en/product-CR8834-000.html</t>
  </si>
  <si>
    <t>http://www.te.com/usa-en/product-C70612-000.html</t>
  </si>
  <si>
    <t>http://www.te.com/usa-en/product-C68970-000.html</t>
  </si>
  <si>
    <t>http://www.te.com/usa-en/product-623397-000.html</t>
  </si>
  <si>
    <t>http://www.te.com/usa-en/product-444511-000.html</t>
  </si>
  <si>
    <t>http://www.te.com/usa-en/product-481539-000.html</t>
  </si>
  <si>
    <t>http://www.te.com/usa-en/product-864059-000.html</t>
  </si>
  <si>
    <t>http://www.te.com/usa-en/product-510695-000.html</t>
  </si>
  <si>
    <t>http://www.te.com/usa-en/product-312391-000.html</t>
  </si>
  <si>
    <t>http://www.te.com/usa-en/product-478203-000.html</t>
  </si>
  <si>
    <t>http://www.te.com/usa-en/product-040337-000.html</t>
  </si>
  <si>
    <t>http://www.te.com/usa-en/product-024331-000.html</t>
  </si>
  <si>
    <t>http://www.te.com/usa-en/product-111745-000.html</t>
  </si>
  <si>
    <t>http://www.te.com/usa-en/product-876925-000.html</t>
  </si>
  <si>
    <t>http://www.te.com/usa-en/product-798261-000.html</t>
  </si>
  <si>
    <t>http://www.te.com/usa-en/product-2037215-1.html</t>
  </si>
  <si>
    <t>http://www.te.com/usa-en/product-2099526-1.html</t>
  </si>
  <si>
    <t>http://www.te.com/usa-en/product-642845-000.html</t>
  </si>
  <si>
    <t>http://www.te.com/usa-en/product-T87977-000.html</t>
  </si>
  <si>
    <t>http://www.te.com/usa-en/product-028145-000.html</t>
  </si>
  <si>
    <t>http://www.te.com/usa-en/product-T65456-000.html</t>
  </si>
  <si>
    <t>http://www.te.com/usa-en/product-476449-000.html</t>
  </si>
  <si>
    <t>http://www.te.com/usa-en/product-R20465-000.html</t>
  </si>
  <si>
    <t>http://www.te.com/usa-en/product-659585-000.html</t>
  </si>
  <si>
    <t>http://www.te.com/usa-en/product-R46454-000.html</t>
  </si>
  <si>
    <t>http://www.te.com/usa-en/product-774741-000.html</t>
  </si>
  <si>
    <t>http://www.te.com/usa-en/product-733330-000.html</t>
  </si>
  <si>
    <t>http://www.te.com/usa-en/product-226877-000.html</t>
  </si>
  <si>
    <t>http://www.te.com/usa-en/product-B45489-000.html</t>
  </si>
  <si>
    <t>http://www.te.com/usa-en/product-861763-000.html</t>
  </si>
  <si>
    <t>http://www.te.com/usa-en/product-798797-000.html</t>
  </si>
  <si>
    <t>http://www.te.com/usa-en/product-094307-000.html</t>
  </si>
  <si>
    <t>http://www.te.com/usa-en/product-T24456-000.html</t>
  </si>
  <si>
    <t>http://www.te.com/usa-en/product-775717-000.html</t>
  </si>
  <si>
    <t>http://www.te.com/usa-en/product-G35140-000.html</t>
  </si>
  <si>
    <t>http://www.te.com/usa-en/product-463721-000.html</t>
  </si>
  <si>
    <t>http://www.te.com/usa-en/product-G63145-000.html</t>
  </si>
  <si>
    <t>http://www.te.com/usa-en/product-642409-000.html</t>
  </si>
  <si>
    <t>http://www.te.com/usa-en/product-874989-000.html</t>
  </si>
  <si>
    <t>http://www.te.com/usa-en/product-315865-000.html</t>
  </si>
  <si>
    <t>http://www.te.com/usa-en/product-F45664-000.html</t>
  </si>
  <si>
    <t>http://www.te.com/usa-en/product-320457-000.html</t>
  </si>
  <si>
    <t>http://www.te.com/usa-en/product-HT6214-000.html</t>
  </si>
  <si>
    <t>http://www.te.com/usa-en/product-701587-000.html</t>
  </si>
  <si>
    <t>http://www.te.com/usa-en/product-CN9153-000.html</t>
  </si>
  <si>
    <t>http://www.te.com/usa-en/product-CZ3716-000.html</t>
  </si>
  <si>
    <t>http://www.te.com/usa-en/product-452705-000.html</t>
  </si>
  <si>
    <t>http://www.te.com/usa-en/product-CN9154-000.html</t>
  </si>
  <si>
    <t>http://www.te.com/usa-en/product-CZ3357-000.html</t>
  </si>
  <si>
    <t>http://www.te.com/usa-en/product-243509-000.html</t>
  </si>
  <si>
    <t>http://www.te.com/usa-en/product-CN9155-000.html</t>
  </si>
  <si>
    <t>http://www.te.com/usa-en/product-CZ9654-000.html</t>
  </si>
  <si>
    <t>http://www.te.com/usa-en/product-900151-000.html</t>
  </si>
  <si>
    <t>http://www.te.com/usa-en/product-CN9156-000.html</t>
  </si>
  <si>
    <t>http://www.te.com/usa-en/product-122157-000.html</t>
  </si>
  <si>
    <t>http://www.te.com/usa-en/product-CZ0029-000.html</t>
  </si>
  <si>
    <t>http://www.te.com/usa-en/product-CN9157-000.html</t>
  </si>
  <si>
    <t>http://www.te.com/usa-en/product-CZ0055-000.html</t>
  </si>
  <si>
    <t>http://www.te.com/usa-en/product-943861-000.html</t>
  </si>
  <si>
    <t>http://www.te.com/usa-en/product-CL0770-000.html</t>
  </si>
  <si>
    <t>http://www.te.com/usa-en/product-CL0771-000.html</t>
  </si>
  <si>
    <t>http://www.te.com/usa-en/product-CL0773-000.html</t>
  </si>
  <si>
    <t>http://www.te.com/usa-en/product-CL0776-000.html</t>
  </si>
  <si>
    <t>http://www.te.com/usa-en/product-CL0777-000.html</t>
  </si>
  <si>
    <t>http://www.te.com/usa-en/product-CL0778-000.html</t>
  </si>
  <si>
    <t>http://www.te.com/usa-en/product-CL0780-000.html</t>
  </si>
  <si>
    <t>http://www.te.com/usa-en/product-A22899-000.html</t>
  </si>
  <si>
    <t>http://www.te.com/usa-en/product-CF4145-000.html</t>
  </si>
  <si>
    <t>http://www.te.com/usa-en/product-C44242-000.html</t>
  </si>
  <si>
    <t>http://www.te.com/usa-en/product-CF4146-000.html</t>
  </si>
  <si>
    <t>http://www.te.com/usa-en/product-CA7311-000.html</t>
  </si>
  <si>
    <t>http://www.te.com/usa-en/product-CA7310-000.html</t>
  </si>
  <si>
    <t>http://www.te.com/usa-en/product-EB8842-000.html</t>
  </si>
  <si>
    <t>http://www.te.com/usa-en/product-CL5802-000.html</t>
  </si>
  <si>
    <t>http://www.te.com/usa-en/product-CL5803-000.html</t>
  </si>
  <si>
    <t>http://www.te.com/usa-en/product-CA7323-000.html</t>
  </si>
  <si>
    <t>http://www.te.com/usa-en/product-CA7325-000.html</t>
  </si>
  <si>
    <t>http://www.te.com/usa-en/product-CA7326-000.html</t>
  </si>
  <si>
    <t>http://www.te.com/usa-en/product-CL7596-000.html</t>
  </si>
  <si>
    <t>http://www.te.com/usa-en/product-CL5493-000.html</t>
  </si>
  <si>
    <t>http://www.te.com/usa-en/product-CL5508-000.html</t>
  </si>
  <si>
    <t>http://www.te.com/usa-en/product-CL5490-000.html</t>
  </si>
  <si>
    <t>http://www.te.com/usa-en/product-CL5495-000.html</t>
  </si>
  <si>
    <t>http://www.te.com/usa-en/product-A52835-000.html</t>
  </si>
  <si>
    <t>http://www.te.com/usa-en/product-CF4147-000.html</t>
  </si>
  <si>
    <t>http://www.te.com/usa-en/product-EB0286-000.html</t>
  </si>
  <si>
    <t>http://www.te.com/usa-en/product-EB0287-000.html</t>
  </si>
  <si>
    <t>http://www.te.com/usa-en/product-EB0302-000.html</t>
  </si>
  <si>
    <t>http://www.te.com/usa-en/product-EB0264-000.html</t>
  </si>
  <si>
    <t>http://www.te.com/usa-en/product-EB0265-000.html</t>
  </si>
  <si>
    <t>http://www.te.com/usa-en/product-EB0288-000.html</t>
  </si>
  <si>
    <t>http://www.te.com/usa-en/product-EB0289-000.html</t>
  </si>
  <si>
    <t>http://www.te.com/usa-en/product-EB0290-000.html</t>
  </si>
  <si>
    <t>http://www.te.com/usa-en/product-EB0266-000.html</t>
  </si>
  <si>
    <t>http://www.te.com/usa-en/product-EB0267-000.html</t>
  </si>
  <si>
    <t>http://www.te.com/usa-en/product-EB0303-000.html</t>
  </si>
  <si>
    <t>http://www.te.com/usa-en/product-EB0304-000.html</t>
  </si>
  <si>
    <t>http://www.te.com/usa-en/product-EB0291-000.html</t>
  </si>
  <si>
    <t>http://www.te.com/usa-en/product-EB0292-000.html</t>
  </si>
  <si>
    <t>http://www.te.com/usa-en/product-EB0268-000.html</t>
  </si>
  <si>
    <t>http://www.te.com/usa-en/product-EB0293-000.html</t>
  </si>
  <si>
    <t>http://www.te.com/usa-en/product-EB0294-000.html</t>
  </si>
  <si>
    <t>http://www.te.com/usa-en/product-EB0269-000.html</t>
  </si>
  <si>
    <t>http://www.te.com/usa-en/product-EB0295-000.html</t>
  </si>
  <si>
    <t>http://www.te.com/usa-en/product-EB0270-000.html</t>
  </si>
  <si>
    <t>http://www.te.com/usa-en/product-EB0296-000.html</t>
  </si>
  <si>
    <t>http://www.te.com/usa-en/product-EB0271-000.html</t>
  </si>
  <si>
    <t>http://www.te.com/usa-en/product-EB0297-000.html</t>
  </si>
  <si>
    <t>http://www.te.com/usa-en/product-EB0276-000.html</t>
  </si>
  <si>
    <t>http://www.te.com/usa-en/product-EB0277-000.html</t>
  </si>
  <si>
    <t>http://www.te.com/usa-en/product-EB0279-000.html</t>
  </si>
  <si>
    <t>http://www.te.com/usa-en/product-EB0280-000.html</t>
  </si>
  <si>
    <t>http://www.te.com/usa-en/product-EB0281-000.html</t>
  </si>
  <si>
    <t>http://www.te.com/usa-en/product-EB0278-000.html</t>
  </si>
  <si>
    <t>http://www.te.com/usa-en/product-EB0273-000.html</t>
  </si>
  <si>
    <t>http://www.te.com/usa-en/product-EB0272-000.html</t>
  </si>
  <si>
    <t>http://www.te.com/usa-en/product-CA7309-000.html</t>
  </si>
  <si>
    <t>http://www.te.com/usa-en/product-CA7308-000.html</t>
  </si>
  <si>
    <t>http://www.te.com/usa-en/product-CL5800-000.html</t>
  </si>
  <si>
    <t>http://www.te.com/usa-en/product-CL5801-000.html</t>
  </si>
  <si>
    <t>http://www.te.com/usa-en/product-EB0305-000.html</t>
  </si>
  <si>
    <t>http://www.te.com/usa-en/product-A65266-000.html</t>
  </si>
  <si>
    <t>http://www.te.com/usa-en/product-EB0306-000.html</t>
  </si>
  <si>
    <t>http://www.te.com/usa-en/product-EB0274-000.html</t>
  </si>
  <si>
    <t>http://www.te.com/usa-en/product-EB0275-000.html</t>
  </si>
  <si>
    <t>http://www.te.com/usa-en/product-EB0299-000.html</t>
  </si>
  <si>
    <t>http://www.te.com/usa-en/product-EB0283-000.html</t>
  </si>
  <si>
    <t>http://www.te.com/usa-en/product-85718N-000.html</t>
  </si>
  <si>
    <t>http://www.te.com/usa-en/product-D48078-000.html</t>
  </si>
  <si>
    <t>http://www.te.com/usa-en/product-F12633-000.html</t>
  </si>
  <si>
    <t>http://www.te.com/usa-en/product-D20907-000.html</t>
  </si>
  <si>
    <t>http://www.te.com/usa-en/product-CM7924-000.html</t>
  </si>
  <si>
    <t>http://www.te.com/usa-en/product-C29886-000.html</t>
  </si>
  <si>
    <t>http://www.te.com/usa-en/product-F41169-000.html</t>
  </si>
  <si>
    <t>http://www.te.com/usa-en/product-E65650-000.html</t>
  </si>
  <si>
    <t>http://www.te.com/usa-en/product-A09698-000.html</t>
  </si>
  <si>
    <t>http://www.te.com/usa-en/product-CM7926-000.html</t>
  </si>
  <si>
    <t>http://www.te.com/usa-en/product-C19656-000.html</t>
  </si>
  <si>
    <t>http://www.te.com/usa-en/product-A86409-000.html</t>
  </si>
  <si>
    <t>http://www.te.com/usa-en/product-F67232-000.html</t>
  </si>
  <si>
    <t>http://www.te.com/usa-en/product-EB0282-000.html</t>
  </si>
  <si>
    <t>http://www.te.com/usa-en/product-EB1019-000.html</t>
  </si>
  <si>
    <t>http://www.te.com/usa-en/product-EB0310-000.html</t>
  </si>
  <si>
    <t>http://www.te.com/usa-en/product-EB0311-000.html</t>
  </si>
  <si>
    <t>http://www.te.com/usa-en/product-EB0312-000.html</t>
  </si>
  <si>
    <t>http://www.te.com/usa-en/product-EB0307-000.html</t>
  </si>
  <si>
    <t>http://www.te.com/usa-en/product-EB0308-000.html</t>
  </si>
  <si>
    <t>http://www.te.com/usa-en/product-EB0309-000.html</t>
  </si>
  <si>
    <t>http://www.te.com/usa-en/product-CN3256-000.html</t>
  </si>
  <si>
    <t>http://www.te.com/usa-en/product-EB1044-000.html</t>
  </si>
  <si>
    <t>http://www.te.com/usa-en/product-EB0285-000.html</t>
  </si>
  <si>
    <t>http://www.te.com/usa-en/product-EB0284-000.html</t>
  </si>
  <si>
    <t>http://www.te.com/usa-en/product-CR9380-000.html</t>
  </si>
  <si>
    <t>http://www.te.com/usa-en/product-CG6176-000.html</t>
  </si>
  <si>
    <t>http://www.te.com/usa-en/product-CJ0587-000.html</t>
  </si>
  <si>
    <t>http://www.te.com/usa-en/product-CG6220-000.html</t>
  </si>
  <si>
    <t>http://www.te.com/usa-en/product-CG6206-000.html</t>
  </si>
  <si>
    <t>http://www.te.com/usa-en/product-CG6200-000.html</t>
  </si>
  <si>
    <t>http://www.te.com/usa-en/product-CG6208-000.html</t>
  </si>
  <si>
    <t>http://www.te.com/usa-en/product-CG6217-000.html</t>
  </si>
  <si>
    <t>http://www.te.com/usa-en/product-CJ0567-000.html</t>
  </si>
  <si>
    <t>http://www.te.com/usa-en/product-CJ0568-000.html</t>
  </si>
  <si>
    <t>http://www.te.com/usa-en/product-CJ0565-000.html</t>
  </si>
  <si>
    <t>http://www.te.com/usa-en/product-CJ0566-000.html</t>
  </si>
  <si>
    <t>http://www.te.com/usa-en/product-CJ0533-000.html</t>
  </si>
  <si>
    <t>http://www.te.com/usa-en/product-CJ0585-000.html</t>
  </si>
  <si>
    <t>http://www.te.com/usa-en/product-E38457-000.html</t>
  </si>
  <si>
    <t>http://www.te.com/usa-en/product-CF7403-000.html</t>
  </si>
  <si>
    <t>http://www.te.com/usa-en/product-CF7486-000.html</t>
  </si>
  <si>
    <t>http://www.te.com/usa-en/product-CF7420-000.html</t>
  </si>
  <si>
    <t>http://www.te.com/usa-en/product-CF7509-000.html</t>
  </si>
  <si>
    <t>http://www.te.com/usa-en/product-CF7426-000.html</t>
  </si>
  <si>
    <t>http://www.te.com/usa-en/product-CF7444-000.html</t>
  </si>
  <si>
    <t>http://www.te.com/usa-en/product-CF7467-000.html</t>
  </si>
  <si>
    <t>http://www.te.com/usa-en/product-CM7295-000.html</t>
  </si>
  <si>
    <t>http://www.te.com/usa-en/product-EB1046-000.html</t>
  </si>
  <si>
    <t>http://www.te.com/usa-en/product-CM7296-000.html</t>
  </si>
  <si>
    <t>http://www.te.com/usa-en/product-EB1047-000.html</t>
  </si>
  <si>
    <t>http://www.te.com/usa-en/product-CM7297-000.html</t>
  </si>
  <si>
    <t>http://www.te.com/usa-en/product-EB1048-000.html</t>
  </si>
  <si>
    <t>http://www.te.com/usa-en/product-CM7298-000.html</t>
  </si>
  <si>
    <t>http://www.te.com/usa-en/product-EB1049-000.html</t>
  </si>
  <si>
    <t>http://www.te.com/usa-en/product-EB0313-000.html</t>
  </si>
  <si>
    <t>http://www.te.com/usa-en/product-EB1050-000.html</t>
  </si>
  <si>
    <t>http://www.te.com/usa-en/product-EB0314-000.html</t>
  </si>
  <si>
    <t>http://www.te.com/usa-en/product-CN3264-000.html</t>
  </si>
  <si>
    <t>http://www.te.com/usa-en/product-EB0315-000.html</t>
  </si>
  <si>
    <t>http://www.te.com/usa-en/product-EB1051-000.html</t>
  </si>
  <si>
    <t>http://www.te.com/usa-en/product-C33825-000.html</t>
  </si>
  <si>
    <t>http://www.te.com/usa-en/product-C09530-000.html</t>
  </si>
  <si>
    <t>http://www.te.com/usa-en/product-D61084-000.html</t>
  </si>
  <si>
    <t>http://www.te.com/usa-en/product-D37490-000.html</t>
  </si>
  <si>
    <t>http://www.te.com/usa-en/product-D65188-000.html</t>
  </si>
  <si>
    <t>http://www.te.com/usa-en/product-CB1982-000.html</t>
  </si>
  <si>
    <t>http://www.te.com/usa-en/product-CB1978-000.html</t>
  </si>
  <si>
    <t>http://www.te.com/usa-en/product-F34241-000.html</t>
  </si>
  <si>
    <t>http://www.te.com/usa-en/product-A27836-000.html</t>
  </si>
  <si>
    <t>http://www.te.com/usa-en/product-CB1985-000.html</t>
  </si>
  <si>
    <t>http://www.te.com/usa-en/product-F05949-000.html</t>
  </si>
  <si>
    <t>http://www.te.com/usa-en/product-C15487-000.html</t>
  </si>
  <si>
    <t>http://www.te.com/usa-en/product-D47628-000.html</t>
  </si>
  <si>
    <t>http://www.te.com/usa-en/product-E37581-000.html</t>
  </si>
  <si>
    <t>http://www.te.com/usa-en/product-C99814-000.html</t>
  </si>
  <si>
    <t>http://www.te.com/usa-en/product-EB0300-000.html</t>
  </si>
  <si>
    <t>http://www.te.com/usa-en/product-EB0301-000.html</t>
  </si>
  <si>
    <t>http://www.te.com/usa-en/product-CR9378-000.html</t>
  </si>
  <si>
    <t>http://www.te.com/usa-en/product-CR9379-000.html</t>
  </si>
  <si>
    <t>http://www.te.com/usa-en/product-CA8541-000.html</t>
  </si>
  <si>
    <t>http://www.te.com/usa-en/product-CA8545-000.html</t>
  </si>
  <si>
    <t>http://www.te.com/usa-en/product-CA8547-000.html</t>
  </si>
  <si>
    <t>http://www.te.com/usa-en/product-CA8537-000.html</t>
  </si>
  <si>
    <t>http://www.te.com/usa-en/product-CA8539-000.html</t>
  </si>
  <si>
    <t>http://www.te.com/usa-en/product-CA8538-000.html</t>
  </si>
  <si>
    <t>http://www.te.com/usa-en/product-CA8540-000.html</t>
  </si>
  <si>
    <t>http://www.te.com/usa-en/product-CA8549-000.html</t>
  </si>
  <si>
    <t>http://www.te.com/usa-en/product-CA8553-000.html</t>
  </si>
  <si>
    <t>http://www.te.com/usa-en/product-CM7291-000.html</t>
  </si>
  <si>
    <t>http://www.te.com/usa-en/product-EB1052-000.html</t>
  </si>
  <si>
    <t>http://www.te.com/usa-en/product-CM7292-000.html</t>
  </si>
  <si>
    <t>http://www.te.com/usa-en/product-EB1053-000.html</t>
  </si>
  <si>
    <t>http://www.te.com/usa-en/product-CM7293-000.html</t>
  </si>
  <si>
    <t>http://www.te.com/usa-en/product-CM7294-000.html</t>
  </si>
  <si>
    <t>http://www.te.com/usa-en/product-EB1055-000.html</t>
  </si>
  <si>
    <t>http://www.te.com/usa-en/product-882765-000.html</t>
  </si>
  <si>
    <t>http://www.te.com/usa-en/product-577846-000.html</t>
  </si>
  <si>
    <t>http://www.te.com/usa-en/product-298227-000.html</t>
  </si>
  <si>
    <t>http://www.te.com/usa-en/product-135225-000.html</t>
  </si>
  <si>
    <t>http://www.te.com/usa-en/product-922288-000.html</t>
  </si>
  <si>
    <t>http://www.te.com/usa-en/product-D02250-000.html</t>
  </si>
  <si>
    <t>http://www.te.com/usa-en/product-337100-000.html</t>
  </si>
  <si>
    <t>http://www.te.com/usa-en/product-449329-000.html</t>
  </si>
  <si>
    <t>http://www.te.com/usa-en/product-962244-000.html</t>
  </si>
  <si>
    <t>http://www.te.com/usa-en/product-512946-000.html</t>
  </si>
  <si>
    <t>http://www.te.com/usa-en/product-011551-000.html</t>
  </si>
  <si>
    <t>http://www.te.com/usa-en/product-837223-000.html</t>
  </si>
  <si>
    <t>http://www.te.com/usa-en/product-D24985-000.html</t>
  </si>
  <si>
    <t>http://www.te.com/usa-en/product-542765-000.html</t>
  </si>
  <si>
    <t>http://www.te.com/usa-en/product-196146-000.html</t>
  </si>
  <si>
    <t>http://www.te.com/usa-en/product-657871-000.html</t>
  </si>
  <si>
    <t>http://www.te.com/usa-en/product-E81059-000.html</t>
  </si>
  <si>
    <t>http://www.te.com/usa-en/product-237497-000.html</t>
  </si>
  <si>
    <t>http://www.te.com/usa-en/product-633602-000.html</t>
  </si>
  <si>
    <t>http://www.te.com/usa-en/product-721359-000.html</t>
  </si>
  <si>
    <t>http://www.te.com/usa-en/product-916911-000.html</t>
  </si>
  <si>
    <t>http://www.te.com/usa-en/product-298891-000.html</t>
  </si>
  <si>
    <t>http://www.te.com/usa-en/product-364197-000.html</t>
  </si>
  <si>
    <t>http://www.te.com/usa-en/product-841597-000.html</t>
  </si>
  <si>
    <t>http://www.te.com/usa-en/product-337143-000.html</t>
  </si>
  <si>
    <t>http://www.te.com/usa-en/product-1974127-1.html</t>
  </si>
  <si>
    <t>http://www.te.com/usa-en/product-1099861-1.html</t>
  </si>
  <si>
    <t>http://www.te.com/usa-en/product-1974136-1.html</t>
  </si>
  <si>
    <t>http://www.te.com/usa-en/product-1974102-1.html</t>
  </si>
  <si>
    <t>http://www.te.com/usa-en/product-1099879-1.html</t>
  </si>
  <si>
    <t>http://www.te.com/usa-en/product-1974111-1.html</t>
  </si>
  <si>
    <t>http://www.te.com/usa-en/product-CL4491-000.html</t>
  </si>
  <si>
    <t>http://www.te.com/usa-en/product-CL9210-000.html</t>
  </si>
  <si>
    <t>http://www.te.com/usa-en/product-EA3544-000.html</t>
  </si>
  <si>
    <t>http://www.te.com/usa-en/product-EA3545-000.html</t>
  </si>
  <si>
    <t>http://www.te.com/usa-en/product-CF6026-000.html</t>
  </si>
  <si>
    <t>http://www.te.com/usa-en/product-CF9550-000.html</t>
  </si>
  <si>
    <t>http://www.te.com/usa-en/product-CF9552-000.html</t>
  </si>
  <si>
    <t>http://www.te.com/usa-en/product-EA3546-000.html</t>
  </si>
  <si>
    <t>http://www.te.com/usa-en/product-EA3547-000.html</t>
  </si>
  <si>
    <t>http://www.te.com/usa-en/product-CL8118-000.html</t>
  </si>
  <si>
    <t>http://www.te.com/usa-en/product-CL9211-000.html</t>
  </si>
  <si>
    <t>http://www.te.com/usa-en/product-EA3548-000.html</t>
  </si>
  <si>
    <t>http://www.te.com/usa-en/product-CM1363-000.html</t>
  </si>
  <si>
    <t>http://www.te.com/usa-en/product-EA3549-000.html</t>
  </si>
  <si>
    <t>http://www.te.com/usa-en/product-CF9549-000.html</t>
  </si>
  <si>
    <t>http://www.te.com/usa-en/product-CF9553-000.html</t>
  </si>
  <si>
    <t>http://www.te.com/usa-en/product-CF9557-000.html</t>
  </si>
  <si>
    <t>http://www.te.com/usa-en/product-EA3550-000.html</t>
  </si>
  <si>
    <t>http://www.te.com/usa-en/product-CH7594-000.html</t>
  </si>
  <si>
    <t>http://www.te.com/usa-en/product-EA3551-000.html</t>
  </si>
  <si>
    <t>http://www.te.com/usa-en/product-CM1364-000.html</t>
  </si>
  <si>
    <t>http://www.te.com/usa-en/product-CM1365-000.html</t>
  </si>
  <si>
    <t>http://www.te.com/usa-en/product-EA3552-000.html</t>
  </si>
  <si>
    <t>http://www.te.com/usa-en/product-CX4737-000.html</t>
  </si>
  <si>
    <t>http://www.te.com/usa-en/product-ED8956-000.html</t>
  </si>
  <si>
    <t>http://www.te.com/usa-en/product-CX4740-000.html</t>
  </si>
  <si>
    <t>http://www.te.com/usa-en/product-ED8963-000.html</t>
  </si>
  <si>
    <t>http://www.te.com/usa-en/product-ED9926-000.html</t>
  </si>
  <si>
    <t>http://www.te.com/usa-en/product-CX4744-000.html</t>
  </si>
  <si>
    <t>http://www.te.com/usa-en/product-ED8971-000.html</t>
  </si>
  <si>
    <t>http://www.te.com/usa-en/product-ED9927-000.html</t>
  </si>
  <si>
    <t>http://www.te.com/usa-en/product-CX4745-000.html</t>
  </si>
  <si>
    <t>http://www.te.com/usa-en/product-ED8972-000.html</t>
  </si>
  <si>
    <t>http://www.te.com/usa-en/product-ED9928-000.html</t>
  </si>
  <si>
    <t>http://www.te.com/usa-en/product-ED9925-000.html</t>
  </si>
  <si>
    <t>http://www.te.com/usa-en/product-CX4738-000.html</t>
  </si>
  <si>
    <t>http://www.te.com/usa-en/product-ED8957-000.html</t>
  </si>
  <si>
    <t>http://www.te.com/usa-en/product-CX4741-000.html</t>
  </si>
  <si>
    <t>http://www.te.com/usa-en/product-ED8964-000.html</t>
  </si>
  <si>
    <t>http://www.te.com/usa-en/product-ED9930-000.html</t>
  </si>
  <si>
    <t>http://www.te.com/usa-en/product-CX4742-000.html</t>
  </si>
  <si>
    <t>http://www.te.com/usa-en/product-ED8965-000.html</t>
  </si>
  <si>
    <t>http://www.te.com/usa-en/product-ED9931-000.html</t>
  </si>
  <si>
    <t>http://www.te.com/usa-en/product-CX4746-000.html</t>
  </si>
  <si>
    <t>http://www.te.com/usa-en/product-ED8973-000.html</t>
  </si>
  <si>
    <t>http://www.te.com/usa-en/product-ED9932-000.html</t>
  </si>
  <si>
    <t>http://www.te.com/usa-en/product-CX4747-000.html</t>
  </si>
  <si>
    <t>http://www.te.com/usa-en/product-ED8974-000.html</t>
  </si>
  <si>
    <t>http://www.te.com/usa-en/product-ED9933-000.html</t>
  </si>
  <si>
    <t>http://www.te.com/usa-en/product-ED9929-000.html</t>
  </si>
  <si>
    <t>http://www.te.com/usa-en/product-CX4739-000.html</t>
  </si>
  <si>
    <t>http://www.te.com/usa-en/product-ED8958-000.html</t>
  </si>
  <si>
    <t>http://www.te.com/usa-en/product-CX4743-000.html</t>
  </si>
  <si>
    <t>http://www.te.com/usa-en/product-CU2460-000.html</t>
  </si>
  <si>
    <t>http://www.te.com/usa-en/product-ED9935-000.html</t>
  </si>
  <si>
    <t>http://www.te.com/usa-en/product-CX4748-000.html</t>
  </si>
  <si>
    <t>http://www.te.com/usa-en/product-ED8975-000.html</t>
  </si>
  <si>
    <t>http://www.te.com/usa-en/product-ED9936-000.html</t>
  </si>
  <si>
    <t>http://www.te.com/usa-en/product-ED9934-000.html</t>
  </si>
  <si>
    <t>http://www.te.com/usa-en/product-EE4568-000.html</t>
  </si>
  <si>
    <t>http://www.te.com/usa-en/product-ED8959-000.html</t>
  </si>
  <si>
    <t>http://www.te.com/usa-en/product-EE4570-000.html</t>
  </si>
  <si>
    <t>http://www.te.com/usa-en/product-ED8967-000.html</t>
  </si>
  <si>
    <t>http://www.te.com/usa-en/product-EE4572-000.html</t>
  </si>
  <si>
    <t>http://www.te.com/usa-en/product-ED8976-000.html</t>
  </si>
  <si>
    <t>http://www.te.com/usa-en/product-EE4573-000.html</t>
  </si>
  <si>
    <t>http://www.te.com/usa-en/product-ED8977-000.html</t>
  </si>
  <si>
    <t>http://www.te.com/usa-en/product-EE4569-000.html</t>
  </si>
  <si>
    <t>http://www.te.com/usa-en/product-ED8960-000.html</t>
  </si>
  <si>
    <t>http://www.te.com/usa-en/product-EE4571-000.html</t>
  </si>
  <si>
    <t>http://www.te.com/usa-en/product-ED8968-000.html</t>
  </si>
  <si>
    <t>http://www.te.com/usa-en/product-EE4574-000.html</t>
  </si>
  <si>
    <t>http://www.te.com/usa-en/product-ED8978-000.html</t>
  </si>
  <si>
    <t>http://www.te.com/usa-en/product-EE4575-000.html</t>
  </si>
  <si>
    <t>http://www.te.com/usa-en/product-ED8961-000.html</t>
  </si>
  <si>
    <t>http://www.te.com/usa-en/product-EE4577-000.html</t>
  </si>
  <si>
    <t>http://www.te.com/usa-en/product-ED8969-000.html</t>
  </si>
  <si>
    <t>http://www.te.com/usa-en/product-EE4579-000.html</t>
  </si>
  <si>
    <t>http://www.te.com/usa-en/product-ED8979-000.html</t>
  </si>
  <si>
    <t>http://www.te.com/usa-en/product-EE4576-000.html</t>
  </si>
  <si>
    <t>http://www.te.com/usa-en/product-ED8962-000.html</t>
  </si>
  <si>
    <t>http://www.te.com/usa-en/product-EE4578-000.html</t>
  </si>
  <si>
    <t>http://www.te.com/usa-en/product-ED8970-000.html</t>
  </si>
  <si>
    <t>http://www.te.com/usa-en/product-EE4580-000.html</t>
  </si>
  <si>
    <t>http://www.te.com/usa-en/product-ED8980-000.html</t>
  </si>
  <si>
    <t>http://www.te.com/usa-en/product-CL5083-000.html</t>
  </si>
  <si>
    <t>http://www.te.com/usa-en/product-EA3542-000.html</t>
  </si>
  <si>
    <t>http://www.te.com/usa-en/product-EA3553-000.html</t>
  </si>
  <si>
    <t>http://www.te.com/usa-en/product-EA3541-000.html</t>
  </si>
  <si>
    <t>http://www.te.com/usa-en/product-EA3543-000.html</t>
  </si>
  <si>
    <t>http://www.te.com/usa-en/product-EA3554-000.html</t>
  </si>
  <si>
    <t>http://www.te.com/usa-en/product-CM7932-000.html</t>
  </si>
  <si>
    <t>http://www.te.com/usa-en/product-CP1094-000.html</t>
  </si>
  <si>
    <t>http://www.te.com/usa-en/product-EA7075-000.html</t>
  </si>
  <si>
    <t>http://www.te.com/usa-en/product-EA7084-000.html</t>
  </si>
  <si>
    <t>http://www.te.com/usa-en/product-EA7093-000.html</t>
  </si>
  <si>
    <t>http://www.te.com/usa-en/product-EA7094-000.html</t>
  </si>
  <si>
    <t>http://www.te.com/usa-en/product-EA7076-000.html</t>
  </si>
  <si>
    <t>http://www.te.com/usa-en/product-EA7085-000.html</t>
  </si>
  <si>
    <t>http://www.te.com/usa-en/product-EA7086-000.html</t>
  </si>
  <si>
    <t>http://www.te.com/usa-en/product-EA7095-000.html</t>
  </si>
  <si>
    <t>http://www.te.com/usa-en/product-EA7077-000.html</t>
  </si>
  <si>
    <t>http://www.te.com/usa-en/product-EA7097-000.html</t>
  </si>
  <si>
    <t>http://www.te.com/usa-en/product-EA7078-000.html</t>
  </si>
  <si>
    <t>http://www.te.com/usa-en/product-EA7098-000.html</t>
  </si>
  <si>
    <t>http://www.te.com/usa-en/product-EA7079-000.html</t>
  </si>
  <si>
    <t>http://www.te.com/usa-en/product-EA7099-000.html</t>
  </si>
  <si>
    <t>http://www.te.com/usa-en/product-EA7100-000.html</t>
  </si>
  <si>
    <t>http://www.te.com/usa-en/product-EA7089-000.html</t>
  </si>
  <si>
    <t>http://www.te.com/usa-en/product-EA7101-000.html</t>
  </si>
  <si>
    <t>http://www.te.com/usa-en/product-EA7081-000.html</t>
  </si>
  <si>
    <t>http://www.te.com/usa-en/product-EA7082-000.html</t>
  </si>
  <si>
    <t>http://www.te.com/usa-en/product-EA7104-000.html</t>
  </si>
  <si>
    <t>http://www.te.com/usa-en/product-EA7083-000.html</t>
  </si>
  <si>
    <t>http://www.te.com/usa-en/product-EA7105-000.html</t>
  </si>
  <si>
    <t>http://www.te.com/usa-en/product-EA7106-000.html</t>
  </si>
  <si>
    <t>http://www.te.com/usa-en/product-CM7935-000.html</t>
  </si>
  <si>
    <t>http://www.te.com/usa-en/product-EA7549-000.html</t>
  </si>
  <si>
    <t>http://www.te.com/usa-en/product-.html</t>
  </si>
  <si>
    <t>http://www.te.com/usa-en/product-CF9558-000.html</t>
  </si>
  <si>
    <t>http://www.te.com/usa-en/product-CL9239-000.html</t>
  </si>
  <si>
    <t>http://www.te.com/usa-en/product-CL9240-000.html</t>
  </si>
  <si>
    <t>http://www.te.com/usa-en/product-EA4749-000.html</t>
  </si>
  <si>
    <t>http://www.te.com/usa-en/product-EA4752-000.html</t>
  </si>
  <si>
    <t>http://www.te.com/usa-en/product-EA4772-000.html</t>
  </si>
  <si>
    <t>http://www.te.com/usa-en/product-EA4755-000.html</t>
  </si>
  <si>
    <t>http://www.te.com/usa-en/product-EA4776-000.html</t>
  </si>
  <si>
    <t>http://www.te.com/usa-en/product-EA7553-000.html</t>
  </si>
  <si>
    <t>http://www.te.com/usa-en/product-985444-000.html</t>
  </si>
  <si>
    <t>http://www.te.com/usa-en/product-349430-000.html</t>
  </si>
  <si>
    <t>http://www.te.com/usa-en/product-821645-000.html</t>
  </si>
  <si>
    <t>http://www.te.com/usa-en/product-645965-000.html</t>
  </si>
  <si>
    <t>http://www.te.com/usa-en/product-051073-000.html</t>
  </si>
  <si>
    <t>http://www.te.com/usa-en/product-853011-000.html</t>
  </si>
  <si>
    <t>http://www.te.com/usa-en/product-918969-000.html</t>
  </si>
  <si>
    <t>http://www.te.com/usa-en/product-408397-000.html</t>
  </si>
  <si>
    <t>http://www.te.com/usa-en/product-161283-000.html</t>
  </si>
  <si>
    <t>http://www.te.com/usa-en/product-985423-000.html</t>
  </si>
  <si>
    <t>http://www.te.com/usa-en/product-721699-000.html</t>
  </si>
  <si>
    <t>http://www.te.com/usa-en/product-CU2879-000.html</t>
  </si>
  <si>
    <t>http://www.te.com/usa-en/product-185655-000.html</t>
  </si>
  <si>
    <t>http://www.te.com/usa-en/product-721679N002.html</t>
  </si>
  <si>
    <t>http://www.te.com/usa-en/product-756707-000.html</t>
  </si>
  <si>
    <t>http://www.te.com/usa-en/product-734803-000.html</t>
  </si>
  <si>
    <t>http://www.te.com/usa-en/product-385219-000.html</t>
  </si>
  <si>
    <t>http://www.te.com/usa-en/product-D56792-000.html</t>
  </si>
  <si>
    <t>http://www.te.com/usa-en/product-EE5639-000.html</t>
  </si>
  <si>
    <t>http://www.te.com/usa-en/product-EE5640-000.html</t>
  </si>
  <si>
    <t>http://www.te.com/usa-en/product-EE5636-000.html</t>
  </si>
  <si>
    <t>http://www.te.com/usa-en/product-EE5637-000.html</t>
  </si>
  <si>
    <t>http://www.te.com/usa-en/product-CP8592-000.html</t>
  </si>
  <si>
    <t>http://www.te.com/usa-en/product-ED0106-000.html</t>
  </si>
  <si>
    <t>http://www.te.com/usa-en/product-ED0107-000.html</t>
  </si>
  <si>
    <t>http://www.te.com/usa-en/product-ED0108-000.html</t>
  </si>
  <si>
    <t>http://www.te.com/usa-en/product-ED0109-000.html</t>
  </si>
  <si>
    <t>http://www.te.com/usa-en/product-ED0110-000.html</t>
  </si>
  <si>
    <t>http://www.te.com/usa-en/product-ED0111-000.html</t>
  </si>
  <si>
    <t>http://www.te.com/usa-en/product-ED0112-000.html</t>
  </si>
  <si>
    <t>http://www.te.com/usa-en/product-ED0113-000.html</t>
  </si>
  <si>
    <t>http://www.te.com/usa-en/product-ED0114-000.html</t>
  </si>
  <si>
    <t>http://www.te.com/usa-en/product-ED0115-000.html</t>
  </si>
  <si>
    <t>http://www.te.com/usa-en/product-ED0116-000.html</t>
  </si>
  <si>
    <t>http://www.te.com/usa-en/product-ED0514-000.html</t>
  </si>
  <si>
    <t>http://www.te.com/usa-en/product-ED0513-000.html</t>
  </si>
  <si>
    <t>http://www.te.com/usa-en/product-ED0477-000.html</t>
  </si>
  <si>
    <t>http://www.te.com/usa-en/product-ED0501-000.html</t>
  </si>
  <si>
    <t>http://www.te.com/usa-en/product-ED0489-000.html</t>
  </si>
  <si>
    <t>http://www.te.com/usa-en/product-ED0478-000.html</t>
  </si>
  <si>
    <t>http://www.te.com/usa-en/product-ED0502-000.html</t>
  </si>
  <si>
    <t>http://www.te.com/usa-en/product-ED0490-000.html</t>
  </si>
  <si>
    <t>http://www.te.com/usa-en/product-ED0479-000.html</t>
  </si>
  <si>
    <t>http://www.te.com/usa-en/product-ED0503-000.html</t>
  </si>
  <si>
    <t>http://www.te.com/usa-en/product-ED0491-000.html</t>
  </si>
  <si>
    <t>http://www.te.com/usa-en/product-ED0518-000.html</t>
  </si>
  <si>
    <t>http://www.te.com/usa-en/product-ED9227-000.html</t>
  </si>
  <si>
    <t>http://www.te.com/usa-en/product-ED9228-000.html</t>
  </si>
  <si>
    <t>http://www.te.com/usa-en/product-ED9229-000.html</t>
  </si>
  <si>
    <t>http://www.te.com/usa-en/product-ED9230-000.html</t>
  </si>
  <si>
    <t>http://www.te.com/usa-en/product-ED0117-000.html</t>
  </si>
  <si>
    <t>http://www.te.com/usa-en/product-ED0118-000.html</t>
  </si>
  <si>
    <t>http://www.te.com/usa-en/product-EB8562-000.html</t>
  </si>
  <si>
    <t>http://www.te.com/usa-en/product-ED8981-000.html</t>
  </si>
  <si>
    <t>http://www.te.com/usa-en/product-EB8565-000.html</t>
  </si>
  <si>
    <t>http://www.te.com/usa-en/product-ED8982-000.html</t>
  </si>
  <si>
    <t>http://www.te.com/usa-en/product-ED2768-000.html</t>
  </si>
  <si>
    <t>http://www.te.com/usa-en/product-ED8983-000.html</t>
  </si>
  <si>
    <t>http://www.te.com/usa-en/product-EB8568-000.html</t>
  </si>
  <si>
    <t>http://www.te.com/usa-en/product-EB8574-000.html</t>
  </si>
  <si>
    <t>http://www.te.com/usa-en/product-ED8986-000.html</t>
  </si>
  <si>
    <t>http://www.te.com/usa-en/product-ED8985-000.html</t>
  </si>
  <si>
    <t>http://www.te.com/usa-en/product-EB8571-000.html</t>
  </si>
  <si>
    <t>http://www.te.com/usa-en/product-EB8577-000.html</t>
  </si>
  <si>
    <t>http://www.te.com/usa-en/product-ED8988-000.html</t>
  </si>
  <si>
    <t>http://www.te.com/usa-en/product-ED8987-000.html</t>
  </si>
  <si>
    <t>http://www.te.com/usa-en/product-ED2769-000.html</t>
  </si>
  <si>
    <t>http://www.te.com/usa-en/product-ED8989-000.html</t>
  </si>
  <si>
    <t>http://www.te.com/usa-en/product-EB8580-000.html</t>
  </si>
  <si>
    <t>http://www.te.com/usa-en/product-EB8586-000.html</t>
  </si>
  <si>
    <t>http://www.te.com/usa-en/product-ED8992-000.html</t>
  </si>
  <si>
    <t>http://www.te.com/usa-en/product-ED8991-000.html</t>
  </si>
  <si>
    <t>http://www.te.com/usa-en/product-EB8583-000.html</t>
  </si>
  <si>
    <t>http://www.te.com/usa-en/product-EB8589-000.html</t>
  </si>
  <si>
    <t>http://www.te.com/usa-en/product-ED8994-000.html</t>
  </si>
  <si>
    <t>http://www.te.com/usa-en/product-ED8993-000.html</t>
  </si>
  <si>
    <t>http://www.te.com/usa-en/product-EB8592-000.html</t>
  </si>
  <si>
    <t>http://www.te.com/usa-en/product-ED8995-000.html</t>
  </si>
  <si>
    <t>http://www.te.com/usa-en/product-EB8595-000.html</t>
  </si>
  <si>
    <t>http://www.te.com/usa-en/product-ED8996-000.html</t>
  </si>
  <si>
    <t>http://www.te.com/usa-en/product-ED2770-000.html</t>
  </si>
  <si>
    <t>http://www.te.com/usa-en/product-ED8997-000.html</t>
  </si>
  <si>
    <t>http://www.te.com/usa-en/product-EB8598-000.html</t>
  </si>
  <si>
    <t>http://www.te.com/usa-en/product-EB8601-000.html</t>
  </si>
  <si>
    <t>http://www.te.com/usa-en/product-ED9001-000.html</t>
  </si>
  <si>
    <t>http://www.te.com/usa-en/product-ED9000-000.html</t>
  </si>
  <si>
    <t>http://www.te.com/usa-en/product-EB8604-000.html</t>
  </si>
  <si>
    <t>http://www.te.com/usa-en/product-ED9002-000.html</t>
  </si>
  <si>
    <t>http://www.te.com/usa-en/product-EB8613-000.html</t>
  </si>
  <si>
    <t>http://www.te.com/usa-en/product-ED9003-000.html</t>
  </si>
  <si>
    <t>http://www.te.com/usa-en/product-EB8607-000.html</t>
  </si>
  <si>
    <t>http://www.te.com/usa-en/product-ED9004-000.html</t>
  </si>
  <si>
    <t>http://www.te.com/usa-en/product-EB8610-000.html</t>
  </si>
  <si>
    <t>http://www.te.com/usa-en/product-ED9005-000.html</t>
  </si>
  <si>
    <t>http://www.te.com/usa-en/product-ED2771-000.html</t>
  </si>
  <si>
    <t>http://www.te.com/usa-en/product-ED9006-000.html</t>
  </si>
  <si>
    <t>http://www.te.com/usa-en/product-EB8616-000.html</t>
  </si>
  <si>
    <t>http://www.te.com/usa-en/product-ED9009-000.html</t>
  </si>
  <si>
    <t>http://www.te.com/usa-en/product-EB8625-000.html</t>
  </si>
  <si>
    <t>http://www.te.com/usa-en/product-ED9010-000.html</t>
  </si>
  <si>
    <t>http://www.te.com/usa-en/product-EB8619-000.html</t>
  </si>
  <si>
    <t>http://www.te.com/usa-en/product-ED9011-000.html</t>
  </si>
  <si>
    <t>http://www.te.com/usa-en/product-EB8628-000.html</t>
  </si>
  <si>
    <t>http://www.te.com/usa-en/product-ED9012-000.html</t>
  </si>
  <si>
    <t>http://www.te.com/usa-en/product-EB8622-000.html</t>
  </si>
  <si>
    <t>http://www.te.com/usa-en/product-ED9013-000.html</t>
  </si>
  <si>
    <t>http://www.te.com/usa-en/product-ED2772-000.html</t>
  </si>
  <si>
    <t>http://www.te.com/usa-en/product-ED9014-000.html</t>
  </si>
  <si>
    <t>http://www.te.com/usa-en/product-ED2775-000.html</t>
  </si>
  <si>
    <t>http://www.te.com/usa-en/product-ED9015-000.html</t>
  </si>
  <si>
    <t>http://www.te.com/usa-en/product-EB8634-000.html</t>
  </si>
  <si>
    <t>http://www.te.com/usa-en/product-ED9018-000.html</t>
  </si>
  <si>
    <t>http://www.te.com/usa-en/product-EB8637-000.html</t>
  </si>
  <si>
    <t>http://www.te.com/usa-en/product-ED9019-000.html</t>
  </si>
  <si>
    <t>http://www.te.com/usa-en/product-EB8640-000.html</t>
  </si>
  <si>
    <t>http://www.te.com/usa-en/product-ED9020-000.html</t>
  </si>
  <si>
    <t>http://www.te.com/usa-en/product-EB8631-000.html</t>
  </si>
  <si>
    <t>http://www.te.com/usa-en/product-EB8643-000.html</t>
  </si>
  <si>
    <t>http://www.te.com/usa-en/product-ED9022-000.html</t>
  </si>
  <si>
    <t>http://www.te.com/usa-en/product-ED9021-000.html</t>
  </si>
  <si>
    <t>http://www.te.com/usa-en/product-ED9023-000.html</t>
  </si>
  <si>
    <t>http://www.te.com/usa-en/product-EB8646-000.html</t>
  </si>
  <si>
    <t>http://www.te.com/usa-en/product-ED9024-000.html</t>
  </si>
  <si>
    <t>http://www.te.com/usa-en/product-ED2773-000.html</t>
  </si>
  <si>
    <t>http://www.te.com/usa-en/product-ED9025-000.html</t>
  </si>
  <si>
    <t>http://www.te.com/usa-en/product-ED2776-000.html</t>
  </si>
  <si>
    <t>http://www.te.com/usa-en/product-ED9026-000.html</t>
  </si>
  <si>
    <t>http://www.te.com/usa-en/product-EB8649-000.html</t>
  </si>
  <si>
    <t>http://www.te.com/usa-en/product-ED9028-000.html</t>
  </si>
  <si>
    <t>http://www.te.com/usa-en/product-EB8652-000.html</t>
  </si>
  <si>
    <t>http://www.te.com/usa-en/product-ED9029-000.html</t>
  </si>
  <si>
    <t>http://www.te.com/usa-en/product-EB8655-000.html</t>
  </si>
  <si>
    <t>http://www.te.com/usa-en/product-ED9030-000.html</t>
  </si>
  <si>
    <t>http://www.te.com/usa-en/product-EB8658-000.html</t>
  </si>
  <si>
    <t>http://www.te.com/usa-en/product-ED9031-000.html</t>
  </si>
  <si>
    <t>http://www.te.com/usa-en/product-EB8661-000.html</t>
  </si>
  <si>
    <t>http://www.te.com/usa-en/product-ED9032-000.html</t>
  </si>
  <si>
    <t>http://www.te.com/usa-en/product-EB8664-000.html</t>
  </si>
  <si>
    <t>http://www.te.com/usa-en/product-ED9033-000.html</t>
  </si>
  <si>
    <t>http://www.te.com/usa-en/product-EB8667-000.html</t>
  </si>
  <si>
    <t>http://www.te.com/usa-en/product-ED9034-000.html</t>
  </si>
  <si>
    <t>http://www.te.com/usa-en/product-ED2774-000.html</t>
  </si>
  <si>
    <t>http://www.te.com/usa-en/product-ED9035-000.html</t>
  </si>
  <si>
    <t>http://www.te.com/usa-en/product-ED2777-000.html</t>
  </si>
  <si>
    <t>http://www.te.com/usa-en/product-ED9036-000.html</t>
  </si>
  <si>
    <t>http://www.te.com/usa-en/product-ED2780-000.html</t>
  </si>
  <si>
    <t>http://www.te.com/usa-en/product-ED9037-000.html</t>
  </si>
  <si>
    <t>http://www.te.com/usa-en/product-EB8670-000.html</t>
  </si>
  <si>
    <t>http://www.te.com/usa-en/product-ED9041-000.html</t>
  </si>
  <si>
    <t>http://www.te.com/usa-en/product-EB8673-000.html</t>
  </si>
  <si>
    <t>http://www.te.com/usa-en/product-ED9042-000.html</t>
  </si>
  <si>
    <t>http://www.te.com/usa-en/product-EB8676-000.html</t>
  </si>
  <si>
    <t>http://www.te.com/usa-en/product-ED9043-000.html</t>
  </si>
  <si>
    <t>http://www.te.com/usa-en/product-EB8679-000.html</t>
  </si>
  <si>
    <t>http://www.te.com/usa-en/product-ED9044-000.html</t>
  </si>
  <si>
    <t>http://www.te.com/usa-en/product-EB8682-000.html</t>
  </si>
  <si>
    <t>http://www.te.com/usa-en/product-ED9045-000.html</t>
  </si>
  <si>
    <t>http://www.te.com/usa-en/product-EB8685-000.html</t>
  </si>
  <si>
    <t>http://www.te.com/usa-en/product-ED9046-000.html</t>
  </si>
  <si>
    <t>http://www.te.com/usa-en/product-ED2778-000.html</t>
  </si>
  <si>
    <t>http://www.te.com/usa-en/product-ED9047-000.html</t>
  </si>
  <si>
    <t>http://www.te.com/usa-en/product-ED2781-000.html</t>
  </si>
  <si>
    <t>http://www.te.com/usa-en/product-ED9048-000.html</t>
  </si>
  <si>
    <t>http://www.te.com/usa-en/product-EB8703-000.html</t>
  </si>
  <si>
    <t>http://www.te.com/usa-en/product-ED9052-000.html</t>
  </si>
  <si>
    <t>http://www.te.com/usa-en/product-EB8688-000.html</t>
  </si>
  <si>
    <t>http://www.te.com/usa-en/product-ED9053-000.html</t>
  </si>
  <si>
    <t>http://www.te.com/usa-en/product-EB8691-000.html</t>
  </si>
  <si>
    <t>http://www.te.com/usa-en/product-ED9054-000.html</t>
  </si>
  <si>
    <t>http://www.te.com/usa-en/product-EB8694-000.html</t>
  </si>
  <si>
    <t>http://www.te.com/usa-en/product-ED9055-000.html</t>
  </si>
  <si>
    <t>http://www.te.com/usa-en/product-EB8697-000.html</t>
  </si>
  <si>
    <t>http://www.te.com/usa-en/product-ED9056-000.html</t>
  </si>
  <si>
    <t>http://www.te.com/usa-en/product-EB8700-000.html</t>
  </si>
  <si>
    <t>http://www.te.com/usa-en/product-ED9057-000.html</t>
  </si>
  <si>
    <t>http://www.te.com/usa-en/product-ED2779-000.html</t>
  </si>
  <si>
    <t>http://www.te.com/usa-en/product-ED9058-000.html</t>
  </si>
  <si>
    <t>http://www.te.com/usa-en/product-ED2782-000.html</t>
  </si>
  <si>
    <t>http://www.te.com/usa-en/product-ED9059-000.html</t>
  </si>
  <si>
    <t>http://www.te.com/usa-en/product-ED9060-000.html</t>
  </si>
  <si>
    <t>http://www.te.com/usa-en/product-EB8712-000.html</t>
  </si>
  <si>
    <t>http://www.te.com/usa-en/product-ED9064-000.html</t>
  </si>
  <si>
    <t>http://www.te.com/usa-en/product-EB8715-000.html</t>
  </si>
  <si>
    <t>http://www.te.com/usa-en/product-ED9065-000.html</t>
  </si>
  <si>
    <t>http://www.te.com/usa-en/product-EB8706-000.html</t>
  </si>
  <si>
    <t>http://www.te.com/usa-en/product-ED9066-000.html</t>
  </si>
  <si>
    <t>http://www.te.com/usa-en/product-EB8709-000.html</t>
  </si>
  <si>
    <t>http://www.te.com/usa-en/product-ED9067-000.html</t>
  </si>
  <si>
    <t>http://www.te.com/usa-en/product-ED2783-000.html</t>
  </si>
  <si>
    <t>http://www.te.com/usa-en/product-ED9068-000.html</t>
  </si>
  <si>
    <t>http://www.te.com/usa-en/product-ED9069-000.html</t>
  </si>
  <si>
    <t>http://www.te.com/usa-en/product-EB8718-000.html</t>
  </si>
  <si>
    <t>http://www.te.com/usa-en/product-ED9072-000.html</t>
  </si>
  <si>
    <t>http://www.te.com/usa-en/product-ED9073-000.html</t>
  </si>
  <si>
    <t>http://www.te.com/usa-en/product-ED9231-000.html</t>
  </si>
  <si>
    <t>http://www.te.com/usa-en/product-ED9232-000.html</t>
  </si>
  <si>
    <t>http://www.te.com/usa-en/product-ED9233-000.html</t>
  </si>
  <si>
    <t>http://www.te.com/usa-en/product-ED9234-000.html</t>
  </si>
  <si>
    <t>http://www.te.com/usa-en/product-ED0515-000.html</t>
  </si>
  <si>
    <t>http://www.te.com/usa-en/product-CP9713-000.html</t>
  </si>
  <si>
    <t>http://www.te.com/usa-en/product-ED0480-000.html</t>
  </si>
  <si>
    <t>http://www.te.com/usa-en/product-ED0504-000.html</t>
  </si>
  <si>
    <t>http://www.te.com/usa-en/product-ED0492-000.html</t>
  </si>
  <si>
    <t>http://www.te.com/usa-en/product-ED0481-000.html</t>
  </si>
  <si>
    <t>http://www.te.com/usa-en/product-ED0505-000.html</t>
  </si>
  <si>
    <t>http://www.te.com/usa-en/product-ED0493-000.html</t>
  </si>
  <si>
    <t>http://www.te.com/usa-en/product-ED0482-000.html</t>
  </si>
  <si>
    <t>http://www.te.com/usa-en/product-ED0506-000.html</t>
  </si>
  <si>
    <t>http://www.te.com/usa-en/product-ED0494-000.html</t>
  </si>
  <si>
    <t>http://www.te.com/usa-en/product-ED2747-000.html</t>
  </si>
  <si>
    <t>http://www.te.com/usa-en/product-ED8984-000.html</t>
  </si>
  <si>
    <t>http://www.te.com/usa-en/product-ED2748-000.html</t>
  </si>
  <si>
    <t>http://www.te.com/usa-en/product-ED8990-000.html</t>
  </si>
  <si>
    <t>http://www.te.com/usa-en/product-ED2749-000.html</t>
  </si>
  <si>
    <t>http://www.te.com/usa-en/product-ED8998-000.html</t>
  </si>
  <si>
    <t>http://www.te.com/usa-en/product-ED2752-000.html</t>
  </si>
  <si>
    <t>http://www.te.com/usa-en/product-ED8999-000.html</t>
  </si>
  <si>
    <t>http://www.te.com/usa-en/product-ED2750-000.html</t>
  </si>
  <si>
    <t>http://www.te.com/usa-en/product-ED9007-000.html</t>
  </si>
  <si>
    <t>http://www.te.com/usa-en/product-ED2753-000.html</t>
  </si>
  <si>
    <t>http://www.te.com/usa-en/product-ED9008-000.html</t>
  </si>
  <si>
    <t>http://www.te.com/usa-en/product-ED2751-000.html</t>
  </si>
  <si>
    <t>http://www.te.com/usa-en/product-ED9016-000.html</t>
  </si>
  <si>
    <t>http://www.te.com/usa-en/product-ED2754-000.html</t>
  </si>
  <si>
    <t>http://www.te.com/usa-en/product-ED9017-000.html</t>
  </si>
  <si>
    <t>http://www.te.com/usa-en/product-ED2755-000.html</t>
  </si>
  <si>
    <t>http://www.te.com/usa-en/product-ED9027-000.html</t>
  </si>
  <si>
    <t>http://www.te.com/usa-en/product-ED2756-000.html</t>
  </si>
  <si>
    <t>http://www.te.com/usa-en/product-ED9038-000.html</t>
  </si>
  <si>
    <t>http://www.te.com/usa-en/product-ED2758-000.html</t>
  </si>
  <si>
    <t>http://www.te.com/usa-en/product-ED9039-000.html</t>
  </si>
  <si>
    <t>http://www.te.com/usa-en/product-ED2761-000.html</t>
  </si>
  <si>
    <t>http://www.te.com/usa-en/product-ED9040-000.html</t>
  </si>
  <si>
    <t>http://www.te.com/usa-en/product-ED2757-000.html</t>
  </si>
  <si>
    <t>http://www.te.com/usa-en/product-ED9049-000.html</t>
  </si>
  <si>
    <t>http://www.te.com/usa-en/product-ED2759-000.html</t>
  </si>
  <si>
    <t>http://www.te.com/usa-en/product-ED9050-000.html</t>
  </si>
  <si>
    <t>http://www.te.com/usa-en/product-ED2762-000.html</t>
  </si>
  <si>
    <t>http://www.te.com/usa-en/product-ED9051-000.html</t>
  </si>
  <si>
    <t>http://www.te.com/usa-en/product-ED2760-000.html</t>
  </si>
  <si>
    <t>http://www.te.com/usa-en/product-ED9061-000.html</t>
  </si>
  <si>
    <t>http://www.te.com/usa-en/product-ED2763-000.html</t>
  </si>
  <si>
    <t>http://www.te.com/usa-en/product-ED9062-000.html</t>
  </si>
  <si>
    <t>http://www.te.com/usa-en/product-ED2765-000.html</t>
  </si>
  <si>
    <t>http://www.te.com/usa-en/product-ED9063-000.html</t>
  </si>
  <si>
    <t>http://www.te.com/usa-en/product-ED2764-000.html</t>
  </si>
  <si>
    <t>http://www.te.com/usa-en/product-ED9070-000.html</t>
  </si>
  <si>
    <t>http://www.te.com/usa-en/product-ED2766-000.html</t>
  </si>
  <si>
    <t>http://www.te.com/usa-en/product-ED9071-000.html</t>
  </si>
  <si>
    <t>http://www.te.com/usa-en/product-ED2767-000.html</t>
  </si>
  <si>
    <t>http://www.te.com/usa-en/product-ED9074-000.html</t>
  </si>
  <si>
    <t>http://www.te.com/usa-en/product-EE5631-000.html</t>
  </si>
  <si>
    <t>http://www.te.com/usa-en/product-EE5633-000.html</t>
  </si>
  <si>
    <t>http://www.te.com/usa-en/product-FG1611-000.html</t>
  </si>
  <si>
    <t>http://www.te.com/usa-en/product-EE5624-000.html</t>
  </si>
  <si>
    <t>http://www.te.com/usa-en/product-FG1283-000.html</t>
  </si>
  <si>
    <t>http://www.te.com/usa-en/product-EE5623-000.html</t>
  </si>
  <si>
    <t>http://www.te.com/usa-en/product-EE5625-000.html</t>
  </si>
  <si>
    <t>http://www.te.com/usa-en/product-FG1282-000.html</t>
  </si>
  <si>
    <t>http://www.te.com/usa-en/product-FG1284-000.html</t>
  </si>
  <si>
    <t>http://www.te.com/usa-en/product-FG1612-000.html</t>
  </si>
  <si>
    <t>http://www.te.com/usa-en/product-FG1617-000.html</t>
  </si>
  <si>
    <t>http://www.te.com/usa-en/product-EE5626-000.html</t>
  </si>
  <si>
    <t>http://www.te.com/usa-en/product-FG1281-000.html</t>
  </si>
  <si>
    <t>http://www.te.com/usa-en/product-EE5627-000.html</t>
  </si>
  <si>
    <t>http://www.te.com/usa-en/product-FG1280-000.html</t>
  </si>
  <si>
    <t>http://www.te.com/usa-en/product-FG1613-000.html</t>
  </si>
  <si>
    <t>http://www.te.com/usa-en/product-FG1618-000.html</t>
  </si>
  <si>
    <t>http://www.te.com/usa-en/product-FG1614-000.html</t>
  </si>
  <si>
    <t>http://www.te.com/usa-en/product-FG1627-000.html</t>
  </si>
  <si>
    <t>http://www.te.com/usa-en/product-FG1781-000.html</t>
  </si>
  <si>
    <t>http://www.te.com/usa-en/product-FG1871-000.html</t>
  </si>
  <si>
    <t>http://www.te.com/usa-en/product-FG1782-000.html</t>
  </si>
  <si>
    <t>http://www.te.com/usa-en/product-FG1780-000.html</t>
  </si>
  <si>
    <t>http://www.te.com/usa-en/product-EE5632-000.html</t>
  </si>
  <si>
    <t>http://www.te.com/usa-en/product-EE5643-000.html</t>
  </si>
  <si>
    <t>http://www.te.com/usa-en/product-EE5634-000.html</t>
  </si>
  <si>
    <t>http://www.te.com/usa-en/product-EE5628-000.html</t>
  </si>
  <si>
    <t>http://www.te.com/usa-en/product-FG1457-000.html</t>
  </si>
  <si>
    <t>http://www.te.com/usa-en/product-FG1621-000.html</t>
  </si>
  <si>
    <t>http://www.te.com/usa-en/product-FG1631-000.html</t>
  </si>
  <si>
    <t>http://www.te.com/usa-en/product-EE5629-000.html</t>
  </si>
  <si>
    <t>http://www.te.com/usa-en/product-FG1454-000.html</t>
  </si>
  <si>
    <t>http://www.te.com/usa-en/product-FG1622-000.html</t>
  </si>
  <si>
    <t>http://www.te.com/usa-en/product-FG1629-000.html</t>
  </si>
  <si>
    <t>http://www.te.com/usa-en/product-EE5630-000.html</t>
  </si>
  <si>
    <t>http://www.te.com/usa-en/product-FG1458-000.html</t>
  </si>
  <si>
    <t>http://www.te.com/usa-en/product-FG1623-000.html</t>
  </si>
  <si>
    <t>http://www.te.com/usa-en/product-FG1628-000.html</t>
  </si>
  <si>
    <t>http://www.te.com/usa-en/product-FG1626-000.html</t>
  </si>
  <si>
    <t>http://www.te.com/usa-en/product-ED0163-000.html</t>
  </si>
  <si>
    <t>http://www.te.com/usa-en/product-CP8593-000.html</t>
  </si>
  <si>
    <t>http://www.te.com/usa-en/product-ED0119-000.html</t>
  </si>
  <si>
    <t>http://www.te.com/usa-en/product-CS1356-000.html</t>
  </si>
  <si>
    <t>http://www.te.com/usa-en/product-CS1357-000.html</t>
  </si>
  <si>
    <t>http://www.te.com/usa-en/product-CS1358-000.html</t>
  </si>
  <si>
    <t>http://www.te.com/usa-en/product-ED0122-000.html</t>
  </si>
  <si>
    <t>http://www.te.com/usa-en/product-ED0123-000.html</t>
  </si>
  <si>
    <t>http://www.te.com/usa-en/product-ED0124-000.html</t>
  </si>
  <si>
    <t>http://www.te.com/usa-en/product-ED0125-000.html</t>
  </si>
  <si>
    <t>http://www.te.com/usa-en/product-ED0126-000.html</t>
  </si>
  <si>
    <t>http://www.te.com/usa-en/product-ED0127-000.html</t>
  </si>
  <si>
    <t>http://www.te.com/usa-en/product-ED0129-000.html</t>
  </si>
  <si>
    <t>http://www.te.com/usa-en/product-ED0130-000.html</t>
  </si>
  <si>
    <t>http://www.te.com/usa-en/product-ED0131-000.html</t>
  </si>
  <si>
    <t>http://www.te.com/usa-en/product-ED0132-000.html</t>
  </si>
  <si>
    <t>http://www.te.com/usa-en/product-ED0133-000.html</t>
  </si>
  <si>
    <t>http://www.te.com/usa-en/product-ED0134-000.html</t>
  </si>
  <si>
    <t>http://www.te.com/usa-en/product-ED0135-000.html</t>
  </si>
  <si>
    <t>http://www.te.com/usa-en/product-ED0136-000.html</t>
  </si>
  <si>
    <t>http://www.te.com/usa-en/product-ED0137-000.html</t>
  </si>
  <si>
    <t>http://www.te.com/usa-en/product-ED0516-000.html</t>
  </si>
  <si>
    <t>http://www.te.com/usa-en/product-ED2684-000.html</t>
  </si>
  <si>
    <t>http://www.te.com/usa-en/product-ED9075-000.html</t>
  </si>
  <si>
    <t>http://www.te.com/usa-en/product-CS2678-000.html</t>
  </si>
  <si>
    <t>http://www.te.com/usa-en/product-EB8202-000.html</t>
  </si>
  <si>
    <t>http://www.te.com/usa-en/product-EB8208-000.html</t>
  </si>
  <si>
    <t>http://www.te.com/usa-en/product-ED9078-000.html</t>
  </si>
  <si>
    <t>http://www.te.com/usa-en/product-ED9077-000.html</t>
  </si>
  <si>
    <t>http://www.te.com/usa-en/product-ED2685-000.html</t>
  </si>
  <si>
    <t>http://www.te.com/usa-en/product-ED9079-000.html</t>
  </si>
  <si>
    <t>http://www.te.com/usa-en/product-CP9910-000.html</t>
  </si>
  <si>
    <t>http://www.te.com/usa-en/product-CP9912-000.html</t>
  </si>
  <si>
    <t>http://www.te.com/usa-en/product-CP7364-000.html</t>
  </si>
  <si>
    <t>http://www.te.com/usa-en/product-ED9081-000.html</t>
  </si>
  <si>
    <t>http://www.te.com/usa-en/product-ED2686-000.html</t>
  </si>
  <si>
    <t>http://www.te.com/usa-en/product-ED9082-000.html</t>
  </si>
  <si>
    <t>http://www.te.com/usa-en/product-ED9084-000.html</t>
  </si>
  <si>
    <t>http://www.te.com/usa-en/product-ED0483-000.html</t>
  </si>
  <si>
    <t>http://www.te.com/usa-en/product-ED0507-000.html</t>
  </si>
  <si>
    <t>http://www.te.com/usa-en/product-ED0495-000.html</t>
  </si>
  <si>
    <t>http://www.te.com/usa-en/product-EB8220-000.html</t>
  </si>
  <si>
    <t>http://www.te.com/usa-en/product-ED9085-000.html</t>
  </si>
  <si>
    <t>http://www.te.com/usa-en/product-ED0484-000.html</t>
  </si>
  <si>
    <t>http://www.te.com/usa-en/product-ED0508-000.html</t>
  </si>
  <si>
    <t>http://www.te.com/usa-en/product-ED0496-000.html</t>
  </si>
  <si>
    <t>http://www.te.com/usa-en/product-CP5594-000.html</t>
  </si>
  <si>
    <t>http://www.te.com/usa-en/product-ED9086-000.html</t>
  </si>
  <si>
    <t>http://www.te.com/usa-en/product-ED0485-000.html</t>
  </si>
  <si>
    <t>http://www.te.com/usa-en/product-ED0509-000.html</t>
  </si>
  <si>
    <t>http://www.te.com/usa-en/product-ED0497-000.html</t>
  </si>
  <si>
    <t>http://www.te.com/usa-en/product-ED2687-000.html</t>
  </si>
  <si>
    <t>http://www.te.com/usa-en/product-ED9087-000.html</t>
  </si>
  <si>
    <t>http://www.te.com/usa-en/product-CP5977-000.html</t>
  </si>
  <si>
    <t>http://www.te.com/usa-en/product-ED9090-000.html</t>
  </si>
  <si>
    <t>http://www.te.com/usa-en/product-ED9091-000.html</t>
  </si>
  <si>
    <t>http://www.te.com/usa-en/product-EB8226-000.html</t>
  </si>
  <si>
    <t>http://www.te.com/usa-en/product-ED9092-000.html</t>
  </si>
  <si>
    <t>http://www.te.com/usa-en/product-ED2688-000.html</t>
  </si>
  <si>
    <t>http://www.te.com/usa-en/product-ED9093-000.html</t>
  </si>
  <si>
    <t>http://www.te.com/usa-en/product-EB8232-000.html</t>
  </si>
  <si>
    <t>http://www.te.com/usa-en/product-ED9096-000.html</t>
  </si>
  <si>
    <t>http://www.te.com/usa-en/product-ED9097-000.html</t>
  </si>
  <si>
    <t>http://www.te.com/usa-en/product-ED2689-000.html</t>
  </si>
  <si>
    <t>http://www.te.com/usa-en/product-ED9098-000.html</t>
  </si>
  <si>
    <t>http://www.te.com/usa-en/product-ED9100-000.html</t>
  </si>
  <si>
    <t>http://www.te.com/usa-en/product-EB8238-000.html</t>
  </si>
  <si>
    <t>http://www.te.com/usa-en/product-ED9101-000.html</t>
  </si>
  <si>
    <t>http://www.te.com/usa-en/product-EB8244-000.html</t>
  </si>
  <si>
    <t>http://www.te.com/usa-en/product-ED9102-000.html</t>
  </si>
  <si>
    <t>http://www.te.com/usa-en/product-ED9103-000.html</t>
  </si>
  <si>
    <t>http://www.te.com/usa-en/product-ED2690-000.html</t>
  </si>
  <si>
    <t>http://www.te.com/usa-en/product-ED9104-000.html</t>
  </si>
  <si>
    <t>http://www.te.com/usa-en/product-ED2691-000.html</t>
  </si>
  <si>
    <t>http://www.te.com/usa-en/product-ED9105-000.html</t>
  </si>
  <si>
    <t>http://www.te.com/usa-en/product-ED9107-000.html</t>
  </si>
  <si>
    <t>http://www.te.com/usa-en/product-EB8250-000.html</t>
  </si>
  <si>
    <t>http://www.te.com/usa-en/product-ED9108-000.html</t>
  </si>
  <si>
    <t>http://www.te.com/usa-en/product-EB8256-000.html</t>
  </si>
  <si>
    <t>http://www.te.com/usa-en/product-ED9109-000.html</t>
  </si>
  <si>
    <t>http://www.te.com/usa-en/product-ED2692-000.html</t>
  </si>
  <si>
    <t>http://www.te.com/usa-en/product-ED9110-000.html</t>
  </si>
  <si>
    <t>http://www.te.com/usa-en/product-EB8262-000.html</t>
  </si>
  <si>
    <t>http://www.te.com/usa-en/product-ED9113-000.html</t>
  </si>
  <si>
    <t>http://www.te.com/usa-en/product-ED2693-000.html</t>
  </si>
  <si>
    <t>http://www.te.com/usa-en/product-ED9114-000.html</t>
  </si>
  <si>
    <t>http://www.te.com/usa-en/product-EB8268-000.html</t>
  </si>
  <si>
    <t>http://www.te.com/usa-en/product-ED9117-000.html</t>
  </si>
  <si>
    <t>http://www.te.com/usa-en/product-ED2694-000.html</t>
  </si>
  <si>
    <t>http://www.te.com/usa-en/product-ED9118-000.html</t>
  </si>
  <si>
    <t>http://www.te.com/usa-en/product-ED9120-000.html</t>
  </si>
  <si>
    <t>http://www.te.com/usa-en/product-EB8274-000.html</t>
  </si>
  <si>
    <t>http://www.te.com/usa-en/product-ED9121-000.html</t>
  </si>
  <si>
    <t>http://www.te.com/usa-en/product-EB8280-000.html</t>
  </si>
  <si>
    <t>http://www.te.com/usa-en/product-ED9122-000.html</t>
  </si>
  <si>
    <t>http://www.te.com/usa-en/product-EB8286-000.html</t>
  </si>
  <si>
    <t>http://www.te.com/usa-en/product-ED9123-000.html</t>
  </si>
  <si>
    <t>http://www.te.com/usa-en/product-ED2695-000.html</t>
  </si>
  <si>
    <t>http://www.te.com/usa-en/product-ED9124-000.html</t>
  </si>
  <si>
    <t>http://www.te.com/usa-en/product-ED2697-000.html</t>
  </si>
  <si>
    <t>http://www.te.com/usa-en/product-ED9125-000.html</t>
  </si>
  <si>
    <t>http://www.te.com/usa-en/product-EB8292-000.html</t>
  </si>
  <si>
    <t>http://www.te.com/usa-en/product-ED9128-000.html</t>
  </si>
  <si>
    <t>http://www.te.com/usa-en/product-EB8298-000.html</t>
  </si>
  <si>
    <t>http://www.te.com/usa-en/product-ED9129-000.html</t>
  </si>
  <si>
    <t>http://www.te.com/usa-en/product-EB8304-000.html</t>
  </si>
  <si>
    <t>http://www.te.com/usa-en/product-ED9130-000.html</t>
  </si>
  <si>
    <t>http://www.te.com/usa-en/product-ED2696-000.html</t>
  </si>
  <si>
    <t>http://www.te.com/usa-en/product-ED9131-000.html</t>
  </si>
  <si>
    <t>http://www.te.com/usa-en/product-ED2698-000.html</t>
  </si>
  <si>
    <t>http://www.te.com/usa-en/product-ED9132-000.html</t>
  </si>
  <si>
    <t>http://www.te.com/usa-en/product-ED9133-000.html</t>
  </si>
  <si>
    <t>http://www.te.com/usa-en/product-ED0519-000.html</t>
  </si>
  <si>
    <t>http://www.te.com/usa-en/product-EB8316-000.html</t>
  </si>
  <si>
    <t>http://www.te.com/usa-en/product-ED9137-000.html</t>
  </si>
  <si>
    <t>http://www.te.com/usa-en/product-ED9235-000.html</t>
  </si>
  <si>
    <t>http://www.te.com/usa-en/product-ED9236-000.html</t>
  </si>
  <si>
    <t>http://www.te.com/usa-en/product-ED9237-000.html</t>
  </si>
  <si>
    <t>http://www.te.com/usa-en/product-ED9238-000.html</t>
  </si>
  <si>
    <t>http://www.te.com/usa-en/product-ED9138-000.html</t>
  </si>
  <si>
    <t>http://www.te.com/usa-en/product-EB8310-000.html</t>
  </si>
  <si>
    <t>http://www.te.com/usa-en/product-ED9139-000.html</t>
  </si>
  <si>
    <t>http://www.te.com/usa-en/product-ED2699-000.html</t>
  </si>
  <si>
    <t>http://www.te.com/usa-en/product-ED9140-000.html</t>
  </si>
  <si>
    <t>http://www.te.com/usa-en/product-ED2701-000.html</t>
  </si>
  <si>
    <t>http://www.te.com/usa-en/product-ED9141-000.html</t>
  </si>
  <si>
    <t>http://www.te.com/usa-en/product-ED0139-000.html</t>
  </si>
  <si>
    <t>http://www.te.com/usa-en/product-ED0140-000.html</t>
  </si>
  <si>
    <t>http://www.te.com/usa-en/product-EB8322-000.html</t>
  </si>
  <si>
    <t>http://www.te.com/usa-en/product-ED9144-000.html</t>
  </si>
  <si>
    <t>http://www.te.com/usa-en/product-ED9145-000.html</t>
  </si>
  <si>
    <t>http://www.te.com/usa-en/product-ED9147-000.html</t>
  </si>
  <si>
    <t>http://www.te.com/usa-en/product-EB8328-000.html</t>
  </si>
  <si>
    <t>http://www.te.com/usa-en/product-ED9148-000.html</t>
  </si>
  <si>
    <t>http://www.te.com/usa-en/product-ED9149-000.html</t>
  </si>
  <si>
    <t>http://www.te.com/usa-en/product-ED2727-000.html</t>
  </si>
  <si>
    <t>http://www.te.com/usa-en/product-ED9151-000.html</t>
  </si>
  <si>
    <t>http://www.te.com/usa-en/product-EB8205-000.html</t>
  </si>
  <si>
    <t>http://www.te.com/usa-en/product-EB8211-000.html</t>
  </si>
  <si>
    <t>http://www.te.com/usa-en/product-ED9154-000.html</t>
  </si>
  <si>
    <t>http://www.te.com/usa-en/product-ED9153-000.html</t>
  </si>
  <si>
    <t>http://www.te.com/usa-en/product-ED2728-000.html</t>
  </si>
  <si>
    <t>http://www.te.com/usa-en/product-ED9155-000.html</t>
  </si>
  <si>
    <t>http://www.te.com/usa-en/product-EB8217-000.html</t>
  </si>
  <si>
    <t>http://www.te.com/usa-en/product-ED9157-000.html</t>
  </si>
  <si>
    <t>http://www.te.com/usa-en/product-ED2729-000.html</t>
  </si>
  <si>
    <t>http://www.te.com/usa-en/product-ED9158-000.html</t>
  </si>
  <si>
    <t>http://www.te.com/usa-en/product-ED9160-000.html</t>
  </si>
  <si>
    <t>http://www.te.com/usa-en/product-EB8223-000.html</t>
  </si>
  <si>
    <t>http://www.te.com/usa-en/product-ED9161-000.html</t>
  </si>
  <si>
    <t>http://www.te.com/usa-en/product-CP4470-000.html</t>
  </si>
  <si>
    <t>http://www.te.com/usa-en/product-ED9162-000.html</t>
  </si>
  <si>
    <t>http://www.te.com/usa-en/product-ED2730-000.html</t>
  </si>
  <si>
    <t>http://www.te.com/usa-en/product-ED9163-000.html</t>
  </si>
  <si>
    <t>http://www.te.com/usa-en/product-CP5978-000.html</t>
  </si>
  <si>
    <t>http://www.te.com/usa-en/product-ED9166-000.html</t>
  </si>
  <si>
    <t>http://www.te.com/usa-en/product-ED9167-000.html</t>
  </si>
  <si>
    <t>http://www.te.com/usa-en/product-EB8229-000.html</t>
  </si>
  <si>
    <t>http://www.te.com/usa-en/product-ED9168-000.html</t>
  </si>
  <si>
    <t>http://www.te.com/usa-en/product-ED2731-000.html</t>
  </si>
  <si>
    <t>http://www.te.com/usa-en/product-ED9169-000.html</t>
  </si>
  <si>
    <t>http://www.te.com/usa-en/product-EB8235-000.html</t>
  </si>
  <si>
    <t>http://www.te.com/usa-en/product-ED9172-000.html</t>
  </si>
  <si>
    <t>http://www.te.com/usa-en/product-ED9173-000.html</t>
  </si>
  <si>
    <t>http://www.te.com/usa-en/product-ED9174-000.html</t>
  </si>
  <si>
    <t>http://www.te.com/usa-en/product-ED9176-000.html</t>
  </si>
  <si>
    <t>http://www.te.com/usa-en/product-EB8241-000.html</t>
  </si>
  <si>
    <t>http://www.te.com/usa-en/product-ED9177-000.html</t>
  </si>
  <si>
    <t>http://www.te.com/usa-en/product-EB8247-000.html</t>
  </si>
  <si>
    <t>http://www.te.com/usa-en/product-ED9178-000.html</t>
  </si>
  <si>
    <t>http://www.te.com/usa-en/product-CR1394-000.html</t>
  </si>
  <si>
    <t>http://www.te.com/usa-en/product-ED9179-000.html</t>
  </si>
  <si>
    <t>http://www.te.com/usa-en/product-ED2733-000.html</t>
  </si>
  <si>
    <t>http://www.te.com/usa-en/product-ED9180-000.html</t>
  </si>
  <si>
    <t>http://www.te.com/usa-en/product-ED2734-000.html</t>
  </si>
  <si>
    <t>http://www.te.com/usa-en/product-ED9181-000.html</t>
  </si>
  <si>
    <t>http://www.te.com/usa-en/product-CR1396-000.html</t>
  </si>
  <si>
    <t>http://www.te.com/usa-en/product-ED9183-000.html</t>
  </si>
  <si>
    <t>http://www.te.com/usa-en/product-EB8253-000.html</t>
  </si>
  <si>
    <t>http://www.te.com/usa-en/product-ED9184-000.html</t>
  </si>
  <si>
    <t>http://www.te.com/usa-en/product-EB8259-000.html</t>
  </si>
  <si>
    <t>http://www.te.com/usa-en/product-ED9185-000.html</t>
  </si>
  <si>
    <t>http://www.te.com/usa-en/product-ED2735-000.html</t>
  </si>
  <si>
    <t>http://www.te.com/usa-en/product-ED9186-000.html</t>
  </si>
  <si>
    <t>http://www.te.com/usa-en/product-EB8265-000.html</t>
  </si>
  <si>
    <t>http://www.te.com/usa-en/product-ED9189-000.html</t>
  </si>
  <si>
    <t>http://www.te.com/usa-en/product-ED2736-000.html</t>
  </si>
  <si>
    <t>http://www.te.com/usa-en/product-ED9190-000.html</t>
  </si>
  <si>
    <t>http://www.te.com/usa-en/product-EB8271-000.html</t>
  </si>
  <si>
    <t>http://www.te.com/usa-en/product-ED9193-000.html</t>
  </si>
  <si>
    <t>http://www.te.com/usa-en/product-ED2737-000.html</t>
  </si>
  <si>
    <t>http://www.te.com/usa-en/product-ED9194-000.html</t>
  </si>
  <si>
    <t>http://www.te.com/usa-en/product-CU4329-000.html</t>
  </si>
  <si>
    <t>http://www.te.com/usa-en/product-ED9196-000.html</t>
  </si>
  <si>
    <t>http://www.te.com/usa-en/product-EB8277-000.html</t>
  </si>
  <si>
    <t>http://www.te.com/usa-en/product-ED9197-000.html</t>
  </si>
  <si>
    <t>http://www.te.com/usa-en/product-EB8283-000.html</t>
  </si>
  <si>
    <t>http://www.te.com/usa-en/product-ED9198-000.html</t>
  </si>
  <si>
    <t>http://www.te.com/usa-en/product-EB8289-000.html</t>
  </si>
  <si>
    <t>http://www.te.com/usa-en/product-ED9199-000.html</t>
  </si>
  <si>
    <t>http://www.te.com/usa-en/product-ED2738-000.html</t>
  </si>
  <si>
    <t>http://www.te.com/usa-en/product-ED9200-000.html</t>
  </si>
  <si>
    <t>http://www.te.com/usa-en/product-ED2740-000.html</t>
  </si>
  <si>
    <t>http://www.te.com/usa-en/product-ED9201-000.html</t>
  </si>
  <si>
    <t>http://www.te.com/usa-en/product-EB8295-000.html</t>
  </si>
  <si>
    <t>http://www.te.com/usa-en/product-ED9204-000.html</t>
  </si>
  <si>
    <t>http://www.te.com/usa-en/product-EB8301-000.html</t>
  </si>
  <si>
    <t>http://www.te.com/usa-en/product-ED9205-000.html</t>
  </si>
  <si>
    <t>http://www.te.com/usa-en/product-EB8307-000.html</t>
  </si>
  <si>
    <t>http://www.te.com/usa-en/product-ED9206-000.html</t>
  </si>
  <si>
    <t>http://www.te.com/usa-en/product-ED2739-000.html</t>
  </si>
  <si>
    <t>http://www.te.com/usa-en/product-ED9207-000.html</t>
  </si>
  <si>
    <t>http://www.te.com/usa-en/product-ED2741-000.html</t>
  </si>
  <si>
    <t>http://www.te.com/usa-en/product-ED9208-000.html</t>
  </si>
  <si>
    <t>http://www.te.com/usa-en/product-ED2743-000.html</t>
  </si>
  <si>
    <t>http://www.te.com/usa-en/product-ED9209-000.html</t>
  </si>
  <si>
    <t>http://www.te.com/usa-en/product-EB8319-000.html</t>
  </si>
  <si>
    <t>http://www.te.com/usa-en/product-ED9213-000.html</t>
  </si>
  <si>
    <t>http://www.te.com/usa-en/product-ED9239-000.html</t>
  </si>
  <si>
    <t>http://www.te.com/usa-en/product-ED9240-000.html</t>
  </si>
  <si>
    <t>http://www.te.com/usa-en/product-ED9241-000.html</t>
  </si>
  <si>
    <t>http://www.te.com/usa-en/product-ED9242-000.html</t>
  </si>
  <si>
    <t>http://www.te.com/usa-en/product-ED9214-000.html</t>
  </si>
  <si>
    <t>http://www.te.com/usa-en/product-EB8313-000.html</t>
  </si>
  <si>
    <t>http://www.te.com/usa-en/product-ED9215-000.html</t>
  </si>
  <si>
    <t>http://www.te.com/usa-en/product-ED2742-000.html</t>
  </si>
  <si>
    <t>http://www.te.com/usa-en/product-ED9216-000.html</t>
  </si>
  <si>
    <t>http://www.te.com/usa-en/product-ED2744-000.html</t>
  </si>
  <si>
    <t>http://www.te.com/usa-en/product-ED9217-000.html</t>
  </si>
  <si>
    <t>http://www.te.com/usa-en/product-EB8325-000.html</t>
  </si>
  <si>
    <t>http://www.te.com/usa-en/product-ED9220-000.html</t>
  </si>
  <si>
    <t>http://www.te.com/usa-en/product-ED2745-000.html</t>
  </si>
  <si>
    <t>http://www.te.com/usa-en/product-ED9221-000.html</t>
  </si>
  <si>
    <t>http://www.te.com/usa-en/product-ED9223-000.html</t>
  </si>
  <si>
    <t>http://www.te.com/usa-en/product-EB8331-000.html</t>
  </si>
  <si>
    <t>http://www.te.com/usa-en/product-ED9224-000.html</t>
  </si>
  <si>
    <t>http://www.te.com/usa-en/product-ED2746-000.html</t>
  </si>
  <si>
    <t>http://www.te.com/usa-en/product-ED9225-000.html</t>
  </si>
  <si>
    <t>http://www.te.com/usa-en/product-ED0517-000.html</t>
  </si>
  <si>
    <t>http://www.te.com/usa-en/product-CP9714-000.html</t>
  </si>
  <si>
    <t>http://www.te.com/usa-en/product-ED0120-000.html</t>
  </si>
  <si>
    <t>http://www.te.com/usa-en/product-ED2787-000.html</t>
  </si>
  <si>
    <t>http://www.te.com/usa-en/product-ED9076-000.html</t>
  </si>
  <si>
    <t>http://www.te.com/usa-en/product-ED2662-000.html</t>
  </si>
  <si>
    <t>http://www.te.com/usa-en/product-ED9080-000.html</t>
  </si>
  <si>
    <t>http://www.te.com/usa-en/product-ED2663-000.html</t>
  </si>
  <si>
    <t>http://www.te.com/usa-en/product-ED9083-000.html</t>
  </si>
  <si>
    <t>http://www.te.com/usa-en/product-ED0486-000.html</t>
  </si>
  <si>
    <t>http://www.te.com/usa-en/product-ED0510-000.html</t>
  </si>
  <si>
    <t>http://www.te.com/usa-en/product-ED0498-000.html</t>
  </si>
  <si>
    <t>http://www.te.com/usa-en/product-ED0487-000.html</t>
  </si>
  <si>
    <t>http://www.te.com/usa-en/product-ED0511-000.html</t>
  </si>
  <si>
    <t>http://www.te.com/usa-en/product-ED0499-000.html</t>
  </si>
  <si>
    <t>http://www.te.com/usa-en/product-ED0488-000.html</t>
  </si>
  <si>
    <t>http://www.te.com/usa-en/product-ED0512-000.html</t>
  </si>
  <si>
    <t>http://www.te.com/usa-en/product-ED0500-000.html</t>
  </si>
  <si>
    <t>http://www.te.com/usa-en/product-ED2664-000.html</t>
  </si>
  <si>
    <t>http://www.te.com/usa-en/product-ED9088-000.html</t>
  </si>
  <si>
    <t>http://www.te.com/usa-en/product-ED2666-000.html</t>
  </si>
  <si>
    <t>http://www.te.com/usa-en/product-ED9089-000.html</t>
  </si>
  <si>
    <t>http://www.te.com/usa-en/product-ED2665-000.html</t>
  </si>
  <si>
    <t>http://www.te.com/usa-en/product-ED9094-000.html</t>
  </si>
  <si>
    <t>http://www.te.com/usa-en/product-ED2667-000.html</t>
  </si>
  <si>
    <t>http://www.te.com/usa-en/product-ED9095-000.html</t>
  </si>
  <si>
    <t>http://www.te.com/usa-en/product-ED2668-000.html</t>
  </si>
  <si>
    <t>http://www.te.com/usa-en/product-ED9099-000.html</t>
  </si>
  <si>
    <t>http://www.te.com/usa-en/product-ED2669-000.html</t>
  </si>
  <si>
    <t>http://www.te.com/usa-en/product-ED9106-000.html</t>
  </si>
  <si>
    <t>http://www.te.com/usa-en/product-ED2670-000.html</t>
  </si>
  <si>
    <t>http://www.te.com/usa-en/product-ED9111-000.html</t>
  </si>
  <si>
    <t>http://www.te.com/usa-en/product-ED2672-000.html</t>
  </si>
  <si>
    <t>http://www.te.com/usa-en/product-ED9112-000.html</t>
  </si>
  <si>
    <t>http://www.te.com/usa-en/product-ED2671-000.html</t>
  </si>
  <si>
    <t>http://www.te.com/usa-en/product-ED9115-000.html</t>
  </si>
  <si>
    <t>http://www.te.com/usa-en/product-ED2673-000.html</t>
  </si>
  <si>
    <t>http://www.te.com/usa-en/product-ED9116-000.html</t>
  </si>
  <si>
    <t>http://www.te.com/usa-en/product-ED2674-000.html</t>
  </si>
  <si>
    <t>http://www.te.com/usa-en/product-ED9119-000.html</t>
  </si>
  <si>
    <t>http://www.te.com/usa-en/product-ED2675-000.html</t>
  </si>
  <si>
    <t>http://www.te.com/usa-en/product-ED9126-000.html</t>
  </si>
  <si>
    <t>http://www.te.com/usa-en/product-ED2677-000.html</t>
  </si>
  <si>
    <t>http://www.te.com/usa-en/product-ED9127-000.html</t>
  </si>
  <si>
    <t>http://www.te.com/usa-en/product-ED2676-000.html</t>
  </si>
  <si>
    <t>http://www.te.com/usa-en/product-ED9134-000.html</t>
  </si>
  <si>
    <t>http://www.te.com/usa-en/product-ED2678-000.html</t>
  </si>
  <si>
    <t>http://www.te.com/usa-en/product-ED9135-000.html</t>
  </si>
  <si>
    <t>http://www.te.com/usa-en/product-ED2680-000.html</t>
  </si>
  <si>
    <t>http://www.te.com/usa-en/product-ED9136-000.html</t>
  </si>
  <si>
    <t>http://www.te.com/usa-en/product-ED2679-000.html</t>
  </si>
  <si>
    <t>http://www.te.com/usa-en/product-ED9142-000.html</t>
  </si>
  <si>
    <t>http://www.te.com/usa-en/product-ED2681-000.html</t>
  </si>
  <si>
    <t>http://www.te.com/usa-en/product-ED9143-000.html</t>
  </si>
  <si>
    <t>http://www.te.com/usa-en/product-ED2682-000.html</t>
  </si>
  <si>
    <t>http://www.te.com/usa-en/product-ED9146-000.html</t>
  </si>
  <si>
    <t>http://www.te.com/usa-en/product-ED2683-000.html</t>
  </si>
  <si>
    <t>http://www.te.com/usa-en/product-ED9150-000.html</t>
  </si>
  <si>
    <t>http://www.te.com/usa-en/product-ED2704-000.html</t>
  </si>
  <si>
    <t>http://www.te.com/usa-en/product-ED9152-000.html</t>
  </si>
  <si>
    <t>http://www.te.com/usa-en/product-ED2705-000.html</t>
  </si>
  <si>
    <t>http://www.te.com/usa-en/product-ED9156-000.html</t>
  </si>
  <si>
    <t>http://www.te.com/usa-en/product-ED2706-000.html</t>
  </si>
  <si>
    <t>http://www.te.com/usa-en/product-ED9159-000.html</t>
  </si>
  <si>
    <t>http://www.te.com/usa-en/product-ED2707-000.html</t>
  </si>
  <si>
    <t>http://www.te.com/usa-en/product-ED9164-000.html</t>
  </si>
  <si>
    <t>http://www.te.com/usa-en/product-ED2709-000.html</t>
  </si>
  <si>
    <t>http://www.te.com/usa-en/product-ED9165-000.html</t>
  </si>
  <si>
    <t>http://www.te.com/usa-en/product-ED2708-000.html</t>
  </si>
  <si>
    <t>http://www.te.com/usa-en/product-ED9170-000.html</t>
  </si>
  <si>
    <t>http://www.te.com/usa-en/product-ED2710-000.html</t>
  </si>
  <si>
    <t>http://www.te.com/usa-en/product-ED9171-000.html</t>
  </si>
  <si>
    <t>http://www.te.com/usa-en/product-ED2711-000.html</t>
  </si>
  <si>
    <t>http://www.te.com/usa-en/product-ED9175-000.html</t>
  </si>
  <si>
    <t>http://www.te.com/usa-en/product-ED2712-000.html</t>
  </si>
  <si>
    <t>http://www.te.com/usa-en/product-ED9182-000.html</t>
  </si>
  <si>
    <t>http://www.te.com/usa-en/product-ED2713-000.html</t>
  </si>
  <si>
    <t>http://www.te.com/usa-en/product-ED9187-000.html</t>
  </si>
  <si>
    <t>http://www.te.com/usa-en/product-ED2715-000.html</t>
  </si>
  <si>
    <t>http://www.te.com/usa-en/product-ED9188-000.html</t>
  </si>
  <si>
    <t>http://www.te.com/usa-en/product-ED2714-000.html</t>
  </si>
  <si>
    <t>http://www.te.com/usa-en/product-ED9191-000.html</t>
  </si>
  <si>
    <t>http://www.te.com/usa-en/product-ED2716-000.html</t>
  </si>
  <si>
    <t>http://www.te.com/usa-en/product-ED9192-000.html</t>
  </si>
  <si>
    <t>http://www.te.com/usa-en/product-ED2717-000.html</t>
  </si>
  <si>
    <t>http://www.te.com/usa-en/product-ED9195-000.html</t>
  </si>
  <si>
    <t>http://www.te.com/usa-en/product-ED2718-000.html</t>
  </si>
  <si>
    <t>http://www.te.com/usa-en/product-ED9202-000.html</t>
  </si>
  <si>
    <t>http://www.te.com/usa-en/product-ED2720-000.html</t>
  </si>
  <si>
    <t>http://www.te.com/usa-en/product-ED9203-000.html</t>
  </si>
  <si>
    <t>http://www.te.com/usa-en/product-ED2719-000.html</t>
  </si>
  <si>
    <t>http://www.te.com/usa-en/product-ED9210-000.html</t>
  </si>
  <si>
    <t>http://www.te.com/usa-en/product-ED2721-000.html</t>
  </si>
  <si>
    <t>http://www.te.com/usa-en/product-ED9211-000.html</t>
  </si>
  <si>
    <t>http://www.te.com/usa-en/product-ED2723-000.html</t>
  </si>
  <si>
    <t>http://www.te.com/usa-en/product-ED9212-000.html</t>
  </si>
  <si>
    <t>http://www.te.com/usa-en/product-ED2722-000.html</t>
  </si>
  <si>
    <t>http://www.te.com/usa-en/product-ED9218-000.html</t>
  </si>
  <si>
    <t>http://www.te.com/usa-en/product-ED2724-000.html</t>
  </si>
  <si>
    <t>http://www.te.com/usa-en/product-ED9219-000.html</t>
  </si>
  <si>
    <t>http://www.te.com/usa-en/product-ED2725-000.html</t>
  </si>
  <si>
    <t>http://www.te.com/usa-en/product-ED2726-000.html</t>
  </si>
  <si>
    <t>http://www.te.com/usa-en/product-ED9226-000.html</t>
  </si>
  <si>
    <t>http://www.te.com/usa-en/product-CS9519-000.html</t>
  </si>
  <si>
    <t>http://www.te.com/usa-en/product-CS9520-000.html</t>
  </si>
  <si>
    <t>http://www.te.com/usa-en/product-CS9521-000.html</t>
  </si>
  <si>
    <t>http://www.te.com/usa-en/product-CZ1578-000.html</t>
  </si>
  <si>
    <t>http://www.te.com/usa-en/product-CZ7413-000.html</t>
  </si>
  <si>
    <t>http://www.te.com/usa-en/product-CZ5824-000.html</t>
  </si>
  <si>
    <t>http://www.te.com/usa-en/product-CR3779-000.html</t>
  </si>
  <si>
    <t>http://www.te.com/usa-en/product-CR3780-000.html</t>
  </si>
  <si>
    <t>http://www.te.com/usa-en/product-CR3781-000.html</t>
  </si>
  <si>
    <t>http://www.te.com/usa-en/product-CR3782-000.html</t>
  </si>
  <si>
    <t>http://www.te.com/usa-en/product-ED0142-000.html</t>
  </si>
  <si>
    <t>http://www.te.com/usa-en/product-ED0143-000.html</t>
  </si>
  <si>
    <t>http://www.te.com/usa-en/product-ED0144-000.html</t>
  </si>
  <si>
    <t>http://www.te.com/usa-en/product-ED0145-000.html</t>
  </si>
  <si>
    <t>http://www.te.com/usa-en/product-ED0146-000.html</t>
  </si>
  <si>
    <t>http://www.te.com/usa-en/product-ED0147-000.html</t>
  </si>
  <si>
    <t>http://www.te.com/usa-en/product-ED0148-000.html</t>
  </si>
  <si>
    <t>http://www.te.com/usa-en/product-ED0149-000.html</t>
  </si>
  <si>
    <t>http://www.te.com/usa-en/product-ED0150-000.html</t>
  </si>
  <si>
    <t>http://www.te.com/usa-en/product-ED0151-000.html</t>
  </si>
  <si>
    <t>http://www.te.com/usa-en/product-ED0152-000.html</t>
  </si>
  <si>
    <t>http://www.te.com/usa-en/product-ED0153-000.html</t>
  </si>
  <si>
    <t>http://www.te.com/usa-en/product-ED0154-000.html</t>
  </si>
  <si>
    <t>http://www.te.com/usa-en/product-ED0155-000.html</t>
  </si>
  <si>
    <t>http://www.te.com/usa-en/product-ED0156-000.html</t>
  </si>
  <si>
    <t>http://www.te.com/usa-en/product-ED0157-000.html</t>
  </si>
  <si>
    <t>http://www.te.com/usa-en/product-ED0158-000.html</t>
  </si>
  <si>
    <t>http://www.te.com/usa-en/product-ED0159-000.html</t>
  </si>
  <si>
    <t>http://www.te.com/usa-en/product-ED0160-000.html</t>
  </si>
  <si>
    <t>http://www.te.com/usa-en/product-ED0161-000.html</t>
  </si>
  <si>
    <t>http://www.te.com/usa-en/product-ED0162-000.html</t>
  </si>
  <si>
    <t>http://www.te.com/usa-en/product-CR3784-000.html</t>
  </si>
  <si>
    <t>http://www.te.com/usa-en/product-CR3785-000.html</t>
  </si>
  <si>
    <t>http://www.te.com/usa-en/product-CR3787-000.html</t>
  </si>
  <si>
    <t>http://www.te.com/usa-en/product-CR3789-000.html</t>
  </si>
  <si>
    <t>http://www.te.com/usa-en/product-CR3791-000.html</t>
  </si>
  <si>
    <t>http://www.te.com/usa-en/product-CR5664-000.html</t>
  </si>
  <si>
    <t>http://www.te.com/usa-en/product-FG1606-000.html</t>
  </si>
  <si>
    <t>http://www.te.com/usa-en/product-FG1607-000.html</t>
  </si>
  <si>
    <t>http://www.te.com/usa-en/product-FG1604-000.html</t>
  </si>
  <si>
    <t>http://www.te.com/usa-en/product-FG1608-000.html</t>
  </si>
  <si>
    <t>http://www.te.com/usa-en/product-FG1603-000.html</t>
  </si>
  <si>
    <t>http://www.te.com/usa-en/product-FG1609-000.html</t>
  </si>
  <si>
    <t>http://www.te.com/usa-en/product-FG1602-000.html</t>
  </si>
  <si>
    <t>http://www.te.com/usa-en/product-FG1610-000.html</t>
  </si>
  <si>
    <t>http://www.te.com/usa-en/product-FG1601-000.html</t>
  </si>
  <si>
    <t>http://www.te.com/usa-en/product-FG1600-000.html</t>
  </si>
  <si>
    <t>http://www.te.com/usa-en/product-084077-000.html</t>
  </si>
  <si>
    <t>http://www.te.com/usa-en/product-CA1460-000.html</t>
  </si>
  <si>
    <t>http://www.te.com/usa-en/product-987223-000.html</t>
  </si>
  <si>
    <t>http://www.te.com/usa-en/product-564106-000.html</t>
  </si>
  <si>
    <t>http://www.te.com/usa-en/product-CP5228-000.html</t>
  </si>
  <si>
    <t>http://www.te.com/usa-en/product-987224-000.html</t>
  </si>
  <si>
    <t>http://www.te.com/usa-en/product-958740-000.html</t>
  </si>
  <si>
    <t>http://www.te.com/usa-en/product-CP5229-000.html</t>
  </si>
  <si>
    <t>http://www.te.com/usa-en/product-987225-000.html</t>
  </si>
  <si>
    <t>http://www.te.com/usa-en/product-267156-000.html</t>
  </si>
  <si>
    <t>http://www.te.com/usa-en/product-591555N001.html</t>
  </si>
  <si>
    <t>http://www.te.com/usa-en/product-290012-000.html</t>
  </si>
  <si>
    <t>http://www.te.com/usa-en/product-573161N001.html</t>
  </si>
  <si>
    <t>http://www.te.com/usa-en/product-365067-000.html</t>
  </si>
  <si>
    <t>http://www.te.com/usa-en/product-803571-000.html</t>
  </si>
  <si>
    <t>http://www.te.com/usa-en/product-CZ3325-000.html</t>
  </si>
  <si>
    <t>http://www.te.com/usa-en/product-126039-000.html</t>
  </si>
  <si>
    <t>http://www.te.com/usa-en/product-CZ1234-000.html</t>
  </si>
  <si>
    <t>http://www.te.com/usa-en/product-118757-000.html</t>
  </si>
  <si>
    <t>http://www.te.com/usa-en/product-CZ1235-000.html</t>
  </si>
  <si>
    <t>http://www.te.com/usa-en/product-536353-000.html</t>
  </si>
  <si>
    <t>http://www.te.com/usa-en/product-CZ1247-000.html</t>
  </si>
  <si>
    <t>http://www.te.com/usa-en/product-198459-000.html</t>
  </si>
  <si>
    <t>http://www.te.com/usa-en/product-CZ1239-000.html</t>
  </si>
  <si>
    <t>http://www.te.com/usa-en/product-954189-000.html</t>
  </si>
  <si>
    <t>http://www.te.com/usa-en/product-CZ1240-000.html</t>
  </si>
  <si>
    <t>http://www.te.com/usa-en/product-D99331-000.html</t>
  </si>
  <si>
    <t>http://www.te.com/usa-en/product-260068-000.html</t>
  </si>
  <si>
    <t>http://www.te.com/usa-en/product-631252-000.html</t>
  </si>
  <si>
    <t>http://www.te.com/usa-en/product-011577-000.html</t>
  </si>
  <si>
    <t>http://www.te.com/usa-en/product-688173-000.html</t>
  </si>
  <si>
    <t>http://www.te.com/usa-en/product-468307-000.html</t>
  </si>
  <si>
    <t>http://www.te.com/usa-en/product-271389-000.html</t>
  </si>
  <si>
    <t>http://www.te.com/usa-en/product-589377-000.html</t>
  </si>
  <si>
    <t>http://www.te.com/usa-en/product-033233-000.html</t>
  </si>
  <si>
    <t>http://www.te.com/usa-en/product-571563-000.html</t>
  </si>
  <si>
    <t>http://www.te.com/usa-en/product-766749-000.html</t>
  </si>
  <si>
    <t>http://www.te.com/usa-en/product-627073-000.html</t>
  </si>
  <si>
    <t>http://www.te.com/usa-en/product-377085-000.html</t>
  </si>
  <si>
    <t>http://www.te.com/usa-en/product-359483-000.html</t>
  </si>
  <si>
    <t>http://www.te.com/usa-en/product-253609-000.html</t>
  </si>
  <si>
    <t>http://www.te.com/usa-en/product-145685-000.html</t>
  </si>
  <si>
    <t>http://www.te.com/usa-en/product-834686N001.html</t>
  </si>
  <si>
    <t>http://www.te.com/usa-en/product-D52966N001.html</t>
  </si>
  <si>
    <t>http://www.te.com/usa-en/product-D47412N001.html</t>
  </si>
  <si>
    <t>http://www.te.com/usa-en/product-F33369-000.html</t>
  </si>
  <si>
    <t>http://www.te.com/usa-en/product-765099-000.html</t>
  </si>
  <si>
    <t>http://www.te.com/usa-en/product-823722-000.html</t>
  </si>
  <si>
    <t>http://www.te.com/usa-en/product-633746-000.html</t>
  </si>
  <si>
    <t>http://www.te.com/usa-en/product-900799-000.html</t>
  </si>
  <si>
    <t>http://www.te.com/usa-en/product-827358-000.html</t>
  </si>
  <si>
    <t>http://www.te.com/usa-en/product-014973-000.html</t>
  </si>
  <si>
    <t>http://www.te.com/usa-en/product-636635-000.html</t>
  </si>
  <si>
    <t>http://www.te.com/usa-en/product-E23026-000.html</t>
  </si>
  <si>
    <t>http://www.te.com/usa-en/product-723347-000.html</t>
  </si>
  <si>
    <t>http://www.te.com/usa-en/product-194550-000.html</t>
  </si>
  <si>
    <t>http://www.te.com/usa-en/product-590268-000.html</t>
  </si>
  <si>
    <t>http://www.te.com/usa-en/product-722084-000.html</t>
  </si>
  <si>
    <t>http://www.te.com/usa-en/product-637932-000.html</t>
  </si>
  <si>
    <t>http://www.te.com/usa-en/product-339601-000.html</t>
  </si>
  <si>
    <t>http://www.te.com/usa-en/product-041276-000.html</t>
  </si>
  <si>
    <t>http://www.te.com/usa-en/product-365194-000.html</t>
  </si>
  <si>
    <t>http://www.te.com/usa-en/product-021146-000.html</t>
  </si>
  <si>
    <t>http://www.te.com/usa-en/product-789760-000.html</t>
  </si>
  <si>
    <t>http://www.te.com/usa-en/product-011589-000.html</t>
  </si>
  <si>
    <t>http://www.te.com/usa-en/product-413987-000.html</t>
  </si>
  <si>
    <t>http://www.te.com/usa-en/product-340691-000.html</t>
  </si>
  <si>
    <t>http://www.te.com/usa-en/product-C50342-000.html</t>
  </si>
  <si>
    <t>http://www.te.com/usa-en/product-973635-000.html</t>
  </si>
  <si>
    <t>http://www.te.com/usa-en/product-246794-000.html</t>
  </si>
  <si>
    <t>http://www.te.com/usa-en/product-C90322-000.html</t>
  </si>
  <si>
    <t>http://www.te.com/usa-en/product-036925-000.html</t>
  </si>
  <si>
    <t>http://www.te.com/usa-en/product-777288-000.html</t>
  </si>
  <si>
    <t>http://www.te.com/usa-en/product-659584-000.html</t>
  </si>
  <si>
    <t>http://www.te.com/usa-en/product-CB3838-000.html</t>
  </si>
  <si>
    <t>http://www.te.com/usa-en/product-566376-000.html</t>
  </si>
  <si>
    <t>http://www.te.com/usa-en/product-986734-000.html</t>
  </si>
  <si>
    <t>http://www.te.com/usa-en/product-632692-000.html</t>
  </si>
  <si>
    <t>http://www.te.com/usa-en/product-292284-000.html</t>
  </si>
  <si>
    <t>http://www.te.com/usa-en/product-F35550-000.html</t>
  </si>
  <si>
    <t>http://www.te.com/usa-en/product-F70187-000.html</t>
  </si>
  <si>
    <t>http://www.te.com/usa-en/product-A98934-000.html</t>
  </si>
  <si>
    <t>http://www.te.com/usa-en/product-A08850-000.html</t>
  </si>
  <si>
    <t>http://www.te.com/usa-en/product-C15359-000.html</t>
  </si>
  <si>
    <t>http://www.te.com/usa-en/product-F61828-000.html</t>
  </si>
  <si>
    <t>http://www.te.com/usa-en/product-D89216-000.html</t>
  </si>
  <si>
    <t>http://www.te.com/usa-en/product-D08865-000.html</t>
  </si>
  <si>
    <t>http://www.te.com/usa-en/product-C53881-000.html</t>
  </si>
  <si>
    <t>http://www.te.com/usa-en/product-F40658-000.html</t>
  </si>
  <si>
    <t>http://www.te.com/usa-en/product-CP1967-000.html</t>
  </si>
  <si>
    <t>http://www.te.com/usa-en/product-093852-000.html</t>
  </si>
  <si>
    <t>http://www.te.com/usa-en/product-F90657-000.html</t>
  </si>
  <si>
    <t>http://www.te.com/usa-en/product-CB2009-000.html</t>
  </si>
  <si>
    <t>http://www.te.com/usa-en/product-F60655-000.html</t>
  </si>
  <si>
    <t>http://www.te.com/usa-en/product-CB2011-000.html</t>
  </si>
  <si>
    <t>http://www.te.com/usa-en/product-971920-000.html</t>
  </si>
  <si>
    <t>http://www.te.com/usa-en/product-CB2019-000.html</t>
  </si>
  <si>
    <t>http://www.te.com/usa-en/product-D83074-000.html</t>
  </si>
  <si>
    <t>http://www.te.com/usa-en/product-CB2021-000.html</t>
  </si>
  <si>
    <t>http://www.te.com/usa-en/product-CB2023-000.html</t>
  </si>
  <si>
    <t>http://www.te.com/usa-en/product-CB2027-000.html</t>
  </si>
  <si>
    <t>http://www.te.com/usa-en/product-CB2028-000.html</t>
  </si>
  <si>
    <t>http://www.te.com/usa-en/product-CB2029-000.html</t>
  </si>
  <si>
    <t>http://www.te.com/usa-en/product-CB2030-000.html</t>
  </si>
  <si>
    <t>http://www.te.com/usa-en/product-CB2034-000.html</t>
  </si>
  <si>
    <t>http://www.te.com/usa-en/product-E13495-000.html</t>
  </si>
  <si>
    <t>http://www.te.com/usa-en/product-E86269-000.html</t>
  </si>
  <si>
    <t>http://www.te.com/usa-en/product-CA1421-000.html</t>
  </si>
  <si>
    <t>http://www.te.com/usa-en/product-CA3278-000.html</t>
  </si>
  <si>
    <t>http://www.te.com/usa-en/product-A36570-000.html</t>
  </si>
  <si>
    <t>http://www.te.com/usa-en/product-A66578-000.html</t>
  </si>
  <si>
    <t>http://www.te.com/usa-en/product-D70973-000.html</t>
  </si>
  <si>
    <t>http://www.te.com/usa-en/product-709794-000.html</t>
  </si>
  <si>
    <t>http://www.te.com/usa-en/product-D61559-000.html</t>
  </si>
  <si>
    <t>http://www.te.com/usa-en/product-128958-000.html</t>
  </si>
  <si>
    <t>http://www.te.com/usa-en/product-C76897-000.html</t>
  </si>
  <si>
    <t>http://www.te.com/usa-en/product-A97829-000.html</t>
  </si>
  <si>
    <t>http://www.te.com/usa-en/product-E76035-000.html</t>
  </si>
  <si>
    <t>http://www.te.com/usa-en/product-C45090-000.html</t>
  </si>
  <si>
    <t>http://www.te.com/usa-en/product-F45169-000.html</t>
  </si>
  <si>
    <t>http://www.te.com/usa-en/product-A81534-000.html</t>
  </si>
  <si>
    <t>http://www.te.com/usa-en/product-C39864-000.html</t>
  </si>
  <si>
    <t>http://www.te.com/usa-en/product-E23469-000.html</t>
  </si>
  <si>
    <t>http://www.te.com/usa-en/product-259224-000.html</t>
  </si>
  <si>
    <t>http://www.te.com/usa-en/product-CJ8851-000.html</t>
  </si>
  <si>
    <t>http://www.te.com/usa-en/product-CJ8852-000.html</t>
  </si>
  <si>
    <t>http://www.te.com/usa-en/product-CJ8854-000.html</t>
  </si>
  <si>
    <t>http://www.te.com/usa-en/product-F24535-000.html</t>
  </si>
  <si>
    <t>http://www.te.com/usa-en/product-765669-000.html</t>
  </si>
  <si>
    <t>http://www.te.com/usa-en/product-166533-000.html</t>
  </si>
  <si>
    <t>http://www.te.com/usa-en/product-C48562-000.html</t>
  </si>
  <si>
    <t>http://www.te.com/usa-en/product-294925-000.html</t>
  </si>
  <si>
    <t>http://www.te.com/usa-en/product-348333-000.html</t>
  </si>
  <si>
    <t>http://www.te.com/usa-en/product-E57273-000.html</t>
  </si>
  <si>
    <t>http://www.te.com/usa-en/product-629995-000.html</t>
  </si>
  <si>
    <t>http://www.te.com/usa-en/product-505941-000.html</t>
  </si>
  <si>
    <t>http://www.te.com/usa-en/product-585704-000.html</t>
  </si>
  <si>
    <t>http://www.te.com/usa-en/product-134283-000.html</t>
  </si>
  <si>
    <t>http://www.te.com/usa-en/product-140689-000.html</t>
  </si>
  <si>
    <t>http://www.te.com/usa-en/product-A81732-000.html</t>
  </si>
  <si>
    <t>http://www.te.com/usa-en/product-149597-000.html</t>
  </si>
  <si>
    <t>http://www.te.com/usa-en/product-C45123-000.html</t>
  </si>
  <si>
    <t>http://www.te.com/usa-en/product-E25218-000.html</t>
  </si>
  <si>
    <t>http://www.te.com/usa-en/product-408971-000.html</t>
  </si>
  <si>
    <t>http://www.te.com/usa-en/product-914517-000.html</t>
  </si>
  <si>
    <t>http://www.te.com/usa-en/product-EA7241-000.html</t>
  </si>
  <si>
    <t>http://www.te.com/usa-en/product-ED6742-000.html</t>
  </si>
  <si>
    <t>http://www.te.com/usa-en/product-ED6740-000.html</t>
  </si>
  <si>
    <t>http://www.te.com/usa-en/product-ED6741-000.html</t>
  </si>
  <si>
    <t>http://www.te.com/usa-en/product-EA7239-000.html</t>
  </si>
  <si>
    <t>http://www.te.com/usa-en/product-ED6739-000.html</t>
  </si>
  <si>
    <t>http://www.te.com/usa-en/product-ED6738-000.html</t>
  </si>
  <si>
    <t>http://www.te.com/usa-en/product-EA7240-000.html</t>
  </si>
  <si>
    <t>http://www.te.com/usa-en/product-CM4248-000.html</t>
  </si>
  <si>
    <t>http://www.te.com/usa-en/product-C14728-000.html</t>
  </si>
  <si>
    <t>http://www.te.com/usa-en/product-CA1261-000.html</t>
  </si>
  <si>
    <t>http://www.te.com/usa-en/product-A86865-000.html</t>
  </si>
  <si>
    <t>http://www.te.com/usa-en/product-CA1262-000.html</t>
  </si>
  <si>
    <t>http://www.te.com/usa-en/product-F31957-000.html</t>
  </si>
  <si>
    <t>http://www.te.com/usa-en/product-CA1256-000.html</t>
  </si>
  <si>
    <t>http://www.te.com/usa-en/product-E80847-000.html</t>
  </si>
  <si>
    <t>http://www.te.com/usa-en/product-CA1257-000.html</t>
  </si>
  <si>
    <t>http://www.te.com/usa-en/product-E17231-000.html</t>
  </si>
  <si>
    <t>http://www.te.com/usa-en/product-CA1258-000.html</t>
  </si>
  <si>
    <t>http://www.te.com/usa-en/product-F47114-000.html</t>
  </si>
  <si>
    <t>http://www.te.com/usa-en/product-CA1259-000.html</t>
  </si>
  <si>
    <t>http://www.te.com/usa-en/product-A36977-000.html</t>
  </si>
  <si>
    <t>http://www.te.com/usa-en/product-CA1260-000.html</t>
  </si>
  <si>
    <t>http://www.te.com/usa-en/product-CF9286-000.html</t>
  </si>
  <si>
    <t>http://www.te.com/usa-en/product-CF9291-000.html</t>
  </si>
  <si>
    <t>http://www.te.com/usa-en/product-CF9287-000.html</t>
  </si>
  <si>
    <t>http://www.te.com/usa-en/product-CF9292-000.html</t>
  </si>
  <si>
    <t>http://www.te.com/usa-en/product-CF9288-000.html</t>
  </si>
  <si>
    <t>http://www.te.com/usa-en/product-CF9289-000.html</t>
  </si>
  <si>
    <t>http://www.te.com/usa-en/product-CF9294-000.html</t>
  </si>
  <si>
    <t>http://www.te.com/usa-en/product-CF9290-000.html</t>
  </si>
  <si>
    <t>http://www.te.com/usa-en/product-CF9295-000.html</t>
  </si>
  <si>
    <t>http://www.te.com/usa-en/product-566427-000.html</t>
  </si>
  <si>
    <t>http://www.te.com/usa-en/product-888615-000.html</t>
  </si>
  <si>
    <t>http://www.te.com/usa-en/product-446451-000.html</t>
  </si>
  <si>
    <t>http://www.te.com/usa-en/product-981609-000.html</t>
  </si>
  <si>
    <t>http://www.te.com/usa-en/product-447443-000.html</t>
  </si>
  <si>
    <t>http://www.te.com/usa-en/product-635803-000.html</t>
  </si>
  <si>
    <t>http://www.te.com/usa-en/product-658917-000.html</t>
  </si>
  <si>
    <t>http://www.te.com/usa-en/product-351778-000.html</t>
  </si>
  <si>
    <t>http://www.te.com/usa-en/product-753320-000.html</t>
  </si>
  <si>
    <t>http://www.te.com/usa-en/product-313564-000.html</t>
  </si>
  <si>
    <t>http://www.te.com/usa-en/product-583280-000.html</t>
  </si>
  <si>
    <t>http://www.te.com/usa-en/product-913901-000.html</t>
  </si>
  <si>
    <t>http://www.te.com/usa-en/product-859885-000.html</t>
  </si>
  <si>
    <t>http://www.te.com/usa-en/product-517839-000.html</t>
  </si>
  <si>
    <t>http://www.te.com/usa-en/product-638449-000.html</t>
  </si>
  <si>
    <t>http://www.te.com/usa-en/product-125589-000.html</t>
  </si>
  <si>
    <t>http://www.te.com/usa-en/product-CM6539-000.html</t>
  </si>
  <si>
    <t>http://www.te.com/usa-en/product-CP8406-000.html</t>
  </si>
  <si>
    <t>http://www.te.com/usa-en/product-CM6541-000.html</t>
  </si>
  <si>
    <t>http://www.te.com/usa-en/product-673189-000.html</t>
  </si>
  <si>
    <t>http://www.te.com/usa-en/product-917273-000.html</t>
  </si>
  <si>
    <t>http://www.te.com/usa-en/product-894737-000.html</t>
  </si>
  <si>
    <t>http://www.te.com/usa-en/product-932501-000.html</t>
  </si>
  <si>
    <t>http://www.te.com/usa-en/product-629423-000.html</t>
  </si>
  <si>
    <t>http://www.te.com/usa-en/product-893667-000.html</t>
  </si>
  <si>
    <t>http://www.te.com/usa-en/product-493165-000.html</t>
  </si>
  <si>
    <t>http://www.te.com/usa-en/product-661245-000.html</t>
  </si>
  <si>
    <t>http://www.te.com/usa-en/product-175359-000.html</t>
  </si>
  <si>
    <t>http://www.te.com/usa-en/product-429525-000.html</t>
  </si>
  <si>
    <t>http://www.te.com/usa-en/product-275607-000.html</t>
  </si>
  <si>
    <t>http://www.te.com/usa-en/product-214081-000.html</t>
  </si>
  <si>
    <t>http://www.te.com/usa-en/product-156121-000.html</t>
  </si>
  <si>
    <t>http://www.te.com/usa-en/product-477475-000.html</t>
  </si>
  <si>
    <t>http://www.te.com/usa-en/product-029877-000.html</t>
  </si>
  <si>
    <t>http://www.te.com/usa-en/product-426667-000.html</t>
  </si>
  <si>
    <t>http://www.te.com/usa-en/product-CR2162-000.html</t>
  </si>
  <si>
    <t>http://www.te.com/usa-en/product-A17138-000.html</t>
  </si>
  <si>
    <t>http://www.te.com/usa-en/product-F91095-000.html</t>
  </si>
  <si>
    <t>http://www.te.com/usa-en/product-F92894-000.html</t>
  </si>
  <si>
    <t>http://www.te.com/usa-en/product-C46613-000.html</t>
  </si>
  <si>
    <t>http://www.te.com/usa-en/product-244249-000.html</t>
  </si>
  <si>
    <t>http://www.te.com/usa-en/product-175849-000.html</t>
  </si>
  <si>
    <t>http://www.te.com/usa-en/product-597703-000.html</t>
  </si>
  <si>
    <t>http://www.te.com/usa-en/product-854187-000.html</t>
  </si>
  <si>
    <t>http://www.te.com/usa-en/product-161897-000.html</t>
  </si>
  <si>
    <t>http://www.te.com/usa-en/product-539537-000.html</t>
  </si>
  <si>
    <t>http://www.te.com/usa-en/product-888647-000.html</t>
  </si>
  <si>
    <t>http://www.te.com/usa-en/product-639445-000.html</t>
  </si>
  <si>
    <t>http://www.te.com/usa-en/product-234361-000.html</t>
  </si>
  <si>
    <t>http://www.te.com/usa-en/product-618951-000.html</t>
  </si>
  <si>
    <t>http://www.te.com/usa-en/product-706627-000.html</t>
  </si>
  <si>
    <t>http://www.te.com/usa-en/product-986511-000.html</t>
  </si>
  <si>
    <t>http://www.te.com/usa-en/product-327201-000.html</t>
  </si>
  <si>
    <t>http://www.te.com/usa-en/product-248715-000.html</t>
  </si>
  <si>
    <t>http://www.te.com/usa-en/product-965415-000.html</t>
  </si>
  <si>
    <t>http://www.te.com/usa-en/product-601351-000.html</t>
  </si>
  <si>
    <t>http://www.te.com/usa-en/product-894847-000.html</t>
  </si>
  <si>
    <t>http://www.te.com/usa-en/product-262299-000.html</t>
  </si>
  <si>
    <t>http://www.te.com/usa-en/product-833301-000.html</t>
  </si>
  <si>
    <t>http://www.te.com/usa-en/product-137205-000.html</t>
  </si>
  <si>
    <t>http://www.te.com/usa-en/product-300623-000.html</t>
  </si>
  <si>
    <t>http://www.te.com/usa-en/product-834919-000.html</t>
  </si>
  <si>
    <t>http://www.te.com/usa-en/product-240725-000.html</t>
  </si>
  <si>
    <t>http://www.te.com/usa-en/product-204753-000.html</t>
  </si>
  <si>
    <t>http://www.te.com/usa-en/product-951971-000.html</t>
  </si>
  <si>
    <t>http://www.te.com/usa-en/product-555543-000.html</t>
  </si>
  <si>
    <t>http://www.te.com/usa-en/product-349195-000.html</t>
  </si>
  <si>
    <t>http://www.te.com/usa-en/product-460521-000.html</t>
  </si>
  <si>
    <t>http://www.te.com/usa-en/product-540971-000.html</t>
  </si>
  <si>
    <t>http://www.te.com/usa-en/product-416339-000.html</t>
  </si>
  <si>
    <t>http://www.te.com/usa-en/product-621159-000.html</t>
  </si>
  <si>
    <t>http://www.te.com/usa-en/product-857649-000.html</t>
  </si>
  <si>
    <t>http://www.te.com/usa-en/product-006843-000.html</t>
  </si>
  <si>
    <t>http://www.te.com/usa-en/product-206107-000.html</t>
  </si>
  <si>
    <t>http://www.te.com/usa-en/product-744167-000.html</t>
  </si>
  <si>
    <t>http://www.te.com/usa-en/product-635357-000.html</t>
  </si>
  <si>
    <t>http://www.te.com/usa-en/product-048801-000.html</t>
  </si>
  <si>
    <t>http://www.te.com/usa-en/product-065979-000.html</t>
  </si>
  <si>
    <t>http://www.te.com/usa-en/product-101147-000.html</t>
  </si>
  <si>
    <t>http://www.te.com/usa-en/product-883383-000.html</t>
  </si>
  <si>
    <t>http://www.te.com/usa-en/product-579867-000.html</t>
  </si>
  <si>
    <t>http://www.te.com/usa-en/product-112225-000.html</t>
  </si>
  <si>
    <t>http://www.te.com/usa-en/product-141189-000.html</t>
  </si>
  <si>
    <t>http://www.te.com/usa-en/product-738860-000.html</t>
  </si>
  <si>
    <t>http://www.te.com/usa-en/product-667950-000.html</t>
  </si>
  <si>
    <t>http://www.te.com/usa-en/product-128207-000.html</t>
  </si>
  <si>
    <t>http://www.te.com/usa-en/product-958319-000.html</t>
  </si>
  <si>
    <t>http://www.te.com/usa-en/product-485533-000.html</t>
  </si>
  <si>
    <t>http://www.te.com/usa-en/product-513447-000.html</t>
  </si>
  <si>
    <t>http://www.te.com/usa-en/product-272687-000.html</t>
  </si>
  <si>
    <t>http://www.te.com/usa-en/product-721671-000.html</t>
  </si>
  <si>
    <t>http://www.te.com/usa-en/product-067399-000.html</t>
  </si>
  <si>
    <t>http://www.te.com/usa-en/product-860357-000.html</t>
  </si>
  <si>
    <t>http://www.te.com/usa-en/product-431513-000.html</t>
  </si>
  <si>
    <t>http://www.te.com/usa-en/product-721379-000.html</t>
  </si>
  <si>
    <t>http://www.te.com/usa-en/product-754259-000.html</t>
  </si>
  <si>
    <t>http://www.te.com/usa-en/product-146905-000.html</t>
  </si>
  <si>
    <t>http://www.te.com/usa-en/product-390319-000.html</t>
  </si>
  <si>
    <t>http://www.te.com/usa-en/product-CJ1004-000.html</t>
  </si>
  <si>
    <t>http://www.te.com/usa-en/product-907763-000.html</t>
  </si>
  <si>
    <t>http://www.te.com/usa-en/product-529459-000.html</t>
  </si>
  <si>
    <t>http://www.te.com/usa-en/product-539105-000.html</t>
  </si>
  <si>
    <t>http://www.te.com/usa-en/product-135999-000.html</t>
  </si>
  <si>
    <t>http://www.te.com/usa-en/product-001995-000.html</t>
  </si>
  <si>
    <t>http://www.te.com/usa-en/product-015475-000.html</t>
  </si>
  <si>
    <t>http://www.te.com/usa-en/product-324033-000.html</t>
  </si>
  <si>
    <t>http://www.te.com/usa-en/product-103245-000.html</t>
  </si>
  <si>
    <t>http://www.te.com/usa-en/product-556299-000.html</t>
  </si>
  <si>
    <t>http://www.te.com/usa-en/product-456941-000.html</t>
  </si>
  <si>
    <t>http://www.te.com/usa-en/product-775314-000.html</t>
  </si>
  <si>
    <t>http://www.te.com/usa-en/product-443693-000.html</t>
  </si>
  <si>
    <t>http://www.te.com/usa-en/product-CS2897-000.html</t>
  </si>
  <si>
    <t>http://www.te.com/usa-en/product-761103-000.html</t>
  </si>
  <si>
    <t>http://www.te.com/usa-en/product-984927-000.html</t>
  </si>
  <si>
    <t>http://www.te.com/usa-en/product-F95994-000.html</t>
  </si>
  <si>
    <t>http://www.te.com/usa-en/product-300313-000.html</t>
  </si>
  <si>
    <t>http://www.te.com/usa-en/product-D05004-000.html</t>
  </si>
  <si>
    <t>http://www.te.com/usa-en/product-801809-000.html</t>
  </si>
  <si>
    <t>http://www.te.com/usa-en/product-C95583-000.html</t>
  </si>
  <si>
    <t>http://www.te.com/usa-en/product-587967-000.html</t>
  </si>
  <si>
    <t>http://www.te.com/usa-en/product-439695-000.html</t>
  </si>
  <si>
    <t>http://www.te.com/usa-en/product-214085-000.html</t>
  </si>
  <si>
    <t>http://www.te.com/usa-en/product-337365-000.html</t>
  </si>
  <si>
    <t>http://www.te.com/usa-en/product-960955-000.html</t>
  </si>
  <si>
    <t>http://www.te.com/usa-en/product-F15231-000.html</t>
  </si>
  <si>
    <t>http://www.te.com/usa-en/product-802311-000.html</t>
  </si>
  <si>
    <t>http://www.te.com/usa-en/product-E19178-000.html</t>
  </si>
  <si>
    <t>http://www.te.com/usa-en/product-277013-000.html</t>
  </si>
  <si>
    <t>http://www.te.com/usa-en/product-F06083-000.html</t>
  </si>
  <si>
    <t>http://www.te.com/usa-en/product-858225-000.html</t>
  </si>
  <si>
    <t>http://www.te.com/usa-en/product-794115-000.html</t>
  </si>
  <si>
    <t>http://www.te.com/usa-en/product-687061-000.html</t>
  </si>
  <si>
    <t>http://www.te.com/usa-en/product-491683-000.html</t>
  </si>
  <si>
    <t>http://www.te.com/usa-en/product-497940-000.html</t>
  </si>
  <si>
    <t>http://www.te.com/usa-en/product-998070-000.html</t>
  </si>
  <si>
    <t>http://www.te.com/usa-en/product-073513-000.html</t>
  </si>
  <si>
    <t>http://www.te.com/usa-en/product-236215-000.html</t>
  </si>
  <si>
    <t>http://www.te.com/usa-en/product-901803-000.html</t>
  </si>
  <si>
    <t>http://www.te.com/usa-en/product-294343-000.html</t>
  </si>
  <si>
    <t>http://www.te.com/usa-en/product-683361-000.html</t>
  </si>
  <si>
    <t>http://www.te.com/usa-en/product-920829-000.html</t>
  </si>
  <si>
    <t>http://www.te.com/usa-en/product-EB0175-000.html</t>
  </si>
  <si>
    <t>http://www.te.com/usa-en/product-EB0176-000.html</t>
  </si>
  <si>
    <t>http://www.te.com/usa-en/product-EB0327-000.html</t>
  </si>
  <si>
    <t>http://www.te.com/usa-en/product-CR8501-000.html</t>
  </si>
  <si>
    <t>http://www.te.com/usa-en/product-CR8502-000.html</t>
  </si>
  <si>
    <t>http://www.te.com/usa-en/product-EB0177-000.html</t>
  </si>
  <si>
    <t>http://www.te.com/usa-en/product-EB0178-000.html</t>
  </si>
  <si>
    <t>http://www.te.com/usa-en/product-CL7584-000.html</t>
  </si>
  <si>
    <t>http://www.te.com/usa-en/product-CL0572-000.html</t>
  </si>
  <si>
    <t>http://www.te.com/usa-en/product-CN1928-000.html</t>
  </si>
  <si>
    <t>http://www.te.com/usa-en/product-CL7586-000.html</t>
  </si>
  <si>
    <t>http://www.te.com/usa-en/product-CN1929-000.html</t>
  </si>
  <si>
    <t>http://www.te.com/usa-en/product-CL7587-000.html</t>
  </si>
  <si>
    <t>http://www.te.com/usa-en/product-EB0179-000.html</t>
  </si>
  <si>
    <t>http://www.te.com/usa-en/product-EB0180-000.html</t>
  </si>
  <si>
    <t>http://www.te.com/usa-en/product-EB0334-000.html</t>
  </si>
  <si>
    <t>http://www.te.com/usa-en/product-EB0181-000.html</t>
  </si>
  <si>
    <t>http://www.te.com/usa-en/product-EB0182-000.html</t>
  </si>
  <si>
    <t>http://www.te.com/usa-en/product-CR8517-000.html</t>
  </si>
  <si>
    <t>http://www.te.com/usa-en/product-424417-001.html</t>
  </si>
  <si>
    <t>http://www.te.com/usa-en/product-136857-000.html</t>
  </si>
  <si>
    <t>http://www.te.com/usa-en/product-747843-000.html</t>
  </si>
  <si>
    <t>http://www.te.com/usa-en/product-063891-000.html</t>
  </si>
  <si>
    <t>http://www.te.com/usa-en/product-754951-000.html</t>
  </si>
  <si>
    <t>http://www.te.com/usa-en/product-514923-000.html</t>
  </si>
  <si>
    <t>http://www.te.com/usa-en/product-CH5891-000.html</t>
  </si>
  <si>
    <t>http://www.te.com/usa-en/product-CH5892-000.html</t>
  </si>
  <si>
    <t>http://www.te.com/usa-en/product-933263-000.html</t>
  </si>
  <si>
    <t>http://www.te.com/usa-en/product-582199-000.html</t>
  </si>
  <si>
    <t>http://www.te.com/usa-en/product-039735-000.html</t>
  </si>
  <si>
    <t>http://www.te.com/usa-en/product-889593-000.html</t>
  </si>
  <si>
    <t>http://www.te.com/usa-en/product-201133-000.html</t>
  </si>
  <si>
    <t>http://www.te.com/usa-en/product-129099-000.html</t>
  </si>
  <si>
    <t>http://www.te.com/usa-en/product-593159-000.html</t>
  </si>
  <si>
    <t>http://www.te.com/usa-en/product-103111-000.html</t>
  </si>
  <si>
    <t>http://www.te.com/usa-en/product-551817-000.html</t>
  </si>
  <si>
    <t>http://www.te.com/usa-en/product-827673-000.html</t>
  </si>
  <si>
    <t>http://www.te.com/usa-en/product-254625-000.html</t>
  </si>
  <si>
    <t>http://www.te.com/usa-en/product-972937-000.html</t>
  </si>
  <si>
    <t>http://www.te.com/usa-en/product-477807-000.html</t>
  </si>
  <si>
    <t>http://www.te.com/usa-en/product-157071-000.html</t>
  </si>
  <si>
    <t>http://www.te.com/usa-en/product-198817-000.html</t>
  </si>
  <si>
    <t>http://www.te.com/usa-en/product-839283-000.html</t>
  </si>
  <si>
    <t>http://www.te.com/usa-en/product-121159-000.html</t>
  </si>
  <si>
    <t>http://www.te.com/usa-en/product-086293-000.html</t>
  </si>
  <si>
    <t>http://www.te.com/usa-en/product-571969-000.html</t>
  </si>
  <si>
    <t>http://www.te.com/usa-en/product-021369-000.html</t>
  </si>
  <si>
    <t>http://www.te.com/usa-en/product-587213-000.html</t>
  </si>
  <si>
    <t>http://www.te.com/usa-en/product-087745-000.html</t>
  </si>
  <si>
    <t>http://www.te.com/usa-en/product-CM9453-000.html</t>
  </si>
  <si>
    <t>http://www.te.com/usa-en/product-CM9455-000.html</t>
  </si>
  <si>
    <t>http://www.te.com/usa-en/product-CM9457-000.html</t>
  </si>
  <si>
    <t>http://www.te.com/usa-en/product-CM9458-000.html</t>
  </si>
  <si>
    <t>http://www.te.com/usa-en/product-CM9460-000.html</t>
  </si>
  <si>
    <t>http://www.te.com/usa-en/product-EB0339-000.html</t>
  </si>
  <si>
    <t>http://www.te.com/usa-en/product-EB0340-000.html</t>
  </si>
  <si>
    <t>http://www.te.com/usa-en/product-943193-000.html</t>
  </si>
  <si>
    <t>http://www.te.com/usa-en/product-621653-000.html</t>
  </si>
  <si>
    <t>http://www.te.com/usa-en/product-624759-000.html</t>
  </si>
  <si>
    <t>http://www.te.com/usa-en/product-440963-000.html</t>
  </si>
  <si>
    <t>http://www.te.com/usa-en/product-926041-000.html</t>
  </si>
  <si>
    <t>http://www.te.com/usa-en/product-496323-000.html</t>
  </si>
  <si>
    <t>http://www.te.com/usa-en/product-107357-000.html</t>
  </si>
  <si>
    <t>http://www.te.com/usa-en/product-937281-000.html</t>
  </si>
  <si>
    <t>http://www.te.com/usa-en/product-774473-000.html</t>
  </si>
  <si>
    <t>http://www.te.com/usa-en/product-924763-000.html</t>
  </si>
  <si>
    <t>http://www.te.com/usa-en/product-233783-000.html</t>
  </si>
  <si>
    <t>http://www.te.com/usa-en/product-742283-000.html</t>
  </si>
  <si>
    <t>http://www.te.com/usa-en/product-921391-000.html</t>
  </si>
  <si>
    <t>http://www.te.com/usa-en/product-885157-000.html</t>
  </si>
  <si>
    <t>http://www.te.com/usa-en/product-542635-000.html</t>
  </si>
  <si>
    <t>http://www.te.com/usa-en/product-182991-000.html</t>
  </si>
  <si>
    <t>http://www.te.com/usa-en/product-440655-000.html</t>
  </si>
  <si>
    <t>http://www.te.com/usa-en/product-207361-000.html</t>
  </si>
  <si>
    <t>http://www.te.com/usa-en/product-304241-000.html</t>
  </si>
  <si>
    <t>http://www.te.com/usa-en/product-812965-000.html</t>
  </si>
  <si>
    <t>http://www.te.com/usa-en/product-407425-000.html</t>
  </si>
  <si>
    <t>http://www.te.com/usa-en/product-722789-000.html</t>
  </si>
  <si>
    <t>http://www.te.com/usa-en/product-770433-000.html</t>
  </si>
  <si>
    <t>http://www.te.com/usa-en/product-C15050-000.html</t>
  </si>
  <si>
    <t>http://www.te.com/usa-en/product-400865-000.html</t>
  </si>
  <si>
    <t>http://www.te.com/usa-en/product-747303-000.html</t>
  </si>
  <si>
    <t>http://www.te.com/usa-en/product-906775-000.html</t>
  </si>
  <si>
    <t>http://www.te.com/usa-en/product-641959-000.html</t>
  </si>
  <si>
    <t>http://www.te.com/usa-en/product-197829-000.html</t>
  </si>
  <si>
    <t>http://www.te.com/usa-en/product-476155-000.html</t>
  </si>
  <si>
    <t>http://www.te.com/usa-en/product-063838-000.html</t>
  </si>
  <si>
    <t>http://www.te.com/usa-en/product-471648-000.html</t>
  </si>
  <si>
    <t>http://www.te.com/usa-en/product-777525-000.html</t>
  </si>
  <si>
    <t>http://www.te.com/usa-en/product-907795-000.html</t>
  </si>
  <si>
    <t>http://www.te.com/usa-en/product-672389-000.html</t>
  </si>
  <si>
    <t>http://www.te.com/usa-en/product-101265-000.html</t>
  </si>
  <si>
    <t>http://www.te.com/usa-en/product-588340-000.html</t>
  </si>
  <si>
    <t>http://www.te.com/usa-en/product-526477-000.html</t>
  </si>
  <si>
    <t>http://www.te.com/usa-en/product-024384-000.html</t>
  </si>
  <si>
    <t>http://www.te.com/usa-en/product-385273-000.html</t>
  </si>
  <si>
    <t>http://www.te.com/usa-en/product-022685-000.html</t>
  </si>
  <si>
    <t>http://www.te.com/usa-en/product-739764-000.html</t>
  </si>
  <si>
    <t>http://www.te.com/usa-en/product-536437-000.html</t>
  </si>
  <si>
    <t>http://www.te.com/usa-en/product-E22930-000.html</t>
  </si>
  <si>
    <t>http://www.te.com/usa-en/product-466319-000.html</t>
  </si>
  <si>
    <t>http://www.te.com/usa-en/product-485553-000.html</t>
  </si>
  <si>
    <t>http://www.te.com/usa-en/product-741281-000.html</t>
  </si>
  <si>
    <t>http://www.te.com/usa-en/product-791137-000.html</t>
  </si>
  <si>
    <t>http://www.te.com/usa-en/product-295923-000.html</t>
  </si>
  <si>
    <t>http://www.te.com/usa-en/product-926093-000.html</t>
  </si>
  <si>
    <t>http://www.te.com/usa-en/product-456420-000.html</t>
  </si>
  <si>
    <t>http://www.te.com/usa-en/product-D87535-000.html</t>
  </si>
  <si>
    <t>http://www.te.com/usa-en/product-171124-000.html</t>
  </si>
  <si>
    <t>http://www.te.com/usa-en/product-254009-000.html</t>
  </si>
  <si>
    <t>http://www.te.com/usa-en/product-811978-000.html</t>
  </si>
  <si>
    <t>http://www.te.com/usa-en/product-347466-000.html</t>
  </si>
  <si>
    <t>http://www.te.com/usa-en/product-617765-000.html</t>
  </si>
  <si>
    <t>http://www.te.com/usa-en/product-597801-000.html</t>
  </si>
  <si>
    <t>http://www.te.com/usa-en/product-791129-000.html</t>
  </si>
  <si>
    <t>http://www.te.com/usa-en/product-548643-000.html</t>
  </si>
  <si>
    <t>http://www.te.com/usa-en/product-774767-000.html</t>
  </si>
  <si>
    <t>http://www.te.com/usa-en/product-812332-000.html</t>
  </si>
  <si>
    <t>http://www.te.com/usa-en/product-661596-000.html</t>
  </si>
  <si>
    <t>http://www.te.com/usa-en/product-431181-000.html</t>
  </si>
  <si>
    <t>http://www.te.com/usa-en/product-438909-000.html</t>
  </si>
  <si>
    <t>http://www.te.com/usa-en/product-116781-000.html</t>
  </si>
  <si>
    <t>http://www.te.com/usa-en/product-022731-000.html</t>
  </si>
  <si>
    <t>http://www.te.com/usa-en/product-035875-000.html</t>
  </si>
  <si>
    <t>http://www.te.com/usa-en/product-428887-000.html</t>
  </si>
  <si>
    <t>http://www.te.com/usa-en/product-298363-000.html</t>
  </si>
  <si>
    <t>http://www.te.com/usa-en/product-523476-000.html</t>
  </si>
  <si>
    <t>http://www.te.com/usa-en/product-167150-000.html</t>
  </si>
  <si>
    <t>http://www.te.com/usa-en/product-445603-000.html</t>
  </si>
  <si>
    <t>http://www.te.com/usa-en/product-677296-000.html</t>
  </si>
  <si>
    <t>http://www.te.com/usa-en/product-862969-000.html</t>
  </si>
  <si>
    <t>http://www.te.com/usa-en/product-748558-000.html</t>
  </si>
  <si>
    <t>http://www.te.com/usa-en/product-432347-000.html</t>
  </si>
  <si>
    <t>http://www.te.com/usa-en/product-028005-000.html</t>
  </si>
  <si>
    <t>http://www.te.com/usa-en/product-424239-000.html</t>
  </si>
  <si>
    <t>http://www.te.com/usa-en/product-335367-000.html</t>
  </si>
  <si>
    <t>http://www.te.com/usa-en/product-028630-000.html</t>
  </si>
  <si>
    <t>http://www.te.com/usa-en/product-321424-000.html</t>
  </si>
  <si>
    <t>http://www.te.com/usa-en/product-525338-000.html</t>
  </si>
  <si>
    <t>http://www.te.com/usa-en/product-790702-000.html</t>
  </si>
  <si>
    <t>http://www.te.com/usa-en/product-872588-000.html</t>
  </si>
  <si>
    <t>http://www.te.com/usa-en/product-773122-000.html</t>
  </si>
  <si>
    <t>http://www.te.com/usa-en/product-148513-000.html</t>
  </si>
  <si>
    <t>http://www.te.com/usa-en/product-919170-000.html</t>
  </si>
  <si>
    <t>http://www.te.com/usa-en/product-197090-000.html</t>
  </si>
  <si>
    <t>http://www.te.com/usa-en/product-326049-000.html</t>
  </si>
  <si>
    <t>http://www.te.com/usa-en/product-099585-000.html</t>
  </si>
  <si>
    <t>http://www.te.com/usa-en/product-792778-000.html</t>
  </si>
  <si>
    <t>http://www.te.com/usa-en/product-341649-000.html</t>
  </si>
  <si>
    <t>http://www.te.com/usa-en/product-336929-000.html</t>
  </si>
  <si>
    <t>http://www.te.com/usa-en/product-675374-000.html</t>
  </si>
  <si>
    <t>http://www.te.com/usa-en/product-326591-000.html</t>
  </si>
  <si>
    <t>http://www.te.com/usa-en/product-530957-000.html</t>
  </si>
  <si>
    <t>http://www.te.com/usa-en/product-709807-000.html</t>
  </si>
  <si>
    <t>http://www.te.com/usa-en/product-636039-000.html</t>
  </si>
  <si>
    <t>http://www.te.com/usa-en/product-397687-000.html</t>
  </si>
  <si>
    <t>http://www.te.com/usa-en/product-054847-000.html</t>
  </si>
  <si>
    <t>http://www.te.com/usa-en/product-344053-000.html</t>
  </si>
  <si>
    <t>http://www.te.com/usa-en/product-895763-000.html</t>
  </si>
  <si>
    <t>http://www.te.com/usa-en/product-229963-000.html</t>
  </si>
  <si>
    <t>http://www.te.com/usa-en/product-814603-000.html</t>
  </si>
  <si>
    <t>http://www.te.com/usa-en/product-942343-000.html</t>
  </si>
  <si>
    <t>http://www.te.com/usa-en/product-166319-000.html</t>
  </si>
  <si>
    <t>http://www.te.com/usa-en/product-546439-000.html</t>
  </si>
  <si>
    <t>http://www.te.com/usa-en/product-528453-000.html</t>
  </si>
  <si>
    <t>http://www.te.com/usa-en/product-801947-000.html</t>
  </si>
  <si>
    <t>http://www.te.com/usa-en/product-C92986-000.html</t>
  </si>
  <si>
    <t>http://www.te.com/usa-en/product-CG8875-000.html</t>
  </si>
  <si>
    <t>http://www.te.com/usa-en/product-F60764-000.html</t>
  </si>
  <si>
    <t>http://www.te.com/usa-en/product-D05683-000.html</t>
  </si>
  <si>
    <t>http://www.te.com/usa-en/product-CG8891-000.html</t>
  </si>
  <si>
    <t>http://www.te.com/usa-en/product-CG8890-000.html</t>
  </si>
  <si>
    <t>http://www.te.com/usa-en/product-938356-000.html</t>
  </si>
  <si>
    <t>http://www.te.com/usa-en/product-D93010-000.html</t>
  </si>
  <si>
    <t>http://www.te.com/usa-en/product-CG8878-000.html</t>
  </si>
  <si>
    <t>http://www.te.com/usa-en/product-CG8883-000.html</t>
  </si>
  <si>
    <t>http://www.te.com/usa-en/product-CG8880-000.html</t>
  </si>
  <si>
    <t>http://www.te.com/usa-en/product-CB2501-000.html</t>
  </si>
  <si>
    <t>http://www.te.com/usa-en/product-921434-000.html</t>
  </si>
  <si>
    <t>http://www.te.com/usa-en/product-CG8893-000.html</t>
  </si>
  <si>
    <t>http://www.te.com/usa-en/product-CG8898-000.html</t>
  </si>
  <si>
    <t>http://www.te.com/usa-en/product-CG8895-000.html</t>
  </si>
  <si>
    <t>http://www.te.com/usa-en/product-CB2511-000.html</t>
  </si>
  <si>
    <t>http://www.te.com/usa-en/product-526474-000.html</t>
  </si>
  <si>
    <t>http://www.te.com/usa-en/product-CG8884-000.html</t>
  </si>
  <si>
    <t>http://www.te.com/usa-en/product-CG8886-000.html</t>
  </si>
  <si>
    <t>http://www.te.com/usa-en/product-CB2505-000.html</t>
  </si>
  <si>
    <t>http://www.te.com/usa-en/product-635416-000.html</t>
  </si>
  <si>
    <t>http://www.te.com/usa-en/product-CG8899-000.html</t>
  </si>
  <si>
    <t>http://www.te.com/usa-en/product-CG8901-000.html</t>
  </si>
  <si>
    <t>http://www.te.com/usa-en/product-ED0868-000.html</t>
  </si>
  <si>
    <t>http://www.te.com/usa-en/product-CB2513-000.html</t>
  </si>
  <si>
    <t>http://www.te.com/usa-en/product-588830-000.html</t>
  </si>
  <si>
    <t>http://www.te.com/usa-en/product-CB2507-000.html</t>
  </si>
  <si>
    <t>http://www.te.com/usa-en/product-E15761-000.html</t>
  </si>
  <si>
    <t>http://www.te.com/usa-en/product-CB2514-000.html</t>
  </si>
  <si>
    <t>http://www.te.com/usa-en/product-F33141-000.html</t>
  </si>
  <si>
    <t>http://www.te.com/usa-en/product-CB2527-000.html</t>
  </si>
  <si>
    <t>http://www.te.com/usa-en/product-F59451-000.html</t>
  </si>
  <si>
    <t>http://www.te.com/usa-en/product-ED0870-000.html</t>
  </si>
  <si>
    <t>http://www.te.com/usa-en/product-CB2530-000.html</t>
  </si>
  <si>
    <t>http://www.te.com/usa-en/product-A50421-000.html</t>
  </si>
  <si>
    <t>http://www.te.com/usa-en/product-CG8914-000.html</t>
  </si>
  <si>
    <t>http://www.te.com/usa-en/product-CB2528-000.html</t>
  </si>
  <si>
    <t>http://www.te.com/usa-en/product-E06317-000.html</t>
  </si>
  <si>
    <t>http://www.te.com/usa-en/product-CG8936-000.html</t>
  </si>
  <si>
    <t>http://www.te.com/usa-en/product-CG8930-000.html</t>
  </si>
  <si>
    <t>http://www.te.com/usa-en/product-CB1372-000.html</t>
  </si>
  <si>
    <t>http://www.te.com/usa-en/product-CR2767-000.html</t>
  </si>
  <si>
    <t>http://www.te.com/usa-en/product-D14038-000.html</t>
  </si>
  <si>
    <t>http://www.te.com/usa-en/product-CB2529-000.html</t>
  </si>
  <si>
    <t>http://www.te.com/usa-en/product-C94009-000.html</t>
  </si>
  <si>
    <t>http://www.te.com/usa-en/product-ED0874-000.html</t>
  </si>
  <si>
    <t>http://www.te.com/usa-en/product-CB1373-000.html</t>
  </si>
  <si>
    <t>http://www.te.com/usa-en/product-CR2768-000.html</t>
  </si>
  <si>
    <t>http://www.te.com/usa-en/product-CN8630-000.html</t>
  </si>
  <si>
    <t>http://www.te.com/usa-en/product-E32972-000.html</t>
  </si>
  <si>
    <t>http://www.te.com/usa-en/product-CJ5943-000.html</t>
  </si>
  <si>
    <t>http://www.te.com/usa-en/product-CG8859-000.html</t>
  </si>
  <si>
    <t>http://www.te.com/usa-en/product-C98069-000.html</t>
  </si>
  <si>
    <t>http://www.te.com/usa-en/product-CG8862-000.html</t>
  </si>
  <si>
    <t>http://www.te.com/usa-en/product-CG8865-000.html</t>
  </si>
  <si>
    <t>http://www.te.com/usa-en/product-D91184-000.html</t>
  </si>
  <si>
    <t>http://www.te.com/usa-en/product-CG8868-000.html</t>
  </si>
  <si>
    <t>http://www.te.com/usa-en/product-CJ5945-000.html</t>
  </si>
  <si>
    <t>http://www.te.com/usa-en/product-D93334-000.html</t>
  </si>
  <si>
    <t>http://www.te.com/usa-en/product-CG8872-000.html</t>
  </si>
  <si>
    <t>http://www.te.com/usa-en/product-D54504-000.html</t>
  </si>
  <si>
    <t>http://www.te.com/usa-en/product-ED5501-000.html</t>
  </si>
  <si>
    <t>http://www.te.com/usa-en/product-ED5498-000.html</t>
  </si>
  <si>
    <t>http://www.te.com/usa-en/product-ED5499-000.html</t>
  </si>
  <si>
    <t>http://www.te.com/usa-en/product-ED5508-000.html</t>
  </si>
  <si>
    <t>http://www.te.com/usa-en/product-ED5510-000.html</t>
  </si>
  <si>
    <t>http://www.te.com/usa-en/product-ED5511-000.html</t>
  </si>
  <si>
    <t>http://www.te.com/usa-en/product-ED5514-000.html</t>
  </si>
  <si>
    <t>http://www.te.com/usa-en/product-ED5512-000.html</t>
  </si>
  <si>
    <t>http://www.te.com/usa-en/product-ED5515-000.html</t>
  </si>
  <si>
    <t>http://www.te.com/usa-en/product-F28222-000.html</t>
  </si>
  <si>
    <t>http://www.te.com/usa-en/product-CF7459-000.html</t>
  </si>
  <si>
    <t>http://www.te.com/usa-en/product-CN1750-000.html</t>
  </si>
  <si>
    <t>http://www.te.com/usa-en/product-CN1751-000.html</t>
  </si>
  <si>
    <t>http://www.te.com/usa-en/product-CF5636-000.html</t>
  </si>
  <si>
    <t>http://www.te.com/usa-en/product-CF5637-000.html</t>
  </si>
  <si>
    <t>http://www.te.com/usa-en/product-CF5638-000.html</t>
  </si>
  <si>
    <t>http://www.te.com/usa-en/product-CL2696-000.html</t>
  </si>
  <si>
    <t>http://www.te.com/usa-en/product-CL2695-000.html</t>
  </si>
  <si>
    <t>http://www.te.com/usa-en/product-CF5635-000.html</t>
  </si>
  <si>
    <t>http://www.te.com/usa-en/product-999416-000.html</t>
  </si>
  <si>
    <t>http://www.te.com/usa-en/product-D76122-000.html</t>
  </si>
  <si>
    <t>http://www.te.com/usa-en/product-e26221-000.html</t>
  </si>
  <si>
    <t>http://www.te.com/usa-en/product-E72129-000.html</t>
  </si>
  <si>
    <t>http://www.te.com/usa-en/product-C44222-000.html</t>
  </si>
  <si>
    <t>http://www.te.com/usa-en/product-518806-000.html</t>
  </si>
  <si>
    <t>http://www.te.com/usa-en/product-A31310-000.html</t>
  </si>
  <si>
    <t>http://www.te.com/usa-en/product-E62068-000.html</t>
  </si>
  <si>
    <t>http://www.te.com/usa-en/product-F07172-000.html</t>
  </si>
  <si>
    <t>http://www.te.com/usa-en/product-C07776-000.html</t>
  </si>
  <si>
    <t>http://www.te.com/usa-en/product-029884-000.html</t>
  </si>
  <si>
    <t>http://www.te.com/usa-en/product-F97003-000.html</t>
  </si>
  <si>
    <t>http://www.te.com/usa-en/product-F41844-000.html</t>
  </si>
  <si>
    <t>http://www.te.com/usa-en/product-D10900-000.html</t>
  </si>
  <si>
    <t>http://www.te.com/usa-en/product-E14607-000.html</t>
  </si>
  <si>
    <t>http://www.te.com/usa-en/product-A87886-000.html</t>
  </si>
  <si>
    <t>http://www.te.com/usa-en/product-E67233-000.html</t>
  </si>
  <si>
    <t>http://www.te.com/usa-en/product-CF5625-000.html</t>
  </si>
  <si>
    <t>http://www.te.com/usa-en/product-A22234-000.html</t>
  </si>
  <si>
    <t>http://www.te.com/usa-en/product-CL2247-000.html</t>
  </si>
  <si>
    <t>http://www.te.com/usa-en/product-CJ8938-000.html</t>
  </si>
  <si>
    <t>http://www.te.com/usa-en/product-536002-000.html</t>
  </si>
  <si>
    <t>http://www.te.com/usa-en/product-CL2248-000.html</t>
  </si>
  <si>
    <t>http://www.te.com/usa-en/product-A13980-000.html</t>
  </si>
  <si>
    <t>http://www.te.com/usa-en/product-436386-000.html</t>
  </si>
  <si>
    <t>http://www.te.com/usa-en/product-069506-000.html</t>
  </si>
  <si>
    <t>http://www.te.com/usa-en/product-CF6896-000.html</t>
  </si>
  <si>
    <t>http://www.te.com/usa-en/product-359334-000.html</t>
  </si>
  <si>
    <t>http://www.te.com/usa-en/product-CF6899-000.html</t>
  </si>
  <si>
    <t>http://www.te.com/usa-en/product-F94578-000.html</t>
  </si>
  <si>
    <t>http://www.te.com/usa-en/product-CF6905-000.html</t>
  </si>
  <si>
    <t>http://www.te.com/usa-en/product-541259N001.html</t>
  </si>
  <si>
    <t>http://www.te.com/usa-en/product-841623-000.html</t>
  </si>
  <si>
    <t>http://www.te.com/usa-en/product-996775-000.html</t>
  </si>
  <si>
    <t>http://www.te.com/usa-en/product-213759-000.html</t>
  </si>
  <si>
    <t>http://www.te.com/usa-en/product-CU6542-000.html</t>
  </si>
  <si>
    <t>http://www.te.com/usa-en/product-152078-000.html</t>
  </si>
  <si>
    <t>http://www.te.com/usa-en/product-CN3824-000.html</t>
  </si>
  <si>
    <t>http://www.te.com/usa-en/product-CU4180-000.html</t>
  </si>
  <si>
    <t>http://www.te.com/usa-en/product-668188-000.html</t>
  </si>
  <si>
    <t>http://www.te.com/usa-en/product-206868-000.html</t>
  </si>
  <si>
    <t>http://www.te.com/usa-en/product-257802-000.html</t>
  </si>
  <si>
    <t>http://www.te.com/usa-en/product-217580-000.html</t>
  </si>
  <si>
    <t>http://www.te.com/usa-en/product-613210-000.html</t>
  </si>
  <si>
    <t>http://www.te.com/usa-en/product-E41886-000.html</t>
  </si>
  <si>
    <t>http://www.te.com/usa-en/product-800776-000.html</t>
  </si>
  <si>
    <t>http://www.te.com/usa-en/product-743156-000.html</t>
  </si>
  <si>
    <t>http://www.te.com/usa-en/product-518536-000.html</t>
  </si>
  <si>
    <t>http://www.te.com/usa-en/product-CP4167-000.html</t>
  </si>
  <si>
    <t>http://www.te.com/usa-en/product-CP4170-000.html</t>
  </si>
  <si>
    <t>http://www.te.com/usa-en/product-CP4172-000.html</t>
  </si>
  <si>
    <t>http://www.te.com/usa-en/product-279899-000.html</t>
  </si>
  <si>
    <t>http://www.te.com/usa-en/product-380945-000.html</t>
  </si>
  <si>
    <t>http://www.te.com/usa-en/product-224817-000.html</t>
  </si>
  <si>
    <t>http://www.te.com/usa-en/product-782647-000.html</t>
  </si>
  <si>
    <t>http://www.te.com/usa-en/product-609269-000.html</t>
  </si>
  <si>
    <t>http://www.te.com/usa-en/product-622577-000.html</t>
  </si>
  <si>
    <t>http://www.te.com/usa-en/product-422997-000.html</t>
  </si>
  <si>
    <t>http://www.te.com/usa-en/product-894214-000.html</t>
  </si>
  <si>
    <t>http://www.te.com/usa-en/product-852653-000.html</t>
  </si>
  <si>
    <t>http://www.te.com/usa-en/product-810387-000.html</t>
  </si>
  <si>
    <t>http://www.te.com/usa-en/product-631391-000.html</t>
  </si>
  <si>
    <t>http://www.te.com/usa-en/product-CR8955-000.html</t>
  </si>
  <si>
    <t>http://www.te.com/usa-en/product-557781-000.html</t>
  </si>
  <si>
    <t>http://www.te.com/usa-en/product-747605-000.html</t>
  </si>
  <si>
    <t>http://www.te.com/usa-en/product-448863-000.html</t>
  </si>
  <si>
    <t>http://www.te.com/usa-en/product-351011-000.html</t>
  </si>
  <si>
    <t>http://www.te.com/usa-en/product-852963-000.html</t>
  </si>
  <si>
    <t>http://www.te.com/usa-en/product-028372-000.html</t>
  </si>
  <si>
    <t>http://www.te.com/usa-en/product-905232-000.html</t>
  </si>
  <si>
    <t>http://www.te.com/usa-en/product-327340-000.html</t>
  </si>
  <si>
    <t>http://www.te.com/usa-en/product-726426-000.html</t>
  </si>
  <si>
    <t>http://www.te.com/usa-en/product-840744-000.html</t>
  </si>
  <si>
    <t>http://www.te.com/usa-en/product-922091-000.html</t>
  </si>
  <si>
    <t>http://www.te.com/usa-en/product-712836-000.html</t>
  </si>
  <si>
    <t>http://www.te.com/usa-en/product-053174-000.html</t>
  </si>
  <si>
    <t>http://www.te.com/usa-en/product-223092-000.html</t>
  </si>
  <si>
    <t>http://www.te.com/usa-en/product-A30158-000.html</t>
  </si>
  <si>
    <t>http://www.te.com/usa-en/product-A30155-000.html</t>
  </si>
  <si>
    <t>http://www.te.com/usa-en/product-A30159-000.html</t>
  </si>
  <si>
    <t>http://www.te.com/usa-en/product-A30156-000.html</t>
  </si>
  <si>
    <t>http://www.te.com/usa-en/product-A30157-000.html</t>
  </si>
  <si>
    <t>http://www.te.com/usa-en/product-CS3240-000.html</t>
  </si>
  <si>
    <t>http://www.te.com/usa-en/product-893800-000.html</t>
  </si>
  <si>
    <t>http://www.te.com/usa-en/product-344911-000.html</t>
  </si>
  <si>
    <t>http://www.te.com/usa-en/product-044191-000.html</t>
  </si>
  <si>
    <t>http://www.te.com/usa-en/product-973437-000.html</t>
  </si>
  <si>
    <t>http://www.te.com/usa-en/product-D10451-000.html</t>
  </si>
  <si>
    <t>http://www.te.com/usa-en/product-067612-000.html</t>
  </si>
  <si>
    <t>http://www.te.com/usa-en/product-046324-000.html</t>
  </si>
  <si>
    <t>http://www.te.com/usa-en/product-641241-000.html</t>
  </si>
  <si>
    <t>http://www.te.com/usa-en/product-291188-000.html</t>
  </si>
  <si>
    <t>http://www.te.com/usa-en/product-525222-000.html</t>
  </si>
  <si>
    <t>http://www.te.com/usa-en/product-570500-000.html</t>
  </si>
  <si>
    <t>http://www.te.com/usa-en/product-326257-000.html</t>
  </si>
  <si>
    <t>http://www.te.com/usa-en/product-167019-000.html</t>
  </si>
  <si>
    <t>http://www.te.com/usa-en/product-407236-000.html</t>
  </si>
  <si>
    <t>http://www.te.com/usa-en/product-347861-000.html</t>
  </si>
  <si>
    <t>http://www.te.com/usa-en/product-CP4753-000.html</t>
  </si>
  <si>
    <t>http://www.te.com/usa-en/product-CN3822-000.html</t>
  </si>
  <si>
    <t>http://www.te.com/usa-en/product-CM2535-000.html</t>
  </si>
  <si>
    <t>http://www.te.com/usa-en/product-CP7906-000.html</t>
  </si>
  <si>
    <t>http://www.te.com/usa-en/product-CR9020-000.html</t>
  </si>
  <si>
    <t>http://www.te.com/usa-en/product-CP4754-000.html</t>
  </si>
  <si>
    <t>http://www.te.com/usa-en/product-CN3456-000.html</t>
  </si>
  <si>
    <t>http://www.te.com/usa-en/product-CM9738-000.html</t>
  </si>
  <si>
    <t>http://www.te.com/usa-en/product-CR7828-000.html</t>
  </si>
  <si>
    <t>http://www.te.com/usa-en/product-CN5708-000.html</t>
  </si>
  <si>
    <t>http://www.te.com/usa-en/product-230840-000.html</t>
  </si>
  <si>
    <t>http://www.te.com/usa-en/product-C12500-000.html</t>
  </si>
  <si>
    <t>http://www.te.com/usa-en/product-D93039-000.html</t>
  </si>
  <si>
    <t>http://www.te.com/usa-en/product-147654-000.html</t>
  </si>
  <si>
    <t>http://www.te.com/usa-en/product-269732-000.html</t>
  </si>
  <si>
    <t>http://www.te.com/usa-en/product-D05791-000.html</t>
  </si>
  <si>
    <t>http://www.te.com/usa-en/product-E32129-000.html</t>
  </si>
  <si>
    <t>http://www.te.com/usa-en/product-CM1883-000.html</t>
  </si>
  <si>
    <t>http://www.te.com/usa-en/product-782218-000.html</t>
  </si>
  <si>
    <t>http://www.te.com/usa-en/product-E88941-000.html</t>
  </si>
  <si>
    <t>http://www.te.com/usa-en/product-306587-000.html</t>
  </si>
  <si>
    <t>http://www.te.com/usa-en/product-708337-000.html</t>
  </si>
  <si>
    <t>http://www.te.com/usa-en/product-519633-000.html</t>
  </si>
  <si>
    <t>http://www.te.com/usa-en/product-769593-000.html</t>
  </si>
  <si>
    <t>http://www.te.com/usa-en/product-975849-000.html</t>
  </si>
  <si>
    <t>http://www.te.com/usa-en/product-600955-000.html</t>
  </si>
  <si>
    <t>http://www.te.com/usa-en/product-CF2960-000.html</t>
  </si>
  <si>
    <t>http://www.te.com/usa-en/product-770361-000.html</t>
  </si>
  <si>
    <t>http://www.te.com/usa-en/product-720819-000.html</t>
  </si>
  <si>
    <t>http://www.te.com/usa-en/product-343233-002.html</t>
  </si>
  <si>
    <t>http://www.te.com/usa-en/product-870723-000.html</t>
  </si>
  <si>
    <t>http://www.te.com/usa-en/product-CF2950-000.html</t>
  </si>
  <si>
    <t>http://www.te.com/usa-en/product-024335-002.html</t>
  </si>
  <si>
    <t>http://www.te.com/usa-en/product-771271-000.html</t>
  </si>
  <si>
    <t>http://www.te.com/usa-en/product-884389-000.html</t>
  </si>
  <si>
    <t>http://www.te.com/usa-en/product-562513-000.html</t>
  </si>
  <si>
    <t>http://www.te.com/usa-en/product-405531-000.html</t>
  </si>
  <si>
    <t>http://www.te.com/usa-en/product-972191-000.html</t>
  </si>
  <si>
    <t>http://www.te.com/usa-en/product-205901-000.html</t>
  </si>
  <si>
    <t>http://www.te.com/usa-en/product-CS6053-000.html</t>
  </si>
  <si>
    <t>http://www.te.com/usa-en/product-CS6054-000.html</t>
  </si>
  <si>
    <t>http://www.te.com/usa-en/product-CS6055-000.html</t>
  </si>
  <si>
    <t>http://www.te.com/usa-en/product-CR3146-000.html</t>
  </si>
  <si>
    <t>http://www.te.com/usa-en/product-CR3147-000.html</t>
  </si>
  <si>
    <t>http://www.te.com/usa-en/product-CR3148-000.html</t>
  </si>
  <si>
    <t>http://www.te.com/usa-en/product-CR3149-000.html</t>
  </si>
  <si>
    <t>http://www.te.com/usa-en/product-CS6424-000.html</t>
  </si>
  <si>
    <t>http://www.te.com/usa-en/product-828695-000.html</t>
  </si>
  <si>
    <t>http://www.te.com/usa-en/product-E56010-000.html</t>
  </si>
  <si>
    <t>http://www.te.com/usa-en/product-588693-000.html</t>
  </si>
  <si>
    <t>http://www.te.com/usa-en/product-D20934-000.html</t>
  </si>
  <si>
    <t>http://www.te.com/usa-en/product-485455-000.html</t>
  </si>
  <si>
    <t>http://www.te.com/usa-en/product-C26475-000.html</t>
  </si>
  <si>
    <t>http://www.te.com/usa-en/product-863155-000.html</t>
  </si>
  <si>
    <t>http://www.te.com/usa-en/product-C62985-000.html</t>
  </si>
  <si>
    <t>http://www.te.com/usa-en/product-776895-000.html</t>
  </si>
  <si>
    <t>http://www.te.com/usa-en/product-699412-000.html</t>
  </si>
  <si>
    <t>http://www.te.com/usa-en/product-938709-000.html</t>
  </si>
  <si>
    <t>http://www.te.com/usa-en/product-E73648-000.html</t>
  </si>
  <si>
    <t>http://www.te.com/usa-en/product-059487-000.html</t>
  </si>
  <si>
    <t>http://www.te.com/usa-en/product-848365-000.html</t>
  </si>
  <si>
    <t>http://www.te.com/usa-en/product-296347-000.html</t>
  </si>
  <si>
    <t>http://www.te.com/usa-en/product-741939-000.html</t>
  </si>
  <si>
    <t>http://www.te.com/usa-en/product-196693-000.html</t>
  </si>
  <si>
    <t>http://www.te.com/usa-en/product-291933-000.html</t>
  </si>
  <si>
    <t>http://www.te.com/usa-en/product-826061-000.html</t>
  </si>
  <si>
    <t>http://www.te.com/usa-en/product-702905-000.html</t>
  </si>
  <si>
    <t>http://www.te.com/usa-en/product-894021-000.html</t>
  </si>
  <si>
    <t>http://www.te.com/usa-en/product-121557-000.html</t>
  </si>
  <si>
    <t>http://www.te.com/usa-en/product-049753-000.html</t>
  </si>
  <si>
    <t>http://www.te.com/usa-en/product-229125-000.html</t>
  </si>
  <si>
    <t>http://www.te.com/usa-en/product-730125-000.html</t>
  </si>
  <si>
    <t>http://www.te.com/usa-en/product-970533-000.html</t>
  </si>
  <si>
    <t>http://www.te.com/usa-en/product-366657-000.html</t>
  </si>
  <si>
    <t>http://www.te.com/usa-en/product-910219-000.html</t>
  </si>
  <si>
    <t>http://www.te.com/usa-en/product-074883-000.html</t>
  </si>
  <si>
    <t>http://www.te.com/usa-en/product-074371-000.html</t>
  </si>
  <si>
    <t>http://www.te.com/usa-en/product-277001-000.html</t>
  </si>
  <si>
    <t>http://www.te.com/usa-en/product-984809-000.html</t>
  </si>
  <si>
    <t>http://www.te.com/usa-en/product-375607-000.html</t>
  </si>
  <si>
    <t>http://www.te.com/usa-en/product-114005-000.html</t>
  </si>
  <si>
    <t>http://www.te.com/usa-en/product-735713-000.html</t>
  </si>
  <si>
    <t>http://www.te.com/usa-en/product-618891-000.html</t>
  </si>
  <si>
    <t>http://www.te.com/usa-en/product-365305-000.html</t>
  </si>
  <si>
    <t>http://www.te.com/usa-en/product-334473-000.html</t>
  </si>
  <si>
    <t>http://www.te.com/usa-en/product-500393-000.html</t>
  </si>
  <si>
    <t>http://www.te.com/usa-en/product-256109-000.html</t>
  </si>
  <si>
    <t>http://www.te.com/usa-en/product-101733-000.html</t>
  </si>
  <si>
    <t>http://www.te.com/usa-en/product-349863-000.html</t>
  </si>
  <si>
    <t>http://www.te.com/usa-en/product-727751-000.html</t>
  </si>
  <si>
    <t>http://www.te.com/usa-en/product-354161-000.html</t>
  </si>
  <si>
    <t>http://www.te.com/usa-en/product-866021-000.html</t>
  </si>
  <si>
    <t>http://www.te.com/usa-en/product-735281-000.html</t>
  </si>
  <si>
    <t>http://www.te.com/usa-en/product-570691-000.html</t>
  </si>
  <si>
    <t>http://www.te.com/usa-en/product-341659-000.html</t>
  </si>
  <si>
    <t>http://www.te.com/usa-en/product-571683-000.html</t>
  </si>
  <si>
    <t>http://www.te.com/usa-en/product-497789-000.html</t>
  </si>
  <si>
    <t>http://www.te.com/usa-en/product-691019-000.html</t>
  </si>
  <si>
    <t>http://www.te.com/usa-en/product-971031-000.html</t>
  </si>
  <si>
    <t>http://www.te.com/usa-en/product-068359-000.html</t>
  </si>
  <si>
    <t>http://www.te.com/usa-en/product-790015-000.html</t>
  </si>
  <si>
    <t>http://www.te.com/usa-en/product-492833-000.html</t>
  </si>
  <si>
    <t>http://www.te.com/usa-en/product-024859-000.html</t>
  </si>
  <si>
    <t>http://www.te.com/usa-en/product-107751-000.html</t>
  </si>
  <si>
    <t>http://www.te.com/usa-en/product-CJ2148-000.html</t>
  </si>
  <si>
    <t>http://www.te.com/usa-en/product-106719-000.html</t>
  </si>
  <si>
    <t>http://www.te.com/usa-en/product-324685-000.html</t>
  </si>
  <si>
    <t>http://www.te.com/usa-en/product-932567-000.html</t>
  </si>
  <si>
    <t>http://www.te.com/usa-en/product-946035-000.html</t>
  </si>
  <si>
    <t>http://www.te.com/usa-en/product-289083-000.html</t>
  </si>
  <si>
    <t>http://www.te.com/usa-en/product-387409-000.html</t>
  </si>
  <si>
    <t>http://www.te.com/usa-en/product-112981-000.html</t>
  </si>
  <si>
    <t>http://www.te.com/usa-en/product-907207-000.html</t>
  </si>
  <si>
    <t>http://www.te.com/usa-en/product-512491-000.html</t>
  </si>
  <si>
    <t>http://www.te.com/usa-en/product-A80406-000.html</t>
  </si>
  <si>
    <t>http://www.te.com/usa-en/product-045520-000.html</t>
  </si>
  <si>
    <t>http://www.te.com/usa-en/product-954688-000.html</t>
  </si>
  <si>
    <t>http://www.te.com/usa-en/product-C81279-000.html</t>
  </si>
  <si>
    <t>http://www.te.com/usa-en/product-E70421-000.html</t>
  </si>
  <si>
    <t>http://www.te.com/usa-en/product-122369-000.html</t>
  </si>
  <si>
    <t>http://www.te.com/usa-en/product-984465-000.html</t>
  </si>
  <si>
    <t>http://www.te.com/usa-en/product-206883-000.html</t>
  </si>
  <si>
    <t>http://www.te.com/usa-en/product-120749-000.html</t>
  </si>
  <si>
    <t>http://www.te.com/usa-en/product-082759-000.html</t>
  </si>
  <si>
    <t>http://www.te.com/usa-en/product-714941-000.html</t>
  </si>
  <si>
    <t>http://www.te.com/usa-en/product-647811-000.html</t>
  </si>
  <si>
    <t>http://www.te.com/usa-en/product-300697-000.html</t>
  </si>
  <si>
    <t>http://www.te.com/usa-en/product-834255-000.html</t>
  </si>
  <si>
    <t>http://www.te.com/usa-en/product-601235-000.html</t>
  </si>
  <si>
    <t>http://www.te.com/usa-en/product-212595-000.html</t>
  </si>
  <si>
    <t>http://www.te.com/usa-en/product-135603-000.html</t>
  </si>
  <si>
    <t>http://www.te.com/usa-en/product-152115-000.html</t>
  </si>
  <si>
    <t>http://www.te.com/usa-en/product-871847-000.html</t>
  </si>
  <si>
    <t>http://www.te.com/usa-en/product-895543-000.html</t>
  </si>
  <si>
    <t>http://www.te.com/usa-en/product-A82788-000.html</t>
  </si>
  <si>
    <t>http://www.te.com/usa-en/product-445859-000.html</t>
  </si>
  <si>
    <t>http://www.te.com/usa-en/product-941623-000.html</t>
  </si>
  <si>
    <t>http://www.te.com/usa-en/product-A15446-000.html</t>
  </si>
  <si>
    <t>http://www.te.com/usa-en/product-741240-000.html</t>
  </si>
  <si>
    <t>http://www.te.com/usa-en/product-253963-000.html</t>
  </si>
  <si>
    <t>http://www.te.com/usa-en/product-358223-000.html</t>
  </si>
  <si>
    <t>http://www.te.com/usa-en/product-563427-000.html</t>
  </si>
  <si>
    <t>http://www.te.com/usa-en/product-427901-000.html</t>
  </si>
  <si>
    <t>http://www.te.com/usa-en/product-763065-000.html</t>
  </si>
  <si>
    <t>http://www.te.com/usa-en/product-096993-000.html</t>
  </si>
  <si>
    <t>http://www.te.com/usa-en/product-155399-000.html</t>
  </si>
  <si>
    <t>http://www.te.com/usa-en/product-835375-000.html</t>
  </si>
  <si>
    <t>http://www.te.com/usa-en/product-268624-000.html</t>
  </si>
  <si>
    <t>http://www.te.com/usa-en/product-528121-000.html</t>
  </si>
  <si>
    <t>http://www.te.com/usa-en/product-638717-000.html</t>
  </si>
  <si>
    <t>http://www.te.com/usa-en/product-741339-000.html</t>
  </si>
  <si>
    <t>http://www.te.com/usa-en/product-516371-000.html</t>
  </si>
  <si>
    <t>http://www.te.com/usa-en/product-559855-000.html</t>
  </si>
  <si>
    <t>http://www.te.com/usa-en/product-858589-000.html</t>
  </si>
  <si>
    <t>http://www.te.com/usa-en/product-529671-000.html</t>
  </si>
  <si>
    <t>http://www.te.com/usa-en/product-969917-000.html</t>
  </si>
  <si>
    <t>http://www.te.com/usa-en/product-930695-000.html</t>
  </si>
  <si>
    <t>http://www.te.com/usa-en/product-415673-000.html</t>
  </si>
  <si>
    <t>http://www.te.com/usa-en/product-397293-000.html</t>
  </si>
  <si>
    <t>http://www.te.com/usa-en/product-480347-000.html</t>
  </si>
  <si>
    <t>http://www.te.com/usa-en/product-980627-000.html</t>
  </si>
  <si>
    <t>http://www.te.com/usa-en/product-226761-000.html</t>
  </si>
  <si>
    <t>http://www.te.com/usa-en/product-752535-000.html</t>
  </si>
  <si>
    <t>http://www.te.com/usa-en/product-868471-000.html</t>
  </si>
  <si>
    <t>http://www.te.com/usa-en/product-491967-000.html</t>
  </si>
  <si>
    <t>http://www.te.com/usa-en/product-189883-000.html</t>
  </si>
  <si>
    <t>http://www.te.com/usa-en/product-134529-000.html</t>
  </si>
  <si>
    <t>http://www.te.com/usa-en/product-513661-000.html</t>
  </si>
  <si>
    <t>http://www.te.com/usa-en/product-222657-000.html</t>
  </si>
  <si>
    <t>http://www.te.com/usa-en/product-926035-000.html</t>
  </si>
  <si>
    <t>http://www.te.com/usa-en/product-059811-000.html</t>
  </si>
  <si>
    <t>http://www.te.com/usa-en/product-837735-000.html</t>
  </si>
  <si>
    <t>http://www.te.com/usa-en/product-379495-000.html</t>
  </si>
  <si>
    <t>http://www.te.com/usa-en/product-391973-000.html</t>
  </si>
  <si>
    <t>http://www.te.com/usa-en/product-169855-000.html</t>
  </si>
  <si>
    <t>http://www.te.com/usa-en/product-427893-000.html</t>
  </si>
  <si>
    <t>http://www.te.com/usa-en/product-387583-000.html</t>
  </si>
  <si>
    <t>http://www.te.com/usa-en/product-503609-000.html</t>
  </si>
  <si>
    <t>http://www.te.com/usa-en/product-395319-000.html</t>
  </si>
  <si>
    <t>http://www.te.com/usa-en/product-F17017-000.html</t>
  </si>
  <si>
    <t>http://www.te.com/usa-en/product-871593-000.html</t>
  </si>
  <si>
    <t>http://www.te.com/usa-en/product-450807-000.html</t>
  </si>
  <si>
    <t>http://www.te.com/usa-en/product-041075-000.html</t>
  </si>
  <si>
    <t>http://www.te.com/usa-en/product-050805-000.html</t>
  </si>
  <si>
    <t>http://www.te.com/usa-en/product-016593-000.html</t>
  </si>
  <si>
    <t>http://www.te.com/usa-en/product-693897-000.html</t>
  </si>
  <si>
    <t>http://www.te.com/usa-en/product-628313-000.html</t>
  </si>
  <si>
    <t>http://www.te.com/usa-en/product-249715-000.html</t>
  </si>
  <si>
    <t>http://www.te.com/usa-en/product-644395-000.html</t>
  </si>
  <si>
    <t>http://www.te.com/usa-en/product-365403-000.html</t>
  </si>
  <si>
    <t>http://www.te.com/usa-en/product-363853-000.html</t>
  </si>
  <si>
    <t>http://www.te.com/usa-en/product-123165-000.html</t>
  </si>
  <si>
    <t>http://www.te.com/usa-en/product-937619-000.html</t>
  </si>
  <si>
    <t>http://www.te.com/usa-en/product-494711-000.html</t>
  </si>
  <si>
    <t>http://www.te.com/usa-en/product-026895-000.html</t>
  </si>
  <si>
    <t>http://www.te.com/usa-en/product-006595-000.html</t>
  </si>
  <si>
    <t>http://www.te.com/usa-en/product-340527-000.html</t>
  </si>
  <si>
    <t>http://www.te.com/usa-en/product-830921-000.html</t>
  </si>
  <si>
    <t>http://www.te.com/usa-en/product-805831-000.html</t>
  </si>
  <si>
    <t>http://www.te.com/usa-en/product-867295-000.html</t>
  </si>
  <si>
    <t>http://www.te.com/usa-en/product-228347-000.html</t>
  </si>
  <si>
    <t>http://www.te.com/usa-en/product-017907-000.html</t>
  </si>
  <si>
    <t>http://www.te.com/usa-en/product-444053-000.html</t>
  </si>
  <si>
    <t>http://www.te.com/usa-en/product-424909-000.html</t>
  </si>
  <si>
    <t>http://www.te.com/usa-en/product-406227-000.html</t>
  </si>
  <si>
    <t>http://www.te.com/usa-en/product-680613-000.html</t>
  </si>
  <si>
    <t>http://www.te.com/usa-en/product-CN1172-000.html</t>
  </si>
  <si>
    <t>http://www.te.com/usa-en/product-CL3262-000.html</t>
  </si>
  <si>
    <t>http://www.te.com/usa-en/product-1727742-1.html</t>
  </si>
  <si>
    <t>http://www.te.com/usa-en/product-1-708052-1.html</t>
  </si>
  <si>
    <t>http://www.te.com/usa-en/product-CR5848-000.html</t>
  </si>
  <si>
    <t>http://www.te.com/usa-en/product-CL4555-000.html</t>
  </si>
  <si>
    <t>http://www.te.com/usa-en/product-CR5850-000.html</t>
  </si>
  <si>
    <t>http://www.te.com/usa-en/product-CL4553-000.html</t>
  </si>
  <si>
    <t>http://www.te.com/usa-en/product-CR5853-000.html</t>
  </si>
  <si>
    <t>http://www.te.com/usa-en/product-CL4557-000.html</t>
  </si>
  <si>
    <t>http://www.te.com/usa-en/product-CR5856-000.html</t>
  </si>
  <si>
    <t>http://www.te.com/usa-en/product-CL4546-000.html</t>
  </si>
  <si>
    <t>http://www.te.com/usa-en/product-EC8456-000.html</t>
  </si>
  <si>
    <t>http://www.te.com/usa-en/product-EC8869-000.html</t>
  </si>
  <si>
    <t>http://www.te.com/usa-en/product-771269-000.html</t>
  </si>
  <si>
    <t>http://www.te.com/usa-en/product-247517-000.html</t>
  </si>
  <si>
    <t>http://www.te.com/usa-en/product-419621-000.html</t>
  </si>
  <si>
    <t>http://www.te.com/usa-en/product-398193-000.html</t>
  </si>
  <si>
    <t>http://www.te.com/usa-en/product-538129-000.html</t>
  </si>
  <si>
    <t>http://www.te.com/usa-en/product-870567-000.html</t>
  </si>
  <si>
    <t>http://www.te.com/usa-en/product-393677-000.html</t>
  </si>
  <si>
    <t>http://www.te.com/usa-en/product-305169-000.html</t>
  </si>
  <si>
    <t>http://www.te.com/usa-en/product-927035-000.html</t>
  </si>
  <si>
    <t>http://www.te.com/usa-en/product-349729-000.html</t>
  </si>
  <si>
    <t>http://www.te.com/usa-en/product-155713-000.html</t>
  </si>
  <si>
    <t>http://www.te.com/usa-en/product-581642-000.html</t>
  </si>
  <si>
    <t>http://www.te.com/usa-en/product-404853-000.html</t>
  </si>
  <si>
    <t>http://www.te.com/usa-en/product-841360-000.html</t>
  </si>
  <si>
    <t>http://www.te.com/usa-en/product-045734-000.html</t>
  </si>
  <si>
    <t>http://www.te.com/usa-en/product-078815-000.html</t>
  </si>
  <si>
    <t>http://www.te.com/usa-en/product-276741-000.html</t>
  </si>
  <si>
    <t>http://www.te.com/usa-en/product-647131-000.html</t>
  </si>
  <si>
    <t>http://www.te.com/usa-en/product-668189-000.html</t>
  </si>
  <si>
    <t>http://www.te.com/usa-en/product-339579-000.html</t>
  </si>
  <si>
    <t>http://www.te.com/usa-en/product-524631-000.html</t>
  </si>
  <si>
    <t>http://www.te.com/usa-en/product-359279-000.html</t>
  </si>
  <si>
    <t>http://www.te.com/usa-en/product-A46081-000.html</t>
  </si>
  <si>
    <t>http://www.te.com/usa-en/product-556445-000.html</t>
  </si>
  <si>
    <t>http://www.te.com/usa-en/product-607863-000.html</t>
  </si>
  <si>
    <t>http://www.te.com/usa-en/product-701545-000.html</t>
  </si>
  <si>
    <t>http://www.te.com/usa-en/product-110575-000.html</t>
  </si>
  <si>
    <t>http://www.te.com/usa-en/product-401619-000.html</t>
  </si>
  <si>
    <t>http://www.te.com/usa-en/product-571963-000.html</t>
  </si>
  <si>
    <t>http://www.te.com/usa-en/product-445891-000.html</t>
  </si>
  <si>
    <t>http://www.te.com/usa-en/product-499307-000.html</t>
  </si>
  <si>
    <t>http://www.te.com/usa-en/product-830433-000.html</t>
  </si>
  <si>
    <t>http://www.te.com/usa-en/product-570947-000.html</t>
  </si>
  <si>
    <t>http://www.te.com/usa-en/product-047709-000.html</t>
  </si>
  <si>
    <t>http://www.te.com/usa-en/product-366560-000.html</t>
  </si>
  <si>
    <t>http://www.te.com/usa-en/product-484279-000.html</t>
  </si>
  <si>
    <t>http://www.te.com/usa-en/product-996589-000.html</t>
  </si>
  <si>
    <t>http://www.te.com/usa-en/product-834711-000.html</t>
  </si>
  <si>
    <t>http://www.te.com/usa-en/product-904268-000.html</t>
  </si>
  <si>
    <t>http://www.te.com/usa-en/product-768582-000.html</t>
  </si>
  <si>
    <t>http://www.te.com/usa-en/product-035869-000.html</t>
  </si>
  <si>
    <t>http://www.te.com/usa-en/product-204389-000.html</t>
  </si>
  <si>
    <t>http://www.te.com/usa-en/product-634605-000.html</t>
  </si>
  <si>
    <t>http://www.te.com/usa-en/product-655591-000.html</t>
  </si>
  <si>
    <t>http://www.te.com/usa-en/product-658897-000.html</t>
  </si>
  <si>
    <t>http://www.te.com/usa-en/product-141025-000.html</t>
  </si>
  <si>
    <t>http://www.te.com/usa-en/product-616801-000.html</t>
  </si>
  <si>
    <t>http://www.te.com/usa-en/product-C64281-000.html</t>
  </si>
  <si>
    <t>http://www.te.com/usa-en/product-907379-000.html</t>
  </si>
  <si>
    <t>http://www.te.com/usa-en/product-483721-000.html</t>
  </si>
  <si>
    <t>http://www.te.com/usa-en/product-694289-000.html</t>
  </si>
  <si>
    <t>http://www.te.com/usa-en/product-975021-000.html</t>
  </si>
  <si>
    <t>http://www.te.com/usa-en/product-954741-000.html</t>
  </si>
  <si>
    <t>http://www.te.com/usa-en/product-092601-000.html</t>
  </si>
  <si>
    <t>http://www.te.com/usa-en/product-458341-000.html</t>
  </si>
  <si>
    <t>http://www.te.com/usa-en/product-974893-000.html</t>
  </si>
  <si>
    <t>http://www.te.com/usa-en/product-840065-000.html</t>
  </si>
  <si>
    <t>http://www.te.com/usa-en/product-119593-000.html</t>
  </si>
  <si>
    <t>http://www.te.com/usa-en/product-494701-000.html</t>
  </si>
  <si>
    <t>http://www.te.com/usa-en/product-385793-000.html</t>
  </si>
  <si>
    <t>http://www.te.com/usa-en/product-289089-000.html</t>
  </si>
  <si>
    <t>http://www.te.com/usa-en/product-426328-000.html</t>
  </si>
  <si>
    <t>http://www.te.com/usa-en/product-113268-000.html</t>
  </si>
  <si>
    <t>http://www.te.com/usa-en/product-408550-000.html</t>
  </si>
  <si>
    <t>http://www.te.com/usa-en/product-519108-000.html</t>
  </si>
  <si>
    <t>http://www.te.com/usa-en/product-A80105-000.html</t>
  </si>
  <si>
    <t>http://www.te.com/usa-en/product-607090-000.html</t>
  </si>
  <si>
    <t>http://www.te.com/usa-en/product-F33238-000.html</t>
  </si>
  <si>
    <t>http://www.te.com/usa-en/product-CS9432-000.html</t>
  </si>
  <si>
    <t>http://www.te.com/usa-en/product-1099898-1.html</t>
  </si>
  <si>
    <t>http://www.te.com/usa-en/product-1099898-2.html</t>
  </si>
  <si>
    <t>http://www.te.com/usa-en/product-1099898-4.html</t>
  </si>
  <si>
    <t>http://www.te.com/usa-en/product-1099898-6.html</t>
  </si>
  <si>
    <t>http://www.te.com/usa-en/product-1099898-8.html</t>
  </si>
  <si>
    <t>http://www.te.com/usa-en/product-1099899-1.html</t>
  </si>
  <si>
    <t>http://www.te.com/usa-en/product-1099899-2.html</t>
  </si>
  <si>
    <t>http://www.te.com/usa-en/product-1099899-4.html</t>
  </si>
  <si>
    <t>http://www.te.com/usa-en/product-1099899-6.html</t>
  </si>
  <si>
    <t>http://www.te.com/usa-en/product-1099899-7.html</t>
  </si>
  <si>
    <t>http://www.te.com/usa-en/product-1099899-8.html</t>
  </si>
  <si>
    <t>http://www.te.com/usa-en/product-1099899-9.html</t>
  </si>
  <si>
    <t>http://www.te.com/usa-en/product-1099939-1.html</t>
  </si>
  <si>
    <t>http://www.te.com/usa-en/product-1099939-2.html</t>
  </si>
  <si>
    <t>http://www.te.com/usa-en/product-1099939-3.html</t>
  </si>
  <si>
    <t>http://www.te.com/usa-en/product-1099939-4.html</t>
  </si>
  <si>
    <t>http://www.te.com/usa-en/product-1099939-6.html</t>
  </si>
  <si>
    <t>http://www.te.com/usa-en/product-1099939-7.html</t>
  </si>
  <si>
    <t>http://www.te.com/usa-en/product-1099939-8.html</t>
  </si>
  <si>
    <t>http://www.te.com/usa-en/product-1099939-9.html</t>
  </si>
  <si>
    <t>http://www.te.com/usa-en/product-1443402-1.html</t>
  </si>
  <si>
    <t>http://www.te.com/usa-en/product-1443402-2.html</t>
  </si>
  <si>
    <t>http://www.te.com/usa-en/product-1443402-4.html</t>
  </si>
  <si>
    <t>http://www.te.com/usa-en/product-1443402-6.html</t>
  </si>
  <si>
    <t>http://www.te.com/usa-en/product-1443402-7.html</t>
  </si>
  <si>
    <t>http://www.te.com/usa-en/product-1443402-9.html</t>
  </si>
  <si>
    <t>http://www.te.com/usa-en/product-1443403-1.html</t>
  </si>
  <si>
    <t>http://www.te.com/usa-en/product-1443403-4.html</t>
  </si>
  <si>
    <t>http://www.te.com/usa-en/product-1443403-6.html</t>
  </si>
  <si>
    <t>http://www.te.com/usa-en/product-1443403-7.html</t>
  </si>
  <si>
    <t>http://www.te.com/usa-en/product-1443403-8.html</t>
  </si>
  <si>
    <t>http://www.te.com/usa-en/product-1443403-9.html</t>
  </si>
  <si>
    <t>http://www.te.com/usa-en/product-1-1099898-0.html</t>
  </si>
  <si>
    <t>http://www.te.com/usa-en/product-1-1099898-1.html</t>
  </si>
  <si>
    <t>http://www.te.com/usa-en/product-1-1099898-2.html</t>
  </si>
  <si>
    <t>http://www.te.com/usa-en/product-1-1099898-4.html</t>
  </si>
  <si>
    <t>http://www.te.com/usa-en/product-1-1099899-0.html</t>
  </si>
  <si>
    <t>http://www.te.com/usa-en/product-1-1099899-1.html</t>
  </si>
  <si>
    <t>http://www.te.com/usa-en/product-1-1099899-2.html</t>
  </si>
  <si>
    <t>http://www.te.com/usa-en/product-1-1099899-3.html</t>
  </si>
  <si>
    <t>http://www.te.com/usa-en/product-1-1099899-5.html</t>
  </si>
  <si>
    <t>http://www.te.com/usa-en/product-1-1099899-6.html</t>
  </si>
  <si>
    <t>http://www.te.com/usa-en/product-1-1099899-8.html</t>
  </si>
  <si>
    <t>http://www.te.com/usa-en/product-1-1099899-9.html</t>
  </si>
  <si>
    <t>http://www.te.com/usa-en/product-1-1099939-0.html</t>
  </si>
  <si>
    <t>http://www.te.com/usa-en/product-1-1099939-1.html</t>
  </si>
  <si>
    <t>http://www.te.com/usa-en/product-1-1099939-2.html</t>
  </si>
  <si>
    <t>http://www.te.com/usa-en/product-1-1099939-3.html</t>
  </si>
  <si>
    <t>http://www.te.com/usa-en/product-1-1099939-4.html</t>
  </si>
  <si>
    <t>http://www.te.com/usa-en/product-1-1099939-5.html</t>
  </si>
  <si>
    <t>http://www.te.com/usa-en/product-1-1443402-0.html</t>
  </si>
  <si>
    <t>http://www.te.com/usa-en/product-1-1443402-1.html</t>
  </si>
  <si>
    <t>http://www.te.com/usa-en/product-1-1443402-2.html</t>
  </si>
  <si>
    <t>http://www.te.com/usa-en/product-1-1443402-4.html</t>
  </si>
  <si>
    <t>http://www.te.com/usa-en/product-1-1443402-6.html</t>
  </si>
  <si>
    <t>http://www.te.com/usa-en/product-1-1443403-0.html</t>
  </si>
  <si>
    <t>http://www.te.com/usa-en/product-1-1443403-2.html</t>
  </si>
  <si>
    <t>http://www.te.com/usa-en/product-1-1443403-4.html</t>
  </si>
  <si>
    <t>http://www.te.com/usa-en/product-1-1443403-6.html</t>
  </si>
  <si>
    <t>http://www.te.com/usa-en/product-1-1443403-7.html</t>
  </si>
  <si>
    <t>http://www.te.com/usa-en/product-EE0495-000.html</t>
  </si>
  <si>
    <t>http://www.te.com/usa-en/product-EE0494-000.html</t>
  </si>
  <si>
    <t>http://www.te.com/usa-en/product-EE0492-000.html</t>
  </si>
  <si>
    <t>http://www.te.com/usa-en/product-EE0490-000.html</t>
  </si>
  <si>
    <t>http://www.te.com/usa-en/product-EE0435-000.html</t>
  </si>
  <si>
    <t>http://www.te.com/usa-en/product-EE0434-000.html</t>
  </si>
  <si>
    <t>http://www.te.com/usa-en/product-EE0433-000.html</t>
  </si>
  <si>
    <t>http://www.te.com/usa-en/product-EE0501-000.html</t>
  </si>
  <si>
    <t>http://www.te.com/usa-en/product-EE0498-000.html</t>
  </si>
  <si>
    <t>http://www.te.com/usa-en/product-EE0497-000.html</t>
  </si>
  <si>
    <t>http://www.te.com/usa-en/product-EE0439-000.html</t>
  </si>
  <si>
    <t>http://www.te.com/usa-en/product-EE0438-000.html</t>
  </si>
  <si>
    <t>http://www.te.com/usa-en/product-EE0437-000.html</t>
  </si>
  <si>
    <t>http://www.te.com/usa-en/product-EE0450-000.html</t>
  </si>
  <si>
    <t>http://www.te.com/usa-en/product-EE0447-000.html</t>
  </si>
  <si>
    <t>http://www.te.com/usa-en/product-EE0446-000.html</t>
  </si>
  <si>
    <t>http://www.te.com/usa-en/product-EE0443-000.html</t>
  </si>
  <si>
    <t>http://www.te.com/usa-en/product-EE0461-000.html</t>
  </si>
  <si>
    <t>http://www.te.com/usa-en/product-EE0460-000.html</t>
  </si>
  <si>
    <t>http://www.te.com/usa-en/product-EE0458-000.html</t>
  </si>
  <si>
    <t>http://www.te.com/usa-en/product-EE0455-000.html</t>
  </si>
  <si>
    <t>http://www.te.com/usa-en/product-EE0471-000.html</t>
  </si>
  <si>
    <t>http://www.te.com/usa-en/product-EE0470-000.html</t>
  </si>
  <si>
    <t>http://www.te.com/usa-en/product-EE0468-000.html</t>
  </si>
  <si>
    <t>http://www.te.com/usa-en/product-EE0467-000.html</t>
  </si>
  <si>
    <t>http://www.te.com/usa-en/product-EE0466-000.html</t>
  </si>
  <si>
    <t>http://www.te.com/usa-en/product-EE0478-000.html</t>
  </si>
  <si>
    <t>http://www.te.com/usa-en/product-EE0477-000.html</t>
  </si>
  <si>
    <t>http://www.te.com/usa-en/product-EE0476-000.html</t>
  </si>
  <si>
    <t>http://www.te.com/usa-en/product-EE0475-000.html</t>
  </si>
  <si>
    <t>http://www.te.com/usa-en/product-EE0474-000.html</t>
  </si>
  <si>
    <t>http://www.te.com/usa-en/product-EE0488-000.html</t>
  </si>
  <si>
    <t>http://www.te.com/usa-en/product-EE0487-000.html</t>
  </si>
  <si>
    <t>http://www.te.com/usa-en/product-EE0484-000.html</t>
  </si>
  <si>
    <t>http://www.te.com/usa-en/product-EE0483-000.html</t>
  </si>
  <si>
    <t>http://www.te.com/usa-en/product-EE0482-000.html</t>
  </si>
  <si>
    <t>http://www.te.com/usa-en/product-EE0481-000.html</t>
  </si>
  <si>
    <t>http://www.te.com/usa-en/product-2182383-3.html</t>
  </si>
  <si>
    <t>http://www.te.com/usa-en/product-2182407-5.html</t>
  </si>
  <si>
    <t>http://www.te.com/usa-en/product-2182407-6.html</t>
  </si>
  <si>
    <t>http://www.te.com/usa-en/product-2182383-2.html</t>
  </si>
  <si>
    <t>http://www.te.com/usa-en/product-2182407-3.html</t>
  </si>
  <si>
    <t>http://www.te.com/usa-en/product-2182407-2.html</t>
  </si>
  <si>
    <t>http://www.te.com/usa-en/product-2182383-1.html</t>
  </si>
  <si>
    <t>http://www.te.com/usa-en/product-2182407-1.html</t>
  </si>
  <si>
    <t>http://www.te.com/usa-en/product-2182407-4.html</t>
  </si>
  <si>
    <t>http://www.te.com/usa-en/product-F94049-000.html</t>
  </si>
  <si>
    <t>http://www.te.com/usa-en/product-926302-000.html</t>
  </si>
  <si>
    <t>http://www.te.com/usa-en/product-1099939-5.html</t>
  </si>
  <si>
    <t>http://www.te.com/usa-en/product-A41722-000.html</t>
  </si>
  <si>
    <t>http://www.te.com/usa-en/product-1-1198118-3.html</t>
  </si>
  <si>
    <t>http://www.te.com/usa-en/product-415286-000.html</t>
  </si>
  <si>
    <t>http://www.te.com/usa-en/product-A45254-000.html</t>
  </si>
  <si>
    <t>http://www.te.com/usa-en/product-D72276-000.html</t>
  </si>
  <si>
    <t>http://www.te.com/usa-en/product-A63960-000.html</t>
  </si>
  <si>
    <t>http://www.te.com/usa-en/product-D06758-000.html</t>
  </si>
  <si>
    <t>http://www.te.com/usa-en/product-ED8813-000.html</t>
  </si>
  <si>
    <t>http://www.te.com/usa-en/product-EE3507-000.html</t>
  </si>
  <si>
    <t>http://www.te.com/usa-en/product-EE6133-000.html</t>
  </si>
  <si>
    <t>http://www.te.com/usa-en/product-EE3508-000.html</t>
  </si>
  <si>
    <t>http://www.te.com/usa-en/product-EE3513-000.html</t>
  </si>
  <si>
    <t>http://www.te.com/usa-en/product-EE3511-000.html</t>
  </si>
  <si>
    <t>http://www.te.com/usa-en/product-CY2302-00.html</t>
  </si>
  <si>
    <t>http://www.te.com/usa-en/product-CH8691-000.html</t>
  </si>
  <si>
    <t>http://www.te.com/usa-en/product-CH8692-000.html</t>
  </si>
  <si>
    <t>http://www.te.com/usa-en/product-EE9619-000.html</t>
  </si>
  <si>
    <t>http://www.te.com/usa-en/product-BM9036-000.html</t>
  </si>
  <si>
    <t>http://www.te.com/usa-en/product-EF8402-000.html</t>
  </si>
  <si>
    <t>http://www.te.com/usa-en/product-BM9037-000.html</t>
  </si>
  <si>
    <t>http://www.te.com/usa-en/product-EF3980-000.html</t>
  </si>
  <si>
    <t>http://www.te.com/usa-en/product-EF3981-000.html</t>
  </si>
  <si>
    <t>http://www.te.com/usa-en/product-BM9038-000.html</t>
  </si>
  <si>
    <t>http://www.te.com/usa-en/product-EF8403-000.html</t>
  </si>
  <si>
    <t>http://www.te.com/usa-en/product-EF8404-000.html</t>
  </si>
  <si>
    <t>http://www.te.com/usa-en/product-BM9039-000.html</t>
  </si>
  <si>
    <t>http://www.te.com/usa-en/product-EF8405-000.html</t>
  </si>
  <si>
    <t>http://www.te.com/usa-en/product-EF8406-000.html</t>
  </si>
  <si>
    <t>http://www.te.com/usa-en/product-BM9040-000.html</t>
  </si>
  <si>
    <t>http://www.te.com/usa-en/product-CV8202-000.html</t>
  </si>
  <si>
    <t>http://www.te.com/usa-en/product-BM9041-000.html</t>
  </si>
  <si>
    <t>http://www.te.com/usa-en/product-EF8407-000.html</t>
  </si>
  <si>
    <t>http://www.te.com/usa-en/product-BM4863-000.html</t>
  </si>
  <si>
    <t>http://www.te.com/usa-en/product-EF8408-000.html</t>
  </si>
  <si>
    <t>http://www.te.com/usa-en/product-BM4864-000.html</t>
  </si>
  <si>
    <t>http://www.te.com/usa-en/product-BM9042-000.html</t>
  </si>
  <si>
    <t>http://www.te.com/usa-en/product-BM4872-000.html</t>
  </si>
  <si>
    <t>http://www.te.com/usa-en/product-EF8409-000.html</t>
  </si>
  <si>
    <t>http://www.te.com/usa-en/product-BM4873-000.html</t>
  </si>
  <si>
    <t>http://www.te.com/usa-en/product-EF8410-000.html</t>
  </si>
  <si>
    <t>http://www.te.com/usa-en/product-BM4879-000.html</t>
  </si>
  <si>
    <t>http://www.te.com/usa-en/product-BM4880-000.html</t>
  </si>
  <si>
    <t>http://www.te.com/usa-en/product-CU7208-000.html</t>
  </si>
  <si>
    <t>http://www.te.com/usa-en/product-5-276337-7.html</t>
  </si>
  <si>
    <t>602089-3</t>
  </si>
  <si>
    <t>AMPACT LUG 4/0 CU</t>
  </si>
  <si>
    <t>Returnable (Subject to Approval)</t>
  </si>
  <si>
    <t>775 x 8 x 3.25</t>
  </si>
  <si>
    <t>17.78 x 15.24 x 15.24</t>
  </si>
  <si>
    <t>54 x 6.3 x 6.3</t>
  </si>
  <si>
    <t>FH-AD-3341-47-PS-BURN1.5</t>
  </si>
  <si>
    <t>ASBS 2-40-U</t>
  </si>
  <si>
    <t>FILM-29KV-200A-XSY</t>
  </si>
  <si>
    <t>FILM-25KV-200A-SY</t>
  </si>
  <si>
    <t>FILM-25KV-200A-LY</t>
  </si>
  <si>
    <t>ALR-SST-PV-(B-100)</t>
  </si>
  <si>
    <t>ALR-AA-105HA</t>
  </si>
  <si>
    <t>CSBS-300C-750C-SOS</t>
  </si>
  <si>
    <t>ALR-AM-1-A-NB</t>
  </si>
  <si>
    <t>ALR-2090-NPS</t>
  </si>
  <si>
    <t>ALR-BF-120-(B-125)</t>
  </si>
  <si>
    <t>SP-TR216PG</t>
  </si>
  <si>
    <t>ALR-LC-120</t>
  </si>
  <si>
    <t>ALR-AT-15</t>
  </si>
  <si>
    <t>ALR-PT-15</t>
  </si>
  <si>
    <t>ALR-AA-105</t>
  </si>
  <si>
    <t>ALR-AA-105M</t>
  </si>
  <si>
    <t>AMPS-5-0276337-7</t>
  </si>
  <si>
    <t>ALR-AM-2-A</t>
  </si>
  <si>
    <t>EHVS-6921-W</t>
  </si>
  <si>
    <t>ALR-BF-120</t>
  </si>
  <si>
    <t>ALR-AA-1068W</t>
  </si>
  <si>
    <t>ALR-US-30</t>
  </si>
  <si>
    <t>ALR-SPT-15</t>
  </si>
  <si>
    <t>ALR-BF-PV</t>
  </si>
  <si>
    <t>EHVS-6920-W</t>
  </si>
  <si>
    <t>EHVS-6923-W</t>
  </si>
  <si>
    <t>ALR-AA-105W</t>
  </si>
  <si>
    <t>ALR-2060-NPS</t>
  </si>
  <si>
    <t>CCT38-50-PL-M12</t>
  </si>
  <si>
    <t>CCT38-50-SN-M12</t>
  </si>
  <si>
    <t>CCT50-60-PL-M12</t>
  </si>
  <si>
    <t>CCT50-60-SN-M12</t>
  </si>
  <si>
    <t>CPGI-GELWRAP-18/4-200ULL</t>
  </si>
  <si>
    <t>CPGI-569661-1-K-K</t>
  </si>
  <si>
    <t>CPGI-WC-PG-6-PORT-CL-5</t>
  </si>
  <si>
    <t>CSBS-2/0-500 CPR</t>
  </si>
  <si>
    <t>CSJA-3-1523M3</t>
  </si>
  <si>
    <t>ELB-600-CES-GRD-1</t>
  </si>
  <si>
    <t>ELB-600-CES-GRD-3</t>
  </si>
  <si>
    <t>ELB-600-CES-GRD-2</t>
  </si>
  <si>
    <t>CSBS 2/0C-500C</t>
  </si>
  <si>
    <t>AMPS-0-1443455-2</t>
  </si>
  <si>
    <t>ELB-15/28-600-CA-B(B10)</t>
  </si>
  <si>
    <t>ELB-15/28-600-CA-C(B10)</t>
  </si>
  <si>
    <t>ELB-15/28-600-CA-D(B10)</t>
  </si>
  <si>
    <t>ELB-15/28-600-CA-E(B10)</t>
  </si>
  <si>
    <t>ELB-15/28-600-CA-F(B10)</t>
  </si>
  <si>
    <t>ELB-15/28-600-CA-H(B10)</t>
  </si>
  <si>
    <t>ELB-600-35-AL-STUD(B50)</t>
  </si>
  <si>
    <t>ELB-900-35-CU-STUD(B50)</t>
  </si>
  <si>
    <t>ELB-600-CONN-AL-1(B10)</t>
  </si>
  <si>
    <t>ELB-600-CONN-AL-1/0(B10)</t>
  </si>
  <si>
    <t>ELB-600-CONN-AL-2(B10)</t>
  </si>
  <si>
    <t>ELB-600-CONN-AL-3/0(B10)</t>
  </si>
  <si>
    <t>ELB-600-CONN-AL-300(B10)</t>
  </si>
  <si>
    <t>ELB-600-CONN-AL-4/0(B10)</t>
  </si>
  <si>
    <t>ELB-600-CONN-AL-400(B10)</t>
  </si>
  <si>
    <t>ELB-600-CONN-AL-650(B10)</t>
  </si>
  <si>
    <t>SP-TR308PG</t>
  </si>
  <si>
    <t>ELB-15-200-BI</t>
  </si>
  <si>
    <t>ELB-15/28-200-LRTP15</t>
  </si>
  <si>
    <t>KG</t>
  </si>
  <si>
    <t>LB</t>
  </si>
  <si>
    <t>FG1739-000</t>
  </si>
  <si>
    <t>BCAC-G-CUTOUT-FT-P (B3)</t>
  </si>
  <si>
    <t>CP1874-000</t>
  </si>
  <si>
    <t>BRKT-4-SS-SPCL</t>
  </si>
  <si>
    <t>EE3639-000</t>
  </si>
  <si>
    <t>CATJ-1581M0</t>
  </si>
  <si>
    <t>CU3258-000</t>
  </si>
  <si>
    <t>CATJ-1582M1</t>
  </si>
  <si>
    <t>CU3259-000</t>
  </si>
  <si>
    <t>CATJ-1583M2</t>
  </si>
  <si>
    <t>EE0422-000</t>
  </si>
  <si>
    <t>FG1572-000</t>
  </si>
  <si>
    <t>CATJ-T-1581M5</t>
  </si>
  <si>
    <t>EE0424-000</t>
  </si>
  <si>
    <t>CATJ-T-1582M1</t>
  </si>
  <si>
    <t>EE0426-000</t>
  </si>
  <si>
    <t>CATJ-T-1583M2</t>
  </si>
  <si>
    <t>CX3927-000</t>
  </si>
  <si>
    <t>CATJ-T-1583M6</t>
  </si>
  <si>
    <t>CR0374-000</t>
  </si>
  <si>
    <t>CATJ-T-2883M2</t>
  </si>
  <si>
    <t>FG1624-000</t>
  </si>
  <si>
    <t>CSJA-1524M3</t>
  </si>
  <si>
    <t>CR7668-000</t>
  </si>
  <si>
    <t>MR</t>
  </si>
  <si>
    <t>FG1884-000</t>
  </si>
  <si>
    <t>ELB-15-210C30</t>
  </si>
  <si>
    <t>FG1888-000</t>
  </si>
  <si>
    <t>ELB-15-210C30-ES</t>
  </si>
  <si>
    <t>139905-000</t>
  </si>
  <si>
    <t>HVS-3-2523S</t>
  </si>
  <si>
    <t>ED5500-000</t>
  </si>
  <si>
    <t>CS6052-000</t>
  </si>
  <si>
    <t>RBDP-BLA-10D104U</t>
  </si>
  <si>
    <t>199960-000</t>
  </si>
  <si>
    <t>SP-TR202PG</t>
  </si>
  <si>
    <t>EE3506-000</t>
  </si>
  <si>
    <t>SP-TR288PG</t>
  </si>
  <si>
    <t>EH8455-000</t>
  </si>
  <si>
    <t>CSTO-152G</t>
  </si>
  <si>
    <t>40.64 x 10.16 x 10.16</t>
  </si>
  <si>
    <t>EH8273-000</t>
  </si>
  <si>
    <t>CSTO-152J</t>
  </si>
  <si>
    <t>EH8456-000</t>
  </si>
  <si>
    <t>CSTO-153G</t>
  </si>
  <si>
    <t>EH8274-000</t>
  </si>
  <si>
    <t>CSTO-153J</t>
  </si>
  <si>
    <t>EH8457-000</t>
  </si>
  <si>
    <t>CSTO-154G</t>
  </si>
  <si>
    <t>EH8275-000</t>
  </si>
  <si>
    <t>CSTO-154J</t>
  </si>
  <si>
    <t>EH8276-000</t>
  </si>
  <si>
    <t>CSTO-282G</t>
  </si>
  <si>
    <t>EH7831-000</t>
  </si>
  <si>
    <t>CSTO-282J</t>
  </si>
  <si>
    <t>EH8277-000</t>
  </si>
  <si>
    <t>CSTO-283G</t>
  </si>
  <si>
    <t>EH7832-000</t>
  </si>
  <si>
    <t>CSTO-283J</t>
  </si>
  <si>
    <t>EH8278-000</t>
  </si>
  <si>
    <t>CSTO-284G</t>
  </si>
  <si>
    <t>EH7833-000</t>
  </si>
  <si>
    <t>CSTO-284J</t>
  </si>
  <si>
    <t>C08</t>
  </si>
  <si>
    <t>C09</t>
  </si>
  <si>
    <t>C88</t>
  </si>
  <si>
    <t>E33</t>
  </si>
  <si>
    <t>F14</t>
  </si>
  <si>
    <t>http://www.te.com/usa-en/product-EH8455-000.html</t>
  </si>
  <si>
    <t>http://www.te.com/usa-en/product-EH8273-000.html</t>
  </si>
  <si>
    <t>http://www.te.com/usa-en/product-EH8456-000.html</t>
  </si>
  <si>
    <t>http://www.te.com/usa-en/product-EH8274-000.html</t>
  </si>
  <si>
    <t>http://www.te.com/usa-en/product-EH8457-000.html</t>
  </si>
  <si>
    <t>http://www.te.com/usa-en/product-EH8275-000.html</t>
  </si>
  <si>
    <t>http://www.te.com/usa-en/product-EH8276-000.html</t>
  </si>
  <si>
    <t>http://www.te.com/usa-en/product-EH7831-000.html</t>
  </si>
  <si>
    <t>http://www.te.com/usa-en/product-EH8277-000.html</t>
  </si>
  <si>
    <t>http://www.te.com/usa-en/product-EH7832-000.html</t>
  </si>
  <si>
    <t>http://www.te.com/usa-en/product-EH8278-000.html</t>
  </si>
  <si>
    <t>http://www.te.com/usa-en/product-EH7833-000.html</t>
  </si>
  <si>
    <t>http://www.te.com/usa-en/product-CJ2556-000.html</t>
  </si>
  <si>
    <t>http://www.te.com/usa-en/product-CJ2557-000.html</t>
  </si>
  <si>
    <t>CR8954-000</t>
  </si>
  <si>
    <t>LVT-3-VFD-03</t>
  </si>
  <si>
    <t>045686060276</t>
  </si>
  <si>
    <t>http://www.te.com/usa-en/product-52041-3.html</t>
  </si>
  <si>
    <t>http://www.te.com/usa-en/product-A35484-000.html</t>
  </si>
  <si>
    <t>http://www.te.com/usa-en/product-CA7331-000.html</t>
  </si>
  <si>
    <t>http://www.te.com/usa-en/product-CR0300-000.html</t>
  </si>
  <si>
    <t>http://www.te.com/usa-en/product-CR2100-000.html</t>
  </si>
  <si>
    <t>http://www.te.com/usa-en/product-CR7877-000.html</t>
  </si>
  <si>
    <t>http://www.te.com/usa-en/product-CR7878-000.html</t>
  </si>
  <si>
    <t>http://www.te.com/usa-en/product-CR8954-000.html</t>
  </si>
  <si>
    <t>http://www.te.com/usa-en/product-CR9381-000.html</t>
  </si>
  <si>
    <t>http://www.te.com/usa-en/product-CS6084-000.html</t>
  </si>
  <si>
    <t>http://www.te.com/usa-en/product-CU2304-000.html</t>
  </si>
  <si>
    <t>http://www.te.com/usa-en/product-CX4709-000.html</t>
  </si>
  <si>
    <t>http://www.te.com/usa-en/product-CX4710-000.html</t>
  </si>
  <si>
    <t>http://www.te.com/usa-en/product-CX4711-000.html</t>
  </si>
  <si>
    <t>http://www.te.com/usa-en/product-CX4712-000.html</t>
  </si>
  <si>
    <t>http://www.te.com/usa-en/product-EB0298-000.html</t>
  </si>
  <si>
    <t>http://www.te.com/usa-en/product-EB8873-000.html</t>
  </si>
  <si>
    <t>http://www.te.com/usa-en/product-EB8877-000.html</t>
  </si>
  <si>
    <t>http://www.te.com/usa-en/product-EB8882-000.html</t>
  </si>
  <si>
    <t>http://www.te.com/usa-en/product-EB8883-000.html</t>
  </si>
  <si>
    <t>http://www.te.com/usa-en/product-EB8884-000.html</t>
  </si>
  <si>
    <t>http://www.te.com/usa-en/product-EB8885-000.html</t>
  </si>
  <si>
    <t>http://www.te.com/usa-en/product-EB8888-000.html</t>
  </si>
  <si>
    <t>http://www.te.com/usa-en/product-EB8889-000.html</t>
  </si>
  <si>
    <t>http://www.te.com/usa-en/product-EB8893-000.html</t>
  </si>
  <si>
    <t>http://www.te.com/usa-en/product-EB8894-000.html</t>
  </si>
  <si>
    <t>http://www.te.com/usa-en/product-EB8903-000.html</t>
  </si>
  <si>
    <t>http://www.te.com/usa-en/product-EB8904-000.html</t>
  </si>
  <si>
    <t>http://www.te.com/usa-en/product-EB8906-000.html</t>
  </si>
  <si>
    <t>http://www.te.com/usa-en/product-EB8908-000.html</t>
  </si>
  <si>
    <t>http://www.te.com/usa-en/product-EB8909-000.html</t>
  </si>
  <si>
    <t>5-276337-7</t>
  </si>
  <si>
    <t/>
  </si>
  <si>
    <t>PM</t>
  </si>
  <si>
    <t>IN</t>
  </si>
  <si>
    <t>G</t>
  </si>
  <si>
    <t>A27</t>
  </si>
  <si>
    <t>Z72</t>
  </si>
  <si>
    <t>B82</t>
  </si>
  <si>
    <t>031901-000</t>
  </si>
  <si>
    <t>HVS-3-1591S</t>
  </si>
  <si>
    <t>059261-000</t>
  </si>
  <si>
    <t>HVS-1524S</t>
  </si>
  <si>
    <t>2182448-1</t>
  </si>
  <si>
    <t>2182448-2</t>
  </si>
  <si>
    <t>2182448-3</t>
  </si>
  <si>
    <t>2182448-4</t>
  </si>
  <si>
    <t>2182448-5</t>
  </si>
  <si>
    <t>2182448-6</t>
  </si>
  <si>
    <t>379253-000</t>
  </si>
  <si>
    <t>HVS-3-1592S</t>
  </si>
  <si>
    <t>Lb</t>
  </si>
  <si>
    <t>BM3146-000</t>
  </si>
  <si>
    <t>RRGS-G-100/400(B3)</t>
  </si>
  <si>
    <t>K93</t>
  </si>
  <si>
    <t>JA2</t>
  </si>
  <si>
    <t>BM9623-000</t>
  </si>
  <si>
    <t>BCAC-G-ARM-01(B12)</t>
  </si>
  <si>
    <t>CJ8850-000</t>
  </si>
  <si>
    <t>CL0772-000</t>
  </si>
  <si>
    <t>CJ-350-7W7W-CU-FT-B1</t>
  </si>
  <si>
    <t>CM7733-000</t>
  </si>
  <si>
    <t>CSJ-EG-4</t>
  </si>
  <si>
    <t>CM7934-000</t>
  </si>
  <si>
    <t>CSJG-3515</t>
  </si>
  <si>
    <t>CP1101-000</t>
  </si>
  <si>
    <t>OHVT-BP-ADAPTER-KIT</t>
  </si>
  <si>
    <t>G11</t>
  </si>
  <si>
    <t>CR1294-000</t>
  </si>
  <si>
    <t>AMPS-0-1710724-1</t>
  </si>
  <si>
    <t>CR8503-000</t>
  </si>
  <si>
    <t>HVS-C-1513S-RJ-M7</t>
  </si>
  <si>
    <t>CR8952-000</t>
  </si>
  <si>
    <t>CR8953-000</t>
  </si>
  <si>
    <t>CR8956-000</t>
  </si>
  <si>
    <t>LVT-3-VFD-05</t>
  </si>
  <si>
    <t>CR9908-000</t>
  </si>
  <si>
    <t>BCAC-G-4D/13-2(B18)</t>
  </si>
  <si>
    <t>CU2882-000</t>
  </si>
  <si>
    <t>EHVT-694-SG</t>
  </si>
  <si>
    <t>CX3784-000</t>
  </si>
  <si>
    <t>BCIC-G-TR205-L(B3)</t>
  </si>
  <si>
    <t>CX3928-000</t>
  </si>
  <si>
    <t>CATJ-T-1584M3</t>
  </si>
  <si>
    <t>EA4748-000</t>
  </si>
  <si>
    <t>CSJG-1511</t>
  </si>
  <si>
    <t>EA7080-000</t>
  </si>
  <si>
    <t>CSJA-JCN/EG-2813</t>
  </si>
  <si>
    <t>ED0867-000</t>
  </si>
  <si>
    <t>HVT-Z-152-SG-T5</t>
  </si>
  <si>
    <t>ED0871-000</t>
  </si>
  <si>
    <t>HVT-Z-253/353-SG-T8</t>
  </si>
  <si>
    <t>EF8330-000</t>
  </si>
  <si>
    <t>BCIC-ANGLE-4X48(B6)</t>
  </si>
  <si>
    <t>EG2106-000</t>
  </si>
  <si>
    <t>EH2484-000</t>
  </si>
  <si>
    <t>EH8147-000</t>
  </si>
  <si>
    <t>BRKT-3-SS-SPCL</t>
  </si>
  <si>
    <t>EH8148-000</t>
  </si>
  <si>
    <t>BRKT-2-SS-SPCL</t>
  </si>
  <si>
    <t>EH8149-000</t>
  </si>
  <si>
    <t>BRKT-1-SS-SPCL</t>
  </si>
  <si>
    <t>FG1844-000</t>
  </si>
  <si>
    <t>RRGS-100/400(B3)</t>
  </si>
  <si>
    <t>http://www.te.com/usa-en/product-602089-3.html</t>
  </si>
  <si>
    <t>http://www.te.com/usa-en/product-BM3456-000.html</t>
  </si>
  <si>
    <t>http://www.te.com/usa-en/product-BM3453-000.html</t>
  </si>
  <si>
    <t>http://www.te.com/usa-en/product-EB8875-000.html</t>
  </si>
  <si>
    <t>http://www.te.com/usa-en/product-FG1885-000.html</t>
  </si>
  <si>
    <t>http://www.te.com/usa-en/product-D12335-000.html</t>
  </si>
  <si>
    <t>http://www.te.com/usa-en/product-CF9293-000.html</t>
  </si>
  <si>
    <t>http://www.te.com/usa-en/product-517033-000.html</t>
  </si>
  <si>
    <t>045686082315</t>
  </si>
  <si>
    <t>045686082322</t>
  </si>
  <si>
    <t>045686082339</t>
  </si>
  <si>
    <t>045686082346</t>
  </si>
  <si>
    <t>045686082353</t>
  </si>
  <si>
    <t>045686082360</t>
  </si>
  <si>
    <t>045686082377</t>
  </si>
  <si>
    <t>045686082384</t>
  </si>
  <si>
    <t>045686082391</t>
  </si>
  <si>
    <t>045686082407</t>
  </si>
  <si>
    <t>045686082414</t>
  </si>
  <si>
    <t>045686082421</t>
  </si>
  <si>
    <t>045686058709</t>
  </si>
  <si>
    <t>http://www.te.com/usa-en/product-EA4748-000.html</t>
  </si>
  <si>
    <t>045686049974</t>
  </si>
  <si>
    <t>045686082445</t>
  </si>
  <si>
    <t>045686082438</t>
  </si>
  <si>
    <t>38.1 x 1.52 x 1.52</t>
  </si>
  <si>
    <t>38.1 x 2.29 x 2.29</t>
  </si>
  <si>
    <t>38.1 x 2.54 x 2.54</t>
  </si>
  <si>
    <t>http://www.te.com/usa-en/product-2182448-1.html</t>
  </si>
  <si>
    <t>http://www.te.com/usa-en/product-2182448-2.html</t>
  </si>
  <si>
    <t>http://www.te.com/usa-en/product-2182448-3.html</t>
  </si>
  <si>
    <t>http://www.te.com/usa-en/product-2182448-4.html</t>
  </si>
  <si>
    <t>http://www.te.com/usa-en/product-2182448-5.html</t>
  </si>
  <si>
    <t>http://www.te.com/usa-en/product-2182448-6.html</t>
  </si>
  <si>
    <t>045686082995</t>
  </si>
  <si>
    <t>045686083008</t>
  </si>
  <si>
    <t>045686083015</t>
  </si>
  <si>
    <t>045686083022</t>
  </si>
  <si>
    <t>045686083039</t>
  </si>
  <si>
    <t>045686083046</t>
  </si>
  <si>
    <t>EJ0441-000</t>
  </si>
  <si>
    <t>EJ0443-000</t>
  </si>
  <si>
    <t>EJ0444-000</t>
  </si>
  <si>
    <t>EJ0446-000</t>
  </si>
  <si>
    <t>EJ0447-000</t>
  </si>
  <si>
    <t>EJ0781-000</t>
  </si>
  <si>
    <t>EJ0784-000</t>
  </si>
  <si>
    <t>EJ0788-000</t>
  </si>
  <si>
    <t>EJ0792-000</t>
  </si>
  <si>
    <t>EJ0797-000</t>
  </si>
  <si>
    <t>EJ0798-000</t>
  </si>
  <si>
    <t>EJ0799-000</t>
  </si>
  <si>
    <t>EJ0800-000</t>
  </si>
  <si>
    <t>EJ0801-000</t>
  </si>
  <si>
    <t>EJ0802-000</t>
  </si>
  <si>
    <t>EJ0805-000</t>
  </si>
  <si>
    <t>EJ0807-000</t>
  </si>
  <si>
    <t>EJ0808-000</t>
  </si>
  <si>
    <t>EJ0809-000</t>
  </si>
  <si>
    <t>EJ0813-000</t>
  </si>
  <si>
    <t>EJ0814-000</t>
  </si>
  <si>
    <t>EJ0815-000</t>
  </si>
  <si>
    <t>CSTO-152J-CP0</t>
  </si>
  <si>
    <t>CSTO-152J-CP2</t>
  </si>
  <si>
    <t>CSTO-152J-CP3</t>
  </si>
  <si>
    <t>CSTO-152J-CP5</t>
  </si>
  <si>
    <t>CSTO-152J-CP4</t>
  </si>
  <si>
    <t>CSTO-283J-CP4</t>
  </si>
  <si>
    <t>CSTO-283J-CP5</t>
  </si>
  <si>
    <t>CSTO-152G-CL0</t>
  </si>
  <si>
    <t>CSTO-152G-CL2</t>
  </si>
  <si>
    <t>CSTO-152G-CL3</t>
  </si>
  <si>
    <t>CSTO-152G-CL4</t>
  </si>
  <si>
    <t>CSTO-152G-CL5</t>
  </si>
  <si>
    <t>CSTO-153G-CL6</t>
  </si>
  <si>
    <t>CSTO-153G-CL7</t>
  </si>
  <si>
    <t>CSTO-154G-CL8</t>
  </si>
  <si>
    <t>CSTO-154G-CL9</t>
  </si>
  <si>
    <t>CSTO-282G-CL1</t>
  </si>
  <si>
    <t>CSTO-282G-CL3</t>
  </si>
  <si>
    <t>CSTO-282G-CL2</t>
  </si>
  <si>
    <t>CSTO-284G-CL7</t>
  </si>
  <si>
    <t>CSTO-284G-CL8</t>
  </si>
  <si>
    <t>CSTO-284G-CL9</t>
  </si>
  <si>
    <t>http://www.te.com/usa-en/product-EJ0441-000.html</t>
  </si>
  <si>
    <t>http://www.te.com/usa-en/product-EJ0443-000.html</t>
  </si>
  <si>
    <t>http://www.te.com/usa-en/product-EJ0444-000.html</t>
  </si>
  <si>
    <t>http://www.te.com/usa-en/product-EJ0446-000.html</t>
  </si>
  <si>
    <t>http://www.te.com/usa-en/product-EJ0447-000.html</t>
  </si>
  <si>
    <t>http://www.te.com/usa-en/product-EJ0781-000.html</t>
  </si>
  <si>
    <t>http://www.te.com/usa-en/product-EJ0784-000.html</t>
  </si>
  <si>
    <t>http://www.te.com/usa-en/product-EJ0788-000.html</t>
  </si>
  <si>
    <t>http://www.te.com/usa-en/product-EJ0792-000.html</t>
  </si>
  <si>
    <t>http://www.te.com/usa-en/product-EJ0797-000.html</t>
  </si>
  <si>
    <t>http://www.te.com/usa-en/product-EJ0798-000.html</t>
  </si>
  <si>
    <t>http://www.te.com/usa-en/product-EJ0799-000.html</t>
  </si>
  <si>
    <t>http://www.te.com/usa-en/product-EJ0800-000.html</t>
  </si>
  <si>
    <t>http://www.te.com/usa-en/product-EJ0801-000.html</t>
  </si>
  <si>
    <t>http://www.te.com/usa-en/product-EJ0802-000.html</t>
  </si>
  <si>
    <t>http://www.te.com/usa-en/product-EJ0805-000.html</t>
  </si>
  <si>
    <t>http://www.te.com/usa-en/product-EJ0807-000.html</t>
  </si>
  <si>
    <t>http://www.te.com/usa-en/product-EJ0808-000.html</t>
  </si>
  <si>
    <t>http://www.te.com/usa-en/product-EJ0809-000.html</t>
  </si>
  <si>
    <t>http://www.te.com/usa-en/product-EJ0813-000.html</t>
  </si>
  <si>
    <t>http://www.te.com/usa-en/product-EJ0814-000.html</t>
  </si>
  <si>
    <t>http://www.te.com/usa-en/product-EJ0815-000.html</t>
  </si>
  <si>
    <t>http://www.te.com/usa-en/product-CU2882-000.html</t>
  </si>
  <si>
    <t>RAYCHEM, AMPACT, ALR, &amp; Commercial Products</t>
  </si>
  <si>
    <t>045686083053</t>
  </si>
  <si>
    <t>E4540-1250/2(B25)</t>
  </si>
  <si>
    <t>http://www.te.com/usa-en/product-EG2106-000.html</t>
  </si>
  <si>
    <t>045686083077</t>
  </si>
  <si>
    <t>045686083084</t>
  </si>
  <si>
    <t>045686083091</t>
  </si>
  <si>
    <t>045686083107</t>
  </si>
  <si>
    <t>045686083114</t>
  </si>
  <si>
    <t>045686083121</t>
  </si>
  <si>
    <t>045686083138</t>
  </si>
  <si>
    <t>045686083145</t>
  </si>
  <si>
    <t>045686083152</t>
  </si>
  <si>
    <t>045686083169</t>
  </si>
  <si>
    <t>045686083176</t>
  </si>
  <si>
    <t>045686083183</t>
  </si>
  <si>
    <t>045686083190</t>
  </si>
  <si>
    <t>045686083206</t>
  </si>
  <si>
    <t>045686083213</t>
  </si>
  <si>
    <t>045686083220</t>
  </si>
  <si>
    <t>045686083237</t>
  </si>
  <si>
    <t>045686083244</t>
  </si>
  <si>
    <t>045686083251</t>
  </si>
  <si>
    <t>045686083268</t>
  </si>
  <si>
    <t>045686083275</t>
  </si>
  <si>
    <t>045686083060</t>
  </si>
  <si>
    <t>045686083282</t>
  </si>
  <si>
    <t>045686076734</t>
  </si>
  <si>
    <t>http://www.te.com/usa-en/product-CX3784-000.html</t>
  </si>
  <si>
    <t>25.4 x 25.4 x 25.4</t>
  </si>
  <si>
    <t>http://www.te.com/usa-en/product-BM9623-000.html</t>
  </si>
  <si>
    <t>http://www.te.com/usa-en/product-EK0649-000.html</t>
  </si>
  <si>
    <t>http://www.te.com/usa-en/product-EK0650-000.html</t>
  </si>
  <si>
    <t>http://www.te.com/usa-en/product-EK4276-000.html</t>
  </si>
  <si>
    <t>BCIC-GT-HZ(B6)</t>
  </si>
  <si>
    <t>BCIC-GT-PIN/CT(B6)</t>
  </si>
  <si>
    <t>BCIC-GT-PIN(B6)</t>
  </si>
  <si>
    <t>045686083336</t>
  </si>
  <si>
    <t>045686083343</t>
  </si>
  <si>
    <t>045686083350</t>
  </si>
  <si>
    <t>045686083367</t>
  </si>
  <si>
    <t>EJ0448-000</t>
  </si>
  <si>
    <t>EJ0449-000</t>
  </si>
  <si>
    <t>EJ0450-000</t>
  </si>
  <si>
    <t>EJ0480-000</t>
  </si>
  <si>
    <t>EJ0810-000</t>
  </si>
  <si>
    <t>EJ0811-000</t>
  </si>
  <si>
    <t>EK0649-000</t>
  </si>
  <si>
    <t>EK0650-000</t>
  </si>
  <si>
    <t>EK3128-000</t>
  </si>
  <si>
    <t>EK3280-000</t>
  </si>
  <si>
    <t>EK3685-000</t>
  </si>
  <si>
    <t>EK3688-000</t>
  </si>
  <si>
    <t>EK3691-000</t>
  </si>
  <si>
    <t>EK3692-000</t>
  </si>
  <si>
    <t>EK3693-000</t>
  </si>
  <si>
    <t>EK3694-000</t>
  </si>
  <si>
    <t>EK3695-000</t>
  </si>
  <si>
    <t>EK3696-000</t>
  </si>
  <si>
    <t>EK4276-000</t>
  </si>
  <si>
    <t>EK4346-000</t>
  </si>
  <si>
    <t>EK4987-000</t>
  </si>
  <si>
    <t>EK4991-000</t>
  </si>
  <si>
    <t>EK4992-000</t>
  </si>
  <si>
    <t>EK4993-000</t>
  </si>
  <si>
    <t>EK4994-000</t>
  </si>
  <si>
    <t>EK5185-000</t>
  </si>
  <si>
    <t>EK7014-000</t>
  </si>
  <si>
    <t>EK7015-000</t>
  </si>
  <si>
    <t>EK7016-000</t>
  </si>
  <si>
    <t>EK7017-000</t>
  </si>
  <si>
    <t>EK7018-000</t>
  </si>
  <si>
    <t>EK7020-000</t>
  </si>
  <si>
    <t>EK7021-000</t>
  </si>
  <si>
    <t>EK7022-000</t>
  </si>
  <si>
    <t>EK7023-000</t>
  </si>
  <si>
    <t>EK7024-000</t>
  </si>
  <si>
    <t>EK7026-000</t>
  </si>
  <si>
    <t>EK7027-000</t>
  </si>
  <si>
    <t>EK7029-000</t>
  </si>
  <si>
    <t>EK7121-000</t>
  </si>
  <si>
    <t>EK7124-000</t>
  </si>
  <si>
    <t>EK7131-000</t>
  </si>
  <si>
    <t>EK7132-000</t>
  </si>
  <si>
    <t>EK7226-000</t>
  </si>
  <si>
    <t>EK7228-000</t>
  </si>
  <si>
    <t>CSTO-282J-CP0</t>
  </si>
  <si>
    <t>CSTO-282J-CP1</t>
  </si>
  <si>
    <t>CSTO-282J-CP2</t>
  </si>
  <si>
    <t>CSTO-282J-CP3</t>
  </si>
  <si>
    <t>CSTO-283G-CL4</t>
  </si>
  <si>
    <t>CSTO-283G-CL5</t>
  </si>
  <si>
    <t>CSTO-152J-CP2-B1</t>
  </si>
  <si>
    <t>CSTI-153G</t>
  </si>
  <si>
    <t>MOD-3B-CSTI</t>
  </si>
  <si>
    <t>MOD-3C-CSTI</t>
  </si>
  <si>
    <t>MOD-3D-CSTI</t>
  </si>
  <si>
    <t>MOD-3E-CSTI</t>
  </si>
  <si>
    <t>MOD-3C-CSTO</t>
  </si>
  <si>
    <t>MOD-3E-CSTO</t>
  </si>
  <si>
    <t>MOD-3B-CSTO</t>
  </si>
  <si>
    <t>MOD-3D-CSTO</t>
  </si>
  <si>
    <t>CSTI-152G</t>
  </si>
  <si>
    <t>CSTO-152HGC</t>
  </si>
  <si>
    <t>CSTO-153HCG</t>
  </si>
  <si>
    <t>CSTO-154HCG</t>
  </si>
  <si>
    <t>CSTO-283HCG</t>
  </si>
  <si>
    <t>CSTO-284HCG</t>
  </si>
  <si>
    <t>CSTO-282HCG</t>
  </si>
  <si>
    <t>CSTI-154G</t>
  </si>
  <si>
    <t>CSTI-152J</t>
  </si>
  <si>
    <t>CSTI-153J</t>
  </si>
  <si>
    <t>CSTI-154J</t>
  </si>
  <si>
    <t>CSTI-282G</t>
  </si>
  <si>
    <t>CSTI-283G</t>
  </si>
  <si>
    <t>CSTI-284G</t>
  </si>
  <si>
    <t>CSTI-282J</t>
  </si>
  <si>
    <t>CSTI-283J</t>
  </si>
  <si>
    <t>CSTI-284J</t>
  </si>
  <si>
    <t>CSTIL-154G</t>
  </si>
  <si>
    <t>CSTOL-154G</t>
  </si>
  <si>
    <t>CSTOL-284G</t>
  </si>
  <si>
    <t>CSTIL-284G</t>
  </si>
  <si>
    <t>CSTIL-154J</t>
  </si>
  <si>
    <t>CSTIL-284J</t>
  </si>
  <si>
    <t>CSTOL-153G</t>
  </si>
  <si>
    <t>CSTOL-154J</t>
  </si>
  <si>
    <t>CSTOL-284J</t>
  </si>
  <si>
    <t>045686038756</t>
  </si>
  <si>
    <t>045686038299</t>
  </si>
  <si>
    <t>045686038831</t>
  </si>
  <si>
    <t>045686038770</t>
  </si>
  <si>
    <t>045686056859</t>
  </si>
  <si>
    <t>045686059164</t>
  </si>
  <si>
    <t>045686071296</t>
  </si>
  <si>
    <t>045686060146</t>
  </si>
  <si>
    <t>045686044009</t>
  </si>
  <si>
    <t>045686050109</t>
  </si>
  <si>
    <t>045686050284</t>
  </si>
  <si>
    <t>045686083329</t>
  </si>
  <si>
    <t>http://www.te.com/usa-en/product-059261-000.html</t>
  </si>
  <si>
    <t>http://www.te.com/usa-en/product-139905-000.html</t>
  </si>
  <si>
    <t>http://www.te.com/usa-en/product-FG1888-000.html</t>
  </si>
  <si>
    <t>http://www.te.com/usa-en/product-FG1884-000.html</t>
  </si>
  <si>
    <t>http://www.te.com/usa-en/product-EK7228-000.html</t>
  </si>
  <si>
    <t>http://www.te.com/usa-en/product-EK7226-000.html</t>
  </si>
  <si>
    <t>http://www.te.com/usa-en/product-EK7132-000.html</t>
  </si>
  <si>
    <t>http://www.te.com/usa-en/product-EK7131-000.html</t>
  </si>
  <si>
    <t>http://www.te.com/usa-en/product-EK7124-000.html</t>
  </si>
  <si>
    <t>http://www.te.com/usa-en/product-EK7121-000.html</t>
  </si>
  <si>
    <t>http://www.te.com/usa-en/product-EK7029-000.html</t>
  </si>
  <si>
    <t>http://www.te.com/usa-en/product-EK7027-000.html</t>
  </si>
  <si>
    <t>http://www.te.com/usa-en/product-EK7026-000.html</t>
  </si>
  <si>
    <t>http://www.te.com/usa-en/product-EK7024-000.html</t>
  </si>
  <si>
    <t>http://www.te.com/usa-en/product-EK7023-000.html</t>
  </si>
  <si>
    <t>http://www.te.com/usa-en/product-EK7022-000.html</t>
  </si>
  <si>
    <t>http://www.te.com/usa-en/product-EK7021-000.html</t>
  </si>
  <si>
    <t>http://www.te.com/usa-en/product-EK7020-000.html</t>
  </si>
  <si>
    <t>http://www.te.com/usa-en/product-EK7018-000.html</t>
  </si>
  <si>
    <t>http://www.te.com/usa-en/product-EK7017-000.html</t>
  </si>
  <si>
    <t>http://www.te.com/usa-en/product-EK7016-000.html</t>
  </si>
  <si>
    <t>http://www.te.com/usa-en/product-EK7015-000.html</t>
  </si>
  <si>
    <t>http://www.te.com/usa-en/product-EK7014-000.html</t>
  </si>
  <si>
    <t>http://www.te.com/usa-en/product-EK5185-000.html</t>
  </si>
  <si>
    <t>http://www.te.com/usa-en/product-EK4994-000.html</t>
  </si>
  <si>
    <t>http://www.te.com/usa-en/product-EK4993-000.html</t>
  </si>
  <si>
    <t>http://www.te.com/usa-en/product-EK4992-000.html</t>
  </si>
  <si>
    <t>http://www.te.com/usa-en/product-EK4991-000.html</t>
  </si>
  <si>
    <t>http://www.te.com/usa-en/product-EK4987-000.html</t>
  </si>
  <si>
    <t>http://www.te.com/usa-en/product-EK4346-000.html</t>
  </si>
  <si>
    <t>http://www.te.com/usa-en/product-EK3696-000.html</t>
  </si>
  <si>
    <t>http://www.te.com/usa-en/product-EK3695-000.html</t>
  </si>
  <si>
    <t>http://www.te.com/usa-en/product-EK3694-000.html</t>
  </si>
  <si>
    <t>http://www.te.com/usa-en/product-EK3693-000.html</t>
  </si>
  <si>
    <t>http://www.te.com/usa-en/product-EK3692-000.html</t>
  </si>
  <si>
    <t>http://www.te.com/usa-en/product-EK3691-000.html</t>
  </si>
  <si>
    <t>http://www.te.com/usa-en/product-EK3688-000.html</t>
  </si>
  <si>
    <t>http://www.te.com/usa-en/product-EK3685-000.html</t>
  </si>
  <si>
    <t>http://www.te.com/usa-en/product-EK3280-000.html</t>
  </si>
  <si>
    <t>http://www.te.com/usa-en/product-EK3128-000.html</t>
  </si>
  <si>
    <t>http://www.te.com/usa-en/product-EJ0811-000.html</t>
  </si>
  <si>
    <t>http://www.te.com/usa-en/product-EJ0810-000.html</t>
  </si>
  <si>
    <t>http://www.te.com/usa-en/product-EJ0480-000.html</t>
  </si>
  <si>
    <t>http://www.te.com/usa-en/product-EJ0450-000.html</t>
  </si>
  <si>
    <t>http://www.te.com/usa-en/product-EJ0449-000.html</t>
  </si>
  <si>
    <t>http://www.te.com/usa-en/product-EJ0448-000.html</t>
  </si>
  <si>
    <t>http://www.te.com/usa-en/product-EH8149-000.html</t>
  </si>
  <si>
    <t>http://www.te.com/usa-en/product-EH8148-000.html</t>
  </si>
  <si>
    <t>http://www.te.com/usa-en/product-EH8147-000.html</t>
  </si>
  <si>
    <t>http://www.te.com/usa-en/product-EF8330-000.html</t>
  </si>
  <si>
    <t>http://www.te.com/usa-en/product-ED0871-000.html</t>
  </si>
  <si>
    <t>http://www.te.com/usa-en/product-ED0867-000.html</t>
  </si>
  <si>
    <t>http://www.te.com/usa-en/product-EA7080-000.html</t>
  </si>
  <si>
    <t>http://www.te.com/usa-en/product-CS6052-000.html</t>
  </si>
  <si>
    <t>http://www.te.com/usa-en/product-CR9908-000.html</t>
  </si>
  <si>
    <t>http://www.te.com/usa-en/product-CR8503-000.html</t>
  </si>
  <si>
    <t>http://www.te.com/usa-en/product-1710724-1.html</t>
  </si>
  <si>
    <t>http://www.te.com/usa-en/product-CP1101-000.html</t>
  </si>
  <si>
    <t>http://www.te.com/usa-en/product-CM7733-000.html</t>
  </si>
  <si>
    <t>http://www.te.com/usa-en/product-379253-000.html</t>
  </si>
  <si>
    <t>602586</t>
  </si>
  <si>
    <t>600468</t>
  </si>
  <si>
    <t>602014</t>
  </si>
  <si>
    <t>602585</t>
  </si>
  <si>
    <t>69611</t>
  </si>
  <si>
    <t>600459</t>
  </si>
  <si>
    <t>602284</t>
  </si>
  <si>
    <t>602121</t>
  </si>
  <si>
    <t>1-2182448-3</t>
  </si>
  <si>
    <t>1-2182448-4</t>
  </si>
  <si>
    <t>1-2182448-5</t>
  </si>
  <si>
    <t>1-2182448-6</t>
  </si>
  <si>
    <t>1-2182448-8</t>
  </si>
  <si>
    <t>602080</t>
  </si>
  <si>
    <t>602136</t>
  </si>
  <si>
    <t>602089</t>
  </si>
  <si>
    <t>602163</t>
  </si>
  <si>
    <t>69612</t>
  </si>
  <si>
    <t>602093</t>
  </si>
  <si>
    <t>602003</t>
  </si>
  <si>
    <t>69816</t>
  </si>
  <si>
    <t>600463</t>
  </si>
  <si>
    <t>602099</t>
  </si>
  <si>
    <t>69883</t>
  </si>
  <si>
    <t>600403</t>
  </si>
  <si>
    <t>600466</t>
  </si>
  <si>
    <t>602201</t>
  </si>
  <si>
    <t>602007</t>
  </si>
  <si>
    <t>600455</t>
  </si>
  <si>
    <t>69684</t>
  </si>
  <si>
    <t>602107</t>
  </si>
  <si>
    <t>69674</t>
  </si>
  <si>
    <t>602143</t>
  </si>
  <si>
    <t>602002</t>
  </si>
  <si>
    <t>602115</t>
  </si>
  <si>
    <t>602061</t>
  </si>
  <si>
    <t>600411</t>
  </si>
  <si>
    <t>602237</t>
  </si>
  <si>
    <t>602285</t>
  </si>
  <si>
    <t>602174</t>
  </si>
  <si>
    <t>602047</t>
  </si>
  <si>
    <t>602286</t>
  </si>
  <si>
    <t>602097</t>
  </si>
  <si>
    <t>602001</t>
  </si>
  <si>
    <t>602380</t>
  </si>
  <si>
    <t>600464</t>
  </si>
  <si>
    <t>69437</t>
  </si>
  <si>
    <t>600447</t>
  </si>
  <si>
    <t>602142</t>
  </si>
  <si>
    <t>602173</t>
  </si>
  <si>
    <t>602178</t>
  </si>
  <si>
    <t>602104</t>
  </si>
  <si>
    <t>602287</t>
  </si>
  <si>
    <t>602000</t>
  </si>
  <si>
    <t>600446</t>
  </si>
  <si>
    <t>602006</t>
  </si>
  <si>
    <t>602013</t>
  </si>
  <si>
    <t>602502</t>
  </si>
  <si>
    <t>602162</t>
  </si>
  <si>
    <t>600469</t>
  </si>
  <si>
    <t>602300</t>
  </si>
  <si>
    <t>69847</t>
  </si>
  <si>
    <t>69947</t>
  </si>
  <si>
    <t>600456</t>
  </si>
  <si>
    <t>602247</t>
  </si>
  <si>
    <t>600448</t>
  </si>
  <si>
    <t>600465</t>
  </si>
  <si>
    <t>600458</t>
  </si>
  <si>
    <t>602004</t>
  </si>
  <si>
    <t>602180</t>
  </si>
  <si>
    <t>602248</t>
  </si>
  <si>
    <t>602283</t>
  </si>
  <si>
    <t>69900</t>
  </si>
  <si>
    <t>600474</t>
  </si>
  <si>
    <t>1710724-1</t>
  </si>
  <si>
    <t>EK3389-000</t>
  </si>
  <si>
    <t>BCIC-13D/19(B3)</t>
  </si>
  <si>
    <t>EK5638-000</t>
  </si>
  <si>
    <t>BCIC-GT-PIN-XL(B6)</t>
  </si>
  <si>
    <t>EK5867-000</t>
  </si>
  <si>
    <t>EK5868-000</t>
  </si>
  <si>
    <t>CSTO-152J-CP1-B1</t>
  </si>
  <si>
    <t>CSTO-282J-CP1-B1</t>
  </si>
  <si>
    <t>Ship WEIGHT (UOM)</t>
  </si>
  <si>
    <t>Ship WEIGHT</t>
  </si>
  <si>
    <t>9 x 9 x 6.5</t>
  </si>
  <si>
    <t>7 x 10 x 5</t>
  </si>
  <si>
    <t>58.42 x 58.42 x 30.48</t>
  </si>
  <si>
    <t>0 x 0 x 9</t>
  </si>
  <si>
    <t>142.24 x 25.4 x 25.4</t>
  </si>
  <si>
    <t>55.88 x 55.88 x 45.72</t>
  </si>
  <si>
    <t>48.26 x 17.78 x 20.32</t>
  </si>
  <si>
    <t>76.2 x 22.86 x 25.4</t>
  </si>
  <si>
    <t>48.26 x 11.43 x 11.43</t>
  </si>
  <si>
    <t>25 x 22 x 25</t>
  </si>
  <si>
    <t>77.42 x 54.84 x 24.21</t>
  </si>
  <si>
    <t>BOX DIMS</t>
  </si>
  <si>
    <t>BOX DIMS (UOM)</t>
  </si>
  <si>
    <t>045686083886</t>
  </si>
  <si>
    <t>045686083893</t>
  </si>
  <si>
    <t>045686083909</t>
  </si>
  <si>
    <t>045686083824</t>
  </si>
  <si>
    <t>045686083855</t>
  </si>
  <si>
    <t>045686083848</t>
  </si>
  <si>
    <t>045686083916</t>
  </si>
  <si>
    <t>045686083923</t>
  </si>
  <si>
    <t>045686083930</t>
  </si>
  <si>
    <t>045686083831</t>
  </si>
  <si>
    <t>045686083879</t>
  </si>
  <si>
    <t>045686083862</t>
  </si>
  <si>
    <t>045686083817</t>
  </si>
  <si>
    <t>045686083800</t>
  </si>
  <si>
    <t>045686083794</t>
  </si>
  <si>
    <t>045686083787</t>
  </si>
  <si>
    <t>045686083770</t>
  </si>
  <si>
    <t>045686083763</t>
  </si>
  <si>
    <t>045686083756</t>
  </si>
  <si>
    <t>045686083749</t>
  </si>
  <si>
    <t>045686083732</t>
  </si>
  <si>
    <t>045686083725</t>
  </si>
  <si>
    <t>045686083718</t>
  </si>
  <si>
    <t>045686083701</t>
  </si>
  <si>
    <t>045686083688</t>
  </si>
  <si>
    <t>045686083695</t>
  </si>
  <si>
    <t>045686083671</t>
  </si>
  <si>
    <t>045686083664</t>
  </si>
  <si>
    <t>045686083657</t>
  </si>
  <si>
    <t>045686083640</t>
  </si>
  <si>
    <t>045686083633</t>
  </si>
  <si>
    <t>045686083626</t>
  </si>
  <si>
    <t>045686083619</t>
  </si>
  <si>
    <t>045686083602</t>
  </si>
  <si>
    <t>045686083596</t>
  </si>
  <si>
    <t>045686083589</t>
  </si>
  <si>
    <t>045686083572</t>
  </si>
  <si>
    <t>045686083565</t>
  </si>
  <si>
    <t>045686083558</t>
  </si>
  <si>
    <t>045686083541</t>
  </si>
  <si>
    <t>045686083527</t>
  </si>
  <si>
    <t>045686083510</t>
  </si>
  <si>
    <t>045686083497</t>
  </si>
  <si>
    <t>045686083473</t>
  </si>
  <si>
    <t>045686083459</t>
  </si>
  <si>
    <t>045686083435</t>
  </si>
  <si>
    <t>045686083428</t>
  </si>
  <si>
    <t>045686083404</t>
  </si>
  <si>
    <t>045686083381</t>
  </si>
  <si>
    <t>045686083374</t>
  </si>
  <si>
    <t>http://www.te.com/usa-en/product-BM3146-000.html</t>
  </si>
  <si>
    <t>http://www.te.com/usa-en/product-FG1844-000.html</t>
  </si>
  <si>
    <t>http://www.te.com/usa-en/product-CZ6368-000.html</t>
  </si>
  <si>
    <t>http://www.te.com/usa-en/product-EF5982-000.html</t>
  </si>
  <si>
    <t>http://www.te.com/usa-en/product-FG1538-000.html</t>
  </si>
  <si>
    <t>http://www.te.com/usa-en/product-FG1655-000.html</t>
  </si>
  <si>
    <t>http://www.te.com/usa-en/product-GF1235-000.html</t>
  </si>
  <si>
    <t>http://www.te.com/usa-en/product-GF1236-000.html</t>
  </si>
  <si>
    <t>http://www.te.com/usa-en/product-GF1237-000.html</t>
  </si>
  <si>
    <t>http://www.te.com/usa-en/product-GF1239-000.html</t>
  </si>
  <si>
    <t>http://www.te.com/usa-en/product-GF2221-000.html</t>
  </si>
  <si>
    <t>http://www.te.com/usa-en/product-GF2223-000.html</t>
  </si>
  <si>
    <t>http://www.te.com/usa-en/product-GF2224-000.html</t>
  </si>
  <si>
    <t>http://www.te.com/usa-en/product-GF2225-000.html</t>
  </si>
  <si>
    <t>http://www.te.com/usa-en/product-GF2226-000.html</t>
  </si>
  <si>
    <t>http://www.te.com/usa-en/product-GF2227-000.html</t>
  </si>
  <si>
    <t>http://www.te.com/usa-en/product-GF2229-000.html</t>
  </si>
  <si>
    <t>http://www.te.com/usa-en/search.html?q=CSJD-2824-A3&amp;type=information</t>
  </si>
  <si>
    <t>http://www.te.com/usa-en/search.html?q=CSJD-2824-A2&amp;type=information</t>
  </si>
  <si>
    <t>http://www.te.com/usa-en/search.html?q=CSJD-2823-A2&amp;type=information</t>
  </si>
  <si>
    <t>http://www.te.com/usa-en/search.html?q=CSJD-2823-A1&amp;type=information</t>
  </si>
  <si>
    <t xml:space="preserve">CSJA-3525-EG3 </t>
  </si>
  <si>
    <t>http://www.te.com/usa-en/product-EH2484-000.html</t>
  </si>
  <si>
    <t>045686083947</t>
  </si>
  <si>
    <t>http://www.te.com/usa-en/product-EK5867-000.html</t>
  </si>
  <si>
    <t>045686083954</t>
  </si>
  <si>
    <t>045686059027</t>
  </si>
  <si>
    <t xml:space="preserve">EK3389-000 </t>
  </si>
  <si>
    <t>http://www.te.com/usa-en/product-EK3389-000.html</t>
  </si>
  <si>
    <t>1-2182448-9</t>
  </si>
  <si>
    <t xml:space="preserve">SCP-2-2.5 </t>
  </si>
  <si>
    <t>SCP-2-6 (PIN TERM #2-#1X6 IN)</t>
  </si>
  <si>
    <t>2182448-7</t>
  </si>
  <si>
    <t xml:space="preserve">SCP-2-9 </t>
  </si>
  <si>
    <t>SCP-2-12 (PIN TERM #2-#1 x 12IN L)</t>
  </si>
  <si>
    <t>2-2182448-0</t>
  </si>
  <si>
    <t xml:space="preserve">SCP-1-2.5 </t>
  </si>
  <si>
    <t>SCP-1-6 (PIN TERM #1-1/0X6 IN)</t>
  </si>
  <si>
    <t>2182448-8</t>
  </si>
  <si>
    <t>SCP-1-9</t>
  </si>
  <si>
    <t>SCP-1-12 (PIN TERM #1-1/0 x 12IN L)</t>
  </si>
  <si>
    <t>2-2182448-1</t>
  </si>
  <si>
    <t>SCP-10-2.5</t>
  </si>
  <si>
    <t>SCP-10-6 (PIN TERM 1/0-2/0X6 IN)</t>
  </si>
  <si>
    <t>2182448-9</t>
  </si>
  <si>
    <t xml:space="preserve">SCP-10-9 </t>
  </si>
  <si>
    <t>SCP-10-12 (PIN TERM 1/0-2/0 x12IN L)</t>
  </si>
  <si>
    <t>SCP-20-6 (9U09GEW909250MH 4/0 AWG)</t>
  </si>
  <si>
    <t>1-2182448-0</t>
  </si>
  <si>
    <t>SCP-20-9</t>
  </si>
  <si>
    <t>SCP-20-12 (PIN TERM 2/0-3/0 x12IN L)</t>
  </si>
  <si>
    <t>1-2182448-7</t>
  </si>
  <si>
    <t>SCP-30-6</t>
  </si>
  <si>
    <t>1-2182448-1</t>
  </si>
  <si>
    <t>SCP-30-9</t>
  </si>
  <si>
    <t>SCP-30-12 (PIN TERM 3/0-4/0 x12IN L)</t>
  </si>
  <si>
    <t>SCP-40-6 (9U09GEW909250MH 4/0 AWG)</t>
  </si>
  <si>
    <t>1-2182448-2</t>
  </si>
  <si>
    <t>SCP-40-9</t>
  </si>
  <si>
    <t>SCP-40-12 (PIN TERM 4/0 x 12IN L)</t>
  </si>
  <si>
    <t>http://www.te.com/usa-en/product-1-2182448-3.html</t>
  </si>
  <si>
    <t>http://www.te.com/usa-en/product-1-2182448-4.html</t>
  </si>
  <si>
    <t>http://www.te.com/usa-en/product-1-2182448-5.html</t>
  </si>
  <si>
    <t>http://www.te.com/usa-en/product-1-2182448-6.html</t>
  </si>
  <si>
    <t>http://www.te.com/usa-en/product-1-2182448-8.html</t>
  </si>
  <si>
    <t>http://www.te.com/usa-en/product-1-2182448-0.html</t>
  </si>
  <si>
    <t>http://www.te.com/usa-en/product-1-2182448-1.html</t>
  </si>
  <si>
    <t>http://www.te.com/usa-en/product-1-2182448-2.html</t>
  </si>
  <si>
    <t>http://www.te.com/usa-en/product-1-2182448-7.html</t>
  </si>
  <si>
    <t>http://www.te.com/usa-en/product-1-2182448-9.html</t>
  </si>
  <si>
    <t>http://www.te.com/usa-en/product-2182448-7.html</t>
  </si>
  <si>
    <t>http://www.te.com/usa-en/product-2182448-8.html</t>
  </si>
  <si>
    <t>http://www.te.com/usa-en/product-2182448-9.html</t>
  </si>
  <si>
    <t>http://www.te.com/usa-en/product-2-2182448-0.html</t>
  </si>
  <si>
    <t>http://www.te.com/usa-en/product-2-2182448-1.html</t>
  </si>
  <si>
    <t>045686083961</t>
  </si>
  <si>
    <t>045686083978</t>
  </si>
  <si>
    <t>045686083985</t>
  </si>
  <si>
    <t>045686083992</t>
  </si>
  <si>
    <t>045686084005</t>
  </si>
  <si>
    <t xml:space="preserve">CATJ-T-1581M0 </t>
  </si>
  <si>
    <t>http://www.te.com/usa-en/product-EE0422-000.html</t>
  </si>
  <si>
    <t>http://www.te.com/usa-en/product-EE0424-000.html</t>
  </si>
  <si>
    <t>http://www.te.com/usa-en/product-CX3928-000.html</t>
  </si>
  <si>
    <t>045686084012</t>
  </si>
  <si>
    <t>045686084029</t>
  </si>
  <si>
    <t>045686084036</t>
  </si>
  <si>
    <t>EL6868-000</t>
  </si>
  <si>
    <t>BCIC-8.25D/8(B10)</t>
  </si>
  <si>
    <t>http://www.te.com/usa-en/product-EL6868-000.html</t>
  </si>
  <si>
    <t>BCIC-GT-PIN-ARM(B6)</t>
  </si>
  <si>
    <t>BCIC-GT-DPIN-ARM(B6)</t>
  </si>
  <si>
    <t>BCIC-GT-DPIN(B6)</t>
  </si>
  <si>
    <t>BCIC-GT-PIN-XL-ARM(B6)</t>
  </si>
  <si>
    <t>EL6015-000</t>
  </si>
  <si>
    <t>http://www.te.com/usa-en/product-EL6015-000.html</t>
  </si>
  <si>
    <t>EL6016-000</t>
  </si>
  <si>
    <t>http://www.te.com/usa-en/product-EL6016-000.html</t>
  </si>
  <si>
    <t>EL3619-000</t>
  </si>
  <si>
    <t>http://www.te.com/usa-en/product-EL3619-000.html</t>
  </si>
  <si>
    <t>http://www.te.com/usa-en/product-EK5638-000.html</t>
  </si>
  <si>
    <t>EL6017-000</t>
  </si>
  <si>
    <t>http://www.te.com/usa-en/product-EL6017-000.html</t>
  </si>
  <si>
    <t>EN0507-000</t>
  </si>
  <si>
    <t>CSTO-352G</t>
  </si>
  <si>
    <t>EN0453-000</t>
  </si>
  <si>
    <t>CSTO-352J</t>
  </si>
  <si>
    <t>EN0508-000</t>
  </si>
  <si>
    <t>CSTO-353G</t>
  </si>
  <si>
    <t>EN0228-000</t>
  </si>
  <si>
    <t>CSTO-353J</t>
  </si>
  <si>
    <t>EN0509-000</t>
  </si>
  <si>
    <t>CSTO-354G</t>
  </si>
  <si>
    <t>EN0454-000</t>
  </si>
  <si>
    <t>CSTO-354J</t>
  </si>
  <si>
    <t>EN0229-000</t>
  </si>
  <si>
    <t>CSTI-352G</t>
  </si>
  <si>
    <t>EN0455-000</t>
  </si>
  <si>
    <t>CSTI-352J</t>
  </si>
  <si>
    <t>EN0230-000</t>
  </si>
  <si>
    <t>CSTI-353G</t>
  </si>
  <si>
    <t>EN0504-000</t>
  </si>
  <si>
    <t>CSTI-353J</t>
  </si>
  <si>
    <t>EN0506-000</t>
  </si>
  <si>
    <t>CSTI-354G</t>
  </si>
  <si>
    <t>EN0505-000</t>
  </si>
  <si>
    <t>CSTI-354J</t>
  </si>
  <si>
    <t>http://www.te.com/usa-en/product-EN0507-000.html</t>
  </si>
  <si>
    <t>http://www.te.com/usa-en/product-EN0453-000.html</t>
  </si>
  <si>
    <t>http://www.te.com/usa-en/product-EN0508-000.html</t>
  </si>
  <si>
    <t>http://www.te.com/usa-en/product-EN0228-000.html</t>
  </si>
  <si>
    <t>http://www.te.com/usa-en/product-EN0509-000.html</t>
  </si>
  <si>
    <t>http://www.te.com/usa-en/product-EN0454-000.html</t>
  </si>
  <si>
    <t>http://www.te.com/usa-en/product-EN0229-000.html</t>
  </si>
  <si>
    <t>http://www.te.com/usa-en/product-EN0455-000.html</t>
  </si>
  <si>
    <t>http://www.te.com/usa-en/product-EN0230-000.html</t>
  </si>
  <si>
    <t>http://www.te.com/usa-en/product-EN0504-000.html</t>
  </si>
  <si>
    <t>http://www.te.com/usa-en/product-EN0506-000.html</t>
  </si>
  <si>
    <t>http://www.te.com/usa-en/product-EN0505-000.html</t>
  </si>
  <si>
    <t>CSTO-352J-SL1</t>
  </si>
  <si>
    <t>CSTO-353G-SL2</t>
  </si>
  <si>
    <t>CSTO-353J-SL2</t>
  </si>
  <si>
    <t>CSTO-354J-SL3</t>
  </si>
  <si>
    <t>CSTO-354J-SL4</t>
  </si>
  <si>
    <t xml:space="preserve">EK5869-000           </t>
  </si>
  <si>
    <t>http://www.te.com/usa-en/product-EK5868-000.html</t>
  </si>
  <si>
    <t>http://www.te.com/usa-en/product-EK5869-000.html</t>
  </si>
  <si>
    <t>EN1264-000</t>
  </si>
  <si>
    <t>EN1265-000</t>
  </si>
  <si>
    <t>EN1256-000</t>
  </si>
  <si>
    <t>http://www.te.com/usa-en/product-EN1264-000.html</t>
  </si>
  <si>
    <t>http://www.te.com/usa-en/product-EN1256-000.html</t>
  </si>
  <si>
    <t>http://www.te.com/usa-en/product-EN1265-000.html</t>
  </si>
  <si>
    <t>CSJA-1523-EG3-MGE          </t>
  </si>
  <si>
    <t xml:space="preserve">CSJA-1522-EG3-MGE          </t>
  </si>
  <si>
    <t>EN0042-000</t>
  </si>
  <si>
    <t>EN0043-000</t>
  </si>
  <si>
    <t xml:space="preserve">EN0042-000 </t>
  </si>
  <si>
    <t>http://www.te.com/usa-en/product-EN0042-000.html</t>
  </si>
  <si>
    <t>http://www.te.com/usa-en/product-EN0043-000.html</t>
  </si>
  <si>
    <t>LVT-3-VFD-01</t>
  </si>
  <si>
    <t>LVT-3-VFD-02</t>
  </si>
  <si>
    <t>http://www.te.com/usa-en/product-CR8952-000.html</t>
  </si>
  <si>
    <t>http://www.te.com/usa-en/product-CR8953-000.html</t>
  </si>
  <si>
    <t>http://www.te.com/usa-en/product-CR8956-000.html</t>
  </si>
  <si>
    <t xml:space="preserve">HVT-ZL-151-SG                  </t>
  </si>
  <si>
    <t>http://www.te.com/usa-en/product-ED5500-000.html</t>
  </si>
  <si>
    <t>2182410-1</t>
  </si>
  <si>
    <t>2182410-2</t>
  </si>
  <si>
    <t>2182410-3</t>
  </si>
  <si>
    <t>2182410-5</t>
  </si>
  <si>
    <t>CV8201-000</t>
  </si>
  <si>
    <t>CC68-81-PL-M12</t>
  </si>
  <si>
    <t>http://www.te.com/usa-en/product-CV8201-000.html</t>
  </si>
  <si>
    <t>IDP-WINTOTAL-6-SWARE-DGL (Replaces CF5639-000)</t>
  </si>
  <si>
    <t>2182410-4</t>
  </si>
  <si>
    <t>http://www.te.com/usa-en/product-2182410-1.html</t>
  </si>
  <si>
    <t>http://www.te.com/usa-en/product-2182410-2.html</t>
  </si>
  <si>
    <t>http://www.te.com/usa-en/product-2182410-3.html</t>
  </si>
  <si>
    <t>http://www.te.com/usa-en/product-2182410-4.html</t>
  </si>
  <si>
    <t>http://www.te.com/usa-en/product-2182410-5.html</t>
  </si>
  <si>
    <t>EN0985-000</t>
  </si>
  <si>
    <t>EN0149-000</t>
  </si>
  <si>
    <t>W32159-000</t>
  </si>
  <si>
    <t>BISG-G-100/400(B3)</t>
  </si>
  <si>
    <t>BCIC-G-8.25D/8(B10)</t>
  </si>
  <si>
    <t>BCIC-G-RECLOSER-200S(B6)</t>
  </si>
  <si>
    <t>http://www.te.com/usa-en/product-EN0985-000.html</t>
  </si>
  <si>
    <t>http://www.te.com/usa-en/product-EN0149-000.html</t>
  </si>
  <si>
    <t>http://www.te.com/usa-en/product-W32159-000.html</t>
  </si>
  <si>
    <t>EL8798-000</t>
  </si>
  <si>
    <t>BRKT-2-SS(B10)</t>
  </si>
  <si>
    <t>http://www.te.com/usa-en/product-EL8798-000.html</t>
  </si>
  <si>
    <t>045686059591</t>
  </si>
  <si>
    <t>045686060252</t>
  </si>
  <si>
    <t>045686060269</t>
  </si>
  <si>
    <t>045686060290</t>
  </si>
  <si>
    <t>CH6945-000</t>
  </si>
  <si>
    <t>SP-TR368PG02</t>
  </si>
  <si>
    <t>SP-TR369PG02</t>
  </si>
  <si>
    <t>CX4423-000</t>
  </si>
  <si>
    <t>SP-TR231PG01</t>
  </si>
  <si>
    <t>CZ9472-000</t>
  </si>
  <si>
    <t>SP-TR312PG</t>
  </si>
  <si>
    <t>EE3509-000</t>
  </si>
  <si>
    <t>SP-TR324PG</t>
  </si>
  <si>
    <t>EE3510-000</t>
  </si>
  <si>
    <t>SP-TR362PG</t>
  </si>
  <si>
    <t>EE3514-000</t>
  </si>
  <si>
    <t>SP-TR291PG</t>
  </si>
  <si>
    <t>EE6126-000</t>
  </si>
  <si>
    <t>SP-TR287PG01</t>
  </si>
  <si>
    <t>1974141-1</t>
  </si>
  <si>
    <t>ASBT2-4/0-U</t>
  </si>
  <si>
    <t>1974142-1</t>
  </si>
  <si>
    <t>ASBT250-350-U</t>
  </si>
  <si>
    <t>1974148-1</t>
  </si>
  <si>
    <t>ASBT350-500-U</t>
  </si>
  <si>
    <t>045686081967</t>
  </si>
  <si>
    <t>045686081981</t>
  </si>
  <si>
    <t>045686076550</t>
  </si>
  <si>
    <t>045686076567</t>
  </si>
  <si>
    <t>045686076574</t>
  </si>
  <si>
    <t>http://www.te.com/usa-en/product-199960-000.html</t>
  </si>
  <si>
    <t>http://www.te.com/usa-en/product-CR7668-000.html</t>
  </si>
  <si>
    <t>http://www.te.com/usa-en/product-CX4423-000.html</t>
  </si>
  <si>
    <t>http://www.te.com/usa-en/product-EE3506-000.html</t>
  </si>
  <si>
    <t>http://www.te.com/usa-en/product-EE6126-000.html</t>
  </si>
  <si>
    <t>http://www.te.com/usa-en/product-1974141-1.html</t>
  </si>
  <si>
    <t>http://www.te.com/usa-en/product-1974142-1.html</t>
  </si>
  <si>
    <t>http://www.te.com/usa-en/product-1974148-1.html</t>
  </si>
  <si>
    <t>EN2499-000</t>
  </si>
  <si>
    <t>CSJU-1511</t>
  </si>
  <si>
    <t>EN2951-000</t>
  </si>
  <si>
    <t>CSJU-1511-SB1</t>
  </si>
  <si>
    <t>EN2950-000</t>
  </si>
  <si>
    <t>CSJU-1511-SB2</t>
  </si>
  <si>
    <t>EN2949-000</t>
  </si>
  <si>
    <t>CSJU-2511</t>
  </si>
  <si>
    <t>EN2952-000</t>
  </si>
  <si>
    <t>CSJU-2511-SB1</t>
  </si>
  <si>
    <t>EN2953-000</t>
  </si>
  <si>
    <t>CSJU-2511-SB2</t>
  </si>
  <si>
    <t>EN2501-000</t>
  </si>
  <si>
    <t>CSJU-S-1511</t>
  </si>
  <si>
    <t>EN2969-000</t>
  </si>
  <si>
    <t>CSJU-S-1511-SB1</t>
  </si>
  <si>
    <t>EN2968-000</t>
  </si>
  <si>
    <t>CSJU-S-1511-SB2</t>
  </si>
  <si>
    <t>EN2976-000</t>
  </si>
  <si>
    <t>CSJU-S-2511</t>
  </si>
  <si>
    <t>EN2970-000</t>
  </si>
  <si>
    <t>CSJU-S-2511-SB1</t>
  </si>
  <si>
    <t>EN2975-000</t>
  </si>
  <si>
    <t>CSJU-S-2511-SB2</t>
  </si>
  <si>
    <t>2182663-1</t>
  </si>
  <si>
    <t>ASBSD-2-4/0</t>
  </si>
  <si>
    <t>2182666-1</t>
  </si>
  <si>
    <t>ASBSD-2-1/0</t>
  </si>
  <si>
    <t>2182587-1</t>
  </si>
  <si>
    <t>25WM AMP WELD MATERIAL</t>
  </si>
  <si>
    <t>2182587-2</t>
  </si>
  <si>
    <t>32WM AMP WELD MATERIAL</t>
  </si>
  <si>
    <t>2182587-3</t>
  </si>
  <si>
    <t>45WM AMP WELD MATERIAL</t>
  </si>
  <si>
    <t>2182587-4</t>
  </si>
  <si>
    <t>65WM AMP WELD MATERIAL</t>
  </si>
  <si>
    <t>2182587-5</t>
  </si>
  <si>
    <t>90WM AMP WELD MATERIAL</t>
  </si>
  <si>
    <t>2182587-6</t>
  </si>
  <si>
    <t>115WM AMP WELD MATERIAL</t>
  </si>
  <si>
    <t>2182587-7</t>
  </si>
  <si>
    <t>150WM AMP WELD MATERIAL</t>
  </si>
  <si>
    <t>2182587-8</t>
  </si>
  <si>
    <t>200WM AMP WELD MATERIAL</t>
  </si>
  <si>
    <t>2182587-9</t>
  </si>
  <si>
    <t>250WM AMP WELD MATERIAL</t>
  </si>
  <si>
    <t>2182595-1</t>
  </si>
  <si>
    <t>METAL DSC-SML-EXTHRMC WLD</t>
  </si>
  <si>
    <t>2182595-2</t>
  </si>
  <si>
    <t>METAL DSC-MDM-EXTHRMC WLD</t>
  </si>
  <si>
    <t>2182595-3</t>
  </si>
  <si>
    <t>METAL DSC-LRG-EXTHRMC WLD</t>
  </si>
  <si>
    <t>EJ0819-000</t>
  </si>
  <si>
    <t>PE4/0-4/0A</t>
  </si>
  <si>
    <t>EK0741-001</t>
  </si>
  <si>
    <t>BBS5/8-1000A</t>
  </si>
  <si>
    <t>EK0742-001</t>
  </si>
  <si>
    <t>GC3/4-2/0A</t>
  </si>
  <si>
    <t>EK0742-002</t>
  </si>
  <si>
    <t>GC5/8-2/0A</t>
  </si>
  <si>
    <t>EK0742-003</t>
  </si>
  <si>
    <t>GC3/4-4/0A</t>
  </si>
  <si>
    <t>EK0742-004</t>
  </si>
  <si>
    <t>GC5/8-4/0A</t>
  </si>
  <si>
    <t>EK0742-005</t>
  </si>
  <si>
    <t>GC3/4-250A</t>
  </si>
  <si>
    <t>EK0742-006</t>
  </si>
  <si>
    <t>GC5/8-250A</t>
  </si>
  <si>
    <t>EK0742-007</t>
  </si>
  <si>
    <t>GC3/4-LC1A</t>
  </si>
  <si>
    <t>EK0742-008</t>
  </si>
  <si>
    <t>GC3/4-LC2A</t>
  </si>
  <si>
    <t>EK0742-009</t>
  </si>
  <si>
    <t>GC5/8-LC1A</t>
  </si>
  <si>
    <t>EK0742-010</t>
  </si>
  <si>
    <t>GC5/8-LC2A</t>
  </si>
  <si>
    <t>EK0742-011</t>
  </si>
  <si>
    <t>GC5/8-1/0A</t>
  </si>
  <si>
    <t>EK0742-012</t>
  </si>
  <si>
    <t>GC5/8-2SA</t>
  </si>
  <si>
    <t>EK0742-013</t>
  </si>
  <si>
    <t>GC3/4-2SA</t>
  </si>
  <si>
    <t>EK0742-014</t>
  </si>
  <si>
    <t>GC3/4-1/0A</t>
  </si>
  <si>
    <t>EK0742-015</t>
  </si>
  <si>
    <t>GC5/8-2A</t>
  </si>
  <si>
    <t>EK0742-016</t>
  </si>
  <si>
    <t>GC5/8-500A</t>
  </si>
  <si>
    <t>EK0743-001</t>
  </si>
  <si>
    <t>GE5/8-4/0A</t>
  </si>
  <si>
    <t>EK0743-002</t>
  </si>
  <si>
    <t>GE5/8-2/0A</t>
  </si>
  <si>
    <t>EK0743-003</t>
  </si>
  <si>
    <t>GE3/4-2/0A</t>
  </si>
  <si>
    <t>EK0743-004</t>
  </si>
  <si>
    <t>GE5/8-250A</t>
  </si>
  <si>
    <t>EK0743-005</t>
  </si>
  <si>
    <t>GE3/4-250A</t>
  </si>
  <si>
    <t>EK0743-006</t>
  </si>
  <si>
    <t>GE3/4-4/0A</t>
  </si>
  <si>
    <t>EK0743-007</t>
  </si>
  <si>
    <t>GE3/4-2SA</t>
  </si>
  <si>
    <t>EK0743-008</t>
  </si>
  <si>
    <t>GE5/8-2SA</t>
  </si>
  <si>
    <t>EK0743-009</t>
  </si>
  <si>
    <t>GE5/8-1/0A</t>
  </si>
  <si>
    <t>EK0743-010</t>
  </si>
  <si>
    <t>GE3/4-1/0A</t>
  </si>
  <si>
    <t>EK0743-011</t>
  </si>
  <si>
    <t>GE5/8-2A</t>
  </si>
  <si>
    <t>EK0746-001</t>
  </si>
  <si>
    <t>HE4/0-A</t>
  </si>
  <si>
    <t>EK0746-002</t>
  </si>
  <si>
    <t>HE2/0-A</t>
  </si>
  <si>
    <t>EK0746-003</t>
  </si>
  <si>
    <t>HE2S-A</t>
  </si>
  <si>
    <t>EK0748-001</t>
  </si>
  <si>
    <t>HOE4/0-A</t>
  </si>
  <si>
    <t>EK0751-001</t>
  </si>
  <si>
    <t>PE2/0-2/0A</t>
  </si>
  <si>
    <t>EK0751-002</t>
  </si>
  <si>
    <t>PE250-250A</t>
  </si>
  <si>
    <t>EK0751-003</t>
  </si>
  <si>
    <t>PELC2-LC2A</t>
  </si>
  <si>
    <t>EK0751-004</t>
  </si>
  <si>
    <t>PE1/0-1/0A</t>
  </si>
  <si>
    <t>EK0751-005</t>
  </si>
  <si>
    <t>PE4/0-LC1A</t>
  </si>
  <si>
    <t>EK0751-006</t>
  </si>
  <si>
    <t>PE4/0-LC2A</t>
  </si>
  <si>
    <t>EK0751-007</t>
  </si>
  <si>
    <t>PELC1-LC1A</t>
  </si>
  <si>
    <t>EK0751-008</t>
  </si>
  <si>
    <t>PE2S-2SA</t>
  </si>
  <si>
    <t>EK0751-009</t>
  </si>
  <si>
    <t>PE2-6A</t>
  </si>
  <si>
    <t>EK0752-001</t>
  </si>
  <si>
    <t>PR4/0-4/0A</t>
  </si>
  <si>
    <t>EK0752-002</t>
  </si>
  <si>
    <t>PR2/0-2/0A</t>
  </si>
  <si>
    <t>EK0752-003</t>
  </si>
  <si>
    <t>PR250-250A</t>
  </si>
  <si>
    <t>EK0752-004</t>
  </si>
  <si>
    <t>PR2S-2SA-045</t>
  </si>
  <si>
    <t>EK0752-005</t>
  </si>
  <si>
    <t>PR2S-2SA</t>
  </si>
  <si>
    <t>EK0752-006</t>
  </si>
  <si>
    <t>PR1/0-1/0A</t>
  </si>
  <si>
    <t>EK0752-007</t>
  </si>
  <si>
    <t>PR2-2A</t>
  </si>
  <si>
    <t>EK0755-001</t>
  </si>
  <si>
    <t>RDE7U-2/0A</t>
  </si>
  <si>
    <t>EK0755-002</t>
  </si>
  <si>
    <t>RDE7U-4/0A</t>
  </si>
  <si>
    <t>EK0755-003</t>
  </si>
  <si>
    <t>RDE4-4/0A</t>
  </si>
  <si>
    <t>EK0755-004</t>
  </si>
  <si>
    <t>RDE5-2/0A</t>
  </si>
  <si>
    <t>EK0755-005</t>
  </si>
  <si>
    <t>RDE5-LC2A</t>
  </si>
  <si>
    <t>EK0755-006</t>
  </si>
  <si>
    <t>RDE5-4/0A</t>
  </si>
  <si>
    <t>EK0755-007</t>
  </si>
  <si>
    <t>RDE6-4/0A</t>
  </si>
  <si>
    <t>EK0852-001</t>
  </si>
  <si>
    <t>RE4-4/0A</t>
  </si>
  <si>
    <t>EK0852-002</t>
  </si>
  <si>
    <t>RE5-4/0A</t>
  </si>
  <si>
    <t>EK0852-003</t>
  </si>
  <si>
    <t>RE6U-4/0A</t>
  </si>
  <si>
    <t>EK0853-001</t>
  </si>
  <si>
    <t>RXH6U-2/0A</t>
  </si>
  <si>
    <t>EK0853-002</t>
  </si>
  <si>
    <t>RXH6U-4/0A</t>
  </si>
  <si>
    <t>EK0856-001</t>
  </si>
  <si>
    <t>RXV7U-2A</t>
  </si>
  <si>
    <t>EK0856-002</t>
  </si>
  <si>
    <t>RXV7U-4/0A</t>
  </si>
  <si>
    <t>EK0857-001</t>
  </si>
  <si>
    <t>SH4/0-4/0A</t>
  </si>
  <si>
    <t>EK0857-002</t>
  </si>
  <si>
    <t>SH2/0-2/0A</t>
  </si>
  <si>
    <t>EK0857-003</t>
  </si>
  <si>
    <t>SH250-250A</t>
  </si>
  <si>
    <t>EK0857-004</t>
  </si>
  <si>
    <t>SHLC1-LC1A</t>
  </si>
  <si>
    <t>EK0857-005</t>
  </si>
  <si>
    <t>SHLC2-LC2A</t>
  </si>
  <si>
    <t>EK0857-006</t>
  </si>
  <si>
    <t>SH1/0-1/0A</t>
  </si>
  <si>
    <t>EK0857-007</t>
  </si>
  <si>
    <t>SH2S-2SA</t>
  </si>
  <si>
    <t>EK0857-008</t>
  </si>
  <si>
    <t>SH500-500A</t>
  </si>
  <si>
    <t>EK0857-009</t>
  </si>
  <si>
    <t>SH2-2A</t>
  </si>
  <si>
    <t>EK0859-001</t>
  </si>
  <si>
    <t>TE500-500B-HD</t>
  </si>
  <si>
    <t>EK0859-002</t>
  </si>
  <si>
    <t>TE2/0-2/0A</t>
  </si>
  <si>
    <t>EK0859-003</t>
  </si>
  <si>
    <t>TE4/0-LC2A</t>
  </si>
  <si>
    <t>EK0859-004</t>
  </si>
  <si>
    <t>TELC2-LC2A</t>
  </si>
  <si>
    <t>EK0859-005</t>
  </si>
  <si>
    <t>TE1/0-1/0A</t>
  </si>
  <si>
    <t>EK0859-006</t>
  </si>
  <si>
    <t>TE4/0-4/0A</t>
  </si>
  <si>
    <t>EK0859-007</t>
  </si>
  <si>
    <t>TE500-500A</t>
  </si>
  <si>
    <t>EK0859-008</t>
  </si>
  <si>
    <t>TE250-250A</t>
  </si>
  <si>
    <t>EK0859-009</t>
  </si>
  <si>
    <t>TE2S-2SA</t>
  </si>
  <si>
    <t>EK0859-010</t>
  </si>
  <si>
    <t>TE4/0-LC1A</t>
  </si>
  <si>
    <t>EK0859-011</t>
  </si>
  <si>
    <t>TELC1-LC1A</t>
  </si>
  <si>
    <t>EK0859-012</t>
  </si>
  <si>
    <t>TE3/0-3/0A</t>
  </si>
  <si>
    <t>EK0859-013</t>
  </si>
  <si>
    <t>TE350-350A</t>
  </si>
  <si>
    <t>EK0859-014</t>
  </si>
  <si>
    <t>TE4/0-2/0A</t>
  </si>
  <si>
    <t>EK0863-001</t>
  </si>
  <si>
    <t>XN250-250A</t>
  </si>
  <si>
    <t>EK0863-002</t>
  </si>
  <si>
    <t>XN2/0-2/0A</t>
  </si>
  <si>
    <t>EK0863-003</t>
  </si>
  <si>
    <t>XN4/0-4/0A</t>
  </si>
  <si>
    <t>EK0863-004</t>
  </si>
  <si>
    <t>XN1/0-1/0A</t>
  </si>
  <si>
    <t>EK0863-005</t>
  </si>
  <si>
    <t>XN500-500B</t>
  </si>
  <si>
    <t>EK0864-001</t>
  </si>
  <si>
    <t>XQ2/0-2/0A</t>
  </si>
  <si>
    <t>EK0864-002</t>
  </si>
  <si>
    <t>XQ250-250B</t>
  </si>
  <si>
    <t>EK0864-003</t>
  </si>
  <si>
    <t>XQ4/0-4/0A</t>
  </si>
  <si>
    <t>EK0864-004</t>
  </si>
  <si>
    <t>XQ1/0-1/0A</t>
  </si>
  <si>
    <t>EK0864-005</t>
  </si>
  <si>
    <t>XQ500-500B</t>
  </si>
  <si>
    <t>EK0864-006</t>
  </si>
  <si>
    <t>XQ350-350B</t>
  </si>
  <si>
    <t>EL6162-001</t>
  </si>
  <si>
    <t>VAD2/0-A</t>
  </si>
  <si>
    <t>EL6162-002</t>
  </si>
  <si>
    <t>VAD250-A</t>
  </si>
  <si>
    <t>EL6162-003</t>
  </si>
  <si>
    <t>VAD4/0-A</t>
  </si>
  <si>
    <t>EL6162-004</t>
  </si>
  <si>
    <t>VADLC1-A</t>
  </si>
  <si>
    <t>EL6162-005</t>
  </si>
  <si>
    <t>VADLC2-A</t>
  </si>
  <si>
    <t>EL6162-006</t>
  </si>
  <si>
    <t>VAD2S-A</t>
  </si>
  <si>
    <t>EL6162-007</t>
  </si>
  <si>
    <t>VAD1/0-A</t>
  </si>
  <si>
    <t>EL6162-008</t>
  </si>
  <si>
    <t>VAD2S-V2.5A</t>
  </si>
  <si>
    <t>EL6162-009</t>
  </si>
  <si>
    <t>VAD2/0-V2X4A</t>
  </si>
  <si>
    <t>EL6162-010</t>
  </si>
  <si>
    <t>VAD2/0-V4X6A</t>
  </si>
  <si>
    <t>EL6162-011</t>
  </si>
  <si>
    <t>VAD2S-V1.5X4A</t>
  </si>
  <si>
    <t>EL6162-012</t>
  </si>
  <si>
    <t>VAD2S-V4X6A</t>
  </si>
  <si>
    <t>EL6162-013</t>
  </si>
  <si>
    <t>VAD2S-V6X10A</t>
  </si>
  <si>
    <t>EL6162-014</t>
  </si>
  <si>
    <t>VAD4/0-V4X6A</t>
  </si>
  <si>
    <t>EL6162-015</t>
  </si>
  <si>
    <t>VAD4/0-V6X10A</t>
  </si>
  <si>
    <t>EL6162-016</t>
  </si>
  <si>
    <t>VAD500-A</t>
  </si>
  <si>
    <t>EL6162-017</t>
  </si>
  <si>
    <t>VAD4/0-V2X4A</t>
  </si>
  <si>
    <t>EL6163-001</t>
  </si>
  <si>
    <t>VSD2/0-A</t>
  </si>
  <si>
    <t>EL6163-002</t>
  </si>
  <si>
    <t>VSD2S-A</t>
  </si>
  <si>
    <t>EL6163-003</t>
  </si>
  <si>
    <t>VSD4/0-A</t>
  </si>
  <si>
    <t>EL6163-004</t>
  </si>
  <si>
    <t>VSD250-A</t>
  </si>
  <si>
    <t>EL6163-005</t>
  </si>
  <si>
    <t>VSD4/0-V2X4A</t>
  </si>
  <si>
    <t>EL6164-001</t>
  </si>
  <si>
    <t>VSU4/0-A</t>
  </si>
  <si>
    <t>EL6164-002</t>
  </si>
  <si>
    <t>VSULC1-A</t>
  </si>
  <si>
    <t>EL6164-003</t>
  </si>
  <si>
    <t>VSULC2-A</t>
  </si>
  <si>
    <t>EL6164-004</t>
  </si>
  <si>
    <t>VSU2S-A</t>
  </si>
  <si>
    <t>EL6164-005</t>
  </si>
  <si>
    <t>VSU2/0-A</t>
  </si>
  <si>
    <t>EL6164-006</t>
  </si>
  <si>
    <t>VSU2/0-V2X4A</t>
  </si>
  <si>
    <t>EL6164-007</t>
  </si>
  <si>
    <t>VSU2S-V1.25X4A</t>
  </si>
  <si>
    <t>EL6164-008</t>
  </si>
  <si>
    <t>VSU1/0-A</t>
  </si>
  <si>
    <t>EL6164-009</t>
  </si>
  <si>
    <t>VSU4/0-V2X4B</t>
  </si>
  <si>
    <t>EN1082-001</t>
  </si>
  <si>
    <t>RTE4-4/0A</t>
  </si>
  <si>
    <t>EN1082-002</t>
  </si>
  <si>
    <t>RTE4-2SA</t>
  </si>
  <si>
    <t>EN1082-003</t>
  </si>
  <si>
    <t>RTE5-4/0A</t>
  </si>
  <si>
    <t>EN1082-004</t>
  </si>
  <si>
    <t>RTE6-4/0A</t>
  </si>
  <si>
    <t>EN1482-000</t>
  </si>
  <si>
    <t>SLAG-SPADE</t>
  </si>
  <si>
    <t>EN1483-000</t>
  </si>
  <si>
    <t>MC-BRUSH</t>
  </si>
  <si>
    <t>EN1484-000</t>
  </si>
  <si>
    <t>CC-BRUSH</t>
  </si>
  <si>
    <t>EN1504-000</t>
  </si>
  <si>
    <t>EXO-TORCH</t>
  </si>
  <si>
    <t>EN1505-000</t>
  </si>
  <si>
    <t>GROD-CLAMP</t>
  </si>
  <si>
    <t>EN1506-000</t>
  </si>
  <si>
    <t>MOLD-SEALER</t>
  </si>
  <si>
    <t>EN1510-000</t>
  </si>
  <si>
    <t>FLINT-IGNITOR</t>
  </si>
  <si>
    <t>EN1511-000</t>
  </si>
  <si>
    <t>FLINT-R</t>
  </si>
  <si>
    <t>EN1512-000</t>
  </si>
  <si>
    <t>HCLAMP-3</t>
  </si>
  <si>
    <t>EN1513-000</t>
  </si>
  <si>
    <t>HCLAMP-4</t>
  </si>
  <si>
    <t>EN1514-000</t>
  </si>
  <si>
    <t>CHCLAMP-3H</t>
  </si>
  <si>
    <t>EN1515-000</t>
  </si>
  <si>
    <t>CHCLAMP-3V</t>
  </si>
  <si>
    <t>EN1516-000</t>
  </si>
  <si>
    <t>CHCLAMP-4H</t>
  </si>
  <si>
    <t>EN1517-000</t>
  </si>
  <si>
    <t>CHCLAMP-4V</t>
  </si>
  <si>
    <t>EN1518-000</t>
  </si>
  <si>
    <t>CCLAMP-3</t>
  </si>
  <si>
    <t>EN1519-000</t>
  </si>
  <si>
    <t>CCLAMP-4</t>
  </si>
  <si>
    <t>EN1520-000</t>
  </si>
  <si>
    <t>MHCLAMP-3</t>
  </si>
  <si>
    <t>EN1521-000</t>
  </si>
  <si>
    <t>MHCLAMP-4</t>
  </si>
  <si>
    <t>EN1522-000</t>
  </si>
  <si>
    <t>CABLE-CLAMP</t>
  </si>
  <si>
    <t>EN1523-000</t>
  </si>
  <si>
    <t>CUWRAP</t>
  </si>
  <si>
    <t>EN1920-000</t>
  </si>
  <si>
    <t>BM9779-000</t>
  </si>
  <si>
    <t>ED5507-000</t>
  </si>
  <si>
    <t>964543-000</t>
  </si>
  <si>
    <t>BPTM-235/130-A/U-C(40)</t>
  </si>
  <si>
    <t>045686036004</t>
  </si>
  <si>
    <t>31 x 31 x 15</t>
  </si>
  <si>
    <t>HVT-ZL-252-SG</t>
  </si>
  <si>
    <t>ELB-15-210C10</t>
  </si>
  <si>
    <t>ELB-35-610M450</t>
  </si>
  <si>
    <t>http://www.te.com/usa-en/product-ED5507-000.html</t>
  </si>
  <si>
    <t>http://www.te.com/usa-en/product-FG1624-000.html</t>
  </si>
  <si>
    <t>http://www.te.com/usa-en/product-BM9779-000.html</t>
  </si>
  <si>
    <t>http://www.te.com/usa-en/product-EN1920-000.html</t>
  </si>
  <si>
    <t>http://www.te.com/usa-en/product-2182663-1.html</t>
  </si>
  <si>
    <t>http://www.te.com/usa-en/product-2182666-1.html</t>
  </si>
  <si>
    <t>http://www.te.com/usa-en/product-2182587-1.html</t>
  </si>
  <si>
    <t>http://www.te.com/usa-en/product-2182587-2.html</t>
  </si>
  <si>
    <t>http://www.te.com/usa-en/product-2182587-3.html</t>
  </si>
  <si>
    <t>http://www.te.com/usa-en/product-2182587-4.html</t>
  </si>
  <si>
    <t>http://www.te.com/usa-en/product-2182587-5.html</t>
  </si>
  <si>
    <t>http://www.te.com/usa-en/product-2182587-6.html</t>
  </si>
  <si>
    <t>http://www.te.com/usa-en/product-2182587-7.html</t>
  </si>
  <si>
    <t>http://www.te.com/usa-en/product-2182587-8.html</t>
  </si>
  <si>
    <t>http://www.te.com/usa-en/product-2182587-9.html</t>
  </si>
  <si>
    <t>http://www.te.com/usa-en/product-2182595-1.html</t>
  </si>
  <si>
    <t>http://www.te.com/usa-en/product-2182595-2.html</t>
  </si>
  <si>
    <t>http://www.te.com/usa-en/product-2182595-3.html</t>
  </si>
  <si>
    <t>http://www.te.com/usa-en/product-EJ0819-000.html</t>
  </si>
  <si>
    <t>http://www.te.com/usa-en/product-EK0742-001.html</t>
  </si>
  <si>
    <t>http://www.te.com/usa-en/product-EK0742-002.html</t>
  </si>
  <si>
    <t>http://www.te.com/usa-en/product-EK0742-003.html</t>
  </si>
  <si>
    <t>http://www.te.com/usa-en/product-EK0742-004.html</t>
  </si>
  <si>
    <t>http://www.te.com/usa-en/product-EK0742-005.html</t>
  </si>
  <si>
    <t>http://www.te.com/usa-en/product-EK0742-006.html</t>
  </si>
  <si>
    <t>http://www.te.com/usa-en/product-EK0742-007.html</t>
  </si>
  <si>
    <t>http://www.te.com/usa-en/product-EK0742-008.html</t>
  </si>
  <si>
    <t>http://www.te.com/usa-en/product-EK0742-009.html</t>
  </si>
  <si>
    <t>http://www.te.com/usa-en/product-EK0742-010.html</t>
  </si>
  <si>
    <t>http://www.te.com/usa-en/product-EK0742-011.html</t>
  </si>
  <si>
    <t>http://www.te.com/usa-en/product-EK0742-012.html</t>
  </si>
  <si>
    <t>http://www.te.com/usa-en/product-EK0742-013.html</t>
  </si>
  <si>
    <t>http://www.te.com/usa-en/product-EK0742-014.html</t>
  </si>
  <si>
    <t>http://www.te.com/usa-en/product-EK0742-015.html</t>
  </si>
  <si>
    <t>http://www.te.com/usa-en/product-EK0742-016.html</t>
  </si>
  <si>
    <t>http://www.te.com/usa-en/product-EK0743-001.html</t>
  </si>
  <si>
    <t>http://www.te.com/usa-en/product-EK0743-002.html</t>
  </si>
  <si>
    <t>http://www.te.com/usa-en/product-EK0743-003.html</t>
  </si>
  <si>
    <t>http://www.te.com/usa-en/product-EK0743-004.html</t>
  </si>
  <si>
    <t>http://www.te.com/usa-en/product-EK0743-005.html</t>
  </si>
  <si>
    <t>http://www.te.com/usa-en/product-EK0743-006.html</t>
  </si>
  <si>
    <t>http://www.te.com/usa-en/product-EK0743-007.html</t>
  </si>
  <si>
    <t>http://www.te.com/usa-en/product-EK0743-008.html</t>
  </si>
  <si>
    <t>http://www.te.com/usa-en/product-EK0743-009.html</t>
  </si>
  <si>
    <t>http://www.te.com/usa-en/product-EK0743-010.html</t>
  </si>
  <si>
    <t>http://www.te.com/usa-en/product-EK0743-011.html</t>
  </si>
  <si>
    <t>http://www.te.com/usa-en/product-EK0746-001.html</t>
  </si>
  <si>
    <t>http://www.te.com/usa-en/product-EK0746-002.html</t>
  </si>
  <si>
    <t>http://www.te.com/usa-en/product-EK0748-001.html</t>
  </si>
  <si>
    <t>http://www.te.com/usa-en/product-EK0751-001.html</t>
  </si>
  <si>
    <t>http://www.te.com/usa-en/product-EK0751-002.html</t>
  </si>
  <si>
    <t>http://www.te.com/usa-en/product-EK0751-003.html</t>
  </si>
  <si>
    <t>http://www.te.com/usa-en/product-EK0751-004.html</t>
  </si>
  <si>
    <t>http://www.te.com/usa-en/product-EK0751-005.html</t>
  </si>
  <si>
    <t>http://www.te.com/usa-en/product-EK0751-006.html</t>
  </si>
  <si>
    <t>http://www.te.com/usa-en/product-EK0751-007.html</t>
  </si>
  <si>
    <t>http://www.te.com/usa-en/product-EK0751-008.html</t>
  </si>
  <si>
    <t>http://www.te.com/usa-en/product-EK0751-009.html</t>
  </si>
  <si>
    <t>http://www.te.com/usa-en/product-EK0752-001.html</t>
  </si>
  <si>
    <t>http://www.te.com/usa-en/product-EK0752-002.html</t>
  </si>
  <si>
    <t>http://www.te.com/usa-en/product-EK0752-003.html</t>
  </si>
  <si>
    <t>http://www.te.com/usa-en/product-EK0752-004.html</t>
  </si>
  <si>
    <t>http://www.te.com/usa-en/product-EK0752-005.html</t>
  </si>
  <si>
    <t>http://www.te.com/usa-en/product-EK0752-006.html</t>
  </si>
  <si>
    <t>http://www.te.com/usa-en/product-EK0752-007.html</t>
  </si>
  <si>
    <t>http://www.te.com/usa-en/product-EK0755-001.html</t>
  </si>
  <si>
    <t>http://www.te.com/usa-en/product-EK0755-002.html</t>
  </si>
  <si>
    <t>http://www.te.com/usa-en/product-EK0755-003.html</t>
  </si>
  <si>
    <t>http://www.te.com/usa-en/product-EK0755-004.html</t>
  </si>
  <si>
    <t>http://www.te.com/usa-en/product-EK0755-005.html</t>
  </si>
  <si>
    <t>http://www.te.com/usa-en/product-EK0755-006.html</t>
  </si>
  <si>
    <t>http://www.te.com/usa-en/product-EK0755-007.html</t>
  </si>
  <si>
    <t>http://www.te.com/usa-en/product-EK0852-001.html</t>
  </si>
  <si>
    <t>http://www.te.com/usa-en/product-EK0852-002.html</t>
  </si>
  <si>
    <t>http://www.te.com/usa-en/product-EK0852-003.html</t>
  </si>
  <si>
    <t>http://www.te.com/usa-en/product-EK0853-001.html</t>
  </si>
  <si>
    <t>http://www.te.com/usa-en/product-EK0853-002.html</t>
  </si>
  <si>
    <t>http://www.te.com/usa-en/product-EK0856-001.html</t>
  </si>
  <si>
    <t>http://www.te.com/usa-en/product-EK0856-002.html</t>
  </si>
  <si>
    <t>http://www.te.com/usa-en/product-EK0857-001.html</t>
  </si>
  <si>
    <t>http://www.te.com/usa-en/product-EK0857-002.html</t>
  </si>
  <si>
    <t>http://www.te.com/usa-en/product-EK0857-003.html</t>
  </si>
  <si>
    <t>http://www.te.com/usa-en/product-EK0857-004.html</t>
  </si>
  <si>
    <t>http://www.te.com/usa-en/product-EK0857-005.html</t>
  </si>
  <si>
    <t>http://www.te.com/usa-en/product-EK0857-006.html</t>
  </si>
  <si>
    <t>http://www.te.com/usa-en/product-EK0857-007.html</t>
  </si>
  <si>
    <t>http://www.te.com/usa-en/product-EK0857-008.html</t>
  </si>
  <si>
    <t>http://www.te.com/usa-en/product-EK0857-009.html</t>
  </si>
  <si>
    <t>http://www.te.com/usa-en/product-EK0859-001.html</t>
  </si>
  <si>
    <t>http://www.te.com/usa-en/product-EK0859-002.html</t>
  </si>
  <si>
    <t>http://www.te.com/usa-en/product-EK0859-003.html</t>
  </si>
  <si>
    <t>http://www.te.com/usa-en/product-EK0859-004.html</t>
  </si>
  <si>
    <t>http://www.te.com/usa-en/product-EK0859-005.html</t>
  </si>
  <si>
    <t>http://www.te.com/usa-en/product-EK0859-006.html</t>
  </si>
  <si>
    <t>http://www.te.com/usa-en/product-EK0859-007.html</t>
  </si>
  <si>
    <t>http://www.te.com/usa-en/product-EK0859-008.html</t>
  </si>
  <si>
    <t>http://www.te.com/usa-en/product-EK0859-009.html</t>
  </si>
  <si>
    <t>http://www.te.com/usa-en/product-EK0859-010.html</t>
  </si>
  <si>
    <t>http://www.te.com/usa-en/product-EK0859-011.html</t>
  </si>
  <si>
    <t>http://www.te.com/usa-en/product-EK0859-012.html</t>
  </si>
  <si>
    <t>http://www.te.com/usa-en/product-EK0859-013.html</t>
  </si>
  <si>
    <t>http://www.te.com/usa-en/product-EK0859-014.html</t>
  </si>
  <si>
    <t>http://www.te.com/usa-en/product-EK0863-001.html</t>
  </si>
  <si>
    <t>http://www.te.com/usa-en/product-EK0863-002.html</t>
  </si>
  <si>
    <t>http://www.te.com/usa-en/product-EK0863-003.html</t>
  </si>
  <si>
    <t>http://www.te.com/usa-en/product-EK0863-004.html</t>
  </si>
  <si>
    <t>http://www.te.com/usa-en/product-EK0863-005.html</t>
  </si>
  <si>
    <t>http://www.te.com/usa-en/product-EK0864-001.html</t>
  </si>
  <si>
    <t>http://www.te.com/usa-en/product-EK0864-002.html</t>
  </si>
  <si>
    <t>http://www.te.com/usa-en/product-EK0864-003.html</t>
  </si>
  <si>
    <t>http://www.te.com/usa-en/product-EK0864-004.html</t>
  </si>
  <si>
    <t>http://www.te.com/usa-en/product-EK0864-005.html</t>
  </si>
  <si>
    <t>http://www.te.com/usa-en/product-EK0864-006.html</t>
  </si>
  <si>
    <t>http://www.te.com/usa-en/product-EL6162-001.html</t>
  </si>
  <si>
    <t>http://www.te.com/usa-en/product-EL6162-002.html</t>
  </si>
  <si>
    <t>http://www.te.com/usa-en/product-EL6162-003.html</t>
  </si>
  <si>
    <t>http://www.te.com/usa-en/product-EL6162-004.html</t>
  </si>
  <si>
    <t>http://www.te.com/usa-en/product-EL6162-005.html</t>
  </si>
  <si>
    <t>http://www.te.com/usa-en/product-EL6162-006.html</t>
  </si>
  <si>
    <t>http://www.te.com/usa-en/product-EL6162-007.html</t>
  </si>
  <si>
    <t>http://www.te.com/usa-en/product-EL6162-008.html</t>
  </si>
  <si>
    <t>http://www.te.com/usa-en/product-EL6162-009.html</t>
  </si>
  <si>
    <t>http://www.te.com/usa-en/product-EL6162-010.html</t>
  </si>
  <si>
    <t>http://www.te.com/usa-en/product-EL6162-011.html</t>
  </si>
  <si>
    <t>http://www.te.com/usa-en/product-EL6162-012.html</t>
  </si>
  <si>
    <t>http://www.te.com/usa-en/product-EL6162-013.html</t>
  </si>
  <si>
    <t>http://www.te.com/usa-en/product-EL6162-014.html</t>
  </si>
  <si>
    <t>http://www.te.com/usa-en/product-EL6162-015.html</t>
  </si>
  <si>
    <t>http://www.te.com/usa-en/product-EL6162-016.html</t>
  </si>
  <si>
    <t>http://www.te.com/usa-en/product-EL6162-017.html</t>
  </si>
  <si>
    <t>http://www.te.com/usa-en/product-EL6163-001.html</t>
  </si>
  <si>
    <t>http://www.te.com/usa-en/product-EL6163-002.html</t>
  </si>
  <si>
    <t>http://www.te.com/usa-en/product-EL6163-003.html</t>
  </si>
  <si>
    <t>http://www.te.com/usa-en/product-EL6163-004.html</t>
  </si>
  <si>
    <t>http://www.te.com/usa-en/product-EL6163-005.html</t>
  </si>
  <si>
    <t>http://www.te.com/usa-en/product-EL6164-001.html</t>
  </si>
  <si>
    <t>http://www.te.com/usa-en/product-EL6164-002.html</t>
  </si>
  <si>
    <t>http://www.te.com/usa-en/product-EL6164-003.html</t>
  </si>
  <si>
    <t>http://www.te.com/usa-en/product-EL6164-004.html</t>
  </si>
  <si>
    <t>http://www.te.com/usa-en/product-EL6164-005.html</t>
  </si>
  <si>
    <t>http://www.te.com/usa-en/product-EL6164-006.html</t>
  </si>
  <si>
    <t>http://www.te.com/usa-en/product-EL6164-007.html</t>
  </si>
  <si>
    <t>http://www.te.com/usa-en/product-EL6164-008.html</t>
  </si>
  <si>
    <t>http://www.te.com/usa-en/product-EL6164-009.html</t>
  </si>
  <si>
    <t>http://www.te.com/usa-en/product-EN1082-001.html</t>
  </si>
  <si>
    <t>http://www.te.com/usa-en/product-EN1082-002.html</t>
  </si>
  <si>
    <t>http://www.te.com/usa-en/product-EN1082-003.html</t>
  </si>
  <si>
    <t>http://www.te.com/usa-en/product-EN1082-004.html</t>
  </si>
  <si>
    <t>http://www.te.com/usa-en/product-EN1482-000.html</t>
  </si>
  <si>
    <t>http://www.te.com/usa-en/product-EN1483-000.html</t>
  </si>
  <si>
    <t>http://www.te.com/usa-en/product-EN1484-000.html</t>
  </si>
  <si>
    <t>http://www.te.com/usa-en/product-EN1504-000.html</t>
  </si>
  <si>
    <t>http://www.te.com/usa-en/product-EN1505-000.html</t>
  </si>
  <si>
    <t>http://www.te.com/usa-en/product-EN1506-000.html</t>
  </si>
  <si>
    <t>http://www.te.com/usa-en/product-EN1510-000.html</t>
  </si>
  <si>
    <t>http://www.te.com/usa-en/product-EN1511-000.html</t>
  </si>
  <si>
    <t>http://www.te.com/usa-en/product-EN1512-000.html</t>
  </si>
  <si>
    <t>http://www.te.com/usa-en/product-EN1513-000.html</t>
  </si>
  <si>
    <t>http://www.te.com/usa-en/product-EN1514-000.html</t>
  </si>
  <si>
    <t>http://www.te.com/usa-en/product-EN1515-000.html</t>
  </si>
  <si>
    <t>http://www.te.com/usa-en/product-EN1516-000.html</t>
  </si>
  <si>
    <t>http://www.te.com/usa-en/product-EN1517-000.html</t>
  </si>
  <si>
    <t>http://www.te.com/usa-en/product-EN1518-000.html</t>
  </si>
  <si>
    <t>http://www.te.com/usa-en/product-EN1519-000.html</t>
  </si>
  <si>
    <t>http://www.te.com/usa-en/product-EN1520-000.html</t>
  </si>
  <si>
    <t>http://www.te.com/usa-en/product-EN1521-000.html</t>
  </si>
  <si>
    <t>http://www.te.com/usa-en/product-EN1522-000.html</t>
  </si>
  <si>
    <t>http://www.te.com/usa-en/product-EN1523-000.html</t>
  </si>
  <si>
    <t>http://www.te.com/usa-en/product-EN2499-000.html</t>
  </si>
  <si>
    <t>http://www.te.com/usa-en/product-EN2951-000.html</t>
  </si>
  <si>
    <t>http://www.te.com/usa-en/product-EN2950-000.html</t>
  </si>
  <si>
    <t>http://www.te.com/usa-en/product-EN2949-000.html</t>
  </si>
  <si>
    <t>http://www.te.com/usa-en/product-EN2952-000.html</t>
  </si>
  <si>
    <t>http://www.te.com/usa-en/product-EN2953-000.html</t>
  </si>
  <si>
    <t>http://www.te.com/usa-en/product-EN2969-000.html</t>
  </si>
  <si>
    <t>http://www.te.com/usa-en/product-EN2968-000.html</t>
  </si>
  <si>
    <t>http://www.te.com/usa-en/product-EN2976-000.html</t>
  </si>
  <si>
    <t>http://www.te.com/usa-en/product-EN2970-000.html</t>
  </si>
  <si>
    <t>http://www.te.com/usa-en/product-EN2975-000.html</t>
  </si>
  <si>
    <t>EK8870-000</t>
  </si>
  <si>
    <t>MVFT-2-7(B4)</t>
  </si>
  <si>
    <t>http://www.te.com/usa-en/product-EK8870-000.html</t>
  </si>
  <si>
    <t>CM</t>
  </si>
  <si>
    <t>Sean kennedy</t>
  </si>
  <si>
    <t>in</t>
  </si>
  <si>
    <t>tbd</t>
  </si>
  <si>
    <t>CR</t>
  </si>
  <si>
    <t>cm</t>
  </si>
  <si>
    <t>2019895-1</t>
  </si>
  <si>
    <t>AMPACT CU TAP, 1/0-#2</t>
  </si>
  <si>
    <t>AMPACT CU TAP, 1/0-#6</t>
  </si>
  <si>
    <t>AMPACT CU TAP, #2-#6</t>
  </si>
  <si>
    <t>AMPACT CU TAP, #4-#6</t>
  </si>
  <si>
    <t>AMPACT CU TAP, #6-#8</t>
  </si>
  <si>
    <t xml:space="preserve">2182587-1         </t>
  </si>
  <si>
    <t xml:space="preserve">2182587-2         </t>
  </si>
  <si>
    <t xml:space="preserve">2182587-3         </t>
  </si>
  <si>
    <t xml:space="preserve">2182587-4         </t>
  </si>
  <si>
    <t xml:space="preserve">2182587-5         </t>
  </si>
  <si>
    <t xml:space="preserve">2182587-6         </t>
  </si>
  <si>
    <t xml:space="preserve">2182587-7         </t>
  </si>
  <si>
    <t xml:space="preserve">2182587-8         </t>
  </si>
  <si>
    <t xml:space="preserve">2182587-9         </t>
  </si>
  <si>
    <t xml:space="preserve">2182595-1         </t>
  </si>
  <si>
    <t xml:space="preserve">2182595-2         </t>
  </si>
  <si>
    <t xml:space="preserve">2182595-3         </t>
  </si>
  <si>
    <t xml:space="preserve">2182663-1         </t>
  </si>
  <si>
    <t xml:space="preserve">2182666-1         </t>
  </si>
  <si>
    <t>Curt Stidham</t>
  </si>
  <si>
    <t>954349-000</t>
  </si>
  <si>
    <t>HVS-3-825S</t>
  </si>
  <si>
    <t xml:space="preserve">BM9779-000        </t>
  </si>
  <si>
    <t>CZ9934-000</t>
  </si>
  <si>
    <t xml:space="preserve">ED5507-000        </t>
  </si>
  <si>
    <t>EE3641-000</t>
  </si>
  <si>
    <t>EE3643-000</t>
  </si>
  <si>
    <t>EE3646-000</t>
  </si>
  <si>
    <t>EE3648-000</t>
  </si>
  <si>
    <t>EF1616-000</t>
  </si>
  <si>
    <t>HVIA-SEMICON-BLADE40/130</t>
  </si>
  <si>
    <t>EF1617-000</t>
  </si>
  <si>
    <t>HVIA-INS-BLADE-40/130</t>
  </si>
  <si>
    <t>EH8559-000</t>
  </si>
  <si>
    <t xml:space="preserve">EJ0819-000        </t>
  </si>
  <si>
    <t xml:space="preserve">EK0741-001        </t>
  </si>
  <si>
    <t xml:space="preserve">EK0742-001        </t>
  </si>
  <si>
    <t xml:space="preserve">EK0742-002        </t>
  </si>
  <si>
    <t xml:space="preserve">EK0742-003        </t>
  </si>
  <si>
    <t xml:space="preserve">EK0742-004        </t>
  </si>
  <si>
    <t xml:space="preserve">EK0742-005        </t>
  </si>
  <si>
    <t xml:space="preserve">EK0742-006        </t>
  </si>
  <si>
    <t xml:space="preserve">EK0742-007        </t>
  </si>
  <si>
    <t xml:space="preserve">EK0742-008        </t>
  </si>
  <si>
    <t xml:space="preserve">EK0742-009        </t>
  </si>
  <si>
    <t xml:space="preserve">EK0742-010        </t>
  </si>
  <si>
    <t xml:space="preserve">EK0742-011        </t>
  </si>
  <si>
    <t xml:space="preserve">EK0742-012        </t>
  </si>
  <si>
    <t xml:space="preserve">EK0742-013        </t>
  </si>
  <si>
    <t xml:space="preserve">EK0742-014        </t>
  </si>
  <si>
    <t xml:space="preserve">EK0742-015        </t>
  </si>
  <si>
    <t xml:space="preserve">EK0742-016        </t>
  </si>
  <si>
    <t xml:space="preserve">EK0743-001        </t>
  </si>
  <si>
    <t xml:space="preserve">EK0743-002        </t>
  </si>
  <si>
    <t xml:space="preserve">EK0743-003        </t>
  </si>
  <si>
    <t xml:space="preserve">EK0743-004        </t>
  </si>
  <si>
    <t xml:space="preserve">EK0743-005        </t>
  </si>
  <si>
    <t xml:space="preserve">EK0743-006        </t>
  </si>
  <si>
    <t xml:space="preserve">EK0743-007        </t>
  </si>
  <si>
    <t xml:space="preserve">EK0743-008        </t>
  </si>
  <si>
    <t xml:space="preserve">EK0743-009        </t>
  </si>
  <si>
    <t xml:space="preserve">EK0743-010        </t>
  </si>
  <si>
    <t xml:space="preserve">EK0743-011        </t>
  </si>
  <si>
    <t xml:space="preserve">EK0746-001        </t>
  </si>
  <si>
    <t xml:space="preserve">EK0746-002        </t>
  </si>
  <si>
    <t xml:space="preserve">EK0746-003        </t>
  </si>
  <si>
    <t xml:space="preserve">EK0748-001        </t>
  </si>
  <si>
    <t xml:space="preserve">EK0751-001        </t>
  </si>
  <si>
    <t xml:space="preserve">EK0751-002        </t>
  </si>
  <si>
    <t xml:space="preserve">EK0751-003        </t>
  </si>
  <si>
    <t xml:space="preserve">EK0751-004        </t>
  </si>
  <si>
    <t xml:space="preserve">EK0751-005        </t>
  </si>
  <si>
    <t xml:space="preserve">EK0751-006        </t>
  </si>
  <si>
    <t xml:space="preserve">EK0751-007        </t>
  </si>
  <si>
    <t xml:space="preserve">EK0751-008        </t>
  </si>
  <si>
    <t xml:space="preserve">EK0751-009        </t>
  </si>
  <si>
    <t xml:space="preserve">EK0752-001        </t>
  </si>
  <si>
    <t xml:space="preserve">EK0752-002        </t>
  </si>
  <si>
    <t xml:space="preserve">EK0752-003        </t>
  </si>
  <si>
    <t xml:space="preserve">EK0752-004        </t>
  </si>
  <si>
    <t xml:space="preserve">EK0752-005        </t>
  </si>
  <si>
    <t xml:space="preserve">EK0752-006        </t>
  </si>
  <si>
    <t xml:space="preserve">EK0752-007        </t>
  </si>
  <si>
    <t xml:space="preserve">EK0755-001        </t>
  </si>
  <si>
    <t xml:space="preserve">EK0755-002        </t>
  </si>
  <si>
    <t xml:space="preserve">EK0755-003        </t>
  </si>
  <si>
    <t xml:space="preserve">EK0755-004        </t>
  </si>
  <si>
    <t xml:space="preserve">EK0755-005        </t>
  </si>
  <si>
    <t xml:space="preserve">EK0755-006        </t>
  </si>
  <si>
    <t xml:space="preserve">EK0755-007        </t>
  </si>
  <si>
    <t xml:space="preserve">EK0852-001        </t>
  </si>
  <si>
    <t xml:space="preserve">EK0852-002        </t>
  </si>
  <si>
    <t xml:space="preserve">EK0852-003        </t>
  </si>
  <si>
    <t xml:space="preserve">EK0853-001        </t>
  </si>
  <si>
    <t xml:space="preserve">EK0853-002        </t>
  </si>
  <si>
    <t xml:space="preserve">EK0856-001        </t>
  </si>
  <si>
    <t xml:space="preserve">EK0856-002        </t>
  </si>
  <si>
    <t xml:space="preserve">EK0857-001        </t>
  </si>
  <si>
    <t xml:space="preserve">EK0857-002        </t>
  </si>
  <si>
    <t xml:space="preserve">EK0857-003        </t>
  </si>
  <si>
    <t xml:space="preserve">EK0857-004        </t>
  </si>
  <si>
    <t xml:space="preserve">EK0857-005        </t>
  </si>
  <si>
    <t xml:space="preserve">EK0857-006        </t>
  </si>
  <si>
    <t xml:space="preserve">EK0857-007        </t>
  </si>
  <si>
    <t xml:space="preserve">EK0857-008        </t>
  </si>
  <si>
    <t xml:space="preserve">EK0857-009        </t>
  </si>
  <si>
    <t xml:space="preserve">EK0859-001        </t>
  </si>
  <si>
    <t xml:space="preserve">EK0859-002        </t>
  </si>
  <si>
    <t xml:space="preserve">EK0859-003        </t>
  </si>
  <si>
    <t xml:space="preserve">EK0859-004        </t>
  </si>
  <si>
    <t xml:space="preserve">EK0859-005        </t>
  </si>
  <si>
    <t xml:space="preserve">EK0859-006        </t>
  </si>
  <si>
    <t xml:space="preserve">EK0859-007        </t>
  </si>
  <si>
    <t xml:space="preserve">EK0859-008        </t>
  </si>
  <si>
    <t xml:space="preserve">EK0859-009        </t>
  </si>
  <si>
    <t xml:space="preserve">EK0859-010        </t>
  </si>
  <si>
    <t xml:space="preserve">EK0859-011        </t>
  </si>
  <si>
    <t xml:space="preserve">EK0859-012        </t>
  </si>
  <si>
    <t xml:space="preserve">EK0859-013        </t>
  </si>
  <si>
    <t xml:space="preserve">EK0859-014        </t>
  </si>
  <si>
    <t xml:space="preserve">EK0863-001        </t>
  </si>
  <si>
    <t xml:space="preserve">EK0863-002        </t>
  </si>
  <si>
    <t xml:space="preserve">EK0863-003        </t>
  </si>
  <si>
    <t xml:space="preserve">EK0863-004        </t>
  </si>
  <si>
    <t xml:space="preserve">EK0863-005        </t>
  </si>
  <si>
    <t xml:space="preserve">EK0864-001        </t>
  </si>
  <si>
    <t xml:space="preserve">EK0864-002        </t>
  </si>
  <si>
    <t xml:space="preserve">EK0864-003        </t>
  </si>
  <si>
    <t xml:space="preserve">EK0864-004        </t>
  </si>
  <si>
    <t xml:space="preserve">EK0864-005        </t>
  </si>
  <si>
    <t xml:space="preserve">EK0864-006        </t>
  </si>
  <si>
    <t>EK3181-000</t>
  </si>
  <si>
    <t>CSTO-284J-CL8-B7</t>
  </si>
  <si>
    <t>EK5423-000</t>
  </si>
  <si>
    <t>CSTO-282J-CL2</t>
  </si>
  <si>
    <t>EK5869-000</t>
  </si>
  <si>
    <t xml:space="preserve">EK8870-000        </t>
  </si>
  <si>
    <t xml:space="preserve">EL6162-001        </t>
  </si>
  <si>
    <t xml:space="preserve">EL6162-002        </t>
  </si>
  <si>
    <t xml:space="preserve">EL6162-003        </t>
  </si>
  <si>
    <t xml:space="preserve">EL6162-004        </t>
  </si>
  <si>
    <t xml:space="preserve">EL6162-005        </t>
  </si>
  <si>
    <t xml:space="preserve">EL6162-006        </t>
  </si>
  <si>
    <t xml:space="preserve">EL6162-007        </t>
  </si>
  <si>
    <t xml:space="preserve">EL6162-008        </t>
  </si>
  <si>
    <t xml:space="preserve">EL6162-009        </t>
  </si>
  <si>
    <t xml:space="preserve">EL6162-010        </t>
  </si>
  <si>
    <t xml:space="preserve">EL6162-011        </t>
  </si>
  <si>
    <t xml:space="preserve">EL6162-012        </t>
  </si>
  <si>
    <t xml:space="preserve">EL6162-013        </t>
  </si>
  <si>
    <t xml:space="preserve">EL6162-014        </t>
  </si>
  <si>
    <t xml:space="preserve">EL6162-015        </t>
  </si>
  <si>
    <t xml:space="preserve">EL6162-016        </t>
  </si>
  <si>
    <t xml:space="preserve">EL6162-017        </t>
  </si>
  <si>
    <t xml:space="preserve">EL6163-001        </t>
  </si>
  <si>
    <t xml:space="preserve">EL6163-002        </t>
  </si>
  <si>
    <t xml:space="preserve">EL6163-003        </t>
  </si>
  <si>
    <t xml:space="preserve">EL6163-004        </t>
  </si>
  <si>
    <t xml:space="preserve">EL6163-005        </t>
  </si>
  <si>
    <t xml:space="preserve">EL6164-001        </t>
  </si>
  <si>
    <t xml:space="preserve">EL6164-002        </t>
  </si>
  <si>
    <t xml:space="preserve">EL6164-003        </t>
  </si>
  <si>
    <t xml:space="preserve">EL6164-004        </t>
  </si>
  <si>
    <t xml:space="preserve">EL6164-005        </t>
  </si>
  <si>
    <t xml:space="preserve">EL6164-006        </t>
  </si>
  <si>
    <t xml:space="preserve">EL6164-007        </t>
  </si>
  <si>
    <t xml:space="preserve">EL6164-008        </t>
  </si>
  <si>
    <t xml:space="preserve">EL6164-009        </t>
  </si>
  <si>
    <t>EL8329-000</t>
  </si>
  <si>
    <t>HVS-C-3512S-RJ-M5</t>
  </si>
  <si>
    <t>EL9268-000</t>
  </si>
  <si>
    <t>CSTO-152J-CP1-6</t>
  </si>
  <si>
    <t>EL9271-000</t>
  </si>
  <si>
    <t>CSTO-283J-CP5-6</t>
  </si>
  <si>
    <t>EL9273-000</t>
  </si>
  <si>
    <t>CSTO-153J-CP5</t>
  </si>
  <si>
    <t>EN0918-000</t>
  </si>
  <si>
    <t>CSTO-152J-CP1</t>
  </si>
  <si>
    <t xml:space="preserve">EN1082-001        </t>
  </si>
  <si>
    <t xml:space="preserve">EN1082-002        </t>
  </si>
  <si>
    <t xml:space="preserve">EN1082-003        </t>
  </si>
  <si>
    <t xml:space="preserve">EN1082-004        </t>
  </si>
  <si>
    <t xml:space="preserve">EN1482-000        </t>
  </si>
  <si>
    <t xml:space="preserve">EN1483-000        </t>
  </si>
  <si>
    <t xml:space="preserve">EN1484-000        </t>
  </si>
  <si>
    <t xml:space="preserve">EN1504-000        </t>
  </si>
  <si>
    <t xml:space="preserve">EN1505-000        </t>
  </si>
  <si>
    <t xml:space="preserve">EN1506-000        </t>
  </si>
  <si>
    <t xml:space="preserve">EN1510-000        </t>
  </si>
  <si>
    <t xml:space="preserve">EN1511-000        </t>
  </si>
  <si>
    <t xml:space="preserve">EN1512-000        </t>
  </si>
  <si>
    <t xml:space="preserve">EN1513-000        </t>
  </si>
  <si>
    <t xml:space="preserve">EN1514-000        </t>
  </si>
  <si>
    <t xml:space="preserve">EN1515-000        </t>
  </si>
  <si>
    <t xml:space="preserve">EN1516-000        </t>
  </si>
  <si>
    <t xml:space="preserve">EN1517-000        </t>
  </si>
  <si>
    <t xml:space="preserve">EN1518-000        </t>
  </si>
  <si>
    <t xml:space="preserve">EN1519-000        </t>
  </si>
  <si>
    <t xml:space="preserve">EN1520-000        </t>
  </si>
  <si>
    <t xml:space="preserve">EN1521-000        </t>
  </si>
  <si>
    <t xml:space="preserve">EN1522-000        </t>
  </si>
  <si>
    <t xml:space="preserve">EN1523-000        </t>
  </si>
  <si>
    <t>EN1627-000</t>
  </si>
  <si>
    <t>CSTO-152J-CP0-B2</t>
  </si>
  <si>
    <t>EN1732-000</t>
  </si>
  <si>
    <t>CSTOL-154J-SL3-B8</t>
  </si>
  <si>
    <t>EN1919-000</t>
  </si>
  <si>
    <t>BCIC-GT-PIN/CT-60(B6)</t>
  </si>
  <si>
    <t xml:space="preserve">EN1920-000        </t>
  </si>
  <si>
    <t>EN2162-000</t>
  </si>
  <si>
    <t>CSTO-152J-SP0</t>
  </si>
  <si>
    <t>EN2868-000</t>
  </si>
  <si>
    <t xml:space="preserve">EN2949-000        </t>
  </si>
  <si>
    <t xml:space="preserve">FG1624-000        </t>
  </si>
  <si>
    <t>EN5682-012</t>
  </si>
  <si>
    <t>CSTI-3-352G</t>
  </si>
  <si>
    <t>EN5682-038</t>
  </si>
  <si>
    <t>CSTI-3-352G-3C</t>
  </si>
  <si>
    <t>EN5682-040</t>
  </si>
  <si>
    <t>CSTI-3-352G-3D</t>
  </si>
  <si>
    <t>EN5682-042</t>
  </si>
  <si>
    <t>CSTI-3-352G-3E</t>
  </si>
  <si>
    <t>EN5682-014</t>
  </si>
  <si>
    <t>CSTI-3-353G</t>
  </si>
  <si>
    <t>EN5682-044</t>
  </si>
  <si>
    <t>CSTI-3-353G-3E</t>
  </si>
  <si>
    <t>EN5682-016</t>
  </si>
  <si>
    <t>CSTI-3-354G</t>
  </si>
  <si>
    <t>EN5682-046</t>
  </si>
  <si>
    <t>CSTI-3-354G-3E</t>
  </si>
  <si>
    <t>EN5682-013</t>
  </si>
  <si>
    <t>CSTO-3-352G</t>
  </si>
  <si>
    <t>EN5682-039</t>
  </si>
  <si>
    <t>CSTO-3-352G-3C</t>
  </si>
  <si>
    <t>EN5682-041</t>
  </si>
  <si>
    <t>CSTO-3-352G-3D</t>
  </si>
  <si>
    <t>EN5682-043</t>
  </si>
  <si>
    <t>CSTO-3-352G-3E</t>
  </si>
  <si>
    <t>EN5682-015</t>
  </si>
  <si>
    <t>CSTO-3-353G</t>
  </si>
  <si>
    <t>EN5682-045</t>
  </si>
  <si>
    <t>CSTO-3-353G-3E</t>
  </si>
  <si>
    <t>EN5682-017</t>
  </si>
  <si>
    <t>CSTO-3-354G</t>
  </si>
  <si>
    <t>EN5682-047</t>
  </si>
  <si>
    <t>CSTO-3-354G-3E</t>
  </si>
  <si>
    <t>EN5682-006</t>
  </si>
  <si>
    <t>CSTI-3-152G</t>
  </si>
  <si>
    <t>EN5682-028</t>
  </si>
  <si>
    <t>CSTI-3-152G-3B</t>
  </si>
  <si>
    <t>EN5682-030</t>
  </si>
  <si>
    <t>CSTI-3-152G-3C</t>
  </si>
  <si>
    <t>EN5682-008</t>
  </si>
  <si>
    <t>CSTI-3-153G</t>
  </si>
  <si>
    <t>EN5682-032</t>
  </si>
  <si>
    <t>CSTI-3-153G-3C</t>
  </si>
  <si>
    <t>EN5682-034</t>
  </si>
  <si>
    <t>CSTI-3-153G-3D</t>
  </si>
  <si>
    <t>EN5682-010</t>
  </si>
  <si>
    <t>CSTI-3-154G</t>
  </si>
  <si>
    <t>EN5682-036</t>
  </si>
  <si>
    <t>CSTI-3-154G-3E</t>
  </si>
  <si>
    <t>EN5682-000</t>
  </si>
  <si>
    <t>CSTI-3-82G</t>
  </si>
  <si>
    <t>EN5682-018</t>
  </si>
  <si>
    <t>CSTI-3-82G-3B</t>
  </si>
  <si>
    <t>EN5682-020</t>
  </si>
  <si>
    <t>CSTI-3-82G-3C</t>
  </si>
  <si>
    <t>EN5682-002</t>
  </si>
  <si>
    <t>CSTI-3-83G</t>
  </si>
  <si>
    <t>EN5682-022</t>
  </si>
  <si>
    <t>CSTI-3-83G-3C</t>
  </si>
  <si>
    <t>EN5682-024</t>
  </si>
  <si>
    <t>CSTI-3-83G-3D</t>
  </si>
  <si>
    <t>EN5682-004</t>
  </si>
  <si>
    <t>CSTI-3-84G</t>
  </si>
  <si>
    <t>EN5682-026</t>
  </si>
  <si>
    <t>CSTI-3-84G-3E</t>
  </si>
  <si>
    <t>EN5660-000</t>
  </si>
  <si>
    <t>CSTO-3-152G</t>
  </si>
  <si>
    <t>EN5682-029</t>
  </si>
  <si>
    <t>CSTO-3-152G-3B</t>
  </si>
  <si>
    <t>EN5682-031</t>
  </si>
  <si>
    <t>CSTO-3-152G-3C</t>
  </si>
  <si>
    <t>EN5682-009</t>
  </si>
  <si>
    <t>CSTO-3-153G</t>
  </si>
  <si>
    <t>EN5682-033</t>
  </si>
  <si>
    <t>CSTO-3-153G-3C</t>
  </si>
  <si>
    <t>EN5682-035</t>
  </si>
  <si>
    <t>CSTO-3-153G-3D</t>
  </si>
  <si>
    <t>EN5682-011</t>
  </si>
  <si>
    <t>CSTO-3-154G</t>
  </si>
  <si>
    <t>EN5682-037</t>
  </si>
  <si>
    <t>CSTO-3-154G-3E</t>
  </si>
  <si>
    <t>EN5682-001</t>
  </si>
  <si>
    <t>CSTO-3-82G</t>
  </si>
  <si>
    <t>EN5682-019</t>
  </si>
  <si>
    <t>CSTO-3-82G-3B</t>
  </si>
  <si>
    <t>EN5682-021</t>
  </si>
  <si>
    <t>CSTO-3-82G-3C</t>
  </si>
  <si>
    <t>EN5682-003</t>
  </si>
  <si>
    <t>CSTO-3-83G</t>
  </si>
  <si>
    <t>EN5682-023</t>
  </si>
  <si>
    <t>CSTO-3-83G-3C</t>
  </si>
  <si>
    <t>EN5682-025</t>
  </si>
  <si>
    <t>CSTO-3-83G-3D</t>
  </si>
  <si>
    <t>EN5682-005</t>
  </si>
  <si>
    <t>CSTO-3-84G</t>
  </si>
  <si>
    <t>EN5682-027</t>
  </si>
  <si>
    <t>CSTO-3-84G-3E</t>
  </si>
  <si>
    <t>EN5843-000</t>
  </si>
  <si>
    <t>CSTO-82G</t>
  </si>
  <si>
    <t>EN5844-000</t>
  </si>
  <si>
    <t>CSTO-83G</t>
  </si>
  <si>
    <t>EN5845-000</t>
  </si>
  <si>
    <t>CSTO-84G</t>
  </si>
  <si>
    <t>EN3391-000</t>
  </si>
  <si>
    <t>MOD-3B-CSTO-3</t>
  </si>
  <si>
    <t>EN3392-000</t>
  </si>
  <si>
    <t>MOD-3C-CSTO-3</t>
  </si>
  <si>
    <t>EN3393-000</t>
  </si>
  <si>
    <t>MOD-3D-CSTO-3</t>
  </si>
  <si>
    <t>EN3394-000</t>
  </si>
  <si>
    <t>MOD-3E-CSTO-3</t>
  </si>
  <si>
    <t>CSTI-82G</t>
  </si>
  <si>
    <t>CSTI-83G</t>
  </si>
  <si>
    <t>CSTI-84G</t>
  </si>
  <si>
    <t xml:space="preserve">HVS-3583D-SB-M8 </t>
  </si>
  <si>
    <t xml:space="preserve">CATJ-1584M3 </t>
  </si>
  <si>
    <t xml:space="preserve">CATJ-2881M0 </t>
  </si>
  <si>
    <t xml:space="preserve">CATJ-2883M2 </t>
  </si>
  <si>
    <t xml:space="preserve">CATJ-2884M3 </t>
  </si>
  <si>
    <t>EN5694-000</t>
  </si>
  <si>
    <t>EN3684-000</t>
  </si>
  <si>
    <t>106.68 x 25.4 x 22.86</t>
  </si>
  <si>
    <t>42 x 10 x 9</t>
  </si>
  <si>
    <t>42 x 10 x 10</t>
  </si>
  <si>
    <t>67.31 x 11.43 x 11.43</t>
  </si>
  <si>
    <t>63.5 x 63.5 x 63.5</t>
  </si>
  <si>
    <t>15.24 x 15.24 x 22.86</t>
  </si>
  <si>
    <t>8.26 x 2.54 x 2.54</t>
  </si>
  <si>
    <t>19.69 x 19.69 x 19.69</t>
  </si>
  <si>
    <t>7 x 6 x 1</t>
  </si>
  <si>
    <t>50.8 x 50.8 x 53.34</t>
  </si>
  <si>
    <t>41.27 x 28.57 x 16.51</t>
  </si>
  <si>
    <t>38.1 x 31.75 x 25.4</t>
  </si>
  <si>
    <t>26 x 26 x 7.5</t>
  </si>
  <si>
    <t>40.64 x 40.64 x 89.53</t>
  </si>
  <si>
    <t>48.26 x 48.26 x 109.22</t>
  </si>
  <si>
    <t>40.64 x 10.16 x 16.51</t>
  </si>
  <si>
    <t>6.45 x 12.9 x 18.06</t>
  </si>
  <si>
    <t>66 x 10.16 x 10.16</t>
  </si>
  <si>
    <t>68.58 x 12.7 x 12.7</t>
  </si>
  <si>
    <t>65 x 12 x 12</t>
  </si>
  <si>
    <t>43.18 x 30.48 x 17.78</t>
  </si>
  <si>
    <t>19 x 8 x 9</t>
  </si>
  <si>
    <t>8 x 8 x 69</t>
  </si>
  <si>
    <t>17.78 x 26.67 x 11.43</t>
  </si>
  <si>
    <t>100 x 50 x 6</t>
  </si>
  <si>
    <t>20 x 9.8 x 9.8</t>
  </si>
  <si>
    <t>54 x 6.26 x 6.26</t>
  </si>
  <si>
    <t>62 x 8.46 x 8.46</t>
  </si>
  <si>
    <t>106 x 6.3 x 6.3</t>
  </si>
  <si>
    <t>92 x 8.46 x 8.46</t>
  </si>
  <si>
    <t>Carlos Riva</t>
  </si>
  <si>
    <t>Sean Kennedy</t>
  </si>
  <si>
    <t>NC/NR - Non Cancellable, Non Returnable</t>
  </si>
  <si>
    <t>CPGI-ALLIGReturnable (Subject to Approval)R</t>
  </si>
  <si>
    <t>IDP-TTC-PRINT-PERFORReturnable (Subject to Approval)R</t>
  </si>
  <si>
    <t>T200-IDENT-PERFORReturnable (Subject to Approval)R</t>
  </si>
  <si>
    <t>http://www.te.com/usa-en/product-EE3639-000.html</t>
  </si>
  <si>
    <t>http://www.te.com/usa-en/product-CU3258-000.html</t>
  </si>
  <si>
    <t>http://www.te.com/usa-en/product-CU3259-000.html</t>
  </si>
  <si>
    <t>http://www.te.com/usa-en/product-FG1572-000.html</t>
  </si>
  <si>
    <t>http://www.te.com/usa-en/product-EE0426-000.html</t>
  </si>
  <si>
    <t>http://www.te.com/usa-en/product-CX3927-000.html</t>
  </si>
  <si>
    <t>http://www.te.com/usa-en/product-EE3643-000.html</t>
  </si>
  <si>
    <t>http://www.te.com/usa-en/product-CR0374-000.html</t>
  </si>
  <si>
    <t>http://www.te.com/usa-en/product-EE3641-000.html</t>
  </si>
  <si>
    <t>http://www.te.com/usa-en/product-EN2868-000.html</t>
  </si>
  <si>
    <t>http://www.te.com/usa-en/product-EN3391-000.html</t>
  </si>
  <si>
    <t>http://www.te.com/usa-en/product-EN3392-000.html</t>
  </si>
  <si>
    <t>http://www.te.com/usa-en/product-EN3393-000.html</t>
  </si>
  <si>
    <t>http://www.te.com/usa-en/product-EN3394-000.html</t>
  </si>
  <si>
    <t>http://www.te.com/usa-en/product-EN3684-000.html</t>
  </si>
  <si>
    <t>http://www.te.com/usa-en/product-EN5660-000.html</t>
  </si>
  <si>
    <t>http://www.te.com/usa-en/product-EN5682-000.html</t>
  </si>
  <si>
    <t>http://www.te.com/usa-en/product-EN5682-001.html</t>
  </si>
  <si>
    <t>http://www.te.com/usa-en/product-EN5682-002.html</t>
  </si>
  <si>
    <t>http://www.te.com/usa-en/product-EN5682-003.html</t>
  </si>
  <si>
    <t>http://www.te.com/usa-en/product-EN5682-004.html</t>
  </si>
  <si>
    <t>http://www.te.com/usa-en/product-EN5682-005.html</t>
  </si>
  <si>
    <t>http://www.te.com/usa-en/product-CZ9934-000.html</t>
  </si>
  <si>
    <t>http://www.te.com/usa-en/product-EH8559-000.html</t>
  </si>
  <si>
    <t xml:space="preserve">MVLC-38R-A/U-C(50) </t>
  </si>
  <si>
    <t xml:space="preserve">MVLC-38R-A/241-C(50)  </t>
  </si>
  <si>
    <t>http://www.te.com/usa-en/product-EN5682-006.html</t>
  </si>
  <si>
    <t>http://www.te.com/usa-en/product-EN5682-008.html</t>
  </si>
  <si>
    <t>http://www.te.com/usa-en/product-EN5682-009.html</t>
  </si>
  <si>
    <t>http://www.te.com/usa-en/product-EN5682-010.html</t>
  </si>
  <si>
    <t>http://www.te.com/usa-en/product-EN5682-011.html</t>
  </si>
  <si>
    <t>http://www.te.com/usa-en/product-EN5682-012.html</t>
  </si>
  <si>
    <t>http://www.te.com/usa-en/product-EN5682-013.html</t>
  </si>
  <si>
    <t>http://www.te.com/usa-en/product-EN5682-014.html</t>
  </si>
  <si>
    <t>http://www.te.com/usa-en/product-EN5682-015.html</t>
  </si>
  <si>
    <t>http://www.te.com/usa-en/product-EN5682-016.html</t>
  </si>
  <si>
    <t>http://www.te.com/usa-en/product-EN5682-017.html</t>
  </si>
  <si>
    <t>http://www.te.com/usa-en/product-EN5682-018.html</t>
  </si>
  <si>
    <t>http://www.te.com/usa-en/product-EN5682-019.html</t>
  </si>
  <si>
    <t>http://www.te.com/usa-en/product-EN5682-020.html</t>
  </si>
  <si>
    <t>http://www.te.com/usa-en/product-EN5682-021.html</t>
  </si>
  <si>
    <t>http://www.te.com/usa-en/product-EN5682-022.html</t>
  </si>
  <si>
    <t>http://www.te.com/usa-en/product-EN5682-023.html</t>
  </si>
  <si>
    <t>http://www.te.com/usa-en/product-EN5682-024.html</t>
  </si>
  <si>
    <t>http://www.te.com/usa-en/product-EN5682-025.html</t>
  </si>
  <si>
    <t>http://www.te.com/usa-en/product-EN5682-026.html</t>
  </si>
  <si>
    <t>http://www.te.com/usa-en/product-EN5682-027.html</t>
  </si>
  <si>
    <t>http://www.te.com/usa-en/product-EN5682-028.html</t>
  </si>
  <si>
    <t>http://www.te.com/usa-en/product-EN5682-029.html</t>
  </si>
  <si>
    <t>http://www.te.com/usa-en/product-EN5682-030.html</t>
  </si>
  <si>
    <t>http://www.te.com/usa-en/product-EN5682-031.html</t>
  </si>
  <si>
    <t>http://www.te.com/usa-en/product-EN5682-032.html</t>
  </si>
  <si>
    <t>http://www.te.com/usa-en/product-EN5682-033.html</t>
  </si>
  <si>
    <t>http://www.te.com/usa-en/product-EN5682-034.html</t>
  </si>
  <si>
    <t>http://www.te.com/usa-en/product-EN5682-035.html</t>
  </si>
  <si>
    <t>http://www.te.com/usa-en/product-EN5682-036.html</t>
  </si>
  <si>
    <t>http://www.te.com/usa-en/product-EN5682-037.html</t>
  </si>
  <si>
    <t>http://www.te.com/usa-en/product-EN5682-038.html</t>
  </si>
  <si>
    <t>http://www.te.com/usa-en/product-EN5682-039.html</t>
  </si>
  <si>
    <t>http://www.te.com/usa-en/product-EN5682-040.html</t>
  </si>
  <si>
    <t>http://www.te.com/usa-en/product-EN5682-041.html</t>
  </si>
  <si>
    <t>http://www.te.com/usa-en/product-EN5682-042.html</t>
  </si>
  <si>
    <t>http://www.te.com/usa-en/product-EN5682-043.html</t>
  </si>
  <si>
    <t>http://www.te.com/usa-en/product-EN5682-044.html</t>
  </si>
  <si>
    <t>http://www.te.com/usa-en/product-EN5682-045.html</t>
  </si>
  <si>
    <t>http://www.te.com/usa-en/product-EN5682-046.html</t>
  </si>
  <si>
    <t>http://www.te.com/usa-en/product-EN5682-047.html</t>
  </si>
  <si>
    <t>http://www.te.com/usa-en/product-EN5694-000.html</t>
  </si>
  <si>
    <t>http://www.te.com/usa-en/product-EN5843-000.html</t>
  </si>
  <si>
    <t>http://www.te.com/usa-en/product-EN5844-000.html</t>
  </si>
  <si>
    <t>http://www.te.com/usa-en/product-EN5845-000.html</t>
  </si>
  <si>
    <t>http://www.te.com/usa-en/product-CJ8850-000.html</t>
  </si>
  <si>
    <t>http://www.te.com/usa-en/product-EE3648-000.html</t>
  </si>
  <si>
    <t>http://www.te.com/usa-en/product-EE3646-000.html</t>
  </si>
  <si>
    <t>Retail,CA USA</t>
  </si>
  <si>
    <t>EN5956-000</t>
  </si>
  <si>
    <t>EN5957-000</t>
  </si>
  <si>
    <t>EN5958-000</t>
  </si>
  <si>
    <t>BSSU-27/70</t>
  </si>
  <si>
    <t>EL9032-000</t>
  </si>
  <si>
    <t>CSTO-153J-B2</t>
  </si>
  <si>
    <t>EL9270-000</t>
  </si>
  <si>
    <t>CSTO-282J-CP1-6</t>
  </si>
  <si>
    <t>EL9690-000</t>
  </si>
  <si>
    <t>CSTO-153J-CP5-6</t>
  </si>
  <si>
    <t>EN3616-000</t>
  </si>
  <si>
    <t>CSTO-153J-CL5-B5</t>
  </si>
  <si>
    <t>EN3827-000</t>
  </si>
  <si>
    <t>CSTI-352HCG</t>
  </si>
  <si>
    <t>EN4846-000</t>
  </si>
  <si>
    <t>CSTO-352J-CP2-6</t>
  </si>
  <si>
    <t>EN5196-000</t>
  </si>
  <si>
    <t>CSJU-1511-ALC2</t>
  </si>
  <si>
    <t>EN5315-000</t>
  </si>
  <si>
    <t>CSJU-2511-ALC2</t>
  </si>
  <si>
    <t>EN6308-000</t>
  </si>
  <si>
    <t>CSTO-283J-B6</t>
  </si>
  <si>
    <t>EN6310-000</t>
  </si>
  <si>
    <t>CSTO-352J-B6</t>
  </si>
  <si>
    <t>EN6313-000</t>
  </si>
  <si>
    <t>CSTO-353J-B7</t>
  </si>
  <si>
    <t>EN6314-000</t>
  </si>
  <si>
    <t>CSTO-353J-B8</t>
  </si>
  <si>
    <t>EN6315-000</t>
  </si>
  <si>
    <t>CSTO-284J-B7</t>
  </si>
  <si>
    <t>kg</t>
  </si>
  <si>
    <t>Steve Mitchell</t>
  </si>
  <si>
    <t>lb</t>
  </si>
  <si>
    <t>Kg</t>
  </si>
  <si>
    <t xml:space="preserve">2019895-1         </t>
  </si>
  <si>
    <t>Miguel Contreras</t>
  </si>
  <si>
    <t xml:space="preserve">EK3181-000        </t>
  </si>
  <si>
    <t xml:space="preserve">EK5423-000        </t>
  </si>
  <si>
    <t xml:space="preserve">EL9032-000        </t>
  </si>
  <si>
    <t xml:space="preserve">EL9268-000        </t>
  </si>
  <si>
    <t xml:space="preserve">EL9270-000        </t>
  </si>
  <si>
    <t xml:space="preserve">EL9271-000        </t>
  </si>
  <si>
    <t xml:space="preserve">EL9273-000        </t>
  </si>
  <si>
    <t xml:space="preserve">EL9690-000        </t>
  </si>
  <si>
    <t xml:space="preserve">EN0918-000        </t>
  </si>
  <si>
    <t xml:space="preserve">EN1627-000        </t>
  </si>
  <si>
    <t xml:space="preserve">EN1732-000        </t>
  </si>
  <si>
    <t xml:space="preserve">EN2162-000        </t>
  </si>
  <si>
    <t xml:space="preserve">EN3616-000        </t>
  </si>
  <si>
    <t xml:space="preserve">EN3827-000        </t>
  </si>
  <si>
    <t xml:space="preserve">EN4846-000        </t>
  </si>
  <si>
    <t xml:space="preserve">EN5196-000        </t>
  </si>
  <si>
    <t xml:space="preserve">EN5315-000        </t>
  </si>
  <si>
    <t xml:space="preserve">EN5956-000        </t>
  </si>
  <si>
    <t xml:space="preserve">EN5957-000        </t>
  </si>
  <si>
    <t xml:space="preserve">EN5958-000        </t>
  </si>
  <si>
    <t xml:space="preserve">EN6308-000        </t>
  </si>
  <si>
    <t xml:space="preserve">EN6310-000        </t>
  </si>
  <si>
    <t xml:space="preserve">EN6313-000        </t>
  </si>
  <si>
    <t xml:space="preserve">EN6314-000        </t>
  </si>
  <si>
    <t xml:space="preserve">EN6315-000        </t>
  </si>
  <si>
    <t>https://www.te.com/usa-en/product-EN1919-000.html</t>
  </si>
  <si>
    <t>https://www.te.com/usa-en/product-EL8329-000.html</t>
  </si>
  <si>
    <t>https://www.te.com/usa-en/product-964543-000.html</t>
  </si>
  <si>
    <t>045686084197</t>
  </si>
  <si>
    <t>045686059676</t>
  </si>
  <si>
    <t>045686084203</t>
  </si>
  <si>
    <t>Jorge Franco</t>
  </si>
  <si>
    <t>Luis Puigcerver</t>
  </si>
  <si>
    <t>Darian Spell</t>
  </si>
  <si>
    <t>https://www.te.com/usa-en/product-EN5956-000.html</t>
  </si>
  <si>
    <t>https://www.te.com/usa-en/product-EN5957-000.html</t>
  </si>
  <si>
    <t>https://www.te.com/usa-en/product-EN5958-000.html</t>
  </si>
  <si>
    <t>Not on website as of 11.9.18</t>
  </si>
  <si>
    <t>https://www.te.com/usa-en/product-EN3827-000.html</t>
  </si>
  <si>
    <t>https://www.te.com/usa-en/product-EN5196-000.html</t>
  </si>
  <si>
    <t>https://www.te.com/usa-en/product-EN5315-000.html</t>
  </si>
  <si>
    <t>https://www.te.com/usa-en/product-EK3181-000.html</t>
  </si>
  <si>
    <t>https://www.te.com/usa-en/product-EN1732-000.html</t>
  </si>
  <si>
    <t>https://www.te.com/usa-en/product-EK5423-000.html</t>
  </si>
  <si>
    <t>https://www.te.com/usa-en/product-2019895-1.html</t>
  </si>
  <si>
    <t>https://www.te.com/usa-en/product-EL9268-000.html</t>
  </si>
  <si>
    <t>https://www.te.com/usa-en/product-EL9270-000.html</t>
  </si>
  <si>
    <t>https://www.te.com/usa-en/product-EL9271-000.html</t>
  </si>
  <si>
    <t>https://www.te.com/usa-en/product-EL9273-000.html</t>
  </si>
  <si>
    <t>https://www.te.com/usa-en/product-EL9690-000.html</t>
  </si>
  <si>
    <t>https://www.te.com/usa-en/product-EN0918-000.html</t>
  </si>
  <si>
    <t>https://www.te.com/usa-en/product-EN1627-000.html</t>
  </si>
  <si>
    <t>https://www.te.com/usa-en/product-EN2162-000.html</t>
  </si>
  <si>
    <t>https://www.te.com/usa-en/product-EL9032-000.html</t>
  </si>
  <si>
    <t>https://www.te.com/usa-en/product-EN3616-000.html</t>
  </si>
  <si>
    <t>https://www.te.com/usa-en/product-EN4846-000.html</t>
  </si>
  <si>
    <t>https://www.te.com/usa-en/product-EN6308-000.html</t>
  </si>
  <si>
    <t>https://www.te.com/usa-en/product-EN6310-000.html</t>
  </si>
  <si>
    <t>https://www.te.com/usa-en/product-EN6313-000.html</t>
  </si>
  <si>
    <t>https://www.te.com/usa-en/product-EN6314-000.html</t>
  </si>
  <si>
    <t>https://www.te.com/usa-en/product-EN6315-000.html</t>
  </si>
  <si>
    <t>ReturnableQS</t>
  </si>
  <si>
    <t>https://www.te.com/usa-en/product-954349-000.html</t>
  </si>
  <si>
    <t>2019 TRADE USD $</t>
  </si>
  <si>
    <t>2019 ELITE  USD $</t>
  </si>
  <si>
    <t>EK8053-000</t>
  </si>
  <si>
    <t>ESC-1/A(B10)</t>
  </si>
  <si>
    <t>EK8054-000</t>
  </si>
  <si>
    <t>ESC-2/A(B10)</t>
  </si>
  <si>
    <t>EK8057-000</t>
  </si>
  <si>
    <t>ESC-3/A(B10)</t>
  </si>
  <si>
    <t>EK8059-000</t>
  </si>
  <si>
    <t>ESC-4/A(B10)</t>
  </si>
  <si>
    <t>https://www.te.com/usa-en/product-122319-000.html</t>
  </si>
  <si>
    <t>https://www.te.com/usa-en/product-EK8054-000.html</t>
  </si>
  <si>
    <t>https://www.te.com/usa-en/product-EK8057-000.html</t>
  </si>
  <si>
    <t>none as of 11.30.18</t>
  </si>
  <si>
    <t xml:space="preserve">EK8053-000        </t>
  </si>
  <si>
    <t xml:space="preserve">EK8054-000        </t>
  </si>
  <si>
    <t xml:space="preserve">EK8057-000        </t>
  </si>
  <si>
    <t>https://www.te.com/usa-en/product-EK8059-000.html</t>
  </si>
  <si>
    <t xml:space="preserve">EK8059-000        </t>
  </si>
  <si>
    <t>pc</t>
  </si>
  <si>
    <t>ea</t>
  </si>
  <si>
    <t>ft</t>
  </si>
  <si>
    <t>-</t>
  </si>
  <si>
    <t>https://www.te.com/usa-en/product-EF1616-000.html</t>
  </si>
  <si>
    <t>https://www.te.com/usa-en/product-EF1617-000.html</t>
  </si>
  <si>
    <t>https://www.te.com/usa-en/product-FG1739-000.html</t>
  </si>
  <si>
    <t>0 x 0 x 0</t>
  </si>
  <si>
    <t>48.26 x 48.26 x 152.4</t>
  </si>
  <si>
    <t>35.56 x 25.4 x 10.16</t>
  </si>
  <si>
    <t>127 x 12.7 x 12.7</t>
  </si>
  <si>
    <t>46 x 11 x 11</t>
  </si>
  <si>
    <t>TE Energy - Distributor Price List USA</t>
  </si>
  <si>
    <t>2019 AUTHORIZED  USD $</t>
  </si>
  <si>
    <t>EN0984-000</t>
  </si>
  <si>
    <t>BISG-100/400(B3)</t>
  </si>
  <si>
    <t>https://www.te.com/usa-en/product-EN0984-000.html</t>
  </si>
  <si>
    <t>AA1</t>
  </si>
  <si>
    <t>EXRM-0542-300</t>
  </si>
  <si>
    <t>https://www.te.com/usa-en/product-968057N001.html</t>
  </si>
  <si>
    <t>EB0329-000</t>
  </si>
  <si>
    <t>HVS-S-1512S-J-M4</t>
  </si>
  <si>
    <t>https://www.te.com/usa-en/product-EB0329-000.html</t>
  </si>
  <si>
    <t>CH5893-000</t>
  </si>
  <si>
    <t>HVS-EG-ARMR-3</t>
  </si>
  <si>
    <t>https://www.te.com/usa-en/product-CH5893-000.html</t>
  </si>
  <si>
    <t>HVT-Z-82-G/SG-T8</t>
  </si>
  <si>
    <t>https://www.te.com/usa-en/product-ED0850-000.html</t>
  </si>
  <si>
    <t>ED0854-000</t>
  </si>
  <si>
    <t>HVT-Z-153-G-T8</t>
  </si>
  <si>
    <t>https://www.te.com/usa-en/product-ED0854-000.html</t>
  </si>
  <si>
    <t>NEW GPL</t>
  </si>
  <si>
    <t>CN8616-000</t>
  </si>
  <si>
    <t>HVT-Z-151-LC</t>
  </si>
  <si>
    <t>https://www.te.com/usa-en/product-CN8616-000.html</t>
  </si>
  <si>
    <t>045686046454</t>
  </si>
  <si>
    <t>045686085316</t>
  </si>
  <si>
    <t>045686085323</t>
  </si>
  <si>
    <t>045686085477</t>
  </si>
  <si>
    <t>045686085484</t>
  </si>
  <si>
    <t>045686085491</t>
  </si>
  <si>
    <t>045686085507</t>
  </si>
  <si>
    <t>045686085514</t>
  </si>
  <si>
    <t>045686085521</t>
  </si>
  <si>
    <t>045686085538</t>
  </si>
  <si>
    <t>045686085545</t>
  </si>
  <si>
    <t>045686085552</t>
  </si>
  <si>
    <t>045686085569</t>
  </si>
  <si>
    <t>045686085576</t>
  </si>
  <si>
    <t>045686085583</t>
  </si>
  <si>
    <t>045686085590</t>
  </si>
  <si>
    <t>045686085606</t>
  </si>
  <si>
    <t>045686085613</t>
  </si>
  <si>
    <t>045686085620</t>
  </si>
  <si>
    <t>045686085637</t>
  </si>
  <si>
    <t>045686085644</t>
  </si>
  <si>
    <t>045686085651</t>
  </si>
  <si>
    <t>045686085668</t>
  </si>
  <si>
    <t>045686085675</t>
  </si>
  <si>
    <t>045686085682</t>
  </si>
  <si>
    <t>045686085699</t>
  </si>
  <si>
    <t>045686085705</t>
  </si>
  <si>
    <t>045686085712</t>
  </si>
  <si>
    <t>045686085729</t>
  </si>
  <si>
    <t>045686085736</t>
  </si>
  <si>
    <t>045686085743</t>
  </si>
  <si>
    <t>045686085750</t>
  </si>
  <si>
    <t>045686085767</t>
  </si>
  <si>
    <t>045686085774</t>
  </si>
  <si>
    <t>045686085781</t>
  </si>
  <si>
    <t>045686085798</t>
  </si>
  <si>
    <t>045686085804</t>
  </si>
  <si>
    <t>045686085811</t>
  </si>
  <si>
    <t>045686085828</t>
  </si>
  <si>
    <t>045686085835</t>
  </si>
  <si>
    <t>045686085842</t>
  </si>
  <si>
    <t>045686085859</t>
  </si>
  <si>
    <t>045686085866</t>
  </si>
  <si>
    <t>045686085873</t>
  </si>
  <si>
    <t>045686085880</t>
  </si>
  <si>
    <t>045686085897</t>
  </si>
  <si>
    <t>045686085903</t>
  </si>
  <si>
    <t>045686085910</t>
  </si>
  <si>
    <t>045686085927</t>
  </si>
  <si>
    <t>045686085934</t>
  </si>
  <si>
    <t>045686085941</t>
  </si>
  <si>
    <t>045686085958</t>
  </si>
  <si>
    <t>045686085965</t>
  </si>
  <si>
    <t>045686085972</t>
  </si>
  <si>
    <t>045686085989</t>
  </si>
  <si>
    <t>045686085996</t>
  </si>
  <si>
    <t>045686086009</t>
  </si>
  <si>
    <t>045686086023</t>
  </si>
  <si>
    <t>045686086016</t>
  </si>
  <si>
    <t>045686086030</t>
  </si>
  <si>
    <t>045686086047</t>
  </si>
  <si>
    <t>045686086054</t>
  </si>
  <si>
    <t>045686086061</t>
  </si>
  <si>
    <t>045686086078</t>
  </si>
  <si>
    <t>045686086085</t>
  </si>
  <si>
    <t>045686086092</t>
  </si>
  <si>
    <t>045686086108</t>
  </si>
  <si>
    <t>045686086115</t>
  </si>
  <si>
    <t>045686086122</t>
  </si>
  <si>
    <t>045686086139</t>
  </si>
  <si>
    <t>045686086146</t>
  </si>
  <si>
    <t>045686086153</t>
  </si>
  <si>
    <t>045686086160</t>
  </si>
  <si>
    <t>045686086177</t>
  </si>
  <si>
    <t>045686086184</t>
  </si>
  <si>
    <t>045686086191</t>
  </si>
  <si>
    <t>045686086207</t>
  </si>
  <si>
    <t>045686086214</t>
  </si>
  <si>
    <t>045686086221</t>
  </si>
  <si>
    <t>045686086238</t>
  </si>
  <si>
    <t>045686086245</t>
  </si>
  <si>
    <t>045686086252</t>
  </si>
  <si>
    <t>045686086269</t>
  </si>
  <si>
    <t>045686086276</t>
  </si>
  <si>
    <t>045686086283</t>
  </si>
  <si>
    <t>045686086290</t>
  </si>
  <si>
    <t>045686086306</t>
  </si>
  <si>
    <t>045686086313</t>
  </si>
  <si>
    <t>045686086320</t>
  </si>
  <si>
    <t>045686086337</t>
  </si>
  <si>
    <t>045686086344</t>
  </si>
  <si>
    <t>045686086351</t>
  </si>
  <si>
    <t>045686086368</t>
  </si>
  <si>
    <t>045686086375</t>
  </si>
  <si>
    <t>045686086382</t>
  </si>
  <si>
    <t>045686086399</t>
  </si>
  <si>
    <t>045686086405</t>
  </si>
  <si>
    <t>045686086412</t>
  </si>
  <si>
    <t>045686086429</t>
  </si>
  <si>
    <t>045686086436</t>
  </si>
  <si>
    <t>045686086443</t>
  </si>
  <si>
    <t>045686086450</t>
  </si>
  <si>
    <t>045686086467</t>
  </si>
  <si>
    <t>045686086474</t>
  </si>
  <si>
    <t>045686086481</t>
  </si>
  <si>
    <t>045686086498</t>
  </si>
  <si>
    <t>045686086504</t>
  </si>
  <si>
    <t>045686086511</t>
  </si>
  <si>
    <t>045686086528</t>
  </si>
  <si>
    <t>045686086535</t>
  </si>
  <si>
    <t>045686086542</t>
  </si>
  <si>
    <t>045686086559</t>
  </si>
  <si>
    <t>045686086566</t>
  </si>
  <si>
    <t>045686086573</t>
  </si>
  <si>
    <t>045686086580</t>
  </si>
  <si>
    <t>045686086597</t>
  </si>
  <si>
    <t>045686084241</t>
  </si>
  <si>
    <t>045686084258</t>
  </si>
  <si>
    <t>045686084265</t>
  </si>
  <si>
    <t>045686084272</t>
  </si>
  <si>
    <t>045686084289</t>
  </si>
  <si>
    <t>045686084296</t>
  </si>
  <si>
    <t>045686084302</t>
  </si>
  <si>
    <t>045686084319</t>
  </si>
  <si>
    <t>045686084326</t>
  </si>
  <si>
    <t>045686084333</t>
  </si>
  <si>
    <t>045686084340</t>
  </si>
  <si>
    <t>045686084357</t>
  </si>
  <si>
    <t>045686084371</t>
  </si>
  <si>
    <t>045686084388</t>
  </si>
  <si>
    <t>045686084395</t>
  </si>
  <si>
    <t>045686084401</t>
  </si>
  <si>
    <t>045686084418</t>
  </si>
  <si>
    <t>045686084425</t>
  </si>
  <si>
    <t>045686084470</t>
  </si>
  <si>
    <t>045686084487</t>
  </si>
  <si>
    <t>045686084494</t>
  </si>
  <si>
    <t>045686084500</t>
  </si>
  <si>
    <t>045686084517</t>
  </si>
  <si>
    <t>045686084524</t>
  </si>
  <si>
    <t>045686084531</t>
  </si>
  <si>
    <t>045686084555</t>
  </si>
  <si>
    <t>045686084562</t>
  </si>
  <si>
    <t>045686084579</t>
  </si>
  <si>
    <t>045686084586</t>
  </si>
  <si>
    <t>045686084593</t>
  </si>
  <si>
    <t>045686084609</t>
  </si>
  <si>
    <t>045686084616</t>
  </si>
  <si>
    <t>045686084623</t>
  </si>
  <si>
    <t>045686084630</t>
  </si>
  <si>
    <t>045686084647</t>
  </si>
  <si>
    <t>045686084654</t>
  </si>
  <si>
    <t>045686084661</t>
  </si>
  <si>
    <t>045686084678</t>
  </si>
  <si>
    <t>045686084685</t>
  </si>
  <si>
    <t>045686084692</t>
  </si>
  <si>
    <t>045686084708</t>
  </si>
  <si>
    <t>045686084715</t>
  </si>
  <si>
    <t>045686084722</t>
  </si>
  <si>
    <t>045686084739</t>
  </si>
  <si>
    <t>045686084746</t>
  </si>
  <si>
    <t>045686084753</t>
  </si>
  <si>
    <t>045686084760</t>
  </si>
  <si>
    <t>045686084777</t>
  </si>
  <si>
    <t>045686084784</t>
  </si>
  <si>
    <t>045686084791</t>
  </si>
  <si>
    <t>045686084807</t>
  </si>
  <si>
    <t>045686084814</t>
  </si>
  <si>
    <t>045686084821</t>
  </si>
  <si>
    <t>045686084838</t>
  </si>
  <si>
    <t>045686084845</t>
  </si>
  <si>
    <t>045686084852</t>
  </si>
  <si>
    <t>045686084869</t>
  </si>
  <si>
    <t>045686039098</t>
  </si>
  <si>
    <t>045686084876</t>
  </si>
  <si>
    <t>045686084883</t>
  </si>
  <si>
    <t>045686084968</t>
  </si>
  <si>
    <t>045686084975</t>
  </si>
  <si>
    <t>045686084982</t>
  </si>
  <si>
    <t>045686084999</t>
  </si>
  <si>
    <t>045686085002</t>
  </si>
  <si>
    <t>045686085026</t>
  </si>
  <si>
    <t>045686085033</t>
  </si>
  <si>
    <t>045686085040</t>
  </si>
  <si>
    <t>045686085095</t>
  </si>
  <si>
    <t>045686085101</t>
  </si>
  <si>
    <t>045686085118</t>
  </si>
  <si>
    <t>045686085125</t>
  </si>
  <si>
    <t>045686085132</t>
  </si>
  <si>
    <t>045686085149</t>
  </si>
  <si>
    <t>045686085156</t>
  </si>
  <si>
    <t>045686085163</t>
  </si>
  <si>
    <t>045686085170</t>
  </si>
  <si>
    <t>045686085187</t>
  </si>
  <si>
    <t>045686085194</t>
  </si>
  <si>
    <t>045686085200</t>
  </si>
  <si>
    <t>045686085217</t>
  </si>
  <si>
    <t>045686085224</t>
  </si>
  <si>
    <t>045686087655</t>
  </si>
  <si>
    <t>045686087648</t>
  </si>
  <si>
    <t>045686087631</t>
  </si>
  <si>
    <t>045686087624</t>
  </si>
  <si>
    <t>045686087617</t>
  </si>
  <si>
    <t>045686087600</t>
  </si>
  <si>
    <t>045686087594</t>
  </si>
  <si>
    <t>045686087587</t>
  </si>
  <si>
    <t>045686087570</t>
  </si>
  <si>
    <t>045686087563</t>
  </si>
  <si>
    <t>045686087556</t>
  </si>
  <si>
    <t>045686087549</t>
  </si>
  <si>
    <t>045686087532</t>
  </si>
  <si>
    <t>045686087525</t>
  </si>
  <si>
    <t>045686087518</t>
  </si>
  <si>
    <t>045686087501</t>
  </si>
  <si>
    <t>045686087495</t>
  </si>
  <si>
    <t>045686087488</t>
  </si>
  <si>
    <t>045686087471</t>
  </si>
  <si>
    <t>045686087464</t>
  </si>
  <si>
    <t>045686087457</t>
  </si>
  <si>
    <t>045686087440</t>
  </si>
  <si>
    <t>045686087433</t>
  </si>
  <si>
    <t>045686087426</t>
  </si>
  <si>
    <t>045686087419</t>
  </si>
  <si>
    <t>045686087402</t>
  </si>
  <si>
    <t>045686087396</t>
  </si>
  <si>
    <t>045686087389</t>
  </si>
  <si>
    <t>045686087372</t>
  </si>
  <si>
    <t>045686087365</t>
  </si>
  <si>
    <t>045686087358</t>
  </si>
  <si>
    <t>045686087341</t>
  </si>
  <si>
    <t>045686087334</t>
  </si>
  <si>
    <t>045686087327</t>
  </si>
  <si>
    <t>045686087310</t>
  </si>
  <si>
    <t>045686087303</t>
  </si>
  <si>
    <t>045686087297</t>
  </si>
  <si>
    <t>045686087280</t>
  </si>
  <si>
    <t>045686087273</t>
  </si>
  <si>
    <t>045686087266</t>
  </si>
  <si>
    <t>045686087235</t>
  </si>
  <si>
    <t>045686087228</t>
  </si>
  <si>
    <t>045686087211</t>
  </si>
  <si>
    <t>045686087204</t>
  </si>
  <si>
    <t>045686087198</t>
  </si>
  <si>
    <t>045686087181</t>
  </si>
  <si>
    <t>045686087174</t>
  </si>
  <si>
    <t>045686087167</t>
  </si>
  <si>
    <t>045686087150</t>
  </si>
  <si>
    <t>045686087143</t>
  </si>
  <si>
    <t>045686087136</t>
  </si>
  <si>
    <t>045686087129</t>
  </si>
  <si>
    <t>045686087112</t>
  </si>
  <si>
    <t>045686087105</t>
  </si>
  <si>
    <t>045686087099</t>
  </si>
  <si>
    <t>045686087082</t>
  </si>
  <si>
    <t>045686087075</t>
  </si>
  <si>
    <t>045686087068</t>
  </si>
  <si>
    <t>045686087051</t>
  </si>
  <si>
    <t>045686087044</t>
  </si>
  <si>
    <t>045686087037</t>
  </si>
  <si>
    <t>045686087020</t>
  </si>
  <si>
    <t>045686087013</t>
  </si>
  <si>
    <t>045686087006</t>
  </si>
  <si>
    <t>045686086993</t>
  </si>
  <si>
    <t>045686086986</t>
  </si>
  <si>
    <t>045686086979</t>
  </si>
  <si>
    <t>045686086962</t>
  </si>
  <si>
    <t>045686086955</t>
  </si>
  <si>
    <t>045686086948</t>
  </si>
  <si>
    <t>045686086931</t>
  </si>
  <si>
    <t>045686086924</t>
  </si>
  <si>
    <t>045686086917</t>
  </si>
  <si>
    <t>045686086900</t>
  </si>
  <si>
    <t>045686086894</t>
  </si>
  <si>
    <t>045686086887</t>
  </si>
  <si>
    <t>045686086870</t>
  </si>
  <si>
    <t>045686086863</t>
  </si>
  <si>
    <t>045686086856</t>
  </si>
  <si>
    <t>045686086849</t>
  </si>
  <si>
    <t>045686086832</t>
  </si>
  <si>
    <t>045686086825</t>
  </si>
  <si>
    <t>045686086818</t>
  </si>
  <si>
    <t>045686086801</t>
  </si>
  <si>
    <t>045686086795</t>
  </si>
  <si>
    <t>045686086788</t>
  </si>
  <si>
    <t>045686086771</t>
  </si>
  <si>
    <t>045686086764</t>
  </si>
  <si>
    <t>045686086757</t>
  </si>
  <si>
    <t>045686086740</t>
  </si>
  <si>
    <t>045686086733</t>
  </si>
  <si>
    <t>045686086726</t>
  </si>
  <si>
    <t>045686086719</t>
  </si>
  <si>
    <t>045686086702</t>
  </si>
  <si>
    <t>045686086696</t>
  </si>
  <si>
    <t>045686086689</t>
  </si>
  <si>
    <t>045686086672</t>
  </si>
  <si>
    <t>045686086665</t>
  </si>
  <si>
    <t>045686086658</t>
  </si>
  <si>
    <t>045686086641</t>
  </si>
  <si>
    <t>045686086634</t>
  </si>
  <si>
    <t>045686086627</t>
  </si>
  <si>
    <t>045686086610</t>
  </si>
  <si>
    <t>045686086603</t>
  </si>
  <si>
    <t>ED0853-000</t>
  </si>
  <si>
    <t>HVT-Z-152-G-T5</t>
  </si>
  <si>
    <t>MOD-3Z-CNTT-3</t>
  </si>
  <si>
    <t>EN5032-000</t>
  </si>
  <si>
    <t>MOD-3Z-CNTT</t>
  </si>
  <si>
    <t>EN5031-000</t>
  </si>
  <si>
    <t>MOD-3A-CNTT-3</t>
  </si>
  <si>
    <t>EN4682-000</t>
  </si>
  <si>
    <t>MOD-3A-CNTT</t>
  </si>
  <si>
    <t>EN4683-000</t>
  </si>
  <si>
    <t>CSJ-SR-3515</t>
  </si>
  <si>
    <t>EN7841-000</t>
  </si>
  <si>
    <t>CSJ-SR-3514</t>
  </si>
  <si>
    <t>EN7840-000</t>
  </si>
  <si>
    <t>CSJ-SR-3513</t>
  </si>
  <si>
    <t>EN7839-000</t>
  </si>
  <si>
    <t>TFT-3P-80R-3Z</t>
  </si>
  <si>
    <t>EN5677-000</t>
  </si>
  <si>
    <t>TFT-3P-80R-3A</t>
  </si>
  <si>
    <t>EN5600-000</t>
  </si>
  <si>
    <t>CSTI-3-284G</t>
  </si>
  <si>
    <t>EN7548-000</t>
  </si>
  <si>
    <t>CSTI-3-283G</t>
  </si>
  <si>
    <t>EN7547-000</t>
  </si>
  <si>
    <t>CSTI-3-154G-CL9</t>
  </si>
  <si>
    <t>EN6822-000</t>
  </si>
  <si>
    <t>CSTI-3-154G-CL8</t>
  </si>
  <si>
    <t>EN6821-000</t>
  </si>
  <si>
    <t>CSTI-3-153G-CL7</t>
  </si>
  <si>
    <t>EN6820-000</t>
  </si>
  <si>
    <t>CSTI-153HCG</t>
  </si>
  <si>
    <t>EN6482-000</t>
  </si>
  <si>
    <t>CSJU-1511-SB2-GC2</t>
  </si>
  <si>
    <t>EN6509-000</t>
  </si>
  <si>
    <t>EF8412-000</t>
  </si>
  <si>
    <t>EF8420-000</t>
  </si>
  <si>
    <t>CC38-50-SN-M12-DOUB</t>
  </si>
  <si>
    <t>CC92-106-SN-M12-DOUB</t>
  </si>
  <si>
    <t>045686087662</t>
  </si>
  <si>
    <t>045686087679</t>
  </si>
  <si>
    <t>045686087686</t>
  </si>
  <si>
    <t>045686087693</t>
  </si>
  <si>
    <t>045686087709</t>
  </si>
  <si>
    <t>045686087716</t>
  </si>
  <si>
    <t>045686087723</t>
  </si>
  <si>
    <t>045686087730</t>
  </si>
  <si>
    <t>045686087747</t>
  </si>
  <si>
    <t>045686087754</t>
  </si>
  <si>
    <t>045686087761</t>
  </si>
  <si>
    <t>045686087778</t>
  </si>
  <si>
    <t>045686087785</t>
  </si>
  <si>
    <t>045686087792</t>
  </si>
  <si>
    <t>045686087808</t>
  </si>
  <si>
    <t>ED0850-000</t>
  </si>
  <si>
    <t xml:space="preserve">968057N001        </t>
  </si>
  <si>
    <t xml:space="preserve">ED0850-000        </t>
  </si>
  <si>
    <t>60.96 x 10.16 x 10.16</t>
  </si>
  <si>
    <t>63.5 x 10.16 x 10.16</t>
  </si>
  <si>
    <t>64.77 x 10.16 x 10.16</t>
  </si>
  <si>
    <t>30 x 3.7 x 3.7</t>
  </si>
  <si>
    <t>045686087242</t>
  </si>
  <si>
    <t>Effective May 1, 2019</t>
  </si>
  <si>
    <t>045686050093</t>
  </si>
  <si>
    <t>045686085057</t>
  </si>
  <si>
    <t>045686066070</t>
  </si>
  <si>
    <t>045686084364</t>
  </si>
  <si>
    <t>045686084432</t>
  </si>
  <si>
    <t>045686084449</t>
  </si>
  <si>
    <t>045686084456</t>
  </si>
  <si>
    <t>045686084463</t>
  </si>
  <si>
    <t>045686084548</t>
  </si>
  <si>
    <t>045686084951</t>
  </si>
  <si>
    <t>045686085019</t>
  </si>
  <si>
    <t>045686085064</t>
  </si>
  <si>
    <t>045686085071</t>
  </si>
  <si>
    <t>045686085088</t>
  </si>
  <si>
    <t>045686087259</t>
  </si>
  <si>
    <t>045686050376</t>
  </si>
  <si>
    <t>968057N001</t>
  </si>
  <si>
    <t>045686069897</t>
  </si>
  <si>
    <t>045686084234</t>
  </si>
  <si>
    <t>045686084227</t>
  </si>
  <si>
    <t>045686085231</t>
  </si>
  <si>
    <t>045686085248</t>
  </si>
  <si>
    <t>045686085255</t>
  </si>
  <si>
    <t>045686085262</t>
  </si>
  <si>
    <t>045686085279</t>
  </si>
  <si>
    <t>045686085286</t>
  </si>
  <si>
    <t>045686085293</t>
  </si>
  <si>
    <t>045686085309</t>
  </si>
  <si>
    <t>045686085330</t>
  </si>
  <si>
    <t>045686085347</t>
  </si>
  <si>
    <t>045686085354</t>
  </si>
  <si>
    <t>045686085361</t>
  </si>
  <si>
    <t>045686085378</t>
  </si>
  <si>
    <t>045686085385</t>
  </si>
  <si>
    <t>045686085392</t>
  </si>
  <si>
    <t>045686085408</t>
  </si>
  <si>
    <t>045686085415</t>
  </si>
  <si>
    <t>045686085422</t>
  </si>
  <si>
    <t>045686085439</t>
  </si>
  <si>
    <t>045686085446</t>
  </si>
  <si>
    <t>045686085453</t>
  </si>
  <si>
    <t>045686085460</t>
  </si>
  <si>
    <t>045686087846</t>
  </si>
  <si>
    <t>045686087853</t>
  </si>
  <si>
    <t>715629500120</t>
  </si>
  <si>
    <t>715629500113</t>
  </si>
  <si>
    <t>715629500175</t>
  </si>
  <si>
    <t>715629500137</t>
  </si>
  <si>
    <t>715629500151</t>
  </si>
  <si>
    <t>045686087815</t>
  </si>
  <si>
    <t>045686087822</t>
  </si>
  <si>
    <t>045686087839</t>
  </si>
  <si>
    <t>Rec'd Resell Price</t>
  </si>
  <si>
    <t>Omni Cost May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</si>
</sst>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&quot;$&quot;#,##0.00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i/>
      <sz val="11"/>
      <name val="Arial"/>
      <family val="2"/>
    </font>
    <font>
      <b/>
      <i/>
      <sz val="11"/>
      <color rgb="FF0000FF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3">
    <xf numFmtId="0" fontId="0" fillId="0" borderId="0"/>
    <xf numFmtId="0" fontId="4" fillId="0" borderId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7" fillId="2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0" applyNumberFormat="0" applyBorder="0" applyAlignment="0" applyProtection="0"/>
    <xf numFmtId="0" fontId="14" fillId="28" borderId="5" applyNumberFormat="0" applyAlignment="0" applyProtection="0"/>
    <xf numFmtId="0" fontId="15" fillId="29" borderId="6" applyNumberFormat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30" borderId="0" applyNumberFormat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/>
    <xf numFmtId="0" fontId="22" fillId="31" borderId="5" applyNumberFormat="0" applyAlignment="0" applyProtection="0"/>
    <xf numFmtId="0" fontId="23" fillId="0" borderId="10" applyNumberFormat="0" applyFill="0" applyAlignment="0" applyProtection="0"/>
    <xf numFmtId="0" fontId="24" fillId="32" borderId="0" applyNumberFormat="0" applyBorder="0" applyAlignment="0" applyProtection="0"/>
    <xf numFmtId="0" fontId="11" fillId="0" borderId="0"/>
    <xf numFmtId="0" fontId="5" fillId="0" borderId="0"/>
    <xf numFmtId="0" fontId="4" fillId="0" borderId="0"/>
    <xf numFmtId="0" fontId="4" fillId="0" borderId="0"/>
    <xf numFmtId="0" fontId="25" fillId="28" borderId="12" applyNumberFormat="0" applyAlignment="0" applyProtection="0"/>
    <xf numFmtId="9" fontId="1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3" applyNumberFormat="0" applyFill="0" applyAlignment="0" applyProtection="0"/>
    <xf numFmtId="0" fontId="28" fillId="0" borderId="0" applyNumberFormat="0" applyFill="0" applyBorder="0" applyAlignment="0" applyProtection="0"/>
    <xf numFmtId="0" fontId="11" fillId="33" borderId="11" applyNumberFormat="0" applyFont="0" applyAlignment="0" applyProtection="0"/>
    <xf numFmtId="43" fontId="11" fillId="0" borderId="0" applyFont="0" applyFill="0" applyBorder="0" applyAlignment="0" applyProtection="0"/>
    <xf numFmtId="0" fontId="11" fillId="0" borderId="0"/>
    <xf numFmtId="0" fontId="3" fillId="0" borderId="0"/>
    <xf numFmtId="0" fontId="3" fillId="33" borderId="11" applyNumberFormat="0" applyFont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9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20" borderId="0" applyNumberFormat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33" borderId="11" applyNumberFormat="0" applyFont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9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20" borderId="0" applyNumberFormat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36" fillId="0" borderId="0" applyFont="0" applyFill="0" applyBorder="0" applyAlignment="0" applyProtection="0"/>
  </cellStyleXfs>
  <cellXfs count="187">
    <xf numFmtId="0" fontId="0" fillId="0" borderId="0" xfId="0"/>
    <xf numFmtId="0" fontId="4" fillId="0" borderId="0" xfId="0" applyNumberFormat="1" applyFont="1" applyFill="1" applyBorder="1" applyAlignment="1" applyProtection="1">
      <alignment horizontal="left"/>
      <protection locked="0"/>
    </xf>
    <xf numFmtId="0" fontId="4" fillId="0" borderId="0" xfId="0" applyNumberFormat="1" applyFont="1" applyFill="1"/>
    <xf numFmtId="49" fontId="4" fillId="0" borderId="0" xfId="0" applyNumberFormat="1" applyFont="1" applyFill="1" applyAlignment="1">
      <alignment horizontal="left"/>
    </xf>
    <xf numFmtId="38" fontId="4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center"/>
    </xf>
    <xf numFmtId="0" fontId="4" fillId="0" borderId="0" xfId="0" applyNumberFormat="1" applyFont="1" applyFill="1" applyAlignment="1">
      <alignment horizontal="right"/>
    </xf>
    <xf numFmtId="0" fontId="4" fillId="0" borderId="2" xfId="0" applyNumberFormat="1" applyFont="1" applyFill="1" applyBorder="1" applyAlignment="1">
      <alignment horizontal="left"/>
    </xf>
    <xf numFmtId="0" fontId="4" fillId="0" borderId="1" xfId="0" applyNumberFormat="1" applyFont="1" applyFill="1" applyBorder="1" applyAlignment="1">
      <alignment horizontal="left"/>
    </xf>
    <xf numFmtId="0" fontId="4" fillId="0" borderId="1" xfId="0" applyNumberFormat="1" applyFont="1" applyFill="1" applyBorder="1" applyAlignment="1"/>
    <xf numFmtId="0" fontId="4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/>
    <xf numFmtId="0" fontId="10" fillId="0" borderId="1" xfId="45" applyNumberFormat="1" applyFont="1" applyFill="1" applyBorder="1" applyAlignment="1" applyProtection="1"/>
    <xf numFmtId="0" fontId="4" fillId="0" borderId="1" xfId="0" applyNumberFormat="1" applyFont="1" applyFill="1" applyBorder="1" applyAlignment="1">
      <alignment horizontal="left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left"/>
    </xf>
    <xf numFmtId="0" fontId="4" fillId="0" borderId="1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wrapText="1"/>
    </xf>
    <xf numFmtId="8" fontId="4" fillId="0" borderId="1" xfId="34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right" wrapText="1"/>
    </xf>
    <xf numFmtId="0" fontId="4" fillId="0" borderId="2" xfId="0" applyNumberFormat="1" applyFont="1" applyFill="1" applyBorder="1" applyAlignment="1">
      <alignment horizontal="left" wrapText="1"/>
    </xf>
    <xf numFmtId="0" fontId="4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/>
    <xf numFmtId="0" fontId="10" fillId="0" borderId="1" xfId="45" applyNumberFormat="1" applyFont="1" applyFill="1" applyBorder="1" applyAlignment="1" applyProtection="1">
      <alignment horizontal="left"/>
    </xf>
    <xf numFmtId="0" fontId="4" fillId="0" borderId="1" xfId="0" applyFont="1" applyFill="1" applyBorder="1"/>
    <xf numFmtId="0" fontId="10" fillId="0" borderId="1" xfId="45" applyNumberFormat="1" applyFont="1" applyFill="1" applyBorder="1" applyAlignment="1" applyProtection="1">
      <alignment horizontal="left" vertical="center"/>
    </xf>
    <xf numFmtId="0" fontId="4" fillId="0" borderId="1" xfId="45" applyNumberFormat="1" applyFont="1" applyFill="1" applyBorder="1" applyAlignment="1" applyProtection="1">
      <alignment horizontal="left"/>
    </xf>
    <xf numFmtId="49" fontId="4" fillId="0" borderId="0" xfId="0" applyNumberFormat="1" applyFont="1" applyFill="1" applyAlignment="1"/>
    <xf numFmtId="8" fontId="4" fillId="0" borderId="0" xfId="34" applyNumberFormat="1" applyFont="1" applyFill="1" applyAlignment="1">
      <alignment horizontal="right"/>
    </xf>
    <xf numFmtId="8" fontId="29" fillId="0" borderId="0" xfId="34" applyNumberFormat="1" applyFont="1" applyFill="1" applyAlignment="1">
      <alignment horizontal="right"/>
    </xf>
    <xf numFmtId="0" fontId="6" fillId="0" borderId="0" xfId="45" applyNumberFormat="1" applyFont="1" applyFill="1" applyAlignment="1" applyProtection="1"/>
    <xf numFmtId="0" fontId="4" fillId="0" borderId="0" xfId="0" applyNumberFormat="1" applyFont="1" applyFill="1" applyBorder="1" applyAlignment="1" applyProtection="1">
      <alignment horizontal="center"/>
      <protection locked="0"/>
    </xf>
    <xf numFmtId="49" fontId="4" fillId="0" borderId="1" xfId="0" applyNumberFormat="1" applyFont="1" applyFill="1" applyBorder="1" applyAlignment="1">
      <alignment wrapText="1"/>
    </xf>
    <xf numFmtId="8" fontId="4" fillId="0" borderId="1" xfId="34" applyNumberFormat="1" applyFont="1" applyFill="1" applyBorder="1" applyAlignment="1">
      <alignment horizontal="right"/>
    </xf>
    <xf numFmtId="38" fontId="4" fillId="0" borderId="1" xfId="0" applyNumberFormat="1" applyFont="1" applyFill="1" applyBorder="1" applyAlignment="1">
      <alignment wrapText="1"/>
    </xf>
    <xf numFmtId="0" fontId="4" fillId="0" borderId="1" xfId="0" applyFont="1" applyFill="1" applyBorder="1" applyAlignment="1">
      <alignment horizontal="left"/>
    </xf>
    <xf numFmtId="0" fontId="4" fillId="0" borderId="1" xfId="0" quotePrefix="1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vertical="center"/>
    </xf>
    <xf numFmtId="0" fontId="4" fillId="0" borderId="1" xfId="45" applyFont="1" applyFill="1" applyBorder="1" applyAlignment="1" applyProtection="1"/>
    <xf numFmtId="0" fontId="4" fillId="0" borderId="1" xfId="0" applyFont="1" applyFill="1" applyBorder="1" applyAlignment="1"/>
    <xf numFmtId="49" fontId="4" fillId="0" borderId="1" xfId="0" applyNumberFormat="1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wrapText="1"/>
    </xf>
    <xf numFmtId="49" fontId="9" fillId="0" borderId="1" xfId="0" applyNumberFormat="1" applyFont="1" applyFill="1" applyBorder="1" applyAlignment="1">
      <alignment wrapText="1"/>
    </xf>
    <xf numFmtId="0" fontId="9" fillId="0" borderId="1" xfId="0" applyNumberFormat="1" applyFont="1" applyFill="1" applyBorder="1" applyAlignment="1">
      <alignment horizontal="left" wrapText="1"/>
    </xf>
    <xf numFmtId="0" fontId="9" fillId="0" borderId="1" xfId="0" applyNumberFormat="1" applyFont="1" applyFill="1" applyBorder="1" applyAlignment="1">
      <alignment horizontal="right" wrapText="1"/>
    </xf>
    <xf numFmtId="0" fontId="9" fillId="0" borderId="1" xfId="0" applyNumberFormat="1" applyFont="1" applyFill="1" applyBorder="1" applyAlignment="1"/>
    <xf numFmtId="49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wrapText="1"/>
    </xf>
    <xf numFmtId="49" fontId="4" fillId="0" borderId="0" xfId="0" applyNumberFormat="1" applyFont="1" applyFill="1" applyBorder="1" applyAlignment="1">
      <alignment horizontal="left"/>
    </xf>
    <xf numFmtId="49" fontId="4" fillId="0" borderId="0" xfId="0" applyNumberFormat="1" applyFont="1" applyFill="1" applyBorder="1" applyAlignment="1"/>
    <xf numFmtId="8" fontId="4" fillId="0" borderId="0" xfId="34" applyNumberFormat="1" applyFont="1" applyFill="1" applyBorder="1" applyAlignment="1">
      <alignment horizontal="right"/>
    </xf>
    <xf numFmtId="8" fontId="29" fillId="0" borderId="0" xfId="34" applyNumberFormat="1" applyFont="1" applyFill="1" applyBorder="1" applyAlignment="1">
      <alignment horizontal="right"/>
    </xf>
    <xf numFmtId="0" fontId="6" fillId="0" borderId="0" xfId="45" applyNumberFormat="1" applyFont="1" applyFill="1" applyBorder="1" applyAlignment="1" applyProtection="1"/>
    <xf numFmtId="0" fontId="30" fillId="34" borderId="3" xfId="0" applyNumberFormat="1" applyFont="1" applyFill="1" applyBorder="1" applyAlignment="1">
      <alignment wrapText="1"/>
    </xf>
    <xf numFmtId="0" fontId="30" fillId="34" borderId="3" xfId="0" applyNumberFormat="1" applyFont="1" applyFill="1" applyBorder="1" applyAlignment="1"/>
    <xf numFmtId="0" fontId="31" fillId="34" borderId="3" xfId="45" applyNumberFormat="1" applyFont="1" applyFill="1" applyBorder="1" applyAlignment="1" applyProtection="1"/>
    <xf numFmtId="0" fontId="30" fillId="0" borderId="0" xfId="0" applyNumberFormat="1" applyFont="1" applyFill="1" applyBorder="1" applyAlignment="1" applyProtection="1">
      <protection locked="0"/>
    </xf>
    <xf numFmtId="0" fontId="4" fillId="0" borderId="0" xfId="0" applyNumberFormat="1" applyFont="1" applyFill="1" applyBorder="1" applyAlignment="1" applyProtection="1">
      <protection locked="0"/>
    </xf>
    <xf numFmtId="0" fontId="4" fillId="0" borderId="0" xfId="0" applyNumberFormat="1" applyFont="1" applyFill="1" applyBorder="1" applyAlignment="1" applyProtection="1">
      <alignment horizontal="center" vertical="center"/>
      <protection locked="0"/>
    </xf>
    <xf numFmtId="0" fontId="33" fillId="0" borderId="0" xfId="0" applyFont="1" applyFill="1" applyAlignment="1">
      <alignment horizontal="left"/>
    </xf>
    <xf numFmtId="0" fontId="32" fillId="0" borderId="0" xfId="0" applyFont="1" applyFill="1" applyAlignment="1">
      <alignment horizontal="left"/>
    </xf>
    <xf numFmtId="0" fontId="33" fillId="0" borderId="0" xfId="0" applyFont="1" applyFill="1" applyBorder="1" applyAlignment="1">
      <alignment horizontal="left"/>
    </xf>
    <xf numFmtId="0" fontId="30" fillId="34" borderId="4" xfId="0" applyNumberFormat="1" applyFont="1" applyFill="1" applyBorder="1" applyAlignment="1">
      <alignment wrapText="1"/>
    </xf>
    <xf numFmtId="0" fontId="29" fillId="0" borderId="0" xfId="0" applyNumberFormat="1" applyFont="1" applyFill="1" applyAlignment="1">
      <alignment horizontal="left"/>
    </xf>
    <xf numFmtId="0" fontId="29" fillId="0" borderId="0" xfId="0" applyNumberFormat="1" applyFont="1" applyFill="1" applyBorder="1" applyAlignment="1">
      <alignment horizontal="left"/>
    </xf>
    <xf numFmtId="0" fontId="31" fillId="0" borderId="1" xfId="45" applyNumberFormat="1" applyFont="1" applyFill="1" applyBorder="1" applyAlignment="1" applyProtection="1">
      <alignment horizontal="left" wrapText="1"/>
    </xf>
    <xf numFmtId="38" fontId="4" fillId="0" borderId="1" xfId="0" applyNumberFormat="1" applyFont="1" applyFill="1" applyBorder="1" applyAlignment="1">
      <alignment horizontal="center"/>
    </xf>
    <xf numFmtId="0" fontId="6" fillId="0" borderId="1" xfId="45" applyNumberFormat="1" applyFont="1" applyFill="1" applyBorder="1" applyAlignment="1" applyProtection="1"/>
    <xf numFmtId="0" fontId="10" fillId="0" borderId="0" xfId="45" applyNumberFormat="1" applyFont="1" applyFill="1" applyBorder="1" applyAlignment="1" applyProtection="1">
      <alignment horizontal="left"/>
    </xf>
    <xf numFmtId="0" fontId="4" fillId="0" borderId="0" xfId="0" applyNumberFormat="1" applyFont="1" applyFill="1" applyBorder="1" applyAlignment="1">
      <alignment horizontal="left" wrapText="1"/>
    </xf>
    <xf numFmtId="49" fontId="34" fillId="0" borderId="1" xfId="0" applyNumberFormat="1" applyFont="1" applyFill="1" applyBorder="1" applyAlignment="1">
      <alignment horizontal="left"/>
    </xf>
    <xf numFmtId="0" fontId="30" fillId="34" borderId="14" xfId="0" applyNumberFormat="1" applyFont="1" applyFill="1" applyBorder="1" applyAlignment="1">
      <alignment wrapText="1"/>
    </xf>
    <xf numFmtId="0" fontId="35" fillId="32" borderId="1" xfId="49" applyNumberFormat="1" applyFont="1" applyBorder="1" applyAlignment="1">
      <alignment horizontal="left" wrapText="1"/>
    </xf>
    <xf numFmtId="0" fontId="35" fillId="32" borderId="1" xfId="49" applyNumberFormat="1" applyFont="1" applyBorder="1" applyAlignment="1"/>
    <xf numFmtId="0" fontId="4" fillId="0" borderId="0" xfId="0" applyNumberFormat="1" applyFont="1" applyFill="1" applyBorder="1" applyAlignment="1">
      <alignment wrapText="1"/>
    </xf>
    <xf numFmtId="0" fontId="35" fillId="32" borderId="1" xfId="49" applyNumberFormat="1" applyFont="1" applyBorder="1" applyAlignment="1">
      <alignment horizontal="left"/>
    </xf>
    <xf numFmtId="0" fontId="35" fillId="32" borderId="1" xfId="49" applyNumberFormat="1" applyFont="1" applyBorder="1"/>
    <xf numFmtId="0" fontId="2" fillId="5" borderId="1" xfId="95" applyNumberFormat="1" applyBorder="1" applyAlignment="1">
      <alignment wrapText="1"/>
    </xf>
    <xf numFmtId="0" fontId="2" fillId="5" borderId="1" xfId="95" applyNumberFormat="1" applyBorder="1"/>
    <xf numFmtId="0" fontId="2" fillId="5" borderId="1" xfId="95" applyNumberFormat="1" applyBorder="1" applyAlignment="1">
      <alignment horizontal="left"/>
    </xf>
    <xf numFmtId="38" fontId="2" fillId="5" borderId="1" xfId="95" applyNumberFormat="1" applyBorder="1" applyAlignment="1">
      <alignment wrapText="1"/>
    </xf>
    <xf numFmtId="0" fontId="2" fillId="5" borderId="1" xfId="95" applyNumberFormat="1" applyBorder="1" applyAlignment="1">
      <alignment horizontal="right" wrapText="1"/>
    </xf>
    <xf numFmtId="0" fontId="2" fillId="5" borderId="1" xfId="95" applyNumberFormat="1" applyBorder="1" applyAlignment="1">
      <alignment horizontal="left" wrapText="1"/>
    </xf>
    <xf numFmtId="0" fontId="2" fillId="5" borderId="1" xfId="95" applyNumberFormat="1" applyBorder="1" applyAlignment="1"/>
    <xf numFmtId="0" fontId="2" fillId="5" borderId="0" xfId="95" applyNumberFormat="1" applyBorder="1" applyAlignment="1" applyProtection="1">
      <protection locked="0"/>
    </xf>
    <xf numFmtId="0" fontId="2" fillId="5" borderId="0" xfId="95" applyNumberFormat="1" applyBorder="1" applyAlignment="1" applyProtection="1">
      <alignment horizontal="center"/>
      <protection locked="0"/>
    </xf>
    <xf numFmtId="0" fontId="2" fillId="5" borderId="0" xfId="95" applyNumberFormat="1" applyBorder="1" applyAlignment="1" applyProtection="1">
      <alignment horizontal="center" vertical="center"/>
      <protection locked="0"/>
    </xf>
    <xf numFmtId="0" fontId="4" fillId="0" borderId="1" xfId="0" applyNumberFormat="1" applyFont="1" applyFill="1" applyBorder="1" applyAlignment="1" applyProtection="1">
      <protection locked="0"/>
    </xf>
    <xf numFmtId="0" fontId="2" fillId="5" borderId="1" xfId="95" applyNumberFormat="1" applyBorder="1" applyAlignment="1">
      <alignment horizontal="center"/>
    </xf>
    <xf numFmtId="0" fontId="3" fillId="10" borderId="0" xfId="68" applyNumberFormat="1" applyBorder="1" applyAlignment="1" applyProtection="1">
      <alignment horizontal="center"/>
      <protection locked="0"/>
    </xf>
    <xf numFmtId="165" fontId="2" fillId="5" borderId="1" xfId="95" applyNumberFormat="1" applyBorder="1" applyAlignment="1" applyProtection="1">
      <alignment horizontal="center"/>
      <protection locked="0"/>
    </xf>
    <xf numFmtId="0" fontId="35" fillId="32" borderId="1" xfId="49" applyNumberFormat="1" applyFont="1" applyBorder="1" applyAlignment="1">
      <alignment horizontal="center"/>
    </xf>
    <xf numFmtId="0" fontId="11" fillId="6" borderId="1" xfId="5" applyNumberFormat="1" applyBorder="1" applyAlignment="1">
      <alignment wrapText="1"/>
    </xf>
    <xf numFmtId="0" fontId="11" fillId="6" borderId="2" xfId="5" applyNumberFormat="1" applyBorder="1" applyAlignment="1">
      <alignment wrapText="1"/>
    </xf>
    <xf numFmtId="0" fontId="11" fillId="6" borderId="1" xfId="5" applyNumberFormat="1" applyBorder="1" applyAlignment="1">
      <alignment horizontal="left"/>
    </xf>
    <xf numFmtId="38" fontId="11" fillId="6" borderId="1" xfId="5" applyNumberFormat="1" applyBorder="1" applyAlignment="1">
      <alignment wrapText="1"/>
    </xf>
    <xf numFmtId="0" fontId="11" fillId="6" borderId="2" xfId="5" applyNumberFormat="1" applyBorder="1" applyAlignment="1">
      <alignment horizontal="left" wrapText="1"/>
    </xf>
    <xf numFmtId="0" fontId="11" fillId="6" borderId="1" xfId="5" applyNumberFormat="1" applyBorder="1" applyAlignment="1">
      <alignment horizontal="right" wrapText="1"/>
    </xf>
    <xf numFmtId="0" fontId="11" fillId="6" borderId="1" xfId="5" applyNumberFormat="1" applyBorder="1" applyAlignment="1">
      <alignment horizontal="left" wrapText="1"/>
    </xf>
    <xf numFmtId="0" fontId="11" fillId="6" borderId="1" xfId="5" applyNumberFormat="1" applyBorder="1" applyAlignment="1"/>
    <xf numFmtId="0" fontId="11" fillId="6" borderId="1" xfId="5" applyNumberFormat="1" applyBorder="1"/>
    <xf numFmtId="0" fontId="11" fillId="6" borderId="2" xfId="5" applyNumberFormat="1" applyBorder="1" applyAlignment="1">
      <alignment horizontal="left"/>
    </xf>
    <xf numFmtId="0" fontId="11" fillId="6" borderId="2" xfId="5" applyNumberFormat="1" applyBorder="1" applyAlignment="1"/>
    <xf numFmtId="0" fontId="11" fillId="6" borderId="2" xfId="5" applyNumberFormat="1" applyBorder="1"/>
    <xf numFmtId="0" fontId="35" fillId="32" borderId="1" xfId="49" applyNumberFormat="1" applyFont="1" applyBorder="1" applyAlignment="1" applyProtection="1"/>
    <xf numFmtId="0" fontId="35" fillId="32" borderId="1" xfId="49" applyNumberFormat="1" applyFont="1" applyBorder="1" applyAlignment="1">
      <alignment wrapText="1"/>
    </xf>
    <xf numFmtId="0" fontId="11" fillId="6" borderId="2" xfId="5" applyNumberFormat="1" applyBorder="1" applyAlignment="1" applyProtection="1"/>
    <xf numFmtId="0" fontId="11" fillId="6" borderId="1" xfId="5" applyNumberFormat="1" applyBorder="1" applyAlignment="1" applyProtection="1">
      <alignment horizontal="left"/>
    </xf>
    <xf numFmtId="0" fontId="11" fillId="6" borderId="1" xfId="5" applyNumberFormat="1" applyBorder="1" applyAlignment="1" applyProtection="1"/>
    <xf numFmtId="0" fontId="11" fillId="6" borderId="15" xfId="5" applyNumberFormat="1" applyBorder="1" applyAlignment="1"/>
    <xf numFmtId="0" fontId="11" fillId="6" borderId="16" xfId="5" applyNumberFormat="1" applyBorder="1" applyAlignment="1"/>
    <xf numFmtId="0" fontId="11" fillId="6" borderId="16" xfId="5" applyNumberFormat="1" applyBorder="1" applyAlignment="1">
      <alignment wrapText="1"/>
    </xf>
    <xf numFmtId="0" fontId="2" fillId="5" borderId="16" xfId="95" applyNumberFormat="1" applyBorder="1" applyAlignment="1">
      <alignment wrapText="1"/>
    </xf>
    <xf numFmtId="0" fontId="2" fillId="5" borderId="16" xfId="95" applyNumberFormat="1" applyBorder="1" applyAlignment="1"/>
    <xf numFmtId="0" fontId="35" fillId="32" borderId="16" xfId="49" applyNumberFormat="1" applyFont="1" applyBorder="1"/>
    <xf numFmtId="0" fontId="4" fillId="0" borderId="16" xfId="0" applyNumberFormat="1" applyFont="1" applyFill="1" applyBorder="1" applyAlignment="1"/>
    <xf numFmtId="0" fontId="4" fillId="0" borderId="16" xfId="0" applyNumberFormat="1" applyFont="1" applyFill="1" applyBorder="1" applyAlignment="1">
      <alignment wrapText="1"/>
    </xf>
    <xf numFmtId="0" fontId="4" fillId="0" borderId="15" xfId="0" applyNumberFormat="1" applyFont="1" applyFill="1" applyBorder="1" applyAlignment="1"/>
    <xf numFmtId="0" fontId="30" fillId="34" borderId="1" xfId="0" applyNumberFormat="1" applyFont="1" applyFill="1" applyBorder="1" applyAlignment="1">
      <alignment wrapText="1"/>
    </xf>
    <xf numFmtId="0" fontId="30" fillId="34" borderId="1" xfId="0" applyNumberFormat="1" applyFont="1" applyFill="1" applyBorder="1" applyAlignment="1">
      <alignment horizontal="center" wrapText="1"/>
    </xf>
    <xf numFmtId="49" fontId="30" fillId="34" borderId="1" xfId="0" applyNumberFormat="1" applyFont="1" applyFill="1" applyBorder="1" applyAlignment="1">
      <alignment wrapText="1"/>
    </xf>
    <xf numFmtId="0" fontId="30" fillId="34" borderId="1" xfId="0" applyNumberFormat="1" applyFont="1" applyFill="1" applyBorder="1" applyAlignment="1">
      <alignment horizontal="left" wrapText="1"/>
    </xf>
    <xf numFmtId="8" fontId="30" fillId="34" borderId="1" xfId="34" applyNumberFormat="1" applyFont="1" applyFill="1" applyBorder="1" applyAlignment="1">
      <alignment wrapText="1"/>
    </xf>
    <xf numFmtId="38" fontId="30" fillId="34" borderId="1" xfId="0" applyNumberFormat="1" applyFont="1" applyFill="1" applyBorder="1" applyAlignment="1">
      <alignment wrapText="1"/>
    </xf>
    <xf numFmtId="0" fontId="30" fillId="34" borderId="1" xfId="0" applyNumberFormat="1" applyFont="1" applyFill="1" applyBorder="1" applyAlignment="1">
      <alignment horizontal="right" wrapText="1"/>
    </xf>
    <xf numFmtId="0" fontId="11" fillId="6" borderId="1" xfId="5" applyNumberFormat="1" applyBorder="1" applyAlignment="1">
      <alignment horizontal="center" wrapText="1"/>
    </xf>
    <xf numFmtId="0" fontId="11" fillId="6" borderId="1" xfId="5" applyNumberFormat="1" applyBorder="1" applyAlignment="1" applyProtection="1">
      <alignment horizontal="left" wrapText="1"/>
    </xf>
    <xf numFmtId="0" fontId="11" fillId="6" borderId="1" xfId="5" applyNumberFormat="1" applyBorder="1" applyAlignment="1" applyProtection="1">
      <protection locked="0"/>
    </xf>
    <xf numFmtId="165" fontId="11" fillId="6" borderId="1" xfId="5" applyNumberFormat="1" applyBorder="1" applyAlignment="1" applyProtection="1">
      <protection locked="0"/>
    </xf>
    <xf numFmtId="165" fontId="11" fillId="6" borderId="1" xfId="5" applyNumberFormat="1" applyBorder="1" applyAlignment="1" applyProtection="1">
      <alignment horizontal="center"/>
      <protection locked="0"/>
    </xf>
    <xf numFmtId="49" fontId="1" fillId="6" borderId="1" xfId="5" applyNumberFormat="1" applyFont="1" applyBorder="1" applyAlignment="1" applyProtection="1">
      <protection locked="0"/>
    </xf>
    <xf numFmtId="49" fontId="11" fillId="6" borderId="1" xfId="5" applyNumberFormat="1" applyBorder="1" applyAlignment="1">
      <alignment wrapText="1"/>
    </xf>
    <xf numFmtId="44" fontId="11" fillId="6" borderId="1" xfId="5" applyNumberFormat="1" applyBorder="1" applyAlignment="1" applyProtection="1">
      <alignment horizontal="center"/>
      <protection locked="0"/>
    </xf>
    <xf numFmtId="0" fontId="2" fillId="5" borderId="1" xfId="95" applyNumberFormat="1" applyBorder="1" applyAlignment="1">
      <alignment horizontal="center" wrapText="1"/>
    </xf>
    <xf numFmtId="0" fontId="2" fillId="5" borderId="1" xfId="95" applyNumberFormat="1" applyBorder="1" applyAlignment="1" applyProtection="1">
      <alignment horizontal="left" wrapText="1"/>
    </xf>
    <xf numFmtId="49" fontId="2" fillId="5" borderId="1" xfId="95" applyNumberFormat="1" applyBorder="1" applyAlignment="1">
      <alignment wrapText="1"/>
    </xf>
    <xf numFmtId="0" fontId="35" fillId="32" borderId="1" xfId="49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wrapText="1"/>
    </xf>
    <xf numFmtId="49" fontId="4" fillId="0" borderId="1" xfId="0" applyNumberFormat="1" applyFont="1" applyFill="1" applyBorder="1" applyAlignment="1" applyProtection="1">
      <protection locked="0"/>
    </xf>
    <xf numFmtId="49" fontId="4" fillId="0" borderId="1" xfId="0" applyNumberFormat="1" applyFont="1" applyFill="1" applyBorder="1" applyAlignment="1" applyProtection="1">
      <alignment horizontal="left"/>
      <protection locked="0"/>
    </xf>
    <xf numFmtId="0" fontId="6" fillId="0" borderId="1" xfId="45" applyNumberFormat="1" applyFill="1" applyBorder="1" applyAlignment="1" applyProtection="1">
      <alignment horizontal="left" wrapText="1"/>
    </xf>
    <xf numFmtId="0" fontId="11" fillId="6" borderId="1" xfId="5" applyNumberFormat="1" applyBorder="1" applyAlignment="1">
      <alignment horizontal="center"/>
    </xf>
    <xf numFmtId="0" fontId="9" fillId="0" borderId="1" xfId="0" applyNumberFormat="1" applyFont="1" applyFill="1" applyBorder="1" applyAlignment="1">
      <alignment horizontal="center" wrapText="1"/>
    </xf>
    <xf numFmtId="0" fontId="4" fillId="0" borderId="1" xfId="0" quotePrefix="1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35" fillId="35" borderId="1" xfId="49" applyNumberFormat="1" applyFont="1" applyFill="1" applyBorder="1" applyAlignment="1">
      <alignment horizontal="left"/>
    </xf>
    <xf numFmtId="49" fontId="35" fillId="35" borderId="1" xfId="49" applyNumberFormat="1" applyFont="1" applyFill="1" applyBorder="1" applyAlignment="1">
      <alignment horizontal="left"/>
    </xf>
    <xf numFmtId="0" fontId="35" fillId="35" borderId="1" xfId="49" applyNumberFormat="1" applyFont="1" applyFill="1" applyBorder="1" applyAlignment="1" applyProtection="1">
      <alignment horizontal="left" wrapText="1"/>
    </xf>
    <xf numFmtId="0" fontId="35" fillId="35" borderId="1" xfId="49" applyNumberFormat="1" applyFont="1" applyFill="1" applyBorder="1" applyAlignment="1" applyProtection="1">
      <protection locked="0"/>
    </xf>
    <xf numFmtId="0" fontId="35" fillId="35" borderId="1" xfId="49" applyNumberFormat="1" applyFont="1" applyFill="1" applyBorder="1" applyAlignment="1">
      <alignment horizontal="center"/>
    </xf>
    <xf numFmtId="8" fontId="35" fillId="35" borderId="1" xfId="49" applyNumberFormat="1" applyFont="1" applyFill="1" applyBorder="1" applyAlignment="1">
      <alignment horizontal="right"/>
    </xf>
    <xf numFmtId="38" fontId="35" fillId="35" borderId="1" xfId="49" applyNumberFormat="1" applyFont="1" applyFill="1" applyBorder="1" applyAlignment="1">
      <alignment horizontal="center"/>
    </xf>
    <xf numFmtId="0" fontId="35" fillId="35" borderId="1" xfId="49" applyNumberFormat="1" applyFont="1" applyFill="1" applyBorder="1" applyAlignment="1">
      <alignment horizontal="right"/>
    </xf>
    <xf numFmtId="0" fontId="35" fillId="35" borderId="1" xfId="49" applyNumberFormat="1" applyFont="1" applyFill="1" applyBorder="1" applyAlignment="1" applyProtection="1">
      <alignment horizontal="left"/>
      <protection locked="0"/>
    </xf>
    <xf numFmtId="49" fontId="35" fillId="35" borderId="1" xfId="49" applyNumberFormat="1" applyFont="1" applyFill="1" applyBorder="1" applyAlignment="1" applyProtection="1">
      <protection locked="0"/>
    </xf>
    <xf numFmtId="0" fontId="35" fillId="35" borderId="1" xfId="49" applyFont="1" applyFill="1" applyBorder="1" applyAlignment="1">
      <alignment horizontal="center"/>
    </xf>
    <xf numFmtId="0" fontId="35" fillId="35" borderId="1" xfId="49" applyNumberFormat="1" applyFont="1" applyFill="1" applyBorder="1" applyAlignment="1">
      <alignment horizontal="center" wrapText="1"/>
    </xf>
    <xf numFmtId="49" fontId="35" fillId="35" borderId="1" xfId="49" applyNumberFormat="1" applyFont="1" applyFill="1" applyBorder="1" applyAlignment="1" applyProtection="1">
      <alignment horizontal="left"/>
      <protection locked="0"/>
    </xf>
    <xf numFmtId="0" fontId="35" fillId="35" borderId="1" xfId="49" applyNumberFormat="1" applyFont="1" applyFill="1" applyBorder="1" applyAlignment="1" applyProtection="1">
      <alignment horizontal="center"/>
      <protection locked="0"/>
    </xf>
    <xf numFmtId="0" fontId="35" fillId="35" borderId="1" xfId="49" applyFont="1" applyFill="1" applyBorder="1" applyAlignment="1">
      <alignment vertical="center"/>
    </xf>
    <xf numFmtId="8" fontId="35" fillId="35" borderId="1" xfId="49" applyNumberFormat="1" applyFont="1" applyFill="1" applyBorder="1"/>
    <xf numFmtId="165" fontId="35" fillId="35" borderId="1" xfId="49" applyNumberFormat="1" applyFont="1" applyFill="1" applyBorder="1"/>
    <xf numFmtId="0" fontId="35" fillId="35" borderId="1" xfId="49" applyFont="1" applyFill="1" applyBorder="1"/>
    <xf numFmtId="0" fontId="35" fillId="0" borderId="0" xfId="49" applyNumberFormat="1" applyFont="1" applyFill="1" applyBorder="1" applyAlignment="1" applyProtection="1">
      <alignment horizontal="center"/>
      <protection locked="0"/>
    </xf>
    <xf numFmtId="49" fontId="35" fillId="0" borderId="1" xfId="49" applyNumberFormat="1" applyFont="1" applyFill="1" applyBorder="1" applyAlignment="1" applyProtection="1">
      <protection locked="0"/>
    </xf>
    <xf numFmtId="44" fontId="4" fillId="0" borderId="0" xfId="34" applyFont="1" applyFill="1" applyBorder="1" applyAlignment="1" applyProtection="1">
      <alignment horizontal="center"/>
      <protection locked="0"/>
    </xf>
    <xf numFmtId="44" fontId="30" fillId="35" borderId="3" xfId="34" applyFont="1" applyFill="1" applyBorder="1" applyAlignment="1">
      <alignment horizontal="center" wrapText="1"/>
    </xf>
    <xf numFmtId="44" fontId="30" fillId="36" borderId="3" xfId="34" applyFont="1" applyFill="1" applyBorder="1" applyAlignment="1">
      <alignment horizontal="center" wrapText="1"/>
    </xf>
    <xf numFmtId="44" fontId="4" fillId="0" borderId="0" xfId="34" applyFont="1" applyFill="1" applyBorder="1" applyAlignment="1" applyProtection="1">
      <protection locked="0"/>
    </xf>
    <xf numFmtId="0" fontId="35" fillId="32" borderId="16" xfId="49" applyFont="1" applyBorder="1"/>
    <xf numFmtId="0" fontId="35" fillId="32" borderId="0" xfId="49" applyNumberFormat="1" applyFont="1" applyBorder="1"/>
    <xf numFmtId="0" fontId="35" fillId="32" borderId="1" xfId="49" applyFont="1" applyBorder="1"/>
    <xf numFmtId="0" fontId="35" fillId="32" borderId="0" xfId="49" applyNumberFormat="1" applyFont="1" applyBorder="1" applyAlignment="1">
      <alignment horizontal="left"/>
    </xf>
    <xf numFmtId="0" fontId="35" fillId="32" borderId="1" xfId="49" applyFont="1" applyBorder="1" applyAlignment="1">
      <alignment vertical="center"/>
    </xf>
    <xf numFmtId="0" fontId="31" fillId="35" borderId="1" xfId="45" applyNumberFormat="1" applyFont="1" applyFill="1" applyBorder="1" applyAlignment="1" applyProtection="1">
      <alignment horizontal="left" wrapText="1"/>
    </xf>
    <xf numFmtId="49" fontId="4" fillId="35" borderId="1" xfId="0" applyNumberFormat="1" applyFont="1" applyFill="1" applyBorder="1" applyAlignment="1" applyProtection="1">
      <alignment horizontal="left"/>
      <protection locked="0"/>
    </xf>
    <xf numFmtId="8" fontId="4" fillId="0" borderId="0" xfId="34" applyNumberFormat="1" applyFont="1" applyFill="1" applyBorder="1" applyAlignment="1" applyProtection="1">
      <protection locked="0"/>
    </xf>
    <xf numFmtId="8" fontId="4" fillId="0" borderId="0" xfId="0" applyNumberFormat="1" applyFont="1" applyFill="1" applyBorder="1" applyAlignment="1" applyProtection="1">
      <alignment horizontal="center"/>
      <protection locked="0"/>
    </xf>
    <xf numFmtId="0" fontId="35" fillId="32" borderId="0" xfId="49" applyFont="1" applyBorder="1"/>
    <xf numFmtId="0" fontId="35" fillId="32" borderId="0" xfId="49" applyFont="1" applyBorder="1" applyAlignment="1">
      <alignment vertical="center"/>
    </xf>
    <xf numFmtId="9" fontId="4" fillId="0" borderId="0" xfId="112" applyFont="1" applyFill="1" applyBorder="1" applyAlignment="1" applyProtection="1">
      <protection locked="0"/>
    </xf>
  </cellXfs>
  <cellStyles count="113">
    <cellStyle name=" 1" xfId="1" xr:uid="{00000000-0005-0000-0000-000000000000}"/>
    <cellStyle name="20% - Accent1" xfId="2" builtinId="30" customBuiltin="1"/>
    <cellStyle name="20% - Accent1 2" xfId="64" xr:uid="{00000000-0005-0000-0000-000044000000}"/>
    <cellStyle name="20% - Accent1 3" xfId="89" xr:uid="{00000000-0005-0000-0000-00005D000000}"/>
    <cellStyle name="20% - Accent2" xfId="3" builtinId="34" customBuiltin="1"/>
    <cellStyle name="20% - Accent2 2" xfId="67" xr:uid="{00000000-0005-0000-0000-000045000000}"/>
    <cellStyle name="20% - Accent2 3" xfId="92" xr:uid="{00000000-0005-0000-0000-00005E000000}"/>
    <cellStyle name="20% - Accent3" xfId="4" builtinId="38" customBuiltin="1"/>
    <cellStyle name="20% - Accent3 2" xfId="70" xr:uid="{00000000-0005-0000-0000-000046000000}"/>
    <cellStyle name="20% - Accent3 3" xfId="95" xr:uid="{00000000-0005-0000-0000-00005F000000}"/>
    <cellStyle name="20% - Accent4" xfId="5" builtinId="42" customBuiltin="1"/>
    <cellStyle name="20% - Accent4 2" xfId="73" xr:uid="{00000000-0005-0000-0000-000047000000}"/>
    <cellStyle name="20% - Accent4 3" xfId="98" xr:uid="{00000000-0005-0000-0000-000060000000}"/>
    <cellStyle name="20% - Accent5" xfId="6" builtinId="46" customBuiltin="1"/>
    <cellStyle name="20% - Accent5 2" xfId="76" xr:uid="{00000000-0005-0000-0000-000048000000}"/>
    <cellStyle name="20% - Accent5 3" xfId="101" xr:uid="{00000000-0005-0000-0000-000061000000}"/>
    <cellStyle name="20% - Accent6" xfId="7" builtinId="50" customBuiltin="1"/>
    <cellStyle name="20% - Accent6 2" xfId="79" xr:uid="{00000000-0005-0000-0000-000049000000}"/>
    <cellStyle name="20% - Accent6 3" xfId="104" xr:uid="{00000000-0005-0000-0000-000062000000}"/>
    <cellStyle name="40% - Accent1" xfId="8" builtinId="31" customBuiltin="1"/>
    <cellStyle name="40% - Accent1 2" xfId="65" xr:uid="{00000000-0005-0000-0000-00004A000000}"/>
    <cellStyle name="40% - Accent1 3" xfId="90" xr:uid="{00000000-0005-0000-0000-000063000000}"/>
    <cellStyle name="40% - Accent2" xfId="9" builtinId="35" customBuiltin="1"/>
    <cellStyle name="40% - Accent2 2" xfId="68" xr:uid="{00000000-0005-0000-0000-00004B000000}"/>
    <cellStyle name="40% - Accent2 3" xfId="93" xr:uid="{00000000-0005-0000-0000-000064000000}"/>
    <cellStyle name="40% - Accent3" xfId="10" builtinId="39" customBuiltin="1"/>
    <cellStyle name="40% - Accent3 2" xfId="11" xr:uid="{00000000-0005-0000-0000-00000A000000}"/>
    <cellStyle name="40% - Accent3 3" xfId="71" xr:uid="{00000000-0005-0000-0000-00004C000000}"/>
    <cellStyle name="40% - Accent3 4" xfId="96" xr:uid="{00000000-0005-0000-0000-000065000000}"/>
    <cellStyle name="40% - Accent4" xfId="12" builtinId="43" customBuiltin="1"/>
    <cellStyle name="40% - Accent4 2" xfId="74" xr:uid="{00000000-0005-0000-0000-00004D000000}"/>
    <cellStyle name="40% - Accent4 3" xfId="99" xr:uid="{00000000-0005-0000-0000-000066000000}"/>
    <cellStyle name="40% - Accent5" xfId="13" builtinId="47" customBuiltin="1"/>
    <cellStyle name="40% - Accent5 2" xfId="77" xr:uid="{00000000-0005-0000-0000-00004E000000}"/>
    <cellStyle name="40% - Accent5 3" xfId="102" xr:uid="{00000000-0005-0000-0000-000067000000}"/>
    <cellStyle name="40% - Accent6" xfId="14" builtinId="51" customBuiltin="1"/>
    <cellStyle name="40% - Accent6 2" xfId="80" xr:uid="{00000000-0005-0000-0000-00004F000000}"/>
    <cellStyle name="40% - Accent6 3" xfId="105" xr:uid="{00000000-0005-0000-0000-000068000000}"/>
    <cellStyle name="60% - Accent1" xfId="15" builtinId="32" customBuiltin="1"/>
    <cellStyle name="60% - Accent1 2" xfId="66" xr:uid="{00000000-0005-0000-0000-000050000000}"/>
    <cellStyle name="60% - Accent1 3" xfId="91" xr:uid="{00000000-0005-0000-0000-000069000000}"/>
    <cellStyle name="60% - Accent2" xfId="16" builtinId="36" customBuiltin="1"/>
    <cellStyle name="60% - Accent2 2" xfId="69" xr:uid="{00000000-0005-0000-0000-000051000000}"/>
    <cellStyle name="60% - Accent2 3" xfId="94" xr:uid="{00000000-0005-0000-0000-00006A000000}"/>
    <cellStyle name="60% - Accent3" xfId="17" builtinId="40" customBuiltin="1"/>
    <cellStyle name="60% - Accent3 2" xfId="72" xr:uid="{00000000-0005-0000-0000-000052000000}"/>
    <cellStyle name="60% - Accent3 3" xfId="97" xr:uid="{00000000-0005-0000-0000-00006B000000}"/>
    <cellStyle name="60% - Accent4" xfId="18" builtinId="44" customBuiltin="1"/>
    <cellStyle name="60% - Accent4 2" xfId="75" xr:uid="{00000000-0005-0000-0000-000053000000}"/>
    <cellStyle name="60% - Accent4 3" xfId="100" xr:uid="{00000000-0005-0000-0000-00006C000000}"/>
    <cellStyle name="60% - Accent5" xfId="19" builtinId="48" customBuiltin="1"/>
    <cellStyle name="60% - Accent5 2" xfId="78" xr:uid="{00000000-0005-0000-0000-000054000000}"/>
    <cellStyle name="60% - Accent5 3" xfId="103" xr:uid="{00000000-0005-0000-0000-00006D000000}"/>
    <cellStyle name="60% - Accent6" xfId="20" builtinId="52" customBuiltin="1"/>
    <cellStyle name="60% - Accent6 2" xfId="81" xr:uid="{00000000-0005-0000-0000-000055000000}"/>
    <cellStyle name="60% - Accent6 3" xfId="106" xr:uid="{00000000-0005-0000-0000-00006E000000}"/>
    <cellStyle name="Accent1" xfId="21" builtinId="29" customBuiltin="1"/>
    <cellStyle name="Accent2" xfId="22" builtinId="33" customBuiltin="1"/>
    <cellStyle name="Accent3" xfId="23" builtinId="37" customBuiltin="1"/>
    <cellStyle name="Accent4" xfId="24" builtinId="41" customBuiltin="1"/>
    <cellStyle name="Accent5" xfId="25" builtinId="45" customBuiltin="1"/>
    <cellStyle name="Accent6" xfId="26" builtinId="49" customBuiltin="1"/>
    <cellStyle name="Bad" xfId="27" builtinId="27" customBuiltin="1"/>
    <cellStyle name="Calculation" xfId="28" builtinId="22" customBuiltin="1"/>
    <cellStyle name="Check Cell" xfId="29" builtinId="23" customBuiltin="1"/>
    <cellStyle name="Comma 2" xfId="30" xr:uid="{00000000-0005-0000-0000-00001E000000}"/>
    <cellStyle name="Comma 3" xfId="31" xr:uid="{00000000-0005-0000-0000-00001F000000}"/>
    <cellStyle name="Comma 3 2" xfId="32" xr:uid="{00000000-0005-0000-0000-000020000000}"/>
    <cellStyle name="Comma 4" xfId="33" xr:uid="{00000000-0005-0000-0000-000021000000}"/>
    <cellStyle name="Comma 5" xfId="60" xr:uid="{00000000-0005-0000-0000-000022000000}"/>
    <cellStyle name="Comma 6" xfId="82" xr:uid="{00000000-0005-0000-0000-000056000000}"/>
    <cellStyle name="Comma 7" xfId="107" xr:uid="{00000000-0005-0000-0000-00006F000000}"/>
    <cellStyle name="Currency" xfId="34" builtinId="4"/>
    <cellStyle name="Currency 2" xfId="35" xr:uid="{00000000-0005-0000-0000-000024000000}"/>
    <cellStyle name="Currency 3" xfId="36" xr:uid="{00000000-0005-0000-0000-000025000000}"/>
    <cellStyle name="Currency 3 2" xfId="37" xr:uid="{00000000-0005-0000-0000-000026000000}"/>
    <cellStyle name="Currency 4" xfId="38" xr:uid="{00000000-0005-0000-0000-000027000000}"/>
    <cellStyle name="Currency 5" xfId="83" xr:uid="{00000000-0005-0000-0000-000057000000}"/>
    <cellStyle name="Currency 6" xfId="108" xr:uid="{00000000-0005-0000-0000-000070000000}"/>
    <cellStyle name="Explanatory Text" xfId="39" builtinId="53" customBuiltin="1"/>
    <cellStyle name="Good" xfId="40" builtinId="26" customBuiltin="1"/>
    <cellStyle name="Heading 1" xfId="41" builtinId="16" customBuiltin="1"/>
    <cellStyle name="Heading 2" xfId="42" builtinId="17" customBuiltin="1"/>
    <cellStyle name="Heading 3" xfId="43" builtinId="18" customBuiltin="1"/>
    <cellStyle name="Heading 4" xfId="44" builtinId="19" customBuiltin="1"/>
    <cellStyle name="Hyperlink" xfId="45" builtinId="8"/>
    <cellStyle name="Hyperlink 2" xfId="46" xr:uid="{00000000-0005-0000-0000-00002F000000}"/>
    <cellStyle name="Input" xfId="47" builtinId="20" customBuiltin="1"/>
    <cellStyle name="Linked Cell" xfId="48" builtinId="24" customBuiltin="1"/>
    <cellStyle name="Neutral" xfId="49" builtinId="28" customBuiltin="1"/>
    <cellStyle name="Normal" xfId="0" builtinId="0"/>
    <cellStyle name="Normal 2" xfId="50" xr:uid="{00000000-0005-0000-0000-000034000000}"/>
    <cellStyle name="Normal 2 2" xfId="86" xr:uid="{EBDECC81-B324-42B1-9CDB-37EE5A1BC0DE}"/>
    <cellStyle name="Normal 2 3" xfId="111" xr:uid="{EBDECC81-B324-42B1-9CDB-37EE5A1BC0DE}"/>
    <cellStyle name="Normal 3" xfId="51" xr:uid="{00000000-0005-0000-0000-000035000000}"/>
    <cellStyle name="Normal 3 2" xfId="52" xr:uid="{00000000-0005-0000-0000-000036000000}"/>
    <cellStyle name="Normal 3 3" xfId="61" xr:uid="{00000000-0005-0000-0000-000037000000}"/>
    <cellStyle name="Normal 3 4" xfId="85" xr:uid="{B74574B0-C9E8-4204-8A4A-9D92492D8A3A}"/>
    <cellStyle name="Normal 3 5" xfId="110" xr:uid="{B74574B0-C9E8-4204-8A4A-9D92492D8A3A}"/>
    <cellStyle name="Normal 4" xfId="53" xr:uid="{00000000-0005-0000-0000-000038000000}"/>
    <cellStyle name="Normal 5" xfId="62" xr:uid="{00000000-0005-0000-0000-000058000000}"/>
    <cellStyle name="Normal 6" xfId="87" xr:uid="{00000000-0005-0000-0000-000071000000}"/>
    <cellStyle name="Note 2" xfId="59" xr:uid="{00000000-0005-0000-0000-000039000000}"/>
    <cellStyle name="Note 3" xfId="63" xr:uid="{00000000-0005-0000-0000-00005B000000}"/>
    <cellStyle name="Note 4" xfId="88" xr:uid="{00000000-0005-0000-0000-000074000000}"/>
    <cellStyle name="Output" xfId="54" builtinId="21" customBuiltin="1"/>
    <cellStyle name="Percent" xfId="112" builtinId="5"/>
    <cellStyle name="Percent 2" xfId="55" xr:uid="{00000000-0005-0000-0000-00003C000000}"/>
    <cellStyle name="Percent 3" xfId="84" xr:uid="{00000000-0005-0000-0000-00005C000000}"/>
    <cellStyle name="Percent 4" xfId="109" xr:uid="{00000000-0005-0000-0000-000075000000}"/>
    <cellStyle name="Title" xfId="56" builtinId="15" customBuiltin="1"/>
    <cellStyle name="Total" xfId="57" builtinId="25" customBuiltin="1"/>
    <cellStyle name="Warning Text" xfId="58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0000FF"/>
      <color rgb="FFCC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301301</xdr:colOff>
      <xdr:row>0</xdr:row>
      <xdr:rowOff>0</xdr:rowOff>
    </xdr:from>
    <xdr:to>
      <xdr:col>14</xdr:col>
      <xdr:colOff>1284</xdr:colOff>
      <xdr:row>3</xdr:row>
      <xdr:rowOff>310</xdr:rowOff>
    </xdr:to>
    <xdr:pic>
      <xdr:nvPicPr>
        <xdr:cNvPr id="3" name="Picture 2" descr="TE New Logo">
          <a:extLst>
            <a:ext uri="{FF2B5EF4-FFF2-40B4-BE49-F238E27FC236}">
              <a16:creationId xmlns:a16="http://schemas.microsoft.com/office/drawing/2014/main" id="{4E35A480-7FB8-4C7F-8D4E-3CA6F6FB2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70179" y="0"/>
          <a:ext cx="1074420" cy="554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pdsales.us.tycoelectronics.com/Documents%20and%20Settings/us072562/Local%20Settings/Temporary%20Internet%20Files/OLKE/2009%20Nov%20HNT%20list_final_speci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Nov 2009 Dorman Smith List"/>
    </sheetNames>
    <sheetDataSet>
      <sheetData sheetId="0" refreshError="1"/>
      <sheetData sheetId="1" refreshError="1">
        <row r="1">
          <cell r="A1" t="str">
            <v>PART CODE</v>
          </cell>
          <cell r="B1" t="str">
            <v>PART DESCRIPTION</v>
          </cell>
          <cell r="C1" t="str">
            <v>Old price</v>
          </cell>
          <cell r="E1" t="str">
            <v>New Trade Price</v>
          </cell>
          <cell r="F1" t="str">
            <v>Costs</v>
          </cell>
          <cell r="G1" t="str">
            <v>Trade less 55%</v>
          </cell>
          <cell r="H1" t="str">
            <v>Margin @ 55%</v>
          </cell>
          <cell r="I1" t="str">
            <v>Margin %</v>
          </cell>
          <cell r="J1" t="str">
            <v>Trade less 60%</v>
          </cell>
          <cell r="K1" t="str">
            <v>Margin @ 60%</v>
          </cell>
          <cell r="L1" t="str">
            <v>Margin %</v>
          </cell>
          <cell r="M1" t="str">
            <v>usage</v>
          </cell>
        </row>
        <row r="2">
          <cell r="A2" t="str">
            <v>2IP-7-0244</v>
          </cell>
          <cell r="B2" t="str">
            <v>Enclosure for DSP3 surge protection units</v>
          </cell>
          <cell r="C2">
            <v>54</v>
          </cell>
          <cell r="D2">
            <v>55.349999999999994</v>
          </cell>
          <cell r="E2">
            <v>56.7</v>
          </cell>
          <cell r="F2" t="e">
            <v>#N/A</v>
          </cell>
          <cell r="G2">
            <v>25.515000000000001</v>
          </cell>
          <cell r="H2" t="e">
            <v>#N/A</v>
          </cell>
          <cell r="I2" t="e">
            <v>#N/A</v>
          </cell>
          <cell r="J2">
            <v>22.680000000000003</v>
          </cell>
          <cell r="K2" t="e">
            <v>#N/A</v>
          </cell>
          <cell r="L2" t="e">
            <v>#N/A</v>
          </cell>
        </row>
        <row r="3">
          <cell r="A3" t="str">
            <v>A1SPM/40/230</v>
          </cell>
          <cell r="B3" t="str">
            <v>40kA 1-pole MOV plug-in surge protection</v>
          </cell>
          <cell r="C3">
            <v>58</v>
          </cell>
          <cell r="D3">
            <v>59.449999999999996</v>
          </cell>
          <cell r="E3">
            <v>60.9</v>
          </cell>
          <cell r="F3" t="e">
            <v>#N/A</v>
          </cell>
          <cell r="G3">
            <v>27.405000000000001</v>
          </cell>
          <cell r="H3" t="e">
            <v>#N/A</v>
          </cell>
          <cell r="I3" t="e">
            <v>#N/A</v>
          </cell>
          <cell r="J3">
            <v>24.36</v>
          </cell>
          <cell r="K3" t="e">
            <v>#N/A</v>
          </cell>
          <cell r="L3" t="e">
            <v>#N/A</v>
          </cell>
        </row>
        <row r="4">
          <cell r="A4" t="str">
            <v>A1SPM/40/230N</v>
          </cell>
          <cell r="B4" t="str">
            <v xml:space="preserve">40kA 1-pole with neutral/earth MOV plug-in surge protection </v>
          </cell>
          <cell r="C4">
            <v>113.5</v>
          </cell>
          <cell r="D4">
            <v>116.33749999999999</v>
          </cell>
          <cell r="E4">
            <v>119.175</v>
          </cell>
          <cell r="F4" t="e">
            <v>#N/A</v>
          </cell>
          <cell r="G4">
            <v>53.628749999999997</v>
          </cell>
          <cell r="H4" t="e">
            <v>#N/A</v>
          </cell>
          <cell r="I4" t="e">
            <v>#N/A</v>
          </cell>
          <cell r="J4">
            <v>47.67</v>
          </cell>
          <cell r="K4" t="e">
            <v>#N/A</v>
          </cell>
          <cell r="L4" t="e">
            <v>#N/A</v>
          </cell>
        </row>
        <row r="5">
          <cell r="A5" t="str">
            <v>A3SPM/40/230</v>
          </cell>
          <cell r="B5" t="str">
            <v>40kA 3-pole MOV plug-in surge protection</v>
          </cell>
          <cell r="C5">
            <v>167</v>
          </cell>
          <cell r="D5">
            <v>171.17499999999998</v>
          </cell>
          <cell r="E5">
            <v>175.35</v>
          </cell>
          <cell r="F5" t="e">
            <v>#N/A</v>
          </cell>
          <cell r="G5">
            <v>78.907499999999999</v>
          </cell>
          <cell r="H5" t="e">
            <v>#N/A</v>
          </cell>
          <cell r="I5" t="e">
            <v>#N/A</v>
          </cell>
          <cell r="J5">
            <v>70.14</v>
          </cell>
          <cell r="K5" t="e">
            <v>#N/A</v>
          </cell>
          <cell r="L5" t="e">
            <v>#N/A</v>
          </cell>
        </row>
        <row r="6">
          <cell r="A6" t="str">
            <v>A3SPM/40/230N</v>
          </cell>
          <cell r="B6" t="str">
            <v xml:space="preserve">40kA 3-pole with neutral/earth MOV plug-in surge protection </v>
          </cell>
          <cell r="C6">
            <v>222.3</v>
          </cell>
          <cell r="D6">
            <v>227.85749999999999</v>
          </cell>
          <cell r="E6">
            <v>233.41500000000002</v>
          </cell>
          <cell r="F6" t="e">
            <v>#N/A</v>
          </cell>
          <cell r="G6">
            <v>105.03675000000001</v>
          </cell>
          <cell r="H6" t="e">
            <v>#N/A</v>
          </cell>
          <cell r="I6" t="e">
            <v>#N/A</v>
          </cell>
          <cell r="J6">
            <v>93.366000000000014</v>
          </cell>
          <cell r="K6" t="e">
            <v>#N/A</v>
          </cell>
          <cell r="L6" t="e">
            <v>#N/A</v>
          </cell>
        </row>
        <row r="7">
          <cell r="A7" t="str">
            <v>AV263</v>
          </cell>
          <cell r="B7" t="str">
            <v>63A 2-pole modular switch disconnector</v>
          </cell>
          <cell r="C7">
            <v>16.5</v>
          </cell>
          <cell r="D7">
            <v>16.912499999999998</v>
          </cell>
          <cell r="E7">
            <v>16.5</v>
          </cell>
          <cell r="F7">
            <v>3.7450000000000001</v>
          </cell>
          <cell r="G7">
            <v>7.4249999999999998</v>
          </cell>
          <cell r="H7">
            <v>3.6799999999999997</v>
          </cell>
          <cell r="I7">
            <v>0.49562289562289558</v>
          </cell>
          <cell r="J7">
            <v>6.6000000000000005</v>
          </cell>
          <cell r="K7">
            <v>2.8550000000000004</v>
          </cell>
          <cell r="L7">
            <v>0.43257575757575761</v>
          </cell>
          <cell r="M7">
            <v>28</v>
          </cell>
        </row>
        <row r="8">
          <cell r="A8" t="str">
            <v>AV2100</v>
          </cell>
          <cell r="B8" t="str">
            <v>100A 2-pole modular switch disconnector</v>
          </cell>
          <cell r="C8">
            <v>16.5</v>
          </cell>
          <cell r="D8">
            <v>16.912499999999998</v>
          </cell>
          <cell r="E8">
            <v>16.5</v>
          </cell>
          <cell r="F8">
            <v>3.7450000000000001</v>
          </cell>
          <cell r="G8">
            <v>7.4249999999999998</v>
          </cell>
          <cell r="H8">
            <v>3.6799999999999997</v>
          </cell>
          <cell r="I8">
            <v>0.49562289562289558</v>
          </cell>
          <cell r="J8">
            <v>6.6000000000000005</v>
          </cell>
          <cell r="K8">
            <v>2.8550000000000004</v>
          </cell>
          <cell r="L8">
            <v>0.43257575757575761</v>
          </cell>
          <cell r="M8">
            <v>2107</v>
          </cell>
        </row>
        <row r="9">
          <cell r="A9" t="str">
            <v>AV2125</v>
          </cell>
          <cell r="B9" t="str">
            <v>125A 2-pole modular switch disconnector</v>
          </cell>
          <cell r="C9">
            <v>18.5</v>
          </cell>
          <cell r="D9">
            <v>18.962499999999999</v>
          </cell>
          <cell r="E9">
            <v>18.5</v>
          </cell>
          <cell r="F9">
            <v>3.7450000000000001</v>
          </cell>
          <cell r="G9">
            <v>8.3250000000000011</v>
          </cell>
          <cell r="H9">
            <v>4.580000000000001</v>
          </cell>
          <cell r="I9">
            <v>0.55015015015015023</v>
          </cell>
          <cell r="J9">
            <v>7.4</v>
          </cell>
          <cell r="K9">
            <v>3.6550000000000002</v>
          </cell>
          <cell r="L9">
            <v>0.49391891891891893</v>
          </cell>
          <cell r="M9">
            <v>260</v>
          </cell>
        </row>
        <row r="10">
          <cell r="A10" t="str">
            <v>AV363</v>
          </cell>
          <cell r="B10" t="str">
            <v>63A 3-pole modular switch disconnector</v>
          </cell>
          <cell r="C10">
            <v>39.953473650000007</v>
          </cell>
          <cell r="D10">
            <v>40.952310491250003</v>
          </cell>
          <cell r="E10">
            <v>41.951147332500007</v>
          </cell>
          <cell r="F10">
            <v>6.4240000000000004</v>
          </cell>
          <cell r="G10">
            <v>18.878016299625003</v>
          </cell>
          <cell r="H10">
            <v>12.454016299625003</v>
          </cell>
          <cell r="I10">
            <v>0.6597100088250476</v>
          </cell>
          <cell r="J10">
            <v>16.780458933000002</v>
          </cell>
          <cell r="K10">
            <v>10.356458933000003</v>
          </cell>
          <cell r="L10">
            <v>0.61717375992817858</v>
          </cell>
        </row>
        <row r="11">
          <cell r="A11" t="str">
            <v>AV3100</v>
          </cell>
          <cell r="B11" t="str">
            <v>100A 3-pole modular switch disconnector</v>
          </cell>
          <cell r="C11">
            <v>42.659896874999994</v>
          </cell>
          <cell r="D11">
            <v>43.726394296874993</v>
          </cell>
          <cell r="E11">
            <v>44.792891718749992</v>
          </cell>
          <cell r="F11">
            <v>6.4240000000000004</v>
          </cell>
          <cell r="G11">
            <v>20.156801273437498</v>
          </cell>
          <cell r="H11">
            <v>13.732801273437499</v>
          </cell>
          <cell r="I11">
            <v>0.68129863896284448</v>
          </cell>
          <cell r="J11">
            <v>17.917156687499997</v>
          </cell>
          <cell r="K11">
            <v>11.493156687499997</v>
          </cell>
          <cell r="L11">
            <v>0.64146096883320003</v>
          </cell>
          <cell r="M11">
            <v>2023</v>
          </cell>
        </row>
        <row r="12">
          <cell r="A12" t="str">
            <v>AV3125</v>
          </cell>
          <cell r="B12" t="str">
            <v>125A 3-pole modular switch disconnector</v>
          </cell>
          <cell r="C12">
            <v>46.511476135714268</v>
          </cell>
          <cell r="D12">
            <v>47.674263039107117</v>
          </cell>
          <cell r="E12">
            <v>48.837049942499981</v>
          </cell>
          <cell r="F12">
            <v>6.4240000000000004</v>
          </cell>
          <cell r="G12">
            <v>21.976672474124992</v>
          </cell>
          <cell r="H12">
            <v>15.552672474124993</v>
          </cell>
          <cell r="I12">
            <v>0.70769005145963193</v>
          </cell>
          <cell r="J12">
            <v>19.534819976999994</v>
          </cell>
          <cell r="K12">
            <v>13.110819976999995</v>
          </cell>
          <cell r="L12">
            <v>0.67115130789208599</v>
          </cell>
          <cell r="M12">
            <v>3175</v>
          </cell>
        </row>
        <row r="13">
          <cell r="A13" t="str">
            <v>AV463</v>
          </cell>
          <cell r="B13" t="str">
            <v>63A 4-pole modular switch disconnector</v>
          </cell>
          <cell r="C13">
            <v>49.953747150000005</v>
          </cell>
          <cell r="D13">
            <v>51.202590828750004</v>
          </cell>
          <cell r="E13">
            <v>52.451434507500004</v>
          </cell>
          <cell r="F13">
            <v>6.4240000000000004</v>
          </cell>
          <cell r="G13">
            <v>23.603145528375002</v>
          </cell>
          <cell r="H13">
            <v>17.179145528375003</v>
          </cell>
          <cell r="I13">
            <v>0.72783288599067197</v>
          </cell>
          <cell r="J13">
            <v>20.980573803000002</v>
          </cell>
          <cell r="K13">
            <v>14.556573803000003</v>
          </cell>
          <cell r="L13">
            <v>0.693811996739506</v>
          </cell>
          <cell r="M13">
            <v>237.77285603173019</v>
          </cell>
        </row>
        <row r="14">
          <cell r="A14" t="str">
            <v>AV4100</v>
          </cell>
          <cell r="B14" t="str">
            <v>100A 4-pole modular switch disconnector</v>
          </cell>
          <cell r="C14">
            <v>52.69106691160713</v>
          </cell>
          <cell r="D14">
            <v>54.008343584397302</v>
          </cell>
          <cell r="E14">
            <v>55.325620257187488</v>
          </cell>
          <cell r="F14">
            <v>6.4240000000000004</v>
          </cell>
          <cell r="G14">
            <v>24.896529115734371</v>
          </cell>
          <cell r="H14">
            <v>18.472529115734371</v>
          </cell>
          <cell r="I14">
            <v>0.74197206485541423</v>
          </cell>
          <cell r="J14">
            <v>22.130248102874997</v>
          </cell>
          <cell r="K14">
            <v>15.706248102874998</v>
          </cell>
          <cell r="L14">
            <v>0.70971857296234098</v>
          </cell>
          <cell r="M14">
            <v>76</v>
          </cell>
        </row>
        <row r="15">
          <cell r="A15" t="str">
            <v>AV4125</v>
          </cell>
          <cell r="B15" t="str">
            <v>125A 4-pole modular switch disconnector</v>
          </cell>
          <cell r="C15">
            <v>60.723316066071412</v>
          </cell>
          <cell r="D15">
            <v>62.241398967723192</v>
          </cell>
          <cell r="E15">
            <v>63.75948186937498</v>
          </cell>
          <cell r="F15">
            <v>6.4240000000000004</v>
          </cell>
          <cell r="G15">
            <v>28.69176684121874</v>
          </cell>
          <cell r="H15">
            <v>22.267766841218741</v>
          </cell>
          <cell r="I15">
            <v>0.77610301813929261</v>
          </cell>
          <cell r="J15">
            <v>25.503792747749994</v>
          </cell>
          <cell r="K15">
            <v>19.079792747749995</v>
          </cell>
          <cell r="L15">
            <v>0.7481158954067042</v>
          </cell>
          <cell r="M15">
            <v>460</v>
          </cell>
        </row>
        <row r="16">
          <cell r="A16" t="str">
            <v>CBT-94F-035</v>
          </cell>
          <cell r="B16" t="str">
            <v xml:space="preserve">Core balanced CT 35mm aperture </v>
          </cell>
          <cell r="C16">
            <v>48.769199999999998</v>
          </cell>
          <cell r="D16">
            <v>49.988429999999994</v>
          </cell>
          <cell r="E16">
            <v>51.207659999999997</v>
          </cell>
          <cell r="F16" t="e">
            <v>#N/A</v>
          </cell>
          <cell r="G16">
            <v>23.043447</v>
          </cell>
          <cell r="H16" t="e">
            <v>#N/A</v>
          </cell>
          <cell r="I16" t="e">
            <v>#N/A</v>
          </cell>
          <cell r="J16">
            <v>20.483063999999999</v>
          </cell>
          <cell r="K16" t="e">
            <v>#N/A</v>
          </cell>
          <cell r="L16" t="e">
            <v>#N/A</v>
          </cell>
        </row>
        <row r="17">
          <cell r="A17" t="str">
            <v>CBT-94F-070</v>
          </cell>
          <cell r="B17" t="str">
            <v xml:space="preserve">Core balanced CT 70mm aperture </v>
          </cell>
          <cell r="C17">
            <v>67.047300000000007</v>
          </cell>
          <cell r="D17">
            <v>68.723482500000003</v>
          </cell>
          <cell r="E17">
            <v>70.399665000000013</v>
          </cell>
          <cell r="F17" t="e">
            <v>#N/A</v>
          </cell>
          <cell r="G17">
            <v>31.679849250000007</v>
          </cell>
          <cell r="H17" t="e">
            <v>#N/A</v>
          </cell>
          <cell r="I17" t="e">
            <v>#N/A</v>
          </cell>
          <cell r="J17">
            <v>28.159866000000008</v>
          </cell>
          <cell r="K17" t="e">
            <v>#N/A</v>
          </cell>
          <cell r="L17" t="e">
            <v>#N/A</v>
          </cell>
        </row>
        <row r="18">
          <cell r="A18" t="str">
            <v>CBT-94F-105</v>
          </cell>
          <cell r="B18" t="str">
            <v xml:space="preserve">Core balanced CT 105mm aperture </v>
          </cell>
          <cell r="C18">
            <v>89.07386467500001</v>
          </cell>
          <cell r="E18">
            <v>93.527557908750012</v>
          </cell>
          <cell r="F18" t="e">
            <v>#N/A</v>
          </cell>
          <cell r="G18">
            <v>42.087401058937509</v>
          </cell>
          <cell r="H18" t="e">
            <v>#N/A</v>
          </cell>
          <cell r="I18" t="e">
            <v>#N/A</v>
          </cell>
          <cell r="J18">
            <v>37.411023163500005</v>
          </cell>
          <cell r="K18" t="e">
            <v>#N/A</v>
          </cell>
          <cell r="L18" t="e">
            <v>#N/A</v>
          </cell>
        </row>
        <row r="19">
          <cell r="A19" t="str">
            <v>DA06X</v>
          </cell>
          <cell r="B19" t="str">
            <v>6 way 125A SP&amp;N distribution board</v>
          </cell>
          <cell r="C19">
            <v>50.0214</v>
          </cell>
          <cell r="D19">
            <v>51.271934999999992</v>
          </cell>
          <cell r="E19">
            <v>52.522469999999998</v>
          </cell>
          <cell r="F19">
            <v>16.7256</v>
          </cell>
          <cell r="G19">
            <v>23.635111500000001</v>
          </cell>
          <cell r="H19">
            <v>6.9095115000000007</v>
          </cell>
          <cell r="I19">
            <v>0.2923409733015222</v>
          </cell>
          <cell r="J19">
            <v>21.008988000000002</v>
          </cell>
          <cell r="K19">
            <v>4.2833880000000022</v>
          </cell>
          <cell r="L19">
            <v>0.20388359496421254</v>
          </cell>
          <cell r="M19">
            <v>575</v>
          </cell>
        </row>
        <row r="20">
          <cell r="A20" t="str">
            <v>DA09X</v>
          </cell>
          <cell r="B20" t="str">
            <v>9 way 125A SP&amp;N distribution board</v>
          </cell>
          <cell r="C20">
            <v>58.830200000000005</v>
          </cell>
          <cell r="D20">
            <v>60.300955000000002</v>
          </cell>
          <cell r="E20">
            <v>61.771710000000006</v>
          </cell>
          <cell r="F20">
            <v>20.070719999999998</v>
          </cell>
          <cell r="G20">
            <v>27.797269500000002</v>
          </cell>
          <cell r="H20">
            <v>7.7265495000000044</v>
          </cell>
          <cell r="I20">
            <v>0.27796073639535007</v>
          </cell>
          <cell r="J20">
            <v>24.708684000000005</v>
          </cell>
          <cell r="K20">
            <v>4.6379640000000073</v>
          </cell>
          <cell r="L20">
            <v>0.18770582844476891</v>
          </cell>
          <cell r="M20">
            <v>384</v>
          </cell>
        </row>
        <row r="21">
          <cell r="A21" t="str">
            <v>DA12X</v>
          </cell>
          <cell r="B21" t="str">
            <v>12 way 125A SP&amp;N distribution board</v>
          </cell>
          <cell r="C21">
            <v>64.178399999999996</v>
          </cell>
          <cell r="D21">
            <v>65.782859999999985</v>
          </cell>
          <cell r="E21">
            <v>67.387320000000003</v>
          </cell>
          <cell r="F21">
            <v>21.46452</v>
          </cell>
          <cell r="G21">
            <v>30.324294000000002</v>
          </cell>
          <cell r="H21">
            <v>8.8597740000000016</v>
          </cell>
          <cell r="I21">
            <v>0.29216752746164515</v>
          </cell>
          <cell r="J21">
            <v>26.954928000000002</v>
          </cell>
          <cell r="K21">
            <v>5.4904080000000022</v>
          </cell>
          <cell r="L21">
            <v>0.20368846839435081</v>
          </cell>
          <cell r="M21">
            <v>422</v>
          </cell>
        </row>
        <row r="22">
          <cell r="A22" t="str">
            <v>DA15X</v>
          </cell>
          <cell r="B22" t="str">
            <v>15 way 125A SP&amp;N distribution board</v>
          </cell>
          <cell r="C22">
            <v>75.241623599999997</v>
          </cell>
          <cell r="D22">
            <v>77.122664189999995</v>
          </cell>
          <cell r="E22">
            <v>79.003704779999993</v>
          </cell>
          <cell r="F22">
            <v>22.858319999999999</v>
          </cell>
          <cell r="G22">
            <v>35.551667150999997</v>
          </cell>
          <cell r="H22">
            <v>12.693347150999998</v>
          </cell>
          <cell r="I22">
            <v>0.35703943494652568</v>
          </cell>
          <cell r="J22">
            <v>31.601481911999997</v>
          </cell>
          <cell r="K22">
            <v>8.7431619119999979</v>
          </cell>
          <cell r="L22">
            <v>0.2766693643148414</v>
          </cell>
          <cell r="M22">
            <v>159</v>
          </cell>
        </row>
        <row r="23">
          <cell r="A23" t="str">
            <v>DA18X</v>
          </cell>
          <cell r="B23" t="str">
            <v>18 way 125A SP&amp;N distribution board</v>
          </cell>
          <cell r="C23">
            <v>91.961984400000006</v>
          </cell>
          <cell r="D23">
            <v>94.261034010000003</v>
          </cell>
          <cell r="E23">
            <v>96.56008362</v>
          </cell>
          <cell r="F23">
            <v>25.64592</v>
          </cell>
          <cell r="G23">
            <v>43.452037629000003</v>
          </cell>
          <cell r="H23">
            <v>17.806117629000003</v>
          </cell>
          <cell r="I23">
            <v>0.40978786267818551</v>
          </cell>
          <cell r="J23">
            <v>38.624033448000006</v>
          </cell>
          <cell r="K23">
            <v>12.978113448000006</v>
          </cell>
          <cell r="L23">
            <v>0.33601134551295875</v>
          </cell>
          <cell r="M23">
            <v>157</v>
          </cell>
        </row>
        <row r="24">
          <cell r="A24" t="str">
            <v>DA22X</v>
          </cell>
          <cell r="B24" t="str">
            <v>22 way 125A SP&amp;N distribution board</v>
          </cell>
          <cell r="C24">
            <v>114.38246819999995</v>
          </cell>
          <cell r="D24">
            <v>117.24202990499994</v>
          </cell>
          <cell r="E24">
            <v>120.10159160999994</v>
          </cell>
          <cell r="F24">
            <v>29.548559999999998</v>
          </cell>
          <cell r="G24">
            <v>54.045716224499976</v>
          </cell>
          <cell r="H24">
            <v>24.497156224499978</v>
          </cell>
          <cell r="I24">
            <v>0.45326730656582437</v>
          </cell>
          <cell r="J24">
            <v>48.040636643999981</v>
          </cell>
          <cell r="K24">
            <v>18.492076643999983</v>
          </cell>
          <cell r="L24">
            <v>0.38492571988655244</v>
          </cell>
          <cell r="M24">
            <v>104</v>
          </cell>
        </row>
        <row r="25">
          <cell r="A25" t="str">
            <v>DAS08X</v>
          </cell>
          <cell r="B25" t="str">
            <v>8 way service centre</v>
          </cell>
          <cell r="C25">
            <v>33.113972124999997</v>
          </cell>
          <cell r="D25">
            <v>33.941821428124996</v>
          </cell>
          <cell r="E25">
            <v>34.769670731249995</v>
          </cell>
          <cell r="F25">
            <v>9.5020799999999994</v>
          </cell>
          <cell r="G25">
            <v>15.646351829062498</v>
          </cell>
          <cell r="H25">
            <v>6.1442718290624985</v>
          </cell>
          <cell r="I25">
            <v>0.39269677022408184</v>
          </cell>
          <cell r="J25">
            <v>13.907868292499998</v>
          </cell>
          <cell r="K25">
            <v>4.4057882924999987</v>
          </cell>
          <cell r="L25">
            <v>0.31678386650209206</v>
          </cell>
          <cell r="M25">
            <v>145</v>
          </cell>
        </row>
        <row r="26">
          <cell r="A26" t="str">
            <v>DAS11X</v>
          </cell>
          <cell r="B26" t="str">
            <v>11 way service centre</v>
          </cell>
          <cell r="C26">
            <v>35.763089894999993</v>
          </cell>
          <cell r="D26">
            <v>36.657167142374988</v>
          </cell>
          <cell r="E26">
            <v>37.551244389749996</v>
          </cell>
          <cell r="F26">
            <v>11.01708</v>
          </cell>
          <cell r="G26">
            <v>16.8980599753875</v>
          </cell>
          <cell r="H26">
            <v>5.8809799753875005</v>
          </cell>
          <cell r="I26">
            <v>0.34802693231964577</v>
          </cell>
          <cell r="J26">
            <v>15.020497755899999</v>
          </cell>
          <cell r="K26">
            <v>4.0034177558999993</v>
          </cell>
          <cell r="L26">
            <v>0.26653029885960144</v>
          </cell>
          <cell r="M26">
            <v>68</v>
          </cell>
        </row>
        <row r="27">
          <cell r="A27" t="str">
            <v>DAS14X</v>
          </cell>
          <cell r="B27" t="str">
            <v>14 way service centre</v>
          </cell>
          <cell r="C27">
            <v>49.008678744999997</v>
          </cell>
          <cell r="D27">
            <v>50.233895713624996</v>
          </cell>
          <cell r="E27">
            <v>51.459112682249994</v>
          </cell>
          <cell r="F27">
            <v>11.780640000000002</v>
          </cell>
          <cell r="G27">
            <v>23.156600707012498</v>
          </cell>
          <cell r="H27">
            <v>11.375960707012496</v>
          </cell>
          <cell r="I27">
            <v>0.49126211791385777</v>
          </cell>
          <cell r="J27">
            <v>20.583645072899998</v>
          </cell>
          <cell r="K27">
            <v>8.803005072899996</v>
          </cell>
          <cell r="L27">
            <v>0.42766988265308997</v>
          </cell>
          <cell r="M27">
            <v>120</v>
          </cell>
        </row>
        <row r="28">
          <cell r="A28" t="str">
            <v>DAS17X</v>
          </cell>
          <cell r="B28" t="str">
            <v>17 way service centre</v>
          </cell>
          <cell r="C28">
            <v>58.280590939999996</v>
          </cell>
          <cell r="D28">
            <v>59.737605713499988</v>
          </cell>
          <cell r="E28">
            <v>61.194620486999995</v>
          </cell>
          <cell r="F28">
            <v>12.725999999999999</v>
          </cell>
          <cell r="G28">
            <v>27.537579219149997</v>
          </cell>
          <cell r="H28">
            <v>14.811579219149998</v>
          </cell>
          <cell r="I28">
            <v>0.53786787506905576</v>
          </cell>
          <cell r="J28">
            <v>24.4778481948</v>
          </cell>
          <cell r="K28">
            <v>11.751848194800001</v>
          </cell>
          <cell r="L28">
            <v>0.48010135945268784</v>
          </cell>
          <cell r="M28">
            <v>62</v>
          </cell>
        </row>
        <row r="29">
          <cell r="A29" t="str">
            <v>DAS20X</v>
          </cell>
          <cell r="B29" t="str">
            <v>20 way service centre</v>
          </cell>
          <cell r="C29">
            <v>64.903385364999991</v>
          </cell>
          <cell r="D29">
            <v>66.525969999124982</v>
          </cell>
          <cell r="E29">
            <v>68.148554633249987</v>
          </cell>
          <cell r="F29">
            <v>13.332000000000001</v>
          </cell>
          <cell r="G29">
            <v>30.666849584962495</v>
          </cell>
          <cell r="H29">
            <v>17.334849584962495</v>
          </cell>
          <cell r="I29">
            <v>0.56526346264999605</v>
          </cell>
          <cell r="J29">
            <v>27.259421853299997</v>
          </cell>
          <cell r="K29">
            <v>13.927421853299997</v>
          </cell>
          <cell r="L29">
            <v>0.5109213954812456</v>
          </cell>
          <cell r="M29">
            <v>40</v>
          </cell>
        </row>
        <row r="30">
          <cell r="A30" t="str">
            <v>DAS24X</v>
          </cell>
          <cell r="B30" t="str">
            <v>24 way service centre</v>
          </cell>
          <cell r="C30">
            <v>79.473533099999997</v>
          </cell>
          <cell r="D30">
            <v>81.460371427499993</v>
          </cell>
          <cell r="E30">
            <v>83.447209755000003</v>
          </cell>
          <cell r="F30">
            <v>15.15</v>
          </cell>
          <cell r="G30">
            <v>37.551244389750003</v>
          </cell>
          <cell r="H30">
            <v>22.401244389750005</v>
          </cell>
          <cell r="I30">
            <v>0.59655131950473139</v>
          </cell>
          <cell r="J30">
            <v>33.378883902000005</v>
          </cell>
          <cell r="K30">
            <v>18.228883902000007</v>
          </cell>
          <cell r="L30">
            <v>0.54612023444282276</v>
          </cell>
          <cell r="M30">
            <v>13</v>
          </cell>
        </row>
        <row r="31">
          <cell r="A31" t="str">
            <v>DAXD0</v>
          </cell>
          <cell r="B31" t="str">
            <v>Direct connection kit</v>
          </cell>
          <cell r="C31">
            <v>11.26734375</v>
          </cell>
          <cell r="D31">
            <v>11.54902734375</v>
          </cell>
          <cell r="E31">
            <v>11.830710937500001</v>
          </cell>
          <cell r="F31">
            <v>6.5084400000000002</v>
          </cell>
          <cell r="G31">
            <v>5.3238199218750006</v>
          </cell>
          <cell r="H31">
            <v>-1.1846200781249996</v>
          </cell>
          <cell r="I31">
            <v>-0.22251317578521462</v>
          </cell>
          <cell r="J31">
            <v>4.7322843750000008</v>
          </cell>
          <cell r="K31">
            <v>-1.7761556249999995</v>
          </cell>
          <cell r="L31">
            <v>-0.37532732275836639</v>
          </cell>
          <cell r="M31">
            <v>0</v>
          </cell>
        </row>
        <row r="32">
          <cell r="A32" t="str">
            <v>DAXD1</v>
          </cell>
          <cell r="B32" t="str">
            <v>Direct connection kit</v>
          </cell>
          <cell r="C32">
            <v>14.241922499999999</v>
          </cell>
          <cell r="D32">
            <v>14.597970562499999</v>
          </cell>
          <cell r="E32">
            <v>14.954018625</v>
          </cell>
          <cell r="F32" t="e">
            <v>#N/A</v>
          </cell>
          <cell r="G32">
            <v>6.7293083812500001</v>
          </cell>
          <cell r="H32" t="e">
            <v>#N/A</v>
          </cell>
          <cell r="I32" t="e">
            <v>#N/A</v>
          </cell>
          <cell r="J32">
            <v>5.9816074500000003</v>
          </cell>
          <cell r="K32" t="e">
            <v>#N/A</v>
          </cell>
          <cell r="L32" t="e">
            <v>#N/A</v>
          </cell>
        </row>
        <row r="33">
          <cell r="A33" t="str">
            <v>DAXEB</v>
          </cell>
          <cell r="B33" t="str">
            <v>Earth 12 way</v>
          </cell>
          <cell r="C33">
            <v>4.3723302999999998</v>
          </cell>
          <cell r="D33">
            <v>4.4816385574999993</v>
          </cell>
          <cell r="E33">
            <v>4.5909468149999997</v>
          </cell>
          <cell r="F33">
            <v>1.7816399999999999</v>
          </cell>
          <cell r="G33">
            <v>2.0659260667499999</v>
          </cell>
          <cell r="H33">
            <v>0.28428606675000001</v>
          </cell>
          <cell r="I33">
            <v>0.13760708639357219</v>
          </cell>
          <cell r="J33">
            <v>1.836378726</v>
          </cell>
          <cell r="K33">
            <v>5.4738726000000071E-2</v>
          </cell>
          <cell r="L33">
            <v>2.9807972192768734E-2</v>
          </cell>
        </row>
        <row r="34">
          <cell r="A34" t="str">
            <v>DAXSK08</v>
          </cell>
          <cell r="B34" t="str">
            <v>8 module A to A type stacking kit</v>
          </cell>
          <cell r="C34">
            <v>7.1114666350000002</v>
          </cell>
          <cell r="D34">
            <v>7.289253300875</v>
          </cell>
          <cell r="E34">
            <v>7.4670399667500007</v>
          </cell>
          <cell r="F34">
            <v>1.8786</v>
          </cell>
          <cell r="G34">
            <v>3.3601679850375006</v>
          </cell>
          <cell r="H34">
            <v>1.4815679850375005</v>
          </cell>
          <cell r="I34">
            <v>0.44092080861277705</v>
          </cell>
          <cell r="J34">
            <v>2.9868159867000004</v>
          </cell>
          <cell r="K34">
            <v>1.1082159867000003</v>
          </cell>
          <cell r="L34">
            <v>0.37103590968937417</v>
          </cell>
          <cell r="M34">
            <v>8</v>
          </cell>
        </row>
        <row r="35">
          <cell r="A35" t="str">
            <v>DAXSK11</v>
          </cell>
          <cell r="B35" t="str">
            <v>11 module A to A type stacking kit</v>
          </cell>
          <cell r="C35">
            <v>8.873258550000001</v>
          </cell>
          <cell r="D35">
            <v>9.095090013750001</v>
          </cell>
          <cell r="E35">
            <v>9.3169214775000011</v>
          </cell>
          <cell r="F35">
            <v>1.9028400000000001</v>
          </cell>
          <cell r="G35">
            <v>4.1926146648750002</v>
          </cell>
          <cell r="H35">
            <v>2.2897746648749999</v>
          </cell>
          <cell r="I35">
            <v>0.54614479218859191</v>
          </cell>
          <cell r="J35">
            <v>3.7267685910000008</v>
          </cell>
          <cell r="K35">
            <v>1.8239285910000007</v>
          </cell>
          <cell r="L35">
            <v>0.48941289121216602</v>
          </cell>
          <cell r="M35">
            <v>14</v>
          </cell>
        </row>
        <row r="36">
          <cell r="A36" t="str">
            <v>DAXSK14</v>
          </cell>
          <cell r="B36" t="str">
            <v>14 module A to A type stacking kit</v>
          </cell>
          <cell r="C36">
            <v>10.635050464999996</v>
          </cell>
          <cell r="D36">
            <v>10.900926726624995</v>
          </cell>
          <cell r="E36">
            <v>11.166802988249994</v>
          </cell>
          <cell r="F36">
            <v>1.9513199999999999</v>
          </cell>
          <cell r="G36">
            <v>5.0250613447124977</v>
          </cell>
          <cell r="H36">
            <v>3.0737413447124977</v>
          </cell>
          <cell r="I36">
            <v>0.61168235248446656</v>
          </cell>
          <cell r="J36">
            <v>4.4667211952999981</v>
          </cell>
          <cell r="K36">
            <v>2.5154011952999982</v>
          </cell>
          <cell r="L36">
            <v>0.56314264654502499</v>
          </cell>
          <cell r="M36">
            <v>45</v>
          </cell>
        </row>
        <row r="37">
          <cell r="A37" t="str">
            <v>DAXSK17</v>
          </cell>
          <cell r="B37" t="str">
            <v>17 module A to A type stacking kit</v>
          </cell>
          <cell r="C37">
            <v>12.396842379999997</v>
          </cell>
          <cell r="D37">
            <v>12.706763439499996</v>
          </cell>
          <cell r="E37">
            <v>13.016684498999997</v>
          </cell>
          <cell r="F37">
            <v>1.9998</v>
          </cell>
          <cell r="G37">
            <v>5.8575080245499986</v>
          </cell>
          <cell r="H37">
            <v>3.8577080245499986</v>
          </cell>
          <cell r="I37">
            <v>0.65859201701159698</v>
          </cell>
          <cell r="J37">
            <v>5.206673799599999</v>
          </cell>
          <cell r="K37">
            <v>3.206873799599999</v>
          </cell>
          <cell r="L37">
            <v>0.61591601913804661</v>
          </cell>
          <cell r="M37">
            <v>39</v>
          </cell>
        </row>
        <row r="38">
          <cell r="A38" t="str">
            <v>DAXSK20</v>
          </cell>
          <cell r="B38" t="str">
            <v>20 module A to A type stacking kit</v>
          </cell>
          <cell r="C38">
            <v>14.917362200000001</v>
          </cell>
          <cell r="D38">
            <v>15.290296254999999</v>
          </cell>
          <cell r="E38">
            <v>15.663230310000001</v>
          </cell>
          <cell r="F38">
            <v>2.0361599999999997</v>
          </cell>
          <cell r="G38">
            <v>7.0484536395000008</v>
          </cell>
          <cell r="H38">
            <v>5.0122936395000011</v>
          </cell>
          <cell r="I38">
            <v>0.71111961514661537</v>
          </cell>
          <cell r="J38">
            <v>6.265292124000001</v>
          </cell>
          <cell r="K38">
            <v>4.2291321240000013</v>
          </cell>
          <cell r="L38">
            <v>0.6750095670399423</v>
          </cell>
          <cell r="M38">
            <v>14</v>
          </cell>
        </row>
        <row r="39">
          <cell r="A39" t="str">
            <v>DAXSK24</v>
          </cell>
          <cell r="B39" t="str">
            <v>24 module A to A type stacking kit</v>
          </cell>
          <cell r="C39">
            <v>17.810816075000002</v>
          </cell>
          <cell r="D39">
            <v>18.256086476875002</v>
          </cell>
          <cell r="E39">
            <v>18.701356878750001</v>
          </cell>
          <cell r="F39">
            <v>2.0967599999999997</v>
          </cell>
          <cell r="G39">
            <v>8.4156105954375011</v>
          </cell>
          <cell r="H39">
            <v>6.3188505954375014</v>
          </cell>
          <cell r="I39">
            <v>0.75084873804204388</v>
          </cell>
          <cell r="J39">
            <v>7.4805427515000007</v>
          </cell>
          <cell r="K39">
            <v>5.383782751500001</v>
          </cell>
          <cell r="L39">
            <v>0.71970483029729937</v>
          </cell>
        </row>
        <row r="40">
          <cell r="A40" t="str">
            <v>DAXSKB</v>
          </cell>
          <cell r="B40" t="str">
            <v>Stacking kit A to B type</v>
          </cell>
          <cell r="C40">
            <v>11.843871195</v>
          </cell>
          <cell r="D40">
            <v>12.139967974874999</v>
          </cell>
          <cell r="E40">
            <v>12.436064754749999</v>
          </cell>
          <cell r="F40" t="e">
            <v>#N/A</v>
          </cell>
          <cell r="G40">
            <v>5.5962291396374999</v>
          </cell>
          <cell r="H40" t="e">
            <v>#N/A</v>
          </cell>
          <cell r="I40" t="e">
            <v>#N/A</v>
          </cell>
          <cell r="J40">
            <v>4.9744259019000001</v>
          </cell>
          <cell r="K40" t="e">
            <v>#N/A</v>
          </cell>
          <cell r="L40" t="e">
            <v>#N/A</v>
          </cell>
        </row>
        <row r="41">
          <cell r="A41" t="str">
            <v>DAXTP</v>
          </cell>
          <cell r="B41" t="str">
            <v>Terminal blanking kit</v>
          </cell>
          <cell r="C41">
            <v>2.5462394100000001</v>
          </cell>
          <cell r="D41">
            <v>2.6098953952499997</v>
          </cell>
          <cell r="E41">
            <v>2.6735513805000002</v>
          </cell>
          <cell r="F41">
            <v>0.93324000000000007</v>
          </cell>
          <cell r="G41">
            <v>1.203098121225</v>
          </cell>
          <cell r="H41">
            <v>0.26985812122499997</v>
          </cell>
          <cell r="I41">
            <v>0.22430267030109663</v>
          </cell>
          <cell r="J41">
            <v>1.0694205522000002</v>
          </cell>
          <cell r="K41">
            <v>0.13618055220000014</v>
          </cell>
          <cell r="L41">
            <v>0.12734050408873385</v>
          </cell>
        </row>
        <row r="42">
          <cell r="A42" t="str">
            <v>DBMSB</v>
          </cell>
          <cell r="B42" t="str">
            <v>Meter Spreader box</v>
          </cell>
          <cell r="C42">
            <v>75.5</v>
          </cell>
          <cell r="E42">
            <v>79.275000000000006</v>
          </cell>
          <cell r="F42">
            <v>14.76216</v>
          </cell>
          <cell r="G42">
            <v>35.673750000000005</v>
          </cell>
          <cell r="H42">
            <v>20.911590000000004</v>
          </cell>
          <cell r="I42">
            <v>0.58618984547461372</v>
          </cell>
          <cell r="J42">
            <v>31.710000000000004</v>
          </cell>
          <cell r="K42">
            <v>16.947840000000006</v>
          </cell>
          <cell r="L42">
            <v>0.53446357615894058</v>
          </cell>
          <cell r="M42">
            <v>593</v>
          </cell>
        </row>
        <row r="43">
          <cell r="A43" t="str">
            <v>DBS18X</v>
          </cell>
          <cell r="B43" t="str">
            <v>18way Service Centre</v>
          </cell>
          <cell r="C43">
            <v>83.62</v>
          </cell>
          <cell r="E43">
            <v>87.801000000000002</v>
          </cell>
          <cell r="F43">
            <v>19.913159999999998</v>
          </cell>
          <cell r="G43">
            <v>39.510449999999999</v>
          </cell>
          <cell r="H43">
            <v>19.597290000000001</v>
          </cell>
          <cell r="I43">
            <v>0.49600270308234912</v>
          </cell>
          <cell r="J43">
            <v>35.120400000000004</v>
          </cell>
          <cell r="K43">
            <v>15.207240000000006</v>
          </cell>
          <cell r="L43">
            <v>0.43300304096764286</v>
          </cell>
          <cell r="M43">
            <v>374</v>
          </cell>
        </row>
        <row r="44">
          <cell r="A44" t="str">
            <v>DBS36X</v>
          </cell>
          <cell r="B44" t="str">
            <v>36way service Centre</v>
          </cell>
          <cell r="C44">
            <v>112.34</v>
          </cell>
          <cell r="E44">
            <v>117.95700000000001</v>
          </cell>
          <cell r="F44">
            <v>33.039120000000004</v>
          </cell>
          <cell r="G44">
            <v>53.080650000000006</v>
          </cell>
          <cell r="H44">
            <v>20.041530000000002</v>
          </cell>
          <cell r="I44">
            <v>0.37756753167114571</v>
          </cell>
          <cell r="J44">
            <v>47.182800000000007</v>
          </cell>
          <cell r="K44">
            <v>14.143680000000003</v>
          </cell>
          <cell r="L44">
            <v>0.29976347313003893</v>
          </cell>
          <cell r="M44">
            <v>149</v>
          </cell>
        </row>
        <row r="45">
          <cell r="A45" t="str">
            <v>DBTE04X</v>
          </cell>
          <cell r="B45" t="str">
            <v>4 way conditional earth kit</v>
          </cell>
          <cell r="C45">
            <v>16.460537599999999</v>
          </cell>
          <cell r="D45">
            <v>16.872051039999999</v>
          </cell>
          <cell r="E45">
            <v>17.283564479999999</v>
          </cell>
          <cell r="F45">
            <v>4.3753200000000003</v>
          </cell>
          <cell r="G45">
            <v>7.7776040159999997</v>
          </cell>
          <cell r="H45">
            <v>3.4022840159999994</v>
          </cell>
          <cell r="I45">
            <v>0.43744628924291579</v>
          </cell>
          <cell r="J45">
            <v>6.913425792</v>
          </cell>
          <cell r="K45">
            <v>2.5381057919999996</v>
          </cell>
          <cell r="L45">
            <v>0.36712707539828027</v>
          </cell>
        </row>
        <row r="46">
          <cell r="A46" t="str">
            <v>DBTE06X</v>
          </cell>
          <cell r="B46" t="str">
            <v>6 way conditional earth kit</v>
          </cell>
          <cell r="C46">
            <v>16.7356774</v>
          </cell>
          <cell r="D46">
            <v>17.154069334999999</v>
          </cell>
          <cell r="E46">
            <v>17.572461270000002</v>
          </cell>
          <cell r="F46">
            <v>4.7510399999999997</v>
          </cell>
          <cell r="G46">
            <v>7.9076075715000007</v>
          </cell>
          <cell r="H46">
            <v>3.156567571500001</v>
          </cell>
          <cell r="I46">
            <v>0.3991811104633799</v>
          </cell>
          <cell r="J46">
            <v>7.0289845080000006</v>
          </cell>
          <cell r="K46">
            <v>2.2779445080000009</v>
          </cell>
          <cell r="L46">
            <v>0.32407874927130237</v>
          </cell>
        </row>
        <row r="47">
          <cell r="A47" t="str">
            <v>DBTE08X</v>
          </cell>
          <cell r="B47" t="str">
            <v>8 way conditional earth kit</v>
          </cell>
          <cell r="C47">
            <v>17.4175456</v>
          </cell>
          <cell r="D47">
            <v>17.852984239999998</v>
          </cell>
          <cell r="E47">
            <v>18.288422879999999</v>
          </cell>
          <cell r="F47">
            <v>4.94496</v>
          </cell>
          <cell r="G47">
            <v>8.2297902959999991</v>
          </cell>
          <cell r="H47">
            <v>3.2848302959999991</v>
          </cell>
          <cell r="I47">
            <v>0.39913900328621443</v>
          </cell>
          <cell r="J47">
            <v>7.3153691519999997</v>
          </cell>
          <cell r="K47">
            <v>2.3704091519999997</v>
          </cell>
          <cell r="L47">
            <v>0.32403137869699128</v>
          </cell>
        </row>
        <row r="48">
          <cell r="A48" t="str">
            <v>DBTE12X</v>
          </cell>
          <cell r="B48" t="str">
            <v>12 way conditional earth kit</v>
          </cell>
          <cell r="C48">
            <v>18.661656000000001</v>
          </cell>
          <cell r="D48">
            <v>19.128197399999998</v>
          </cell>
          <cell r="E48">
            <v>19.594738800000002</v>
          </cell>
          <cell r="F48">
            <v>5.5145999999999997</v>
          </cell>
          <cell r="G48">
            <v>8.8176324600000004</v>
          </cell>
          <cell r="H48">
            <v>3.3030324600000007</v>
          </cell>
          <cell r="I48">
            <v>0.37459402793025925</v>
          </cell>
          <cell r="J48">
            <v>7.8378955200000009</v>
          </cell>
          <cell r="K48">
            <v>2.3232955200000012</v>
          </cell>
          <cell r="L48">
            <v>0.2964182814215417</v>
          </cell>
        </row>
        <row r="49">
          <cell r="A49" t="str">
            <v>DBTE16X</v>
          </cell>
          <cell r="B49" t="str">
            <v>16 way conditional earth kit</v>
          </cell>
          <cell r="C49">
            <v>19.176047799999999</v>
          </cell>
          <cell r="D49">
            <v>19.655448994999997</v>
          </cell>
          <cell r="E49">
            <v>20.134850189999998</v>
          </cell>
          <cell r="F49">
            <v>6.0478800000000001</v>
          </cell>
          <cell r="G49">
            <v>9.0606825854999986</v>
          </cell>
          <cell r="H49">
            <v>3.0128025854999985</v>
          </cell>
          <cell r="I49">
            <v>0.33251386494009294</v>
          </cell>
          <cell r="J49">
            <v>8.0539400759999999</v>
          </cell>
          <cell r="K49">
            <v>2.0060600759999998</v>
          </cell>
          <cell r="L49">
            <v>0.24907809805760464</v>
          </cell>
        </row>
        <row r="50">
          <cell r="A50" t="str">
            <v>DBTE20X</v>
          </cell>
          <cell r="B50" t="str">
            <v>20 way conditional earth kit</v>
          </cell>
          <cell r="C50">
            <v>22.358099400000004</v>
          </cell>
          <cell r="D50">
            <v>22.917051885000003</v>
          </cell>
          <cell r="E50">
            <v>23.476004370000005</v>
          </cell>
          <cell r="F50">
            <v>6.6175199999999998</v>
          </cell>
          <cell r="G50">
            <v>10.564201966500002</v>
          </cell>
          <cell r="H50">
            <v>3.9466819665000026</v>
          </cell>
          <cell r="I50">
            <v>0.37359016601682477</v>
          </cell>
          <cell r="J50">
            <v>9.3904017480000022</v>
          </cell>
          <cell r="K50">
            <v>2.7728817480000023</v>
          </cell>
          <cell r="L50">
            <v>0.29528893676892787</v>
          </cell>
        </row>
        <row r="51">
          <cell r="A51" t="str">
            <v>DBTE24X</v>
          </cell>
          <cell r="B51" t="str">
            <v>24 way conditional earth kit</v>
          </cell>
          <cell r="C51">
            <v>25.875103800000002</v>
          </cell>
          <cell r="D51">
            <v>26.521981395000001</v>
          </cell>
          <cell r="E51">
            <v>27.16885899</v>
          </cell>
          <cell r="F51" t="e">
            <v>#N/A</v>
          </cell>
          <cell r="G51">
            <v>12.2259865455</v>
          </cell>
          <cell r="H51" t="e">
            <v>#N/A</v>
          </cell>
          <cell r="I51" t="e">
            <v>#N/A</v>
          </cell>
          <cell r="J51">
            <v>10.867543596000001</v>
          </cell>
          <cell r="K51" t="e">
            <v>#N/A</v>
          </cell>
          <cell r="L51" t="e">
            <v>#N/A</v>
          </cell>
        </row>
        <row r="52">
          <cell r="A52" t="str">
            <v>DBX04R</v>
          </cell>
          <cell r="B52" t="str">
            <v>4 way 250A TP&amp;N distribution board</v>
          </cell>
          <cell r="C52">
            <v>135.76833333333335</v>
          </cell>
          <cell r="E52">
            <v>142.55675000000002</v>
          </cell>
          <cell r="F52">
            <v>35.026799999999994</v>
          </cell>
          <cell r="G52">
            <v>64.150537500000013</v>
          </cell>
          <cell r="H52">
            <v>29.123737500000018</v>
          </cell>
          <cell r="I52">
            <v>0.45399054528576649</v>
          </cell>
          <cell r="J52">
            <v>57.022700000000015</v>
          </cell>
          <cell r="K52">
            <v>21.99590000000002</v>
          </cell>
          <cell r="L52">
            <v>0.38573936344648735</v>
          </cell>
          <cell r="M52">
            <v>549</v>
          </cell>
        </row>
        <row r="53">
          <cell r="A53" t="str">
            <v>DBX06R</v>
          </cell>
          <cell r="B53" t="str">
            <v>6 way 250A TP&amp;N distribution board</v>
          </cell>
          <cell r="C53">
            <v>154.965</v>
          </cell>
          <cell r="E53">
            <v>162.71325000000002</v>
          </cell>
          <cell r="F53">
            <v>39.308796000000001</v>
          </cell>
          <cell r="G53">
            <v>73.220962500000013</v>
          </cell>
          <cell r="H53">
            <v>33.912166500000012</v>
          </cell>
          <cell r="I53">
            <v>0.4631483299608361</v>
          </cell>
          <cell r="J53">
            <v>65.085300000000004</v>
          </cell>
          <cell r="K53">
            <v>25.776504000000003</v>
          </cell>
          <cell r="L53">
            <v>0.39604187120594053</v>
          </cell>
          <cell r="M53">
            <v>638</v>
          </cell>
        </row>
        <row r="54">
          <cell r="A54" t="str">
            <v>DBX08R</v>
          </cell>
          <cell r="B54" t="str">
            <v>8 way 250A TP&amp;N distribution board</v>
          </cell>
          <cell r="C54">
            <v>170.29</v>
          </cell>
          <cell r="E54">
            <v>178.80449999999999</v>
          </cell>
          <cell r="F54">
            <v>42.819959999999995</v>
          </cell>
          <cell r="G54">
            <v>80.462024999999997</v>
          </cell>
          <cell r="H54">
            <v>37.642065000000002</v>
          </cell>
          <cell r="I54">
            <v>0.46782398280431053</v>
          </cell>
          <cell r="J54">
            <v>71.521799999999999</v>
          </cell>
          <cell r="K54">
            <v>28.701840000000004</v>
          </cell>
          <cell r="L54">
            <v>0.40130198065484934</v>
          </cell>
          <cell r="M54">
            <v>918</v>
          </cell>
        </row>
        <row r="55">
          <cell r="A55" t="str">
            <v>DBX12R</v>
          </cell>
          <cell r="B55" t="str">
            <v>12 way 250A TP&amp;N distribution board</v>
          </cell>
          <cell r="C55">
            <v>202.34333333333333</v>
          </cell>
          <cell r="E55">
            <v>212.4605</v>
          </cell>
          <cell r="F55">
            <v>53.31588</v>
          </cell>
          <cell r="G55">
            <v>95.607225</v>
          </cell>
          <cell r="H55">
            <v>42.291345</v>
          </cell>
          <cell r="I55">
            <v>0.44234465543791279</v>
          </cell>
          <cell r="J55">
            <v>84.984200000000001</v>
          </cell>
          <cell r="K55">
            <v>31.668320000000001</v>
          </cell>
          <cell r="L55">
            <v>0.37263773736765188</v>
          </cell>
          <cell r="M55">
            <v>1209</v>
          </cell>
        </row>
        <row r="56">
          <cell r="A56" t="str">
            <v>DBX16R</v>
          </cell>
          <cell r="B56" t="str">
            <v>16 way 250A TP&amp;N distribution board</v>
          </cell>
          <cell r="C56">
            <v>299.97833333333335</v>
          </cell>
          <cell r="E56">
            <v>314.97725000000003</v>
          </cell>
          <cell r="F56">
            <v>62.187719999999999</v>
          </cell>
          <cell r="G56">
            <v>141.73976250000001</v>
          </cell>
          <cell r="H56">
            <v>79.552042500000013</v>
          </cell>
          <cell r="I56">
            <v>0.5612542387320566</v>
          </cell>
          <cell r="J56">
            <v>125.99090000000001</v>
          </cell>
          <cell r="K56">
            <v>63.803180000000012</v>
          </cell>
          <cell r="L56">
            <v>0.50641101857356374</v>
          </cell>
          <cell r="M56">
            <v>435</v>
          </cell>
        </row>
        <row r="57">
          <cell r="A57" t="str">
            <v>DBX20R</v>
          </cell>
          <cell r="B57" t="str">
            <v>20 way 250A TP&amp;N distribution board</v>
          </cell>
          <cell r="C57">
            <v>373.51333333333332</v>
          </cell>
          <cell r="E57">
            <v>392.18899999999996</v>
          </cell>
          <cell r="F57">
            <v>74.889479999999992</v>
          </cell>
          <cell r="G57">
            <v>176.48505</v>
          </cell>
          <cell r="H57">
            <v>101.59557000000001</v>
          </cell>
          <cell r="I57">
            <v>0.57566105457657746</v>
          </cell>
          <cell r="J57">
            <v>156.87559999999999</v>
          </cell>
          <cell r="K57">
            <v>81.98612</v>
          </cell>
          <cell r="L57">
            <v>0.52261868639864961</v>
          </cell>
          <cell r="M57">
            <v>203</v>
          </cell>
        </row>
        <row r="58">
          <cell r="A58" t="str">
            <v>DBX24R</v>
          </cell>
          <cell r="B58" t="str">
            <v>24 way 250A TP&amp;N distribution board</v>
          </cell>
          <cell r="C58">
            <v>430.76549250000011</v>
          </cell>
          <cell r="E58">
            <v>452.30376712500009</v>
          </cell>
          <cell r="F58">
            <v>86.18531999999999</v>
          </cell>
          <cell r="G58">
            <v>203.53669520625004</v>
          </cell>
          <cell r="H58">
            <v>117.35137520625005</v>
          </cell>
          <cell r="I58">
            <v>0.57656126865641733</v>
          </cell>
          <cell r="J58">
            <v>180.92150685000004</v>
          </cell>
          <cell r="K58">
            <v>94.736186850000053</v>
          </cell>
          <cell r="L58">
            <v>0.52363142723846945</v>
          </cell>
          <cell r="M58">
            <v>238</v>
          </cell>
        </row>
        <row r="59">
          <cell r="A59" t="str">
            <v>DBX24FK</v>
          </cell>
          <cell r="B59" t="str">
            <v>24 way distribution board fixing kit</v>
          </cell>
          <cell r="C59">
            <v>17.644835</v>
          </cell>
          <cell r="D59">
            <v>18.085955875</v>
          </cell>
          <cell r="E59">
            <v>18.527076749999999</v>
          </cell>
          <cell r="F59">
            <v>2.7027600000000001</v>
          </cell>
          <cell r="G59">
            <v>8.3371845375000007</v>
          </cell>
          <cell r="H59">
            <v>5.6344245375000011</v>
          </cell>
          <cell r="I59">
            <v>0.6758186186423969</v>
          </cell>
          <cell r="J59">
            <v>7.4108307</v>
          </cell>
          <cell r="K59">
            <v>4.7080707000000004</v>
          </cell>
          <cell r="L59">
            <v>0.63529594597269645</v>
          </cell>
        </row>
        <row r="60">
          <cell r="A60" t="str">
            <v>DBX24WL</v>
          </cell>
          <cell r="B60" t="str">
            <v>24 way - way label kit</v>
          </cell>
          <cell r="C60">
            <v>3.8878449999999996</v>
          </cell>
          <cell r="D60">
            <v>3.9850411249999991</v>
          </cell>
          <cell r="E60">
            <v>4.0822372499999995</v>
          </cell>
          <cell r="F60">
            <v>0.49691999999999997</v>
          </cell>
          <cell r="G60">
            <v>1.8370067624999997</v>
          </cell>
          <cell r="H60">
            <v>1.3400867624999997</v>
          </cell>
          <cell r="I60">
            <v>0.72949473559708788</v>
          </cell>
          <cell r="J60">
            <v>1.6328948999999999</v>
          </cell>
          <cell r="K60">
            <v>1.1359748999999999</v>
          </cell>
          <cell r="L60">
            <v>0.69568157754672388</v>
          </cell>
        </row>
        <row r="61">
          <cell r="A61" t="str">
            <v>DBXC06NAH06CA</v>
          </cell>
          <cell r="B61" t="str">
            <v>125A Horizontal Metered Power &amp; Lighting Board - 2 x 6 Way With 2 X MF Meter</v>
          </cell>
          <cell r="C61">
            <v>1987.7191283396828</v>
          </cell>
          <cell r="E61">
            <v>1987.7191283396828</v>
          </cell>
          <cell r="F61" t="e">
            <v>#N/A</v>
          </cell>
          <cell r="G61">
            <v>894.47360775285733</v>
          </cell>
          <cell r="H61" t="e">
            <v>#N/A</v>
          </cell>
          <cell r="I61" t="e">
            <v>#N/A</v>
          </cell>
          <cell r="J61">
            <v>795.08765133587315</v>
          </cell>
          <cell r="K61" t="e">
            <v>#N/A</v>
          </cell>
          <cell r="L61" t="e">
            <v>#N/A</v>
          </cell>
        </row>
        <row r="62">
          <cell r="A62" t="str">
            <v>DBXC12NAH12CA</v>
          </cell>
          <cell r="B62" t="str">
            <v>125A Horizontal Metered Power &amp; Lighting Board - 2 x 12 Way With 2 X MF Meter</v>
          </cell>
          <cell r="C62">
            <v>2114.0818802299723</v>
          </cell>
          <cell r="E62">
            <v>2114.0818802299723</v>
          </cell>
          <cell r="F62" t="e">
            <v>#N/A</v>
          </cell>
          <cell r="G62">
            <v>951.33684610348757</v>
          </cell>
          <cell r="H62" t="e">
            <v>#N/A</v>
          </cell>
          <cell r="I62" t="e">
            <v>#N/A</v>
          </cell>
          <cell r="J62">
            <v>845.632752091989</v>
          </cell>
          <cell r="K62" t="e">
            <v>#N/A</v>
          </cell>
          <cell r="L62" t="e">
            <v>#N/A</v>
          </cell>
        </row>
        <row r="63">
          <cell r="A63" t="str">
            <v>DBXC06NAV04CA</v>
          </cell>
          <cell r="B63" t="str">
            <v xml:space="preserve">125A Vertical Metered Power &amp; Lighting Board - 6 + 4 Way With 2 X MF Meter </v>
          </cell>
          <cell r="C63">
            <v>1891.8183472958337</v>
          </cell>
          <cell r="E63">
            <v>1891.8183472958337</v>
          </cell>
          <cell r="F63" t="e">
            <v>#N/A</v>
          </cell>
          <cell r="G63">
            <v>851.31825628312515</v>
          </cell>
          <cell r="H63" t="e">
            <v>#N/A</v>
          </cell>
          <cell r="I63" t="e">
            <v>#N/A</v>
          </cell>
          <cell r="J63">
            <v>756.72733891833354</v>
          </cell>
          <cell r="K63" t="e">
            <v>#N/A</v>
          </cell>
          <cell r="L63" t="e">
            <v>#N/A</v>
          </cell>
        </row>
        <row r="64">
          <cell r="A64" t="str">
            <v>DBXC08NAV06CA</v>
          </cell>
          <cell r="B64" t="str">
            <v>125A Vertical Metered Power &amp; Lighting Board - 8 + 6 way with 2 x MF Meter</v>
          </cell>
          <cell r="C64">
            <v>1934.6043786957352</v>
          </cell>
          <cell r="E64">
            <v>1934.6043786957352</v>
          </cell>
          <cell r="F64" t="e">
            <v>#N/A</v>
          </cell>
          <cell r="G64">
            <v>870.57197041308086</v>
          </cell>
          <cell r="H64" t="e">
            <v>#N/A</v>
          </cell>
          <cell r="I64" t="e">
            <v>#N/A</v>
          </cell>
          <cell r="J64">
            <v>773.8417514782941</v>
          </cell>
          <cell r="K64" t="e">
            <v>#N/A</v>
          </cell>
          <cell r="L64" t="e">
            <v>#N/A</v>
          </cell>
        </row>
        <row r="65">
          <cell r="A65" t="str">
            <v>DBXC12NAV08CA</v>
          </cell>
          <cell r="B65" t="str">
            <v>125A Vertical Metered Power &amp; Lighting Board - 12 + 8 Way With 2 X MF Meter</v>
          </cell>
          <cell r="C65">
            <v>1997.78575464088</v>
          </cell>
          <cell r="E65">
            <v>1997.78575464088</v>
          </cell>
          <cell r="F65" t="e">
            <v>#N/A</v>
          </cell>
          <cell r="G65">
            <v>899.00358958839604</v>
          </cell>
          <cell r="H65" t="e">
            <v>#N/A</v>
          </cell>
          <cell r="I65" t="e">
            <v>#N/A</v>
          </cell>
          <cell r="J65">
            <v>799.11430185635209</v>
          </cell>
          <cell r="K65" t="e">
            <v>#N/A</v>
          </cell>
          <cell r="L65" t="e">
            <v>#N/A</v>
          </cell>
        </row>
        <row r="66">
          <cell r="A66" t="str">
            <v>DBXC08NJV06CJ</v>
          </cell>
          <cell r="B66" t="str">
            <v>125A Vertical Metered Power &amp; Lighting Board - 8 + 6 way with 2 x KWH Mter</v>
          </cell>
          <cell r="C66">
            <v>1736.1234971854799</v>
          </cell>
          <cell r="E66">
            <v>1736.1234971854799</v>
          </cell>
          <cell r="F66" t="e">
            <v>#N/A</v>
          </cell>
          <cell r="G66">
            <v>781.25557373346601</v>
          </cell>
          <cell r="H66" t="e">
            <v>#N/A</v>
          </cell>
          <cell r="I66" t="e">
            <v>#N/A</v>
          </cell>
          <cell r="J66">
            <v>694.44939887419196</v>
          </cell>
          <cell r="K66" t="e">
            <v>#N/A</v>
          </cell>
          <cell r="L66" t="e">
            <v>#N/A</v>
          </cell>
        </row>
        <row r="67">
          <cell r="A67" t="str">
            <v>DBXC12NJV08CJ</v>
          </cell>
          <cell r="B67" t="str">
            <v>125A Vertical Metered Power &amp; Lighting Board - 12 + 8 Way With 2 X KWH Meter</v>
          </cell>
          <cell r="C67">
            <v>1799.3048731306244</v>
          </cell>
          <cell r="E67">
            <v>1799.3048731306244</v>
          </cell>
          <cell r="F67" t="e">
            <v>#N/A</v>
          </cell>
          <cell r="G67">
            <v>809.68719290878096</v>
          </cell>
          <cell r="H67" t="e">
            <v>#N/A</v>
          </cell>
          <cell r="I67" t="e">
            <v>#N/A</v>
          </cell>
          <cell r="J67">
            <v>719.72194925224983</v>
          </cell>
          <cell r="K67" t="e">
            <v>#N/A</v>
          </cell>
          <cell r="L67" t="e">
            <v>#N/A</v>
          </cell>
        </row>
        <row r="68">
          <cell r="A68" t="str">
            <v>DBXE08NAH08NA</v>
          </cell>
          <cell r="B68" t="str">
            <v>250A Horizontal Metered Power &amp; Lighting Board - 2 x 8 Way With 2 X MF Meter</v>
          </cell>
          <cell r="C68">
            <v>2256.3614566785977</v>
          </cell>
          <cell r="E68">
            <v>2256.3614566785977</v>
          </cell>
          <cell r="F68" t="e">
            <v>#N/A</v>
          </cell>
          <cell r="G68">
            <v>1015.362655505369</v>
          </cell>
          <cell r="H68" t="e">
            <v>#N/A</v>
          </cell>
          <cell r="I68" t="e">
            <v>#N/A</v>
          </cell>
          <cell r="J68">
            <v>902.54458267143912</v>
          </cell>
          <cell r="K68" t="e">
            <v>#N/A</v>
          </cell>
          <cell r="L68" t="e">
            <v>#N/A</v>
          </cell>
        </row>
        <row r="69">
          <cell r="A69" t="str">
            <v>DBXE08NAV06NA</v>
          </cell>
          <cell r="B69" t="str">
            <v>250A Vertical Metered Power &amp; Lighting Board - 8 + 6 Way With 2 X MF Meter</v>
          </cell>
          <cell r="C69">
            <v>2075</v>
          </cell>
          <cell r="E69">
            <v>2075</v>
          </cell>
          <cell r="F69" t="e">
            <v>#N/A</v>
          </cell>
          <cell r="G69">
            <v>933.75</v>
          </cell>
          <cell r="H69" t="e">
            <v>#N/A</v>
          </cell>
          <cell r="I69" t="e">
            <v>#N/A</v>
          </cell>
          <cell r="J69">
            <v>830</v>
          </cell>
          <cell r="K69" t="e">
            <v>#N/A</v>
          </cell>
          <cell r="L69" t="e">
            <v>#N/A</v>
          </cell>
        </row>
        <row r="70">
          <cell r="A70" t="str">
            <v>DBXE12NAV08NA</v>
          </cell>
          <cell r="B70" t="str">
            <v>250A Vertical Metered Power &amp; Lighting Board - 12 + 8 Way With 2 X MF Meter</v>
          </cell>
          <cell r="C70">
            <v>2165</v>
          </cell>
          <cell r="E70">
            <v>2165</v>
          </cell>
          <cell r="F70" t="e">
            <v>#N/A</v>
          </cell>
          <cell r="G70">
            <v>974.25</v>
          </cell>
          <cell r="H70" t="e">
            <v>#N/A</v>
          </cell>
          <cell r="I70" t="e">
            <v>#N/A</v>
          </cell>
          <cell r="J70">
            <v>866</v>
          </cell>
          <cell r="K70" t="e">
            <v>#N/A</v>
          </cell>
          <cell r="L70" t="e">
            <v>#N/A</v>
          </cell>
        </row>
        <row r="71">
          <cell r="A71" t="str">
            <v>DBXE08NJV06NJ</v>
          </cell>
          <cell r="B71" t="str">
            <v>250A Vertical Metered Power &amp; Lighting Board - 8 + 6 way with 2 x KWH Meter</v>
          </cell>
          <cell r="C71">
            <v>1969.9477718030348</v>
          </cell>
          <cell r="E71">
            <v>1969.9477718030348</v>
          </cell>
          <cell r="F71" t="e">
            <v>#N/A</v>
          </cell>
          <cell r="G71">
            <v>886.47649731136573</v>
          </cell>
          <cell r="H71" t="e">
            <v>#N/A</v>
          </cell>
          <cell r="I71" t="e">
            <v>#N/A</v>
          </cell>
          <cell r="J71">
            <v>787.97910872121395</v>
          </cell>
          <cell r="K71" t="e">
            <v>#N/A</v>
          </cell>
          <cell r="L71" t="e">
            <v>#N/A</v>
          </cell>
        </row>
        <row r="72">
          <cell r="A72" t="str">
            <v>DBXE12NJV08NJ</v>
          </cell>
          <cell r="B72" t="str">
            <v>250A Vertical Metered Power &amp; Lighting Board - 12 + 8 Way With 2 X KWH Meter</v>
          </cell>
          <cell r="C72">
            <v>2033.1291477481798</v>
          </cell>
          <cell r="E72">
            <v>2033.1291477481798</v>
          </cell>
          <cell r="F72" t="e">
            <v>#N/A</v>
          </cell>
          <cell r="G72">
            <v>914.90811648668091</v>
          </cell>
          <cell r="H72" t="e">
            <v>#N/A</v>
          </cell>
          <cell r="I72" t="e">
            <v>#N/A</v>
          </cell>
          <cell r="J72">
            <v>813.25165909927193</v>
          </cell>
          <cell r="K72" t="e">
            <v>#N/A</v>
          </cell>
          <cell r="L72" t="e">
            <v>#N/A</v>
          </cell>
        </row>
        <row r="73">
          <cell r="A73" t="str">
            <v>DBXC08NNV06CA</v>
          </cell>
          <cell r="B73" t="str">
            <v xml:space="preserve">125A Vertical Metered Power &amp; Lighting Board - 8 + 6 Way With 1 X MF Meter </v>
          </cell>
          <cell r="C73">
            <v>1497.1677645935888</v>
          </cell>
          <cell r="E73">
            <v>1497.1677645935888</v>
          </cell>
          <cell r="F73" t="e">
            <v>#N/A</v>
          </cell>
          <cell r="G73">
            <v>673.72549406711494</v>
          </cell>
          <cell r="H73" t="e">
            <v>#N/A</v>
          </cell>
          <cell r="I73" t="e">
            <v>#N/A</v>
          </cell>
          <cell r="J73">
            <v>598.86710583743559</v>
          </cell>
          <cell r="K73" t="e">
            <v>#N/A</v>
          </cell>
          <cell r="L73" t="e">
            <v>#N/A</v>
          </cell>
        </row>
        <row r="74">
          <cell r="A74" t="str">
            <v>DBXC12NNV08CA</v>
          </cell>
          <cell r="B74" t="str">
            <v>125A Vertical Metered Power &amp; Lighting Board - 12 + 8 Way With 1 X MF Meter</v>
          </cell>
          <cell r="C74">
            <v>1560.3491405387335</v>
          </cell>
          <cell r="E74">
            <v>1560.3491405387335</v>
          </cell>
          <cell r="F74" t="e">
            <v>#N/A</v>
          </cell>
          <cell r="G74">
            <v>702.15711324243011</v>
          </cell>
          <cell r="H74" t="e">
            <v>#N/A</v>
          </cell>
          <cell r="I74" t="e">
            <v>#N/A</v>
          </cell>
          <cell r="J74">
            <v>624.13965621549346</v>
          </cell>
          <cell r="K74" t="e">
            <v>#N/A</v>
          </cell>
          <cell r="L74" t="e">
            <v>#N/A</v>
          </cell>
        </row>
        <row r="75">
          <cell r="A75" t="str">
            <v>DBXBH</v>
          </cell>
          <cell r="B75" t="str">
            <v>1/2 module blanking plate (set of 5)</v>
          </cell>
          <cell r="C75">
            <v>2.11646</v>
          </cell>
          <cell r="D75">
            <v>2.1693715</v>
          </cell>
          <cell r="E75">
            <v>2.222283</v>
          </cell>
          <cell r="F75">
            <v>0.72719999999999996</v>
          </cell>
          <cell r="G75">
            <v>1.0000273500000001</v>
          </cell>
          <cell r="H75">
            <v>0.27282735000000014</v>
          </cell>
          <cell r="I75">
            <v>0.27281988837605303</v>
          </cell>
          <cell r="J75">
            <v>0.88891320000000007</v>
          </cell>
          <cell r="K75">
            <v>0.16171320000000011</v>
          </cell>
          <cell r="L75">
            <v>0.18192237442305964</v>
          </cell>
          <cell r="M75">
            <v>364</v>
          </cell>
        </row>
        <row r="76">
          <cell r="A76" t="str">
            <v>DBXBM</v>
          </cell>
          <cell r="B76" t="str">
            <v>1 module blanking plate (set of 5)</v>
          </cell>
          <cell r="C76">
            <v>2.9144593749999999</v>
          </cell>
          <cell r="D76">
            <v>2.9873208593749996</v>
          </cell>
          <cell r="E76">
            <v>3.4973512499999999</v>
          </cell>
          <cell r="F76">
            <v>1.3332000000000002</v>
          </cell>
          <cell r="G76">
            <v>1.5738080624999999</v>
          </cell>
          <cell r="H76">
            <v>0.24060806249999978</v>
          </cell>
          <cell r="I76">
            <v>0.15288272327045585</v>
          </cell>
          <cell r="J76">
            <v>1.3989405000000001</v>
          </cell>
          <cell r="K76">
            <v>6.574049999999998E-2</v>
          </cell>
          <cell r="L76">
            <v>4.6993063679262967E-2</v>
          </cell>
          <cell r="M76">
            <v>5379</v>
          </cell>
        </row>
        <row r="77">
          <cell r="A77" t="str">
            <v>DBXBP</v>
          </cell>
          <cell r="B77" t="str">
            <v>12 module blanking plate</v>
          </cell>
          <cell r="C77">
            <v>6.0305999999999997</v>
          </cell>
          <cell r="D77">
            <v>6.1813649999999996</v>
          </cell>
          <cell r="E77">
            <v>6.3321299999999994</v>
          </cell>
          <cell r="F77">
            <v>1.6967999999999999</v>
          </cell>
          <cell r="G77">
            <v>2.8494584999999999</v>
          </cell>
          <cell r="H77">
            <v>1.1526585</v>
          </cell>
          <cell r="I77">
            <v>0.40451843745048405</v>
          </cell>
          <cell r="J77">
            <v>2.5328520000000001</v>
          </cell>
          <cell r="K77">
            <v>0.83605200000000024</v>
          </cell>
          <cell r="L77">
            <v>0.33008324213179457</v>
          </cell>
          <cell r="M77">
            <v>7184</v>
          </cell>
        </row>
        <row r="78">
          <cell r="A78" t="str">
            <v>DBXCL</v>
          </cell>
          <cell r="B78" t="str">
            <v>Door lock</v>
          </cell>
          <cell r="C78">
            <v>8.9283719571428559</v>
          </cell>
          <cell r="D78">
            <v>9.1515812560714274</v>
          </cell>
          <cell r="E78">
            <v>9.3747905549999988</v>
          </cell>
          <cell r="F78">
            <v>2.02</v>
          </cell>
          <cell r="G78">
            <v>4.2186557497499999</v>
          </cell>
          <cell r="H78">
            <v>2.1986557497499999</v>
          </cell>
          <cell r="I78">
            <v>0.52117448784018316</v>
          </cell>
          <cell r="J78">
            <v>3.7499162219999995</v>
          </cell>
          <cell r="K78">
            <v>1.7299162219999995</v>
          </cell>
          <cell r="L78">
            <v>0.46132129882020595</v>
          </cell>
          <cell r="M78">
            <v>4466</v>
          </cell>
        </row>
        <row r="79">
          <cell r="A79" t="str">
            <v>DBXCK</v>
          </cell>
          <cell r="B79" t="str">
            <v>Connector kit for RCCB/4-pole modular contactor/4-pole incomer</v>
          </cell>
          <cell r="C79">
            <v>28.2</v>
          </cell>
          <cell r="D79">
            <v>28.904999999999998</v>
          </cell>
          <cell r="E79">
            <v>29.61</v>
          </cell>
          <cell r="F79">
            <v>9.5505599999999991</v>
          </cell>
          <cell r="G79">
            <v>13.3245</v>
          </cell>
          <cell r="H79">
            <v>3.7739400000000014</v>
          </cell>
          <cell r="I79">
            <v>0.28323314195654631</v>
          </cell>
          <cell r="J79">
            <v>11.844000000000001</v>
          </cell>
          <cell r="K79">
            <v>2.2934400000000021</v>
          </cell>
          <cell r="L79">
            <v>0.19363728470111466</v>
          </cell>
          <cell r="M79">
            <v>623</v>
          </cell>
        </row>
        <row r="80">
          <cell r="A80" t="str">
            <v>DBXD0</v>
          </cell>
          <cell r="B80" t="str">
            <v>35mm direct connection kit</v>
          </cell>
          <cell r="C80">
            <v>21.07820378571428</v>
          </cell>
          <cell r="D80">
            <v>21.605158880357134</v>
          </cell>
          <cell r="E80">
            <v>22.132113974999992</v>
          </cell>
          <cell r="F80">
            <v>6.4930000000000003</v>
          </cell>
          <cell r="G80">
            <v>9.959451288749996</v>
          </cell>
          <cell r="H80">
            <v>3.4664512887499956</v>
          </cell>
          <cell r="I80">
            <v>0.34805645293587933</v>
          </cell>
          <cell r="J80">
            <v>8.8528455899999976</v>
          </cell>
          <cell r="K80">
            <v>2.3598455899999973</v>
          </cell>
          <cell r="L80">
            <v>0.26656350955286434</v>
          </cell>
          <cell r="M80">
            <v>1364</v>
          </cell>
        </row>
        <row r="81">
          <cell r="A81" t="str">
            <v>DBXD1</v>
          </cell>
          <cell r="B81" t="str">
            <v>70mm direct connection kit</v>
          </cell>
          <cell r="C81">
            <v>24.950615624999998</v>
          </cell>
          <cell r="D81">
            <v>25.574381015624994</v>
          </cell>
          <cell r="E81">
            <v>26.198146406249997</v>
          </cell>
          <cell r="F81">
            <v>5.5751999999999997</v>
          </cell>
          <cell r="G81">
            <v>11.789165882812499</v>
          </cell>
          <cell r="H81">
            <v>6.2139658828124995</v>
          </cell>
          <cell r="I81">
            <v>0.52709122465329628</v>
          </cell>
          <cell r="J81">
            <v>10.4792585625</v>
          </cell>
          <cell r="K81">
            <v>4.9040585625000004</v>
          </cell>
          <cell r="L81">
            <v>0.46797762773495838</v>
          </cell>
        </row>
        <row r="82">
          <cell r="A82" t="str">
            <v>DBXD2</v>
          </cell>
          <cell r="B82" t="str">
            <v>150mm direct connection kit</v>
          </cell>
          <cell r="C82">
            <v>35.826525000000004</v>
          </cell>
          <cell r="D82">
            <v>36.722188125000002</v>
          </cell>
          <cell r="E82">
            <v>37.617851250000001</v>
          </cell>
          <cell r="F82">
            <v>9.6959999999999997</v>
          </cell>
          <cell r="G82">
            <v>16.928033062500003</v>
          </cell>
          <cell r="H82">
            <v>7.2320330625000029</v>
          </cell>
          <cell r="I82">
            <v>0.42722229072914786</v>
          </cell>
          <cell r="J82">
            <v>15.047140500000001</v>
          </cell>
          <cell r="K82">
            <v>5.3511405000000014</v>
          </cell>
          <cell r="L82">
            <v>0.35562507707029128</v>
          </cell>
        </row>
        <row r="83">
          <cell r="A83" t="str">
            <v>DBXEP</v>
          </cell>
          <cell r="B83" t="str">
            <v xml:space="preserve">TP+N distribution board End Plate </v>
          </cell>
          <cell r="C83">
            <v>12.255755590625</v>
          </cell>
          <cell r="E83">
            <v>12.868543370156249</v>
          </cell>
          <cell r="F83">
            <v>2.7997200000000002</v>
          </cell>
          <cell r="G83">
            <v>5.7908445165703126</v>
          </cell>
          <cell r="H83">
            <v>2.9911245165703124</v>
          </cell>
          <cell r="I83">
            <v>0.51652647692600051</v>
          </cell>
          <cell r="J83">
            <v>5.1474173480625005</v>
          </cell>
          <cell r="K83">
            <v>2.3476973480625003</v>
          </cell>
          <cell r="L83">
            <v>0.45609228654175066</v>
          </cell>
        </row>
        <row r="84">
          <cell r="A84" t="str">
            <v>DBXJK</v>
          </cell>
          <cell r="B84" t="str">
            <v>Vertical Joining kit</v>
          </cell>
          <cell r="C84">
            <v>16.18</v>
          </cell>
          <cell r="E84">
            <v>16.989000000000001</v>
          </cell>
          <cell r="F84">
            <v>3.5511600000000003</v>
          </cell>
          <cell r="G84">
            <v>7.6450500000000003</v>
          </cell>
          <cell r="H84">
            <v>4.09389</v>
          </cell>
          <cell r="I84">
            <v>0.53549551670688877</v>
          </cell>
          <cell r="J84">
            <v>6.7956000000000003</v>
          </cell>
          <cell r="K84">
            <v>3.24444</v>
          </cell>
          <cell r="L84">
            <v>0.47743245629524983</v>
          </cell>
        </row>
        <row r="85">
          <cell r="A85" t="str">
            <v>DBXL</v>
          </cell>
          <cell r="B85" t="str">
            <v>Earth link isolator kit</v>
          </cell>
          <cell r="C85">
            <v>11.904495942857142</v>
          </cell>
          <cell r="D85">
            <v>12.20210834142857</v>
          </cell>
          <cell r="E85">
            <v>12.499720739999999</v>
          </cell>
          <cell r="F85">
            <v>2.121</v>
          </cell>
          <cell r="G85">
            <v>5.6248743329999993</v>
          </cell>
          <cell r="H85">
            <v>3.5038743329999993</v>
          </cell>
          <cell r="I85">
            <v>0.62292490917414411</v>
          </cell>
          <cell r="J85">
            <v>4.999888296</v>
          </cell>
          <cell r="K85">
            <v>2.878888296</v>
          </cell>
          <cell r="L85">
            <v>0.57579052282091225</v>
          </cell>
        </row>
        <row r="86">
          <cell r="A86" t="str">
            <v>DBXLSA1</v>
          </cell>
          <cell r="B86" t="str">
            <v>Fuse switch connection kit 100A</v>
          </cell>
          <cell r="C86">
            <v>85.586881800000015</v>
          </cell>
          <cell r="E86">
            <v>89.86622589000001</v>
          </cell>
          <cell r="F86">
            <v>18.9678</v>
          </cell>
          <cell r="G86">
            <v>40.439801650500009</v>
          </cell>
          <cell r="H86">
            <v>21.472001650500008</v>
          </cell>
          <cell r="I86">
            <v>0.53096209116135773</v>
          </cell>
          <cell r="J86">
            <v>35.946490356000005</v>
          </cell>
          <cell r="K86">
            <v>16.978690356000005</v>
          </cell>
          <cell r="L86">
            <v>0.47233235255652734</v>
          </cell>
        </row>
        <row r="87">
          <cell r="A87" t="str">
            <v>DBXLSA2</v>
          </cell>
          <cell r="B87" t="str">
            <v>Fuse switch connection kit 200A</v>
          </cell>
          <cell r="C87">
            <v>85.586881800000015</v>
          </cell>
          <cell r="E87">
            <v>89.86622589000001</v>
          </cell>
          <cell r="F87">
            <v>26.082239999999999</v>
          </cell>
          <cell r="G87">
            <v>40.439801650500009</v>
          </cell>
          <cell r="H87">
            <v>14.35756165050001</v>
          </cell>
          <cell r="I87">
            <v>0.3550354122551066</v>
          </cell>
          <cell r="J87">
            <v>35.946490356000005</v>
          </cell>
          <cell r="K87">
            <v>9.8642503560000065</v>
          </cell>
          <cell r="L87">
            <v>0.27441483878699485</v>
          </cell>
        </row>
        <row r="88">
          <cell r="A88" t="str">
            <v>DBXPL</v>
          </cell>
          <cell r="B88" t="str">
            <v>Padlocking device</v>
          </cell>
          <cell r="C88">
            <v>28.878012178571424</v>
          </cell>
          <cell r="D88">
            <v>29.599962483035707</v>
          </cell>
          <cell r="E88">
            <v>30.321912787499997</v>
          </cell>
          <cell r="F88">
            <v>3.0019999999999998</v>
          </cell>
          <cell r="G88">
            <v>13.644860754374999</v>
          </cell>
          <cell r="H88">
            <v>10.642860754375</v>
          </cell>
          <cell r="I88">
            <v>0.77999042613626846</v>
          </cell>
          <cell r="J88">
            <v>12.128765115</v>
          </cell>
          <cell r="K88">
            <v>9.1267651150000013</v>
          </cell>
          <cell r="L88">
            <v>0.75248922940330198</v>
          </cell>
        </row>
        <row r="89">
          <cell r="A89" t="str">
            <v>DBXT06</v>
          </cell>
          <cell r="B89" t="str">
            <v>6 way terminal bars</v>
          </cell>
          <cell r="C89">
            <v>8.4139801571428574</v>
          </cell>
          <cell r="D89">
            <v>8.6243296610714282</v>
          </cell>
          <cell r="E89">
            <v>8.8346791650000007</v>
          </cell>
          <cell r="F89">
            <v>3.4542000000000002</v>
          </cell>
          <cell r="G89">
            <v>3.9756056242500004</v>
          </cell>
          <cell r="H89">
            <v>0.52140562425000025</v>
          </cell>
          <cell r="I89">
            <v>0.13115124424555155</v>
          </cell>
          <cell r="J89">
            <v>3.5338716660000005</v>
          </cell>
          <cell r="K89">
            <v>7.9671666000000307E-2</v>
          </cell>
          <cell r="L89">
            <v>2.2545149776245523E-2</v>
          </cell>
        </row>
        <row r="90">
          <cell r="A90" t="str">
            <v>DBXT06</v>
          </cell>
          <cell r="B90" t="str">
            <v>6 way terminal bars</v>
          </cell>
          <cell r="C90">
            <v>8.4139801571428574</v>
          </cell>
          <cell r="D90">
            <v>8.6243296610714282</v>
          </cell>
          <cell r="E90">
            <v>8.8346791650000007</v>
          </cell>
          <cell r="F90">
            <v>3.4542000000000002</v>
          </cell>
          <cell r="G90">
            <v>3.9756056242500004</v>
          </cell>
          <cell r="H90">
            <v>0.52140562425000025</v>
          </cell>
          <cell r="I90">
            <v>0.13115124424555155</v>
          </cell>
          <cell r="J90">
            <v>3.5338716660000005</v>
          </cell>
          <cell r="K90">
            <v>7.9671666000000307E-2</v>
          </cell>
          <cell r="L90">
            <v>2.2545149776245523E-2</v>
          </cell>
        </row>
        <row r="91">
          <cell r="A91" t="str">
            <v>DBXT12</v>
          </cell>
          <cell r="B91" t="str">
            <v>12 way terminal bars</v>
          </cell>
          <cell r="C91">
            <v>10.079629795238093</v>
          </cell>
          <cell r="D91">
            <v>10.331620540119044</v>
          </cell>
          <cell r="E91">
            <v>10.583611284999998</v>
          </cell>
          <cell r="F91">
            <v>3.70872</v>
          </cell>
          <cell r="G91">
            <v>4.7626250782499993</v>
          </cell>
          <cell r="H91">
            <v>1.0539050782499992</v>
          </cell>
          <cell r="I91">
            <v>0.22128659319898658</v>
          </cell>
          <cell r="J91">
            <v>4.2334445139999994</v>
          </cell>
          <cell r="K91">
            <v>0.52472451399999942</v>
          </cell>
          <cell r="L91">
            <v>0.12394741734885993</v>
          </cell>
        </row>
        <row r="92">
          <cell r="A92" t="str">
            <v>DBXT18</v>
          </cell>
          <cell r="B92" t="str">
            <v>18 way terminal bars</v>
          </cell>
          <cell r="C92">
            <v>11.32886702380952</v>
          </cell>
          <cell r="D92">
            <v>11.612088699404758</v>
          </cell>
          <cell r="E92">
            <v>11.895310374999996</v>
          </cell>
          <cell r="F92">
            <v>3.9874800000000001</v>
          </cell>
          <cell r="G92">
            <v>5.3528896687499978</v>
          </cell>
          <cell r="H92">
            <v>1.3654096687499977</v>
          </cell>
          <cell r="I92">
            <v>0.25507898597671769</v>
          </cell>
          <cell r="J92">
            <v>4.7581241499999987</v>
          </cell>
          <cell r="K92">
            <v>0.77064414999999853</v>
          </cell>
          <cell r="L92">
            <v>0.16196385922380752</v>
          </cell>
        </row>
        <row r="93">
          <cell r="A93" t="str">
            <v>DBXT24</v>
          </cell>
          <cell r="B93" t="str">
            <v>24 way terminal bars</v>
          </cell>
          <cell r="C93">
            <v>14.598929180952378</v>
          </cell>
          <cell r="D93">
            <v>14.963902410476187</v>
          </cell>
          <cell r="E93">
            <v>15.328875639999998</v>
          </cell>
          <cell r="F93">
            <v>4.2541199999999995</v>
          </cell>
          <cell r="G93">
            <v>6.8979940379999993</v>
          </cell>
          <cell r="H93">
            <v>2.6438740379999999</v>
          </cell>
          <cell r="I93">
            <v>0.38328157772176957</v>
          </cell>
          <cell r="J93">
            <v>6.1315502559999997</v>
          </cell>
          <cell r="K93">
            <v>1.8774302560000002</v>
          </cell>
          <cell r="L93">
            <v>0.30619177493699079</v>
          </cell>
        </row>
        <row r="94">
          <cell r="A94" t="str">
            <v>DBXTS</v>
          </cell>
          <cell r="B94" t="str">
            <v>3-pole to 1-pole conversion kit</v>
          </cell>
          <cell r="C94">
            <v>27.379287619047616</v>
          </cell>
          <cell r="D94">
            <v>28.063769809523805</v>
          </cell>
          <cell r="E94">
            <v>28.748251999999997</v>
          </cell>
          <cell r="F94">
            <v>8.7021599999999992</v>
          </cell>
          <cell r="G94">
            <v>12.936713399999999</v>
          </cell>
          <cell r="H94">
            <v>4.2345533999999994</v>
          </cell>
          <cell r="I94">
            <v>0.327328376927636</v>
          </cell>
          <cell r="J94">
            <v>11.4993008</v>
          </cell>
          <cell r="K94">
            <v>2.7971408000000011</v>
          </cell>
          <cell r="L94">
            <v>0.24324442404359065</v>
          </cell>
        </row>
        <row r="95">
          <cell r="A95" t="str">
            <v>DBXYA3</v>
          </cell>
          <cell r="B95" t="str">
            <v>250A incoming enclosure for DB distribution board</v>
          </cell>
          <cell r="C95">
            <v>123.03</v>
          </cell>
          <cell r="E95">
            <v>123.03</v>
          </cell>
          <cell r="F95">
            <v>23.47644</v>
          </cell>
          <cell r="G95">
            <v>55.363500000000002</v>
          </cell>
          <cell r="H95">
            <v>31.887060000000002</v>
          </cell>
          <cell r="I95">
            <v>0.57595816738464878</v>
          </cell>
          <cell r="J95">
            <v>49.212000000000003</v>
          </cell>
          <cell r="K95">
            <v>25.735560000000003</v>
          </cell>
          <cell r="L95">
            <v>0.52295293830772982</v>
          </cell>
          <cell r="M95">
            <v>385</v>
          </cell>
        </row>
        <row r="96">
          <cell r="A96" t="str">
            <v>DBXW16</v>
          </cell>
          <cell r="B96" t="str">
            <v xml:space="preserve">Wiring Loom for single meter (4-16way TP+N boards) </v>
          </cell>
          <cell r="C96">
            <v>103.78613999999999</v>
          </cell>
          <cell r="D96">
            <v>240.87499999999997</v>
          </cell>
          <cell r="E96">
            <v>103.78613999999999</v>
          </cell>
          <cell r="F96">
            <v>31.135999999999999</v>
          </cell>
          <cell r="G96">
            <v>46.703762999999995</v>
          </cell>
          <cell r="H96">
            <v>15.567762999999996</v>
          </cell>
          <cell r="I96">
            <v>0.33332995030828666</v>
          </cell>
          <cell r="J96">
            <v>41.514455999999996</v>
          </cell>
          <cell r="K96">
            <v>10.378455999999996</v>
          </cell>
          <cell r="L96">
            <v>0.2499961940968225</v>
          </cell>
          <cell r="M96">
            <v>258</v>
          </cell>
        </row>
        <row r="97">
          <cell r="A97" t="str">
            <v>DBXW24</v>
          </cell>
          <cell r="B97" t="str">
            <v>Wiring Loom for single meter (20-24way TP+N boards)</v>
          </cell>
          <cell r="C97">
            <v>112.97437533333336</v>
          </cell>
          <cell r="D97">
            <v>150.67499999999998</v>
          </cell>
          <cell r="E97">
            <v>112.97437533333336</v>
          </cell>
          <cell r="F97">
            <v>33.892000000000003</v>
          </cell>
          <cell r="G97">
            <v>50.838468900000009</v>
          </cell>
          <cell r="H97">
            <v>16.946468900000006</v>
          </cell>
          <cell r="I97">
            <v>0.33333948222032317</v>
          </cell>
          <cell r="J97">
            <v>45.189750133333348</v>
          </cell>
          <cell r="K97">
            <v>11.297750133333345</v>
          </cell>
          <cell r="L97">
            <v>0.25000691749786369</v>
          </cell>
          <cell r="M97">
            <v>8</v>
          </cell>
        </row>
        <row r="98">
          <cell r="A98" t="str">
            <v>DBXW16T</v>
          </cell>
          <cell r="B98" t="str">
            <v>Wiring Loom for single meter for top distribution board when vertically stacking.</v>
          </cell>
          <cell r="C98">
            <v>114.61114600000001</v>
          </cell>
          <cell r="D98">
            <v>292.125</v>
          </cell>
          <cell r="E98">
            <v>114.61114600000001</v>
          </cell>
          <cell r="F98">
            <v>34.383000000000003</v>
          </cell>
          <cell r="G98">
            <v>51.575015700000002</v>
          </cell>
          <cell r="H98">
            <v>17.192015699999999</v>
          </cell>
          <cell r="I98">
            <v>0.33333999935166281</v>
          </cell>
          <cell r="J98">
            <v>45.844458400000008</v>
          </cell>
          <cell r="K98">
            <v>11.461458400000005</v>
          </cell>
          <cell r="L98">
            <v>0.25000749927062077</v>
          </cell>
          <cell r="M98">
            <v>66</v>
          </cell>
        </row>
        <row r="99">
          <cell r="A99" t="str">
            <v>DBXWP125</v>
          </cell>
          <cell r="B99" t="str">
            <v>125A Power loom for sub metered distribution board s</v>
          </cell>
          <cell r="C99">
            <v>109.812432</v>
          </cell>
          <cell r="D99">
            <v>134.38103624999999</v>
          </cell>
          <cell r="E99">
            <v>109.812432</v>
          </cell>
          <cell r="F99">
            <v>32.944000000000003</v>
          </cell>
          <cell r="G99">
            <v>49.415594400000003</v>
          </cell>
          <cell r="H99">
            <v>16.471594400000001</v>
          </cell>
          <cell r="I99">
            <v>0.33332786137648884</v>
          </cell>
          <cell r="J99">
            <v>43.924972800000006</v>
          </cell>
          <cell r="K99">
            <v>10.980972800000004</v>
          </cell>
          <cell r="L99">
            <v>0.24999384404855002</v>
          </cell>
          <cell r="M99">
            <v>85</v>
          </cell>
        </row>
        <row r="100">
          <cell r="A100" t="str">
            <v>DBXWP250</v>
          </cell>
          <cell r="B100" t="str">
            <v>250A Power loom for sub metered distribution boards</v>
          </cell>
          <cell r="C100">
            <v>105.83210333333334</v>
          </cell>
          <cell r="D100">
            <v>147.64197374999998</v>
          </cell>
          <cell r="E100">
            <v>105.83210333333334</v>
          </cell>
          <cell r="F100">
            <v>31.18</v>
          </cell>
          <cell r="G100">
            <v>47.624446500000005</v>
          </cell>
          <cell r="H100">
            <v>16.444446500000005</v>
          </cell>
          <cell r="I100">
            <v>0.34529422824893102</v>
          </cell>
          <cell r="J100">
            <v>42.332841333333334</v>
          </cell>
          <cell r="K100">
            <v>11.152841333333335</v>
          </cell>
          <cell r="L100">
            <v>0.26345600678004732</v>
          </cell>
          <cell r="M100">
            <v>35</v>
          </cell>
        </row>
        <row r="101">
          <cell r="A101" t="str">
            <v>DRI-1260-210</v>
          </cell>
          <cell r="B101" t="str">
            <v>DIN-Rail multi function meter</v>
          </cell>
          <cell r="C101">
            <v>235</v>
          </cell>
          <cell r="E101">
            <v>246.75</v>
          </cell>
          <cell r="F101">
            <v>67.972999999999999</v>
          </cell>
          <cell r="G101">
            <v>111.03750000000001</v>
          </cell>
          <cell r="H101">
            <v>43.06450000000001</v>
          </cell>
          <cell r="I101">
            <v>0.38783744230552747</v>
          </cell>
          <cell r="J101">
            <v>98.7</v>
          </cell>
          <cell r="K101">
            <v>30.727000000000004</v>
          </cell>
          <cell r="L101">
            <v>0.31131712259371835</v>
          </cell>
        </row>
        <row r="102">
          <cell r="A102" t="str">
            <v>DRK-1P-230-D63</v>
          </cell>
          <cell r="B102" t="str">
            <v>Kilowatt hour meter single-phase with integral current transformer</v>
          </cell>
          <cell r="C102">
            <v>147</v>
          </cell>
          <cell r="D102" t="e">
            <v>#REF!</v>
          </cell>
          <cell r="E102">
            <v>154.35</v>
          </cell>
          <cell r="F102">
            <v>36.56</v>
          </cell>
          <cell r="G102">
            <v>69.457499999999996</v>
          </cell>
          <cell r="H102">
            <v>32.897499999999994</v>
          </cell>
          <cell r="I102">
            <v>0.47363495662815386</v>
          </cell>
          <cell r="J102">
            <v>61.74</v>
          </cell>
          <cell r="K102">
            <v>25.18</v>
          </cell>
          <cell r="L102">
            <v>0.40783932620667313</v>
          </cell>
        </row>
        <row r="103">
          <cell r="A103" t="str">
            <v>DRK-3P-400-D100</v>
          </cell>
          <cell r="B103" t="str">
            <v>Kilowatt hour meter three-phase with integral current transformer</v>
          </cell>
          <cell r="C103">
            <v>285</v>
          </cell>
          <cell r="D103" t="e">
            <v>#REF!</v>
          </cell>
          <cell r="E103">
            <v>299.25</v>
          </cell>
          <cell r="F103">
            <v>74.430999999999997</v>
          </cell>
          <cell r="G103">
            <v>134.66249999999999</v>
          </cell>
          <cell r="H103">
            <v>60.231499999999997</v>
          </cell>
          <cell r="I103">
            <v>0.44727745289148796</v>
          </cell>
          <cell r="J103">
            <v>119.7</v>
          </cell>
          <cell r="K103">
            <v>45.269000000000005</v>
          </cell>
          <cell r="L103">
            <v>0.37818713450292402</v>
          </cell>
        </row>
        <row r="104">
          <cell r="A104" t="str">
            <v>DRK-1PCT-240</v>
          </cell>
          <cell r="B104" t="str">
            <v>Kilowatt hour meter</v>
          </cell>
          <cell r="C104">
            <v>131.10345000000001</v>
          </cell>
          <cell r="D104" t="e">
            <v>#REF!</v>
          </cell>
          <cell r="E104">
            <v>137.65862250000001</v>
          </cell>
          <cell r="F104">
            <v>34.808999999999997</v>
          </cell>
          <cell r="G104">
            <v>61.946380125000005</v>
          </cell>
          <cell r="H104">
            <v>27.137380125000007</v>
          </cell>
          <cell r="I104">
            <v>0.43807854583657974</v>
          </cell>
          <cell r="J104">
            <v>55.063449000000006</v>
          </cell>
          <cell r="K104">
            <v>20.254449000000008</v>
          </cell>
          <cell r="L104">
            <v>0.36783836406615222</v>
          </cell>
        </row>
        <row r="105">
          <cell r="A105" t="str">
            <v>DRK-3PCT-415</v>
          </cell>
          <cell r="B105" t="str">
            <v>Kilowatt hour meter</v>
          </cell>
          <cell r="C105">
            <v>144.04094999999998</v>
          </cell>
          <cell r="D105" t="e">
            <v>#REF!</v>
          </cell>
          <cell r="E105">
            <v>151.24299749999997</v>
          </cell>
          <cell r="F105">
            <v>39.944000000000003</v>
          </cell>
          <cell r="G105">
            <v>68.059348874999984</v>
          </cell>
          <cell r="H105">
            <v>28.115348874999981</v>
          </cell>
          <cell r="I105">
            <v>0.41310046804352396</v>
          </cell>
          <cell r="J105">
            <v>60.497198999999995</v>
          </cell>
          <cell r="K105">
            <v>20.553198999999992</v>
          </cell>
          <cell r="L105">
            <v>0.33973802654896457</v>
          </cell>
        </row>
        <row r="106">
          <cell r="A106" t="str">
            <v>DRK-3PCT-415-LCD</v>
          </cell>
          <cell r="B106" t="str">
            <v>DIN-rail Kilowatt hour meter (LCD display)</v>
          </cell>
          <cell r="C106">
            <v>154.04</v>
          </cell>
          <cell r="D106" t="e">
            <v>#REF!</v>
          </cell>
          <cell r="E106">
            <v>161.74199999999999</v>
          </cell>
          <cell r="F106">
            <v>46.744999999999997</v>
          </cell>
          <cell r="G106">
            <v>72.783900000000003</v>
          </cell>
          <cell r="H106">
            <v>26.038900000000005</v>
          </cell>
          <cell r="I106">
            <v>0.35775631698768551</v>
          </cell>
          <cell r="J106">
            <v>64.696799999999996</v>
          </cell>
          <cell r="K106">
            <v>17.951799999999999</v>
          </cell>
          <cell r="L106">
            <v>0.27747585661114615</v>
          </cell>
        </row>
        <row r="107">
          <cell r="A107" t="str">
            <v>DRT-DW2R</v>
          </cell>
          <cell r="B107" t="str">
            <v>1 or 2 channel programmable digital timer</v>
          </cell>
          <cell r="C107">
            <v>119.4440546874107</v>
          </cell>
          <cell r="D107" t="e">
            <v>#REF!</v>
          </cell>
          <cell r="E107">
            <v>125.41625742178124</v>
          </cell>
          <cell r="F107">
            <v>20.645</v>
          </cell>
          <cell r="G107">
            <v>56.437315839801556</v>
          </cell>
          <cell r="H107">
            <v>35.79231583980156</v>
          </cell>
          <cell r="I107">
            <v>0.63419592706001049</v>
          </cell>
          <cell r="J107">
            <v>50.1665029687125</v>
          </cell>
          <cell r="K107">
            <v>29.5215029687125</v>
          </cell>
          <cell r="L107">
            <v>0.58847041794251176</v>
          </cell>
        </row>
        <row r="108">
          <cell r="A108" t="str">
            <v>ELR1</v>
          </cell>
          <cell r="B108" t="str">
            <v>Earth leakage relay</v>
          </cell>
          <cell r="C108">
            <v>199.44498515625003</v>
          </cell>
          <cell r="D108">
            <v>66.286560989999998</v>
          </cell>
          <cell r="E108">
            <v>209.41723441406253</v>
          </cell>
          <cell r="F108">
            <v>58.343000000000004</v>
          </cell>
          <cell r="G108">
            <v>94.23775548632814</v>
          </cell>
          <cell r="H108">
            <v>35.894755486328137</v>
          </cell>
          <cell r="I108">
            <v>0.38089569622162411</v>
          </cell>
          <cell r="J108">
            <v>83.766893765625014</v>
          </cell>
          <cell r="K108">
            <v>25.42389376562501</v>
          </cell>
          <cell r="L108">
            <v>0.30350765824932713</v>
          </cell>
        </row>
        <row r="109">
          <cell r="A109" t="str">
            <v>FS2</v>
          </cell>
          <cell r="B109" t="str">
            <v>Fuse switch Castell lock</v>
          </cell>
          <cell r="C109">
            <v>125.60730000000001</v>
          </cell>
          <cell r="D109">
            <v>66.286560989999998</v>
          </cell>
          <cell r="E109">
            <v>131.887665</v>
          </cell>
          <cell r="F109">
            <v>34.164000000000001</v>
          </cell>
          <cell r="G109">
            <v>59.349449249999999</v>
          </cell>
          <cell r="H109">
            <v>25.185449249999998</v>
          </cell>
          <cell r="I109">
            <v>0.42435860093512151</v>
          </cell>
          <cell r="J109">
            <v>52.755065999999999</v>
          </cell>
          <cell r="K109">
            <v>18.591065999999998</v>
          </cell>
          <cell r="L109">
            <v>0.35240342605201175</v>
          </cell>
        </row>
        <row r="110">
          <cell r="A110" t="str">
            <v>GR1PB0630</v>
          </cell>
          <cell r="B110" t="str">
            <v>Single module 6A 30mA RCBO, B curve</v>
          </cell>
          <cell r="C110">
            <v>64.669815600000007</v>
          </cell>
          <cell r="E110">
            <v>68.550004536000003</v>
          </cell>
          <cell r="F110">
            <v>11.279</v>
          </cell>
          <cell r="G110">
            <v>30.847502041200002</v>
          </cell>
          <cell r="H110">
            <v>19.568502041200002</v>
          </cell>
          <cell r="I110">
            <v>0.63436261435575114</v>
          </cell>
          <cell r="J110">
            <v>27.420001814400003</v>
          </cell>
          <cell r="K110">
            <v>16.141001814400003</v>
          </cell>
          <cell r="L110">
            <v>0.58865794115021997</v>
          </cell>
          <cell r="M110">
            <v>958</v>
          </cell>
        </row>
        <row r="111">
          <cell r="A111" t="str">
            <v>GR1PB1030</v>
          </cell>
          <cell r="B111" t="str">
            <v>Single module 10A 30mA RCBO, B curve</v>
          </cell>
          <cell r="C111">
            <v>64.669815600000007</v>
          </cell>
          <cell r="D111">
            <v>66.286560989999998</v>
          </cell>
          <cell r="E111">
            <v>68.550004536000003</v>
          </cell>
          <cell r="F111">
            <v>11.279</v>
          </cell>
          <cell r="G111">
            <v>30.847502041200002</v>
          </cell>
          <cell r="H111">
            <v>19.568502041200002</v>
          </cell>
          <cell r="I111">
            <v>0.63436261435575114</v>
          </cell>
          <cell r="J111">
            <v>27.420001814400003</v>
          </cell>
          <cell r="K111">
            <v>16.141001814400003</v>
          </cell>
          <cell r="L111">
            <v>0.58865794115021997</v>
          </cell>
          <cell r="M111">
            <v>3540</v>
          </cell>
        </row>
        <row r="112">
          <cell r="A112" t="str">
            <v>GR1PB1630</v>
          </cell>
          <cell r="B112" t="str">
            <v>Single module 16A 30mA RCBO, B curve</v>
          </cell>
          <cell r="C112">
            <v>64.669815600000007</v>
          </cell>
          <cell r="D112">
            <v>66.286560989999998</v>
          </cell>
          <cell r="E112">
            <v>68.550004536000003</v>
          </cell>
          <cell r="F112">
            <v>11.279</v>
          </cell>
          <cell r="G112">
            <v>30.847502041200002</v>
          </cell>
          <cell r="H112">
            <v>19.568502041200002</v>
          </cell>
          <cell r="I112">
            <v>0.63436261435575114</v>
          </cell>
          <cell r="J112">
            <v>27.420001814400003</v>
          </cell>
          <cell r="K112">
            <v>16.141001814400003</v>
          </cell>
          <cell r="L112">
            <v>0.58865794115021997</v>
          </cell>
          <cell r="M112">
            <v>2215</v>
          </cell>
        </row>
        <row r="113">
          <cell r="A113" t="str">
            <v>GR1PB2030</v>
          </cell>
          <cell r="B113" t="str">
            <v>Single module 20A 30mA RCBO, B curve</v>
          </cell>
          <cell r="C113">
            <v>64.669815600000007</v>
          </cell>
          <cell r="D113">
            <v>66.286560989999998</v>
          </cell>
          <cell r="E113">
            <v>68.550004536000003</v>
          </cell>
          <cell r="F113">
            <v>11.279</v>
          </cell>
          <cell r="G113">
            <v>30.847502041200002</v>
          </cell>
          <cell r="H113">
            <v>19.568502041200002</v>
          </cell>
          <cell r="I113">
            <v>0.63436261435575114</v>
          </cell>
          <cell r="J113">
            <v>27.420001814400003</v>
          </cell>
          <cell r="K113">
            <v>16.141001814400003</v>
          </cell>
          <cell r="L113">
            <v>0.58865794115021997</v>
          </cell>
          <cell r="M113">
            <v>2559</v>
          </cell>
        </row>
        <row r="114">
          <cell r="A114" t="str">
            <v>GR1PB3230</v>
          </cell>
          <cell r="B114" t="str">
            <v>Single module 32A 30mA RCBO, B curve</v>
          </cell>
          <cell r="C114">
            <v>64.669815600000007</v>
          </cell>
          <cell r="D114">
            <v>66.286560989999998</v>
          </cell>
          <cell r="E114">
            <v>68.550004536000003</v>
          </cell>
          <cell r="F114">
            <v>11.279</v>
          </cell>
          <cell r="G114">
            <v>30.847502041200002</v>
          </cell>
          <cell r="H114">
            <v>19.568502041200002</v>
          </cell>
          <cell r="I114">
            <v>0.63436261435575114</v>
          </cell>
          <cell r="J114">
            <v>27.420001814400003</v>
          </cell>
          <cell r="K114">
            <v>16.141001814400003</v>
          </cell>
          <cell r="L114">
            <v>0.58865794115021997</v>
          </cell>
          <cell r="M114">
            <v>10586</v>
          </cell>
        </row>
        <row r="115">
          <cell r="A115" t="str">
            <v>GR1PB4030</v>
          </cell>
          <cell r="B115" t="str">
            <v>Single module 40A 30mA RCBO, B curve</v>
          </cell>
          <cell r="C115">
            <v>64.669815600000007</v>
          </cell>
          <cell r="D115">
            <v>66.286560989999998</v>
          </cell>
          <cell r="E115">
            <v>68.550004536000003</v>
          </cell>
          <cell r="F115">
            <v>11.279</v>
          </cell>
          <cell r="G115">
            <v>30.847502041200002</v>
          </cell>
          <cell r="H115">
            <v>19.568502041200002</v>
          </cell>
          <cell r="I115">
            <v>0.63436261435575114</v>
          </cell>
          <cell r="J115">
            <v>27.420001814400003</v>
          </cell>
          <cell r="K115">
            <v>16.141001814400003</v>
          </cell>
          <cell r="L115">
            <v>0.58865794115021997</v>
          </cell>
          <cell r="M115">
            <v>179</v>
          </cell>
        </row>
        <row r="116">
          <cell r="A116" t="str">
            <v>GR1PB5030</v>
          </cell>
          <cell r="B116" t="str">
            <v>Single module 50A 30mA RCBO, B curve</v>
          </cell>
          <cell r="C116">
            <v>64.669815600000007</v>
          </cell>
          <cell r="D116">
            <v>66.286560989999998</v>
          </cell>
          <cell r="E116">
            <v>68.550004536000003</v>
          </cell>
          <cell r="F116">
            <v>11.279</v>
          </cell>
          <cell r="G116">
            <v>30.847502041200002</v>
          </cell>
          <cell r="H116">
            <v>19.568502041200002</v>
          </cell>
          <cell r="I116">
            <v>0.63436261435575114</v>
          </cell>
          <cell r="J116">
            <v>27.420001814400003</v>
          </cell>
          <cell r="K116">
            <v>16.141001814400003</v>
          </cell>
          <cell r="L116">
            <v>0.58865794115021997</v>
          </cell>
          <cell r="M116">
            <v>45</v>
          </cell>
        </row>
        <row r="117">
          <cell r="A117" t="str">
            <v>GR1PC0630</v>
          </cell>
          <cell r="B117" t="str">
            <v>Single module 6A 30mA RCBO, C curve</v>
          </cell>
          <cell r="C117">
            <v>64.669815600000007</v>
          </cell>
          <cell r="E117">
            <v>68.550004536000003</v>
          </cell>
          <cell r="F117">
            <v>11.279</v>
          </cell>
          <cell r="G117">
            <v>30.847502041200002</v>
          </cell>
          <cell r="H117">
            <v>19.568502041200002</v>
          </cell>
          <cell r="I117">
            <v>0.63436261435575114</v>
          </cell>
          <cell r="J117">
            <v>27.420001814400003</v>
          </cell>
          <cell r="K117">
            <v>16.141001814400003</v>
          </cell>
          <cell r="L117">
            <v>0.58865794115021997</v>
          </cell>
          <cell r="M117">
            <v>1439</v>
          </cell>
        </row>
        <row r="118">
          <cell r="A118" t="str">
            <v>GR1PC1030</v>
          </cell>
          <cell r="B118" t="str">
            <v>Single module 10A 30mA RCBO, C curve</v>
          </cell>
          <cell r="C118">
            <v>64.669815600000007</v>
          </cell>
          <cell r="D118">
            <v>66.286560989999998</v>
          </cell>
          <cell r="E118">
            <v>68.550004536000003</v>
          </cell>
          <cell r="F118">
            <v>11.279</v>
          </cell>
          <cell r="G118">
            <v>30.847502041200002</v>
          </cell>
          <cell r="H118">
            <v>19.568502041200002</v>
          </cell>
          <cell r="I118">
            <v>0.63436261435575114</v>
          </cell>
          <cell r="J118">
            <v>27.420001814400003</v>
          </cell>
          <cell r="K118">
            <v>16.141001814400003</v>
          </cell>
          <cell r="L118">
            <v>0.58865794115021997</v>
          </cell>
          <cell r="M118">
            <v>2607</v>
          </cell>
        </row>
        <row r="119">
          <cell r="A119" t="str">
            <v>GR1PC1630</v>
          </cell>
          <cell r="B119" t="str">
            <v>Single module 16A 30mA RCBO, C curve</v>
          </cell>
          <cell r="C119">
            <v>64.669815600000007</v>
          </cell>
          <cell r="D119">
            <v>66.286560989999998</v>
          </cell>
          <cell r="E119">
            <v>68.550004536000003</v>
          </cell>
          <cell r="F119">
            <v>11.279</v>
          </cell>
          <cell r="G119">
            <v>30.847502041200002</v>
          </cell>
          <cell r="H119">
            <v>19.568502041200002</v>
          </cell>
          <cell r="I119">
            <v>0.63436261435575114</v>
          </cell>
          <cell r="J119">
            <v>27.420001814400003</v>
          </cell>
          <cell r="K119">
            <v>16.141001814400003</v>
          </cell>
          <cell r="L119">
            <v>0.58865794115021997</v>
          </cell>
          <cell r="M119">
            <v>3583</v>
          </cell>
        </row>
        <row r="120">
          <cell r="A120" t="str">
            <v>GR1PC2030</v>
          </cell>
          <cell r="B120" t="str">
            <v>Single module 20A 30mA RCBO, C curve</v>
          </cell>
          <cell r="C120">
            <v>64.669815600000007</v>
          </cell>
          <cell r="D120">
            <v>66.286560989999998</v>
          </cell>
          <cell r="E120">
            <v>68.550004536000003</v>
          </cell>
          <cell r="F120">
            <v>11.279</v>
          </cell>
          <cell r="G120">
            <v>30.847502041200002</v>
          </cell>
          <cell r="H120">
            <v>19.568502041200002</v>
          </cell>
          <cell r="I120">
            <v>0.63436261435575114</v>
          </cell>
          <cell r="J120">
            <v>27.420001814400003</v>
          </cell>
          <cell r="K120">
            <v>16.141001814400003</v>
          </cell>
          <cell r="L120">
            <v>0.58865794115021997</v>
          </cell>
          <cell r="M120">
            <v>3818</v>
          </cell>
        </row>
        <row r="121">
          <cell r="A121" t="str">
            <v>GR1PC3230</v>
          </cell>
          <cell r="B121" t="str">
            <v>Single module 32A 30mA RCBO, C curve</v>
          </cell>
          <cell r="C121">
            <v>64.669815600000007</v>
          </cell>
          <cell r="D121">
            <v>66.286560989999998</v>
          </cell>
          <cell r="E121">
            <v>68.550004536000003</v>
          </cell>
          <cell r="F121">
            <v>11.279</v>
          </cell>
          <cell r="G121">
            <v>30.847502041200002</v>
          </cell>
          <cell r="H121">
            <v>19.568502041200002</v>
          </cell>
          <cell r="I121">
            <v>0.63436261435575114</v>
          </cell>
          <cell r="J121">
            <v>27.420001814400003</v>
          </cell>
          <cell r="K121">
            <v>16.141001814400003</v>
          </cell>
          <cell r="L121">
            <v>0.58865794115021997</v>
          </cell>
          <cell r="M121">
            <v>12230</v>
          </cell>
        </row>
        <row r="122">
          <cell r="A122" t="str">
            <v>GR1PC4030</v>
          </cell>
          <cell r="B122" t="str">
            <v>Single module 40A 30mA RCBO, C curve</v>
          </cell>
          <cell r="C122">
            <v>64.669815600000007</v>
          </cell>
          <cell r="D122">
            <v>66.286560989999998</v>
          </cell>
          <cell r="E122">
            <v>68.550004536000003</v>
          </cell>
          <cell r="F122">
            <v>11.279</v>
          </cell>
          <cell r="G122">
            <v>30.847502041200002</v>
          </cell>
          <cell r="H122">
            <v>19.568502041200002</v>
          </cell>
          <cell r="I122">
            <v>0.63436261435575114</v>
          </cell>
          <cell r="J122">
            <v>27.420001814400003</v>
          </cell>
          <cell r="K122">
            <v>16.141001814400003</v>
          </cell>
          <cell r="L122">
            <v>0.58865794115021997</v>
          </cell>
          <cell r="M122">
            <v>607</v>
          </cell>
        </row>
        <row r="123">
          <cell r="A123" t="str">
            <v>GR1PC5030</v>
          </cell>
          <cell r="B123" t="str">
            <v>Single module 50A 30mA RCBO, C curve</v>
          </cell>
          <cell r="C123">
            <v>64.669815600000007</v>
          </cell>
          <cell r="D123">
            <v>66.286560989999998</v>
          </cell>
          <cell r="E123">
            <v>68.550004536000003</v>
          </cell>
          <cell r="F123">
            <v>16.016999999999999</v>
          </cell>
          <cell r="G123">
            <v>30.847502041200002</v>
          </cell>
          <cell r="H123">
            <v>14.830502041200003</v>
          </cell>
          <cell r="I123">
            <v>0.48076833000585739</v>
          </cell>
          <cell r="J123">
            <v>27.420001814400003</v>
          </cell>
          <cell r="K123">
            <v>11.403001814400003</v>
          </cell>
          <cell r="L123">
            <v>0.41586437125658959</v>
          </cell>
          <cell r="M123">
            <v>300.92102153846247</v>
          </cell>
        </row>
        <row r="124">
          <cell r="A124" t="str">
            <v>GR1PC06100</v>
          </cell>
          <cell r="B124" t="str">
            <v>Single module 6A 100mA RCBO, C curve</v>
          </cell>
          <cell r="C124">
            <v>64.669815600000007</v>
          </cell>
          <cell r="D124">
            <v>44.289133979999981</v>
          </cell>
          <cell r="E124">
            <v>68.550004536000003</v>
          </cell>
          <cell r="F124">
            <v>11.843</v>
          </cell>
          <cell r="G124">
            <v>30.847502041200002</v>
          </cell>
          <cell r="H124">
            <v>19.004502041200002</v>
          </cell>
          <cell r="I124">
            <v>0.61607912419675148</v>
          </cell>
          <cell r="J124">
            <v>27.420001814400003</v>
          </cell>
          <cell r="K124">
            <v>15.577001814400003</v>
          </cell>
          <cell r="L124">
            <v>0.56808901472134543</v>
          </cell>
        </row>
        <row r="125">
          <cell r="A125" t="str">
            <v>GR1PC10100</v>
          </cell>
          <cell r="B125" t="str">
            <v>Single module 10A 100mA RCBO, C curve</v>
          </cell>
          <cell r="C125">
            <v>64.669815600000007</v>
          </cell>
          <cell r="D125">
            <v>59.052178639999994</v>
          </cell>
          <cell r="E125">
            <v>68.550004536000003</v>
          </cell>
          <cell r="F125">
            <v>11.843</v>
          </cell>
          <cell r="G125">
            <v>30.847502041200002</v>
          </cell>
          <cell r="H125">
            <v>19.004502041200002</v>
          </cell>
          <cell r="I125">
            <v>0.61607912419675148</v>
          </cell>
          <cell r="J125">
            <v>27.420001814400003</v>
          </cell>
          <cell r="K125">
            <v>15.577001814400003</v>
          </cell>
          <cell r="L125">
            <v>0.56808901472134543</v>
          </cell>
        </row>
        <row r="126">
          <cell r="A126" t="str">
            <v>GR1PC16100</v>
          </cell>
          <cell r="B126" t="str">
            <v>Single module 16A 100mA RCBO, C curve</v>
          </cell>
          <cell r="C126">
            <v>64.669815600000007</v>
          </cell>
          <cell r="D126">
            <v>73.8152233</v>
          </cell>
          <cell r="E126">
            <v>68.550004536000003</v>
          </cell>
          <cell r="F126">
            <v>11.843</v>
          </cell>
          <cell r="G126">
            <v>30.847502041200002</v>
          </cell>
          <cell r="H126">
            <v>19.004502041200002</v>
          </cell>
          <cell r="I126">
            <v>0.61607912419675148</v>
          </cell>
          <cell r="J126">
            <v>27.420001814400003</v>
          </cell>
          <cell r="K126">
            <v>15.577001814400003</v>
          </cell>
          <cell r="L126">
            <v>0.56808901472134543</v>
          </cell>
        </row>
        <row r="127">
          <cell r="A127" t="str">
            <v>GR1PC20100</v>
          </cell>
          <cell r="B127" t="str">
            <v>Single module 20A 100mA RCBO, C curve</v>
          </cell>
          <cell r="C127">
            <v>64.669815600000007</v>
          </cell>
          <cell r="D127">
            <v>88.578267959999962</v>
          </cell>
          <cell r="E127">
            <v>68.550004536000003</v>
          </cell>
          <cell r="F127">
            <v>11.843</v>
          </cell>
          <cell r="G127">
            <v>30.847502041200002</v>
          </cell>
          <cell r="H127">
            <v>19.004502041200002</v>
          </cell>
          <cell r="I127">
            <v>0.61607912419675148</v>
          </cell>
          <cell r="J127">
            <v>27.420001814400003</v>
          </cell>
          <cell r="K127">
            <v>15.577001814400003</v>
          </cell>
          <cell r="L127">
            <v>0.56808901472134543</v>
          </cell>
        </row>
        <row r="128">
          <cell r="A128" t="str">
            <v>GR1PC32100</v>
          </cell>
          <cell r="B128" t="str">
            <v>Single module 32A 100mA RCBO, C curve</v>
          </cell>
          <cell r="C128">
            <v>64.669815600000007</v>
          </cell>
          <cell r="D128">
            <v>2.6521874999999997</v>
          </cell>
          <cell r="E128">
            <v>68.550004536000003</v>
          </cell>
          <cell r="F128">
            <v>11.843</v>
          </cell>
          <cell r="G128">
            <v>30.847502041200002</v>
          </cell>
          <cell r="H128">
            <v>19.004502041200002</v>
          </cell>
          <cell r="I128">
            <v>0.61607912419675148</v>
          </cell>
          <cell r="J128">
            <v>27.420001814400003</v>
          </cell>
          <cell r="K128">
            <v>15.577001814400003</v>
          </cell>
          <cell r="L128">
            <v>0.56808901472134543</v>
          </cell>
        </row>
        <row r="129">
          <cell r="A129" t="str">
            <v>GR1PC40100</v>
          </cell>
          <cell r="B129" t="str">
            <v>Single module 40A 100mA RCBO, C curve</v>
          </cell>
          <cell r="C129">
            <v>64.669815600000007</v>
          </cell>
          <cell r="D129">
            <v>128.52127196999999</v>
          </cell>
          <cell r="E129">
            <v>68.550004536000003</v>
          </cell>
          <cell r="F129">
            <v>11.843</v>
          </cell>
          <cell r="G129">
            <v>30.847502041200002</v>
          </cell>
          <cell r="H129">
            <v>19.004502041200002</v>
          </cell>
          <cell r="I129">
            <v>0.61607912419675148</v>
          </cell>
          <cell r="J129">
            <v>27.420001814400003</v>
          </cell>
          <cell r="K129">
            <v>15.577001814400003</v>
          </cell>
          <cell r="L129">
            <v>0.56808901472134543</v>
          </cell>
        </row>
        <row r="130">
          <cell r="A130" t="str">
            <v>HB125CSB</v>
          </cell>
          <cell r="B130" t="str">
            <v>63-125A cable spreader box</v>
          </cell>
          <cell r="C130">
            <v>43.208911199999989</v>
          </cell>
          <cell r="D130">
            <v>193.16133199999993</v>
          </cell>
          <cell r="E130">
            <v>45.369356759999988</v>
          </cell>
          <cell r="F130">
            <v>7.1992799999999999</v>
          </cell>
          <cell r="G130">
            <v>20.416210541999995</v>
          </cell>
          <cell r="H130">
            <v>13.216930541999995</v>
          </cell>
          <cell r="I130">
            <v>0.64737432614197798</v>
          </cell>
          <cell r="J130">
            <v>18.147742703999995</v>
          </cell>
          <cell r="K130">
            <v>10.948462703999995</v>
          </cell>
          <cell r="L130">
            <v>0.60329611690972529</v>
          </cell>
          <cell r="M130">
            <v>105</v>
          </cell>
        </row>
        <row r="131">
          <cell r="A131" t="str">
            <v>HB200CSB</v>
          </cell>
          <cell r="B131" t="str">
            <v>160-200A cable spreader box</v>
          </cell>
          <cell r="C131">
            <v>57.611881599999997</v>
          </cell>
          <cell r="D131">
            <v>280.49784854000001</v>
          </cell>
          <cell r="E131">
            <v>60.492475679999998</v>
          </cell>
          <cell r="F131">
            <v>7.3689599999999995</v>
          </cell>
          <cell r="G131">
            <v>27.221614056</v>
          </cell>
          <cell r="H131">
            <v>19.852654055999999</v>
          </cell>
          <cell r="I131">
            <v>0.72929746249283167</v>
          </cell>
          <cell r="J131">
            <v>24.196990272000001</v>
          </cell>
          <cell r="K131">
            <v>16.828030271999999</v>
          </cell>
          <cell r="L131">
            <v>0.6954596453044356</v>
          </cell>
          <cell r="M131">
            <v>69</v>
          </cell>
        </row>
        <row r="132">
          <cell r="A132" t="str">
            <v>HB400CSB</v>
          </cell>
          <cell r="B132" t="str">
            <v>315-400A cable spreader box</v>
          </cell>
          <cell r="C132">
            <v>72.014852000000005</v>
          </cell>
          <cell r="D132">
            <v>298.21350213199997</v>
          </cell>
          <cell r="E132">
            <v>75.615594600000009</v>
          </cell>
          <cell r="F132">
            <v>10.629239999999999</v>
          </cell>
          <cell r="G132">
            <v>34.027017570000005</v>
          </cell>
          <cell r="H132">
            <v>23.397777570000006</v>
          </cell>
          <cell r="I132">
            <v>0.68762351921870191</v>
          </cell>
          <cell r="J132">
            <v>30.246237840000006</v>
          </cell>
          <cell r="K132">
            <v>19.616997840000007</v>
          </cell>
          <cell r="L132">
            <v>0.64857645912103967</v>
          </cell>
          <cell r="M132">
            <v>46</v>
          </cell>
        </row>
        <row r="133">
          <cell r="A133" t="str">
            <v>HB800CSB</v>
          </cell>
          <cell r="B133" t="str">
            <v>630-800A cable spreader box</v>
          </cell>
          <cell r="C133">
            <v>86.417822399999977</v>
          </cell>
          <cell r="D133">
            <v>425.17568620799995</v>
          </cell>
          <cell r="E133">
            <v>90.738713519999976</v>
          </cell>
          <cell r="F133">
            <v>13.332000000000001</v>
          </cell>
          <cell r="G133">
            <v>40.832421083999989</v>
          </cell>
          <cell r="H133">
            <v>27.500421083999989</v>
          </cell>
          <cell r="I133">
            <v>0.67349474642775742</v>
          </cell>
          <cell r="J133">
            <v>36.29548540799999</v>
          </cell>
          <cell r="K133">
            <v>22.96348540799999</v>
          </cell>
          <cell r="L133">
            <v>0.63268158973122712</v>
          </cell>
          <cell r="M133">
            <v>16</v>
          </cell>
        </row>
        <row r="134">
          <cell r="A134" t="str">
            <v>HEL32</v>
          </cell>
          <cell r="B134" t="str">
            <v>32A solid link</v>
          </cell>
          <cell r="C134">
            <v>2.5874999999999999</v>
          </cell>
          <cell r="D134">
            <v>513.75395416799995</v>
          </cell>
          <cell r="E134">
            <v>2.7168749999999999</v>
          </cell>
          <cell r="F134">
            <v>0.79</v>
          </cell>
          <cell r="G134">
            <v>1.2225937499999999</v>
          </cell>
          <cell r="H134">
            <v>0.43259374999999989</v>
          </cell>
          <cell r="I134">
            <v>0.35383278378447452</v>
          </cell>
          <cell r="J134">
            <v>1.0867500000000001</v>
          </cell>
          <cell r="K134">
            <v>0.29675000000000007</v>
          </cell>
          <cell r="L134">
            <v>0.27306188175753399</v>
          </cell>
        </row>
        <row r="135">
          <cell r="A135" t="str">
            <v>HBE1P32N</v>
          </cell>
          <cell r="B135" t="str">
            <v>32A 1-pole &amp; neutral housed unit</v>
          </cell>
          <cell r="C135">
            <v>125.38660680000001</v>
          </cell>
          <cell r="D135">
            <v>206.95857000000001</v>
          </cell>
          <cell r="E135">
            <v>131.65593714000002</v>
          </cell>
          <cell r="F135" t="e">
            <v>#N/A</v>
          </cell>
          <cell r="G135">
            <v>59.245171713000012</v>
          </cell>
          <cell r="H135" t="e">
            <v>#N/A</v>
          </cell>
          <cell r="I135" t="e">
            <v>#N/A</v>
          </cell>
          <cell r="J135">
            <v>52.662374856000014</v>
          </cell>
          <cell r="K135" t="e">
            <v>#N/A</v>
          </cell>
          <cell r="L135" t="e">
            <v>#N/A</v>
          </cell>
        </row>
        <row r="136">
          <cell r="A136" t="str">
            <v>HBF1P63N</v>
          </cell>
          <cell r="B136" t="str">
            <v>63A 1-pole &amp; neutral housed unit</v>
          </cell>
          <cell r="C136">
            <v>188.45007999999996</v>
          </cell>
          <cell r="D136">
            <v>299.68980659799996</v>
          </cell>
          <cell r="E136">
            <v>197.87258399999996</v>
          </cell>
          <cell r="F136" t="e">
            <v>#N/A</v>
          </cell>
          <cell r="G136">
            <v>89.042662799999988</v>
          </cell>
          <cell r="H136" t="e">
            <v>#N/A</v>
          </cell>
          <cell r="I136" t="e">
            <v>#N/A</v>
          </cell>
          <cell r="J136">
            <v>79.149033599999996</v>
          </cell>
          <cell r="K136" t="e">
            <v>#N/A</v>
          </cell>
          <cell r="L136" t="e">
            <v>#N/A</v>
          </cell>
        </row>
        <row r="137">
          <cell r="A137" t="str">
            <v>HBF1P100N</v>
          </cell>
          <cell r="B137" t="str">
            <v>100A 1-pole &amp; neutral housed unit</v>
          </cell>
          <cell r="C137">
            <v>273.6564376</v>
          </cell>
          <cell r="D137">
            <v>336.59741824800005</v>
          </cell>
          <cell r="E137">
            <v>287.33925948000001</v>
          </cell>
          <cell r="F137" t="e">
            <v>#N/A</v>
          </cell>
          <cell r="G137">
            <v>129.30266676600002</v>
          </cell>
          <cell r="H137" t="e">
            <v>#N/A</v>
          </cell>
          <cell r="I137" t="e">
            <v>#N/A</v>
          </cell>
          <cell r="J137">
            <v>114.93570379200001</v>
          </cell>
          <cell r="K137" t="e">
            <v>#N/A</v>
          </cell>
          <cell r="L137" t="e">
            <v>#N/A</v>
          </cell>
        </row>
        <row r="138">
          <cell r="A138" t="str">
            <v>HBF1P125N</v>
          </cell>
          <cell r="B138" t="str">
            <v>125A 1-pole &amp; neutral housed unit</v>
          </cell>
          <cell r="C138">
            <v>290.94000208</v>
          </cell>
          <cell r="D138">
            <v>453.225471062</v>
          </cell>
          <cell r="E138">
            <v>305.487002184</v>
          </cell>
          <cell r="F138" t="e">
            <v>#N/A</v>
          </cell>
          <cell r="G138">
            <v>137.46915098280002</v>
          </cell>
          <cell r="H138" t="e">
            <v>#N/A</v>
          </cell>
          <cell r="I138" t="e">
            <v>#N/A</v>
          </cell>
          <cell r="J138">
            <v>122.1948008736</v>
          </cell>
          <cell r="K138" t="e">
            <v>#N/A</v>
          </cell>
          <cell r="L138" t="e">
            <v>#N/A</v>
          </cell>
        </row>
        <row r="139">
          <cell r="A139" t="str">
            <v>HBF1P160N</v>
          </cell>
          <cell r="B139" t="str">
            <v>160A 1-pole &amp; neutral housed unit</v>
          </cell>
          <cell r="C139">
            <v>414.80554752</v>
          </cell>
          <cell r="D139">
            <v>528.51699882799994</v>
          </cell>
          <cell r="E139">
            <v>435.545824896</v>
          </cell>
          <cell r="F139" t="e">
            <v>#N/A</v>
          </cell>
          <cell r="G139">
            <v>195.99562120320002</v>
          </cell>
          <cell r="H139" t="e">
            <v>#N/A</v>
          </cell>
          <cell r="I139" t="e">
            <v>#N/A</v>
          </cell>
          <cell r="J139">
            <v>174.21832995840001</v>
          </cell>
          <cell r="K139" t="e">
            <v>#N/A</v>
          </cell>
          <cell r="L139" t="e">
            <v>#N/A</v>
          </cell>
        </row>
        <row r="140">
          <cell r="A140" t="str">
            <v>HBF1P200N</v>
          </cell>
          <cell r="B140" t="str">
            <v>200A 1-pole &amp; neutral housed unit</v>
          </cell>
          <cell r="C140">
            <v>501.22336991999998</v>
          </cell>
          <cell r="D140">
            <v>1064.4155199859997</v>
          </cell>
          <cell r="E140">
            <v>526.28453841600003</v>
          </cell>
          <cell r="F140" t="e">
            <v>#N/A</v>
          </cell>
          <cell r="G140">
            <v>236.82804228720002</v>
          </cell>
          <cell r="H140" t="e">
            <v>#N/A</v>
          </cell>
          <cell r="I140" t="e">
            <v>#N/A</v>
          </cell>
          <cell r="J140">
            <v>210.51381536640002</v>
          </cell>
          <cell r="K140" t="e">
            <v>#N/A</v>
          </cell>
          <cell r="L140" t="e">
            <v>#N/A</v>
          </cell>
        </row>
        <row r="141">
          <cell r="A141" t="str">
            <v>HBF3P63</v>
          </cell>
          <cell r="B141" t="str">
            <v>63A 3-pole housed unit</v>
          </cell>
          <cell r="C141">
            <v>201.91080000000002</v>
          </cell>
          <cell r="D141">
            <v>1164.8042236739996</v>
          </cell>
          <cell r="E141">
            <v>212.00634000000002</v>
          </cell>
          <cell r="F141" t="e">
            <v>#N/A</v>
          </cell>
          <cell r="G141">
            <v>95.402853000000007</v>
          </cell>
          <cell r="H141" t="e">
            <v>#N/A</v>
          </cell>
          <cell r="I141" t="e">
            <v>#N/A</v>
          </cell>
          <cell r="J141">
            <v>84.802536000000018</v>
          </cell>
          <cell r="K141" t="e">
            <v>#N/A</v>
          </cell>
          <cell r="L141" t="e">
            <v>#N/A</v>
          </cell>
        </row>
        <row r="142">
          <cell r="A142" t="str">
            <v>HBF3P100</v>
          </cell>
          <cell r="B142" t="str">
            <v>100A 3-pole housed unit</v>
          </cell>
          <cell r="C142">
            <v>292.38029911999996</v>
          </cell>
          <cell r="D142">
            <v>2227.7434391939996</v>
          </cell>
          <cell r="E142">
            <v>306.99931407599996</v>
          </cell>
          <cell r="F142" t="e">
            <v>#N/A</v>
          </cell>
          <cell r="G142">
            <v>138.14969133419999</v>
          </cell>
          <cell r="H142" t="e">
            <v>#N/A</v>
          </cell>
          <cell r="I142" t="e">
            <v>#N/A</v>
          </cell>
          <cell r="J142">
            <v>122.79972563039999</v>
          </cell>
          <cell r="K142" t="e">
            <v>#N/A</v>
          </cell>
          <cell r="L142" t="e">
            <v>#N/A</v>
          </cell>
        </row>
        <row r="143">
          <cell r="A143" t="str">
            <v>HBF3P125</v>
          </cell>
          <cell r="B143" t="str">
            <v>125A 3-pole housed unit</v>
          </cell>
          <cell r="C143">
            <v>328.38772512000008</v>
          </cell>
          <cell r="D143">
            <v>2429.9971510359997</v>
          </cell>
          <cell r="E143">
            <v>344.80711137600008</v>
          </cell>
          <cell r="F143" t="e">
            <v>#N/A</v>
          </cell>
          <cell r="G143">
            <v>155.16320011920004</v>
          </cell>
          <cell r="H143" t="e">
            <v>#N/A</v>
          </cell>
          <cell r="I143" t="e">
            <v>#N/A</v>
          </cell>
          <cell r="J143">
            <v>137.92284455040004</v>
          </cell>
          <cell r="K143" t="e">
            <v>#N/A</v>
          </cell>
          <cell r="L143" t="e">
            <v>#N/A</v>
          </cell>
        </row>
        <row r="144">
          <cell r="A144" t="str">
            <v>HBF3P160</v>
          </cell>
          <cell r="B144" t="str">
            <v>160A 3-pole housed unit</v>
          </cell>
          <cell r="C144">
            <v>442.17119128000002</v>
          </cell>
          <cell r="D144">
            <v>158.668237</v>
          </cell>
          <cell r="E144">
            <v>464.27975084400003</v>
          </cell>
          <cell r="F144" t="e">
            <v>#N/A</v>
          </cell>
          <cell r="G144">
            <v>208.92588787980003</v>
          </cell>
          <cell r="H144" t="e">
            <v>#N/A</v>
          </cell>
          <cell r="I144" t="e">
            <v>#N/A</v>
          </cell>
          <cell r="J144">
            <v>185.71190033760001</v>
          </cell>
          <cell r="K144" t="e">
            <v>#N/A</v>
          </cell>
          <cell r="L144" t="e">
            <v>#N/A</v>
          </cell>
        </row>
        <row r="145">
          <cell r="A145" t="str">
            <v>HBF3P200</v>
          </cell>
          <cell r="B145" t="str">
            <v>200A 3-pole housed unit</v>
          </cell>
          <cell r="C145">
            <v>515.62634031999994</v>
          </cell>
          <cell r="D145">
            <v>224.20511749999997</v>
          </cell>
          <cell r="E145">
            <v>541.40765733599994</v>
          </cell>
          <cell r="F145" t="e">
            <v>#N/A</v>
          </cell>
          <cell r="G145">
            <v>243.63344580119997</v>
          </cell>
          <cell r="H145" t="e">
            <v>#N/A</v>
          </cell>
          <cell r="I145" t="e">
            <v>#N/A</v>
          </cell>
          <cell r="J145">
            <v>216.56306293439999</v>
          </cell>
          <cell r="K145" t="e">
            <v>#N/A</v>
          </cell>
          <cell r="L145" t="e">
            <v>#N/A</v>
          </cell>
        </row>
        <row r="146">
          <cell r="A146" t="str">
            <v>HBK3P315</v>
          </cell>
          <cell r="B146" t="str">
            <v>315A 3-pole housed unit</v>
          </cell>
          <cell r="C146">
            <v>1038.4541658399999</v>
          </cell>
          <cell r="D146">
            <v>317.40546018999999</v>
          </cell>
          <cell r="E146">
            <v>1090.3768741319998</v>
          </cell>
          <cell r="F146" t="e">
            <v>#N/A</v>
          </cell>
          <cell r="G146">
            <v>490.66959335939993</v>
          </cell>
          <cell r="H146" t="e">
            <v>#N/A</v>
          </cell>
          <cell r="I146" t="e">
            <v>#N/A</v>
          </cell>
          <cell r="J146">
            <v>436.15074965279996</v>
          </cell>
          <cell r="K146" t="e">
            <v>#N/A</v>
          </cell>
          <cell r="L146" t="e">
            <v>#N/A</v>
          </cell>
        </row>
        <row r="147">
          <cell r="A147" t="str">
            <v>HBL3P400</v>
          </cell>
          <cell r="B147" t="str">
            <v>400A 3-pole housed unit</v>
          </cell>
          <cell r="C147">
            <v>1136.3943645599998</v>
          </cell>
          <cell r="D147">
            <v>357.26568077199994</v>
          </cell>
          <cell r="E147">
            <v>1193.2140827879998</v>
          </cell>
          <cell r="F147" t="e">
            <v>#N/A</v>
          </cell>
          <cell r="G147">
            <v>536.94633725459994</v>
          </cell>
          <cell r="H147" t="e">
            <v>#N/A</v>
          </cell>
          <cell r="I147" t="e">
            <v>#N/A</v>
          </cell>
          <cell r="J147">
            <v>477.28563311519997</v>
          </cell>
          <cell r="K147" t="e">
            <v>#N/A</v>
          </cell>
          <cell r="L147" t="e">
            <v>#N/A</v>
          </cell>
        </row>
        <row r="148">
          <cell r="A148" t="str">
            <v>HBN3P630</v>
          </cell>
          <cell r="B148" t="str">
            <v>630A 3-pole housed unit</v>
          </cell>
          <cell r="C148">
            <v>2173.4082333599999</v>
          </cell>
          <cell r="D148">
            <v>472.41742911999995</v>
          </cell>
          <cell r="E148">
            <v>2282.0786450279998</v>
          </cell>
          <cell r="F148" t="e">
            <v>#N/A</v>
          </cell>
          <cell r="G148">
            <v>1026.9353902625999</v>
          </cell>
          <cell r="H148" t="e">
            <v>#N/A</v>
          </cell>
          <cell r="I148" t="e">
            <v>#N/A</v>
          </cell>
          <cell r="J148">
            <v>912.83145801119997</v>
          </cell>
          <cell r="K148" t="e">
            <v>#N/A</v>
          </cell>
          <cell r="L148" t="e">
            <v>#N/A</v>
          </cell>
        </row>
        <row r="149">
          <cell r="A149" t="str">
            <v>HBN3P800</v>
          </cell>
          <cell r="B149" t="str">
            <v>800A 3-pole housed unit</v>
          </cell>
          <cell r="C149">
            <v>2370.7289278399999</v>
          </cell>
          <cell r="D149">
            <v>552.13787028399997</v>
          </cell>
          <cell r="E149">
            <v>2489.2653742319999</v>
          </cell>
          <cell r="F149" t="e">
            <v>#N/A</v>
          </cell>
          <cell r="G149">
            <v>1120.1694184043999</v>
          </cell>
          <cell r="H149" t="e">
            <v>#N/A</v>
          </cell>
          <cell r="I149" t="e">
            <v>#N/A</v>
          </cell>
          <cell r="J149">
            <v>995.70614969279995</v>
          </cell>
          <cell r="K149" t="e">
            <v>#N/A</v>
          </cell>
          <cell r="L149" t="e">
            <v>#N/A</v>
          </cell>
        </row>
        <row r="150">
          <cell r="A150" t="str">
            <v>HBE3P32N</v>
          </cell>
          <cell r="B150" t="str">
            <v>32A 3-pole &amp; neutral housed unit</v>
          </cell>
          <cell r="C150">
            <v>154.79828000000001</v>
          </cell>
          <cell r="D150">
            <v>154.79828000000001</v>
          </cell>
          <cell r="E150">
            <v>154.79828000000001</v>
          </cell>
          <cell r="F150">
            <v>85.831000000000003</v>
          </cell>
          <cell r="G150">
            <v>69.659226000000004</v>
          </cell>
          <cell r="H150">
            <v>-16.171773999999999</v>
          </cell>
          <cell r="I150">
            <v>-0.23215552237115006</v>
          </cell>
          <cell r="J150">
            <v>61.919312000000005</v>
          </cell>
          <cell r="K150">
            <v>-23.911687999999998</v>
          </cell>
          <cell r="L150">
            <v>-0.38617496266754381</v>
          </cell>
          <cell r="M150">
            <v>61</v>
          </cell>
        </row>
        <row r="151">
          <cell r="A151" t="str">
            <v>HBF3P63N</v>
          </cell>
          <cell r="B151" t="str">
            <v>63A 3-pole &amp; neutral housed unit</v>
          </cell>
          <cell r="C151">
            <v>218.73669999999998</v>
          </cell>
          <cell r="D151">
            <v>1214.9985755179998</v>
          </cell>
          <cell r="E151">
            <v>229.67353499999999</v>
          </cell>
          <cell r="F151">
            <v>82.983999999999995</v>
          </cell>
          <cell r="G151">
            <v>103.35309074999999</v>
          </cell>
          <cell r="H151">
            <v>20.369090749999998</v>
          </cell>
          <cell r="I151">
            <v>0.19708255072188055</v>
          </cell>
          <cell r="J151">
            <v>91.869414000000006</v>
          </cell>
          <cell r="K151">
            <v>8.8854140000000115</v>
          </cell>
          <cell r="L151">
            <v>9.6717869562115755E-2</v>
          </cell>
          <cell r="M151">
            <v>143</v>
          </cell>
        </row>
        <row r="152">
          <cell r="A152" t="str">
            <v>HBF3P100N</v>
          </cell>
          <cell r="B152" t="str">
            <v>100A 3-pole &amp; neutral housed unit</v>
          </cell>
          <cell r="C152">
            <v>309.66386360000001</v>
          </cell>
          <cell r="D152">
            <v>2429.9971510359997</v>
          </cell>
          <cell r="E152">
            <v>325.14705678000001</v>
          </cell>
          <cell r="F152">
            <v>85.867000000000004</v>
          </cell>
          <cell r="G152">
            <v>146.31617555100001</v>
          </cell>
          <cell r="H152">
            <v>60.44917555100001</v>
          </cell>
          <cell r="I152">
            <v>0.41314075715387888</v>
          </cell>
          <cell r="J152">
            <v>130.05882271200002</v>
          </cell>
          <cell r="K152">
            <v>44.191822712000018</v>
          </cell>
          <cell r="L152">
            <v>0.33978335179811381</v>
          </cell>
          <cell r="M152">
            <v>409</v>
          </cell>
        </row>
        <row r="153">
          <cell r="A153" t="str">
            <v>HBF3P125N</v>
          </cell>
          <cell r="B153" t="str">
            <v>125A 3-pole &amp; neutral housed unit</v>
          </cell>
          <cell r="C153">
            <v>348.55188367999995</v>
          </cell>
          <cell r="D153">
            <v>2633.7271673439991</v>
          </cell>
          <cell r="E153">
            <v>365.97947786399993</v>
          </cell>
          <cell r="F153">
            <v>96.022000000000006</v>
          </cell>
          <cell r="G153">
            <v>164.69076503879998</v>
          </cell>
          <cell r="H153">
            <v>68.668765038799975</v>
          </cell>
          <cell r="I153">
            <v>0.41695577176183557</v>
          </cell>
          <cell r="J153">
            <v>146.39179114559997</v>
          </cell>
          <cell r="K153">
            <v>50.369791145599962</v>
          </cell>
          <cell r="L153">
            <v>0.34407524323206495</v>
          </cell>
          <cell r="M153">
            <v>70</v>
          </cell>
        </row>
        <row r="154">
          <cell r="A154" t="str">
            <v>HBF3P160N</v>
          </cell>
          <cell r="B154" t="str">
            <v>160A 3-pole &amp; neutral housed unit</v>
          </cell>
          <cell r="C154">
            <v>460.89505279999997</v>
          </cell>
          <cell r="D154">
            <v>194.87218951199995</v>
          </cell>
          <cell r="E154">
            <v>483.93980543999999</v>
          </cell>
          <cell r="F154">
            <v>94.103999999999999</v>
          </cell>
          <cell r="G154">
            <v>217.772912448</v>
          </cell>
          <cell r="H154">
            <v>123.668912448</v>
          </cell>
          <cell r="I154">
            <v>0.56788014201504411</v>
          </cell>
          <cell r="J154">
            <v>193.57592217600001</v>
          </cell>
          <cell r="K154">
            <v>99.471922176000007</v>
          </cell>
          <cell r="L154">
            <v>0.5138651597669246</v>
          </cell>
          <cell r="M154">
            <v>52</v>
          </cell>
        </row>
        <row r="155">
          <cell r="A155" t="str">
            <v>HBF3P200N</v>
          </cell>
          <cell r="B155" t="str">
            <v>200A 3-pole &amp; neutral housed unit</v>
          </cell>
          <cell r="C155">
            <v>538.67109296000001</v>
          </cell>
          <cell r="D155">
            <v>336.59741824800005</v>
          </cell>
          <cell r="E155">
            <v>565.60464760800005</v>
          </cell>
          <cell r="F155">
            <v>94.272000000000006</v>
          </cell>
          <cell r="G155">
            <v>254.52209142360002</v>
          </cell>
          <cell r="H155">
            <v>160.2500914236</v>
          </cell>
          <cell r="I155">
            <v>0.62961171868141086</v>
          </cell>
          <cell r="J155">
            <v>226.24185904320004</v>
          </cell>
          <cell r="K155">
            <v>131.96985904320002</v>
          </cell>
          <cell r="L155">
            <v>0.58331318351658734</v>
          </cell>
          <cell r="M155">
            <v>176</v>
          </cell>
        </row>
        <row r="156">
          <cell r="A156" t="str">
            <v>HBK3P315N</v>
          </cell>
          <cell r="B156" t="str">
            <v>315A 3-pole &amp; neutral housed unit</v>
          </cell>
          <cell r="C156">
            <v>1085.9839681599999</v>
          </cell>
          <cell r="D156">
            <v>385.31546562599999</v>
          </cell>
          <cell r="E156">
            <v>1140.2831665679998</v>
          </cell>
          <cell r="F156">
            <v>174.607</v>
          </cell>
          <cell r="G156">
            <v>513.12742495559996</v>
          </cell>
          <cell r="H156">
            <v>338.52042495559999</v>
          </cell>
          <cell r="I156">
            <v>0.65972000031939748</v>
          </cell>
          <cell r="J156">
            <v>456.11326662719995</v>
          </cell>
          <cell r="K156">
            <v>281.50626662719992</v>
          </cell>
          <cell r="L156">
            <v>0.617185000359322</v>
          </cell>
          <cell r="M156">
            <v>27</v>
          </cell>
        </row>
        <row r="157">
          <cell r="A157" t="str">
            <v>HBL3P400N</v>
          </cell>
          <cell r="B157" t="str">
            <v>400A 3-pole &amp; neutral housed unit</v>
          </cell>
          <cell r="C157">
            <v>1185.3644639199999</v>
          </cell>
          <cell r="D157">
            <v>512.27764970199985</v>
          </cell>
          <cell r="E157">
            <v>1244.6326871159999</v>
          </cell>
          <cell r="F157">
            <v>176.45699999999999</v>
          </cell>
          <cell r="G157">
            <v>560.08470920219997</v>
          </cell>
          <cell r="H157">
            <v>383.62770920219998</v>
          </cell>
          <cell r="I157">
            <v>0.68494587139979202</v>
          </cell>
          <cell r="J157">
            <v>497.85307484639998</v>
          </cell>
          <cell r="K157">
            <v>321.39607484639998</v>
          </cell>
          <cell r="L157">
            <v>0.64556410532476605</v>
          </cell>
          <cell r="M157">
            <v>66</v>
          </cell>
        </row>
        <row r="158">
          <cell r="A158" t="str">
            <v>HBN3P630N</v>
          </cell>
          <cell r="B158" t="str">
            <v>630A 3-pole &amp; neutral housed unit</v>
          </cell>
          <cell r="C158">
            <v>2370.7289278399999</v>
          </cell>
          <cell r="D158">
            <v>608.23743999200008</v>
          </cell>
          <cell r="E158">
            <v>2489.2653742319999</v>
          </cell>
          <cell r="F158">
            <v>471.45499999999998</v>
          </cell>
          <cell r="G158">
            <v>1120.1694184043999</v>
          </cell>
          <cell r="H158">
            <v>648.71441840440002</v>
          </cell>
          <cell r="I158">
            <v>0.5791217004731718</v>
          </cell>
          <cell r="J158">
            <v>995.70614969279995</v>
          </cell>
          <cell r="K158">
            <v>524.25114969280003</v>
          </cell>
          <cell r="L158">
            <v>0.52651191303231837</v>
          </cell>
          <cell r="M158">
            <v>9</v>
          </cell>
        </row>
        <row r="159">
          <cell r="A159" t="str">
            <v>HBN3P800N</v>
          </cell>
          <cell r="B159" t="str">
            <v>800A 3-pole &amp; neutral housed unit</v>
          </cell>
          <cell r="C159">
            <v>2569.4899193599995</v>
          </cell>
          <cell r="D159">
            <v>1214.9985755179998</v>
          </cell>
          <cell r="E159">
            <v>2697.9644153279996</v>
          </cell>
          <cell r="F159">
            <v>474.17899999999997</v>
          </cell>
          <cell r="G159">
            <v>1214.0839868976</v>
          </cell>
          <cell r="H159">
            <v>739.9049868976</v>
          </cell>
          <cell r="I159">
            <v>0.60943476306635957</v>
          </cell>
          <cell r="J159">
            <v>1079.1857661311999</v>
          </cell>
          <cell r="K159">
            <v>605.00676613119992</v>
          </cell>
          <cell r="L159">
            <v>0.56061410844965442</v>
          </cell>
          <cell r="M159">
            <v>6</v>
          </cell>
        </row>
        <row r="160">
          <cell r="A160" t="str">
            <v>HBF4P63</v>
          </cell>
          <cell r="B160" t="str">
            <v>63A 4-pole housed unit</v>
          </cell>
          <cell r="C160">
            <v>190.11920927999998</v>
          </cell>
          <cell r="D160">
            <v>1319.816192604</v>
          </cell>
          <cell r="E160">
            <v>199.62516974399998</v>
          </cell>
          <cell r="F160">
            <v>82.882999999999996</v>
          </cell>
          <cell r="G160">
            <v>89.831326384799993</v>
          </cell>
          <cell r="H160">
            <v>6.9483263847999979</v>
          </cell>
          <cell r="I160">
            <v>7.734858945571238E-2</v>
          </cell>
          <cell r="J160">
            <v>79.850067897599999</v>
          </cell>
          <cell r="K160">
            <v>-3.0329321023999967</v>
          </cell>
          <cell r="L160">
            <v>-3.798283686232351E-2</v>
          </cell>
        </row>
        <row r="161">
          <cell r="A161" t="str">
            <v>HBF4P100</v>
          </cell>
          <cell r="B161" t="str">
            <v>100A 4-pole housed unit</v>
          </cell>
          <cell r="C161">
            <v>328.38772512000008</v>
          </cell>
          <cell r="D161">
            <v>2633.7271673439991</v>
          </cell>
          <cell r="E161">
            <v>344.80711137600008</v>
          </cell>
          <cell r="F161">
            <v>79.736000000000004</v>
          </cell>
          <cell r="G161">
            <v>155.16320011920004</v>
          </cell>
          <cell r="H161">
            <v>75.427200119200037</v>
          </cell>
          <cell r="I161">
            <v>0.48611526483892492</v>
          </cell>
          <cell r="J161">
            <v>137.92284455040004</v>
          </cell>
          <cell r="K161">
            <v>58.186844550400039</v>
          </cell>
          <cell r="L161">
            <v>0.42187967294379058</v>
          </cell>
        </row>
        <row r="162">
          <cell r="A162" t="str">
            <v>HBF4P125</v>
          </cell>
          <cell r="B162" t="str">
            <v>125A 4-pole housed unit</v>
          </cell>
          <cell r="C162">
            <v>375.91752744000001</v>
          </cell>
          <cell r="D162">
            <v>2833.0282702539998</v>
          </cell>
          <cell r="E162">
            <v>394.71340381200002</v>
          </cell>
          <cell r="F162">
            <v>96.852999999999994</v>
          </cell>
          <cell r="G162">
            <v>177.62103171540002</v>
          </cell>
          <cell r="H162">
            <v>80.768031715400028</v>
          </cell>
          <cell r="I162">
            <v>0.4547211044512659</v>
          </cell>
          <cell r="J162">
            <v>157.88536152480003</v>
          </cell>
          <cell r="K162">
            <v>61.032361524800038</v>
          </cell>
          <cell r="L162">
            <v>0.38656124250767421</v>
          </cell>
        </row>
        <row r="163">
          <cell r="A163" t="str">
            <v>HBF4P160</v>
          </cell>
          <cell r="B163" t="str">
            <v>160A 4-pole housed unit</v>
          </cell>
          <cell r="C163">
            <v>499.78307287999991</v>
          </cell>
          <cell r="D163">
            <v>4.9507499999999993</v>
          </cell>
          <cell r="E163">
            <v>524.77222652399996</v>
          </cell>
          <cell r="F163">
            <v>94.900999999999996</v>
          </cell>
          <cell r="G163">
            <v>236.14750193579999</v>
          </cell>
          <cell r="H163">
            <v>141.24650193579998</v>
          </cell>
          <cell r="I163">
            <v>0.59812829175808868</v>
          </cell>
          <cell r="J163">
            <v>209.90889060960001</v>
          </cell>
          <cell r="K163">
            <v>115.00789060960001</v>
          </cell>
          <cell r="L163">
            <v>0.54789432822784978</v>
          </cell>
        </row>
        <row r="164">
          <cell r="A164" t="str">
            <v>HBF4P200</v>
          </cell>
          <cell r="B164" t="str">
            <v>200A 4-pole housed unit</v>
          </cell>
          <cell r="C164">
            <v>593.40238048000015</v>
          </cell>
          <cell r="D164">
            <v>8.6230871999999987</v>
          </cell>
          <cell r="E164">
            <v>623.07249950400012</v>
          </cell>
          <cell r="F164">
            <v>95.069000000000003</v>
          </cell>
          <cell r="G164">
            <v>280.38262477680007</v>
          </cell>
          <cell r="H164">
            <v>185.31362477680005</v>
          </cell>
          <cell r="I164">
            <v>0.66093120044196696</v>
          </cell>
          <cell r="J164">
            <v>249.22899980160005</v>
          </cell>
          <cell r="K164">
            <v>154.15999980160007</v>
          </cell>
          <cell r="L164">
            <v>0.61854760049721291</v>
          </cell>
        </row>
        <row r="165">
          <cell r="A165" t="str">
            <v>HBK4P315</v>
          </cell>
          <cell r="B165" t="str">
            <v>315A 4-pole housed unit</v>
          </cell>
          <cell r="C165">
            <v>1185.3644639199999</v>
          </cell>
          <cell r="D165">
            <v>13.055753780952379</v>
          </cell>
          <cell r="E165">
            <v>1244.6326871159999</v>
          </cell>
          <cell r="F165">
            <v>176.51900000000001</v>
          </cell>
          <cell r="G165">
            <v>560.08470920219997</v>
          </cell>
          <cell r="H165">
            <v>383.56570920219997</v>
          </cell>
          <cell r="I165">
            <v>0.6848351738588998</v>
          </cell>
          <cell r="J165">
            <v>497.85307484639998</v>
          </cell>
          <cell r="K165">
            <v>321.33407484639997</v>
          </cell>
          <cell r="L165">
            <v>0.64543957059126233</v>
          </cell>
        </row>
        <row r="166">
          <cell r="A166" t="str">
            <v>HBL4P400</v>
          </cell>
          <cell r="B166" t="str">
            <v>400A 4-pole housed unit</v>
          </cell>
          <cell r="C166">
            <v>1287.62555376</v>
          </cell>
          <cell r="D166">
            <v>51.469798559523788</v>
          </cell>
          <cell r="E166">
            <v>1352.006831448</v>
          </cell>
          <cell r="F166">
            <v>176.935</v>
          </cell>
          <cell r="G166">
            <v>608.40307415159998</v>
          </cell>
          <cell r="H166">
            <v>431.46807415159998</v>
          </cell>
          <cell r="I166">
            <v>0.70918128537280878</v>
          </cell>
          <cell r="J166">
            <v>540.80273257919998</v>
          </cell>
          <cell r="K166">
            <v>363.86773257919998</v>
          </cell>
          <cell r="L166">
            <v>0.6728289460444099</v>
          </cell>
        </row>
        <row r="167">
          <cell r="A167" t="str">
            <v>HBN4P630</v>
          </cell>
          <cell r="B167" t="str">
            <v>630A 4-pole housed unit</v>
          </cell>
          <cell r="C167">
            <v>2569.4899193599995</v>
          </cell>
          <cell r="D167">
            <v>94.093954499999995</v>
          </cell>
          <cell r="E167">
            <v>2697.9644153279996</v>
          </cell>
          <cell r="F167">
            <v>476.61099999999999</v>
          </cell>
          <cell r="G167">
            <v>1214.0839868976</v>
          </cell>
          <cell r="H167">
            <v>737.47298689759998</v>
          </cell>
          <cell r="I167">
            <v>0.60743160675572028</v>
          </cell>
          <cell r="J167">
            <v>1079.1857661311999</v>
          </cell>
          <cell r="K167">
            <v>602.57476613119991</v>
          </cell>
          <cell r="L167">
            <v>0.55836055760018521</v>
          </cell>
        </row>
        <row r="168">
          <cell r="A168" t="str">
            <v>HBN4P800</v>
          </cell>
          <cell r="B168" t="str">
            <v>800A 4-pole housed unit</v>
          </cell>
          <cell r="C168">
            <v>2763.9300197600001</v>
          </cell>
          <cell r="D168">
            <v>99.628892999999977</v>
          </cell>
          <cell r="E168">
            <v>2902.1265207480001</v>
          </cell>
          <cell r="F168">
            <v>479.36900000000003</v>
          </cell>
          <cell r="G168">
            <v>1305.9569343366002</v>
          </cell>
          <cell r="H168">
            <v>826.58793433660014</v>
          </cell>
          <cell r="I168">
            <v>0.63293659431158056</v>
          </cell>
          <cell r="J168">
            <v>1160.8506082992001</v>
          </cell>
          <cell r="K168">
            <v>681.48160829920005</v>
          </cell>
          <cell r="L168">
            <v>0.5870536686005281</v>
          </cell>
        </row>
        <row r="169">
          <cell r="A169" t="str">
            <v>HFL63</v>
          </cell>
          <cell r="B169" t="str">
            <v>63 solid link</v>
          </cell>
          <cell r="C169">
            <v>4.83</v>
          </cell>
          <cell r="D169">
            <v>116.23370850000001</v>
          </cell>
          <cell r="E169">
            <v>5.0715000000000003</v>
          </cell>
          <cell r="F169">
            <v>0.60599999999999998</v>
          </cell>
          <cell r="G169">
            <v>2.2821750000000001</v>
          </cell>
          <cell r="H169">
            <v>1.6761750000000002</v>
          </cell>
          <cell r="I169">
            <v>0.73446383384271585</v>
          </cell>
          <cell r="J169">
            <v>2.0286000000000004</v>
          </cell>
          <cell r="K169">
            <v>1.4226000000000005</v>
          </cell>
          <cell r="L169">
            <v>0.70127181307305542</v>
          </cell>
        </row>
        <row r="170">
          <cell r="A170" t="str">
            <v>HFL200A</v>
          </cell>
          <cell r="B170" t="str">
            <v>63/200A solid link</v>
          </cell>
          <cell r="C170">
            <v>8.4127679999999998</v>
          </cell>
          <cell r="D170">
            <v>121.76864699999999</v>
          </cell>
          <cell r="E170">
            <v>8.8334063999999994</v>
          </cell>
          <cell r="F170">
            <v>1.1998800000000001</v>
          </cell>
          <cell r="G170">
            <v>3.9750328799999997</v>
          </cell>
          <cell r="H170">
            <v>2.7751528799999994</v>
          </cell>
          <cell r="I170">
            <v>0.69814589307246178</v>
          </cell>
          <cell r="J170">
            <v>3.53336256</v>
          </cell>
          <cell r="K170">
            <v>2.3334825600000002</v>
          </cell>
          <cell r="L170">
            <v>0.66041412970651958</v>
          </cell>
        </row>
        <row r="171">
          <cell r="A171" t="str">
            <v>HLL400</v>
          </cell>
          <cell r="B171" t="str">
            <v>400A solid link</v>
          </cell>
          <cell r="C171">
            <v>12.737320761904762</v>
          </cell>
          <cell r="D171">
            <v>138.37346249999999</v>
          </cell>
          <cell r="E171">
            <v>13.3741868</v>
          </cell>
          <cell r="F171">
            <v>1.911</v>
          </cell>
          <cell r="G171">
            <v>6.0183840600000007</v>
          </cell>
          <cell r="H171">
            <v>1.911</v>
          </cell>
          <cell r="I171">
            <v>0.31752709380929733</v>
          </cell>
          <cell r="J171">
            <v>5.3496747200000003</v>
          </cell>
          <cell r="K171">
            <v>3.4386747200000003</v>
          </cell>
          <cell r="L171">
            <v>0.6427820194645405</v>
          </cell>
        </row>
        <row r="172">
          <cell r="A172" t="str">
            <v>HNL800</v>
          </cell>
          <cell r="B172" t="str">
            <v>800A solid link</v>
          </cell>
          <cell r="C172">
            <v>50.214437619047601</v>
          </cell>
          <cell r="D172">
            <v>145.75338049999996</v>
          </cell>
          <cell r="E172">
            <v>52.725159499999982</v>
          </cell>
          <cell r="F172">
            <v>5.5259999999999998</v>
          </cell>
          <cell r="G172">
            <v>23.726321774999992</v>
          </cell>
          <cell r="H172">
            <v>5.5259999999999998</v>
          </cell>
          <cell r="I172">
            <v>0.23290588623065245</v>
          </cell>
          <cell r="J172">
            <v>21.090063799999996</v>
          </cell>
          <cell r="K172">
            <v>15.564063799999996</v>
          </cell>
          <cell r="L172">
            <v>0.73798087799051604</v>
          </cell>
        </row>
        <row r="173">
          <cell r="A173" t="str">
            <v>HS13P20</v>
          </cell>
          <cell r="B173" t="str">
            <v>20A enclosed 3-pole switch disconnector</v>
          </cell>
          <cell r="C173">
            <v>91.79898</v>
          </cell>
          <cell r="D173">
            <v>163.32298527999998</v>
          </cell>
          <cell r="E173">
            <v>96.388929000000005</v>
          </cell>
          <cell r="F173" t="e">
            <v>#N/A</v>
          </cell>
          <cell r="G173">
            <v>43.375018050000001</v>
          </cell>
          <cell r="H173" t="e">
            <v>#N/A</v>
          </cell>
          <cell r="I173" t="e">
            <v>#N/A</v>
          </cell>
          <cell r="J173">
            <v>38.555571600000007</v>
          </cell>
          <cell r="K173" t="e">
            <v>#N/A</v>
          </cell>
          <cell r="L173" t="e">
            <v>#N/A</v>
          </cell>
        </row>
        <row r="174">
          <cell r="A174" t="str">
            <v>HS13P20N</v>
          </cell>
          <cell r="B174" t="str">
            <v>20A enclosed 3-pole &amp; neutral switch disconnector</v>
          </cell>
          <cell r="C174">
            <v>97.198919999999987</v>
          </cell>
          <cell r="D174">
            <v>172.79808</v>
          </cell>
          <cell r="E174">
            <v>102.05886599999998</v>
          </cell>
          <cell r="F174" t="e">
            <v>#N/A</v>
          </cell>
          <cell r="G174">
            <v>45.926489699999991</v>
          </cell>
          <cell r="H174" t="e">
            <v>#N/A</v>
          </cell>
          <cell r="I174" t="e">
            <v>#N/A</v>
          </cell>
          <cell r="J174">
            <v>40.823546399999998</v>
          </cell>
          <cell r="K174" t="e">
            <v>#N/A</v>
          </cell>
          <cell r="L174" t="e">
            <v>#N/A</v>
          </cell>
        </row>
        <row r="175">
          <cell r="A175" t="str">
            <v>HS13P32</v>
          </cell>
          <cell r="B175" t="str">
            <v>32A enclosed 3-pole switch disconnector</v>
          </cell>
          <cell r="C175">
            <v>113.39874000000002</v>
          </cell>
          <cell r="D175">
            <v>172.14396726799995</v>
          </cell>
          <cell r="E175">
            <v>119.06867700000002</v>
          </cell>
          <cell r="F175" t="e">
            <v>#N/A</v>
          </cell>
          <cell r="G175">
            <v>53.580904650000008</v>
          </cell>
          <cell r="H175" t="e">
            <v>#N/A</v>
          </cell>
          <cell r="I175" t="e">
            <v>#N/A</v>
          </cell>
          <cell r="J175">
            <v>47.627470800000012</v>
          </cell>
          <cell r="K175" t="e">
            <v>#N/A</v>
          </cell>
          <cell r="L175" t="e">
            <v>#N/A</v>
          </cell>
        </row>
        <row r="176">
          <cell r="A176" t="str">
            <v>HS13P32N</v>
          </cell>
          <cell r="B176" t="str">
            <v>32A enclosed 3-pole &amp; neutral switch disconnector</v>
          </cell>
          <cell r="C176">
            <v>118.79868</v>
          </cell>
          <cell r="D176">
            <v>180.80799099999996</v>
          </cell>
          <cell r="E176">
            <v>124.738614</v>
          </cell>
          <cell r="F176" t="e">
            <v>#N/A</v>
          </cell>
          <cell r="G176">
            <v>56.132376299999997</v>
          </cell>
          <cell r="H176" t="e">
            <v>#N/A</v>
          </cell>
          <cell r="I176" t="e">
            <v>#N/A</v>
          </cell>
          <cell r="J176">
            <v>49.895445600000002</v>
          </cell>
          <cell r="K176" t="e">
            <v>#N/A</v>
          </cell>
          <cell r="L176" t="e">
            <v>#N/A</v>
          </cell>
        </row>
        <row r="177">
          <cell r="A177" t="str">
            <v>HS13P40</v>
          </cell>
          <cell r="B177" t="str">
            <v>40A enclosed 3-pole switch disconnector</v>
          </cell>
          <cell r="C177">
            <v>134.99850000000001</v>
          </cell>
          <cell r="D177">
            <v>263.74350948399996</v>
          </cell>
          <cell r="E177">
            <v>141.748425</v>
          </cell>
          <cell r="F177" t="e">
            <v>#N/A</v>
          </cell>
          <cell r="G177">
            <v>63.78679125</v>
          </cell>
          <cell r="H177" t="e">
            <v>#N/A</v>
          </cell>
          <cell r="I177" t="e">
            <v>#N/A</v>
          </cell>
          <cell r="J177">
            <v>56.699370000000002</v>
          </cell>
          <cell r="K177" t="e">
            <v>#N/A</v>
          </cell>
          <cell r="L177" t="e">
            <v>#N/A</v>
          </cell>
        </row>
        <row r="178">
          <cell r="A178" t="str">
            <v>HS13P40N</v>
          </cell>
          <cell r="B178" t="str">
            <v>40A enclosed 3-pole &amp; neutral switch disconnector</v>
          </cell>
          <cell r="C178">
            <v>142.19841999999997</v>
          </cell>
          <cell r="D178">
            <v>266.90211438799997</v>
          </cell>
          <cell r="E178">
            <v>149.30834099999996</v>
          </cell>
          <cell r="F178" t="e">
            <v>#N/A</v>
          </cell>
          <cell r="G178">
            <v>67.188753449999979</v>
          </cell>
          <cell r="H178" t="e">
            <v>#N/A</v>
          </cell>
          <cell r="I178" t="e">
            <v>#N/A</v>
          </cell>
          <cell r="J178">
            <v>59.723336399999987</v>
          </cell>
          <cell r="K178" t="e">
            <v>#N/A</v>
          </cell>
          <cell r="L178" t="e">
            <v>#N/A</v>
          </cell>
        </row>
        <row r="179">
          <cell r="A179" t="str">
            <v>HS13P63</v>
          </cell>
          <cell r="B179" t="str">
            <v>63A enclosed 3-pole switch disconnector</v>
          </cell>
          <cell r="C179">
            <v>163.32298527999998</v>
          </cell>
          <cell r="D179">
            <v>277.95723155199994</v>
          </cell>
          <cell r="E179">
            <v>171.489134544</v>
          </cell>
          <cell r="F179" t="e">
            <v>#N/A</v>
          </cell>
          <cell r="G179">
            <v>77.170110544799996</v>
          </cell>
          <cell r="H179" t="e">
            <v>#N/A</v>
          </cell>
          <cell r="I179" t="e">
            <v>#N/A</v>
          </cell>
          <cell r="J179">
            <v>68.595653817599995</v>
          </cell>
          <cell r="K179" t="e">
            <v>#N/A</v>
          </cell>
          <cell r="L179" t="e">
            <v>#N/A</v>
          </cell>
        </row>
        <row r="180">
          <cell r="A180" t="str">
            <v>HS23P63</v>
          </cell>
          <cell r="B180" t="str">
            <v>63A enclosed 3-pole switch disconnector</v>
          </cell>
          <cell r="C180">
            <v>172.79808</v>
          </cell>
          <cell r="D180">
            <v>282.69513890799993</v>
          </cell>
          <cell r="E180">
            <v>181.437984</v>
          </cell>
          <cell r="F180" t="e">
            <v>#N/A</v>
          </cell>
          <cell r="G180">
            <v>81.647092799999996</v>
          </cell>
          <cell r="H180" t="e">
            <v>#N/A</v>
          </cell>
          <cell r="I180" t="e">
            <v>#N/A</v>
          </cell>
          <cell r="J180">
            <v>72.575193600000006</v>
          </cell>
          <cell r="K180" t="e">
            <v>#N/A</v>
          </cell>
          <cell r="L180" t="e">
            <v>#N/A</v>
          </cell>
        </row>
        <row r="181">
          <cell r="A181" t="str">
            <v>HS23P63N</v>
          </cell>
          <cell r="B181" t="str">
            <v>63A enclosed 3-pole &amp; neutral switch disconnector</v>
          </cell>
          <cell r="C181">
            <v>167.94533391999997</v>
          </cell>
          <cell r="D181">
            <v>105.16383150000003</v>
          </cell>
          <cell r="E181">
            <v>176.34260061599997</v>
          </cell>
          <cell r="F181" t="e">
            <v>#N/A</v>
          </cell>
          <cell r="G181">
            <v>79.354170277199984</v>
          </cell>
          <cell r="H181" t="e">
            <v>#N/A</v>
          </cell>
          <cell r="I181" t="e">
            <v>#N/A</v>
          </cell>
          <cell r="J181">
            <v>70.537040246399997</v>
          </cell>
          <cell r="K181" t="e">
            <v>#N/A</v>
          </cell>
          <cell r="L181" t="e">
            <v>#N/A</v>
          </cell>
        </row>
        <row r="182">
          <cell r="A182" t="str">
            <v>HS13P63N</v>
          </cell>
          <cell r="B182" t="str">
            <v>63A enclosed 3-pole &amp; neutral switch disconnector</v>
          </cell>
          <cell r="C182">
            <v>176.39803999999998</v>
          </cell>
          <cell r="D182">
            <v>125.45860599999995</v>
          </cell>
          <cell r="E182">
            <v>185.21794199999999</v>
          </cell>
          <cell r="F182" t="e">
            <v>#N/A</v>
          </cell>
          <cell r="G182">
            <v>83.348073900000003</v>
          </cell>
          <cell r="H182" t="e">
            <v>#N/A</v>
          </cell>
          <cell r="I182" t="e">
            <v>#N/A</v>
          </cell>
          <cell r="J182">
            <v>74.087176799999995</v>
          </cell>
          <cell r="K182" t="e">
            <v>#N/A</v>
          </cell>
          <cell r="L182" t="e">
            <v>#N/A</v>
          </cell>
        </row>
        <row r="183">
          <cell r="A183" t="str">
            <v>HS23P100</v>
          </cell>
          <cell r="B183" t="str">
            <v>100A enclosed 3-pole switch disconnector</v>
          </cell>
          <cell r="C183">
            <v>257.31074095999998</v>
          </cell>
          <cell r="D183">
            <v>149.44333950000001</v>
          </cell>
          <cell r="E183">
            <v>270.176278008</v>
          </cell>
          <cell r="F183" t="e">
            <v>#N/A</v>
          </cell>
          <cell r="G183">
            <v>121.5793251036</v>
          </cell>
          <cell r="H183" t="e">
            <v>#N/A</v>
          </cell>
          <cell r="I183" t="e">
            <v>#N/A</v>
          </cell>
          <cell r="J183">
            <v>108.0705112032</v>
          </cell>
          <cell r="K183" t="e">
            <v>#N/A</v>
          </cell>
          <cell r="L183" t="e">
            <v>#N/A</v>
          </cell>
        </row>
        <row r="184">
          <cell r="A184" t="str">
            <v>HS23P100N</v>
          </cell>
          <cell r="B184" t="str">
            <v>100A enclosed 3-pole &amp; neutral switch disconnector</v>
          </cell>
          <cell r="C184">
            <v>260.39230672000002</v>
          </cell>
          <cell r="D184">
            <v>180.04047952800002</v>
          </cell>
          <cell r="E184">
            <v>273.41192205600004</v>
          </cell>
          <cell r="F184" t="e">
            <v>#N/A</v>
          </cell>
          <cell r="G184">
            <v>123.03536492520001</v>
          </cell>
          <cell r="H184" t="e">
            <v>#N/A</v>
          </cell>
          <cell r="I184" t="e">
            <v>#N/A</v>
          </cell>
          <cell r="J184">
            <v>109.36476882240002</v>
          </cell>
          <cell r="K184" t="e">
            <v>#N/A</v>
          </cell>
          <cell r="L184" t="e">
            <v>#N/A</v>
          </cell>
        </row>
        <row r="185">
          <cell r="A185" t="str">
            <v>HS23P125</v>
          </cell>
          <cell r="B185" t="str">
            <v>125A enclosed 3-pole switch disconnector</v>
          </cell>
          <cell r="C185">
            <v>271.17778687999999</v>
          </cell>
          <cell r="D185">
            <v>188.18790899999999</v>
          </cell>
          <cell r="E185">
            <v>284.73667622400001</v>
          </cell>
          <cell r="F185" t="e">
            <v>#N/A</v>
          </cell>
          <cell r="G185">
            <v>128.1315043008</v>
          </cell>
          <cell r="H185" t="e">
            <v>#N/A</v>
          </cell>
          <cell r="I185" t="e">
            <v>#N/A</v>
          </cell>
          <cell r="J185">
            <v>113.8946704896</v>
          </cell>
          <cell r="K185" t="e">
            <v>#N/A</v>
          </cell>
          <cell r="L185" t="e">
            <v>#N/A</v>
          </cell>
        </row>
        <row r="186">
          <cell r="A186" t="str">
            <v>HS23P125N</v>
          </cell>
          <cell r="B186" t="str">
            <v>125A enclosed 3-pole &amp; neutral switch disconnector</v>
          </cell>
          <cell r="C186">
            <v>275.80013551999997</v>
          </cell>
          <cell r="D186">
            <v>276.37792909999996</v>
          </cell>
          <cell r="E186">
            <v>289.59014229599995</v>
          </cell>
          <cell r="F186" t="e">
            <v>#N/A</v>
          </cell>
          <cell r="G186">
            <v>130.31556403319999</v>
          </cell>
          <cell r="H186" t="e">
            <v>#N/A</v>
          </cell>
          <cell r="I186" t="e">
            <v>#N/A</v>
          </cell>
          <cell r="J186">
            <v>115.83605691839999</v>
          </cell>
          <cell r="K186" t="e">
            <v>#N/A</v>
          </cell>
          <cell r="L186" t="e">
            <v>#N/A</v>
          </cell>
        </row>
        <row r="187">
          <cell r="A187" t="str">
            <v>HS14P20</v>
          </cell>
          <cell r="B187" t="str">
            <v>20A enclosed 4-pole switch disconnector</v>
          </cell>
          <cell r="C187">
            <v>102.59886000000003</v>
          </cell>
          <cell r="D187">
            <v>292.17095361999998</v>
          </cell>
          <cell r="E187">
            <v>107.72880300000003</v>
          </cell>
          <cell r="F187" t="e">
            <v>#N/A</v>
          </cell>
          <cell r="G187">
            <v>48.477961350000015</v>
          </cell>
          <cell r="H187" t="e">
            <v>#N/A</v>
          </cell>
          <cell r="I187" t="e">
            <v>#N/A</v>
          </cell>
          <cell r="J187">
            <v>43.091521200000017</v>
          </cell>
          <cell r="K187" t="e">
            <v>#N/A</v>
          </cell>
          <cell r="L187" t="e">
            <v>#N/A</v>
          </cell>
        </row>
        <row r="188">
          <cell r="A188" t="str">
            <v>HS14P32</v>
          </cell>
          <cell r="B188" t="str">
            <v>32A enclosed 4-pole switch disconnector</v>
          </cell>
          <cell r="C188">
            <v>122.39863999999996</v>
          </cell>
          <cell r="D188">
            <v>11.449942776999999</v>
          </cell>
          <cell r="E188">
            <v>128.51857199999995</v>
          </cell>
          <cell r="F188" t="e">
            <v>#N/A</v>
          </cell>
          <cell r="G188">
            <v>57.833357399999976</v>
          </cell>
          <cell r="H188" t="e">
            <v>#N/A</v>
          </cell>
          <cell r="I188" t="e">
            <v>#N/A</v>
          </cell>
          <cell r="J188">
            <v>51.407428799999984</v>
          </cell>
          <cell r="K188" t="e">
            <v>#N/A</v>
          </cell>
          <cell r="L188" t="e">
            <v>#N/A</v>
          </cell>
        </row>
        <row r="189">
          <cell r="A189" t="str">
            <v>HS14P40</v>
          </cell>
          <cell r="B189" t="str">
            <v>40A enclosed 4-pole switch disconnector</v>
          </cell>
          <cell r="C189">
            <v>145.79838000000001</v>
          </cell>
          <cell r="D189">
            <v>190.95749999999998</v>
          </cell>
          <cell r="E189">
            <v>153.08829900000001</v>
          </cell>
          <cell r="F189" t="e">
            <v>#N/A</v>
          </cell>
          <cell r="G189">
            <v>68.88973455</v>
          </cell>
          <cell r="H189" t="e">
            <v>#N/A</v>
          </cell>
          <cell r="I189" t="e">
            <v>#N/A</v>
          </cell>
          <cell r="J189">
            <v>61.235319600000004</v>
          </cell>
          <cell r="K189" t="e">
            <v>#N/A</v>
          </cell>
          <cell r="L189" t="e">
            <v>#N/A</v>
          </cell>
        </row>
        <row r="190">
          <cell r="A190" t="str">
            <v>HS24P63</v>
          </cell>
          <cell r="B190" t="str">
            <v>63A enclosed 4-pole switch disconnector</v>
          </cell>
          <cell r="C190">
            <v>175.64924832000003</v>
          </cell>
          <cell r="E190">
            <v>184.43171073600001</v>
          </cell>
          <cell r="F190" t="e">
            <v>#N/A</v>
          </cell>
          <cell r="G190">
            <v>82.994269831200015</v>
          </cell>
          <cell r="H190" t="e">
            <v>#N/A</v>
          </cell>
          <cell r="I190" t="e">
            <v>#N/A</v>
          </cell>
          <cell r="J190">
            <v>73.772684294400008</v>
          </cell>
          <cell r="K190" t="e">
            <v>#N/A</v>
          </cell>
          <cell r="L190" t="e">
            <v>#N/A</v>
          </cell>
        </row>
        <row r="191">
          <cell r="A191" t="str">
            <v>HS14P63</v>
          </cell>
          <cell r="B191" t="str">
            <v>63A enclosed 4-pole switch disconnector</v>
          </cell>
          <cell r="C191">
            <v>183.59796</v>
          </cell>
          <cell r="D191">
            <v>85.114001249999987</v>
          </cell>
          <cell r="E191">
            <v>192.77785800000001</v>
          </cell>
          <cell r="F191" t="e">
            <v>#N/A</v>
          </cell>
          <cell r="G191">
            <v>86.750036100000003</v>
          </cell>
          <cell r="H191" t="e">
            <v>#N/A</v>
          </cell>
          <cell r="I191" t="e">
            <v>#N/A</v>
          </cell>
          <cell r="J191">
            <v>77.111143200000015</v>
          </cell>
          <cell r="K191" t="e">
            <v>#N/A</v>
          </cell>
          <cell r="L191" t="e">
            <v>#N/A</v>
          </cell>
        </row>
        <row r="192">
          <cell r="A192" t="str">
            <v>HS24P100</v>
          </cell>
          <cell r="B192" t="str">
            <v>100A enclosed 4-pole switch disconnector</v>
          </cell>
          <cell r="C192">
            <v>269.63700399999999</v>
          </cell>
          <cell r="D192">
            <v>242.63892249999998</v>
          </cell>
          <cell r="E192">
            <v>283.11885419999999</v>
          </cell>
          <cell r="F192" t="e">
            <v>#N/A</v>
          </cell>
          <cell r="G192">
            <v>127.40348439</v>
          </cell>
          <cell r="H192" t="e">
            <v>#N/A</v>
          </cell>
          <cell r="I192" t="e">
            <v>#N/A</v>
          </cell>
          <cell r="J192">
            <v>113.24754168</v>
          </cell>
          <cell r="K192" t="e">
            <v>#N/A</v>
          </cell>
          <cell r="L192" t="e">
            <v>#N/A</v>
          </cell>
        </row>
        <row r="193">
          <cell r="A193" t="str">
            <v>HS24P125</v>
          </cell>
          <cell r="B193" t="str">
            <v>125A enclosed 4-pole switch disconnector</v>
          </cell>
          <cell r="C193">
            <v>285.04483279999999</v>
          </cell>
          <cell r="D193">
            <v>171.99864131249998</v>
          </cell>
          <cell r="E193">
            <v>299.29707444000002</v>
          </cell>
          <cell r="F193" t="e">
            <v>#N/A</v>
          </cell>
          <cell r="G193">
            <v>134.68368349800002</v>
          </cell>
          <cell r="H193" t="e">
            <v>#N/A</v>
          </cell>
          <cell r="I193" t="e">
            <v>#N/A</v>
          </cell>
          <cell r="J193">
            <v>119.71882977600001</v>
          </cell>
          <cell r="K193" t="e">
            <v>#N/A</v>
          </cell>
          <cell r="L193" t="e">
            <v>#N/A</v>
          </cell>
        </row>
        <row r="194">
          <cell r="A194" t="str">
            <v>HSAUX</v>
          </cell>
          <cell r="B194" t="str">
            <v>10A auxiliary switch</v>
          </cell>
          <cell r="C194">
            <v>11.170675879999999</v>
          </cell>
          <cell r="D194">
            <v>331.64815044156251</v>
          </cell>
          <cell r="E194">
            <v>11.729209674</v>
          </cell>
          <cell r="F194" t="e">
            <v>#N/A</v>
          </cell>
          <cell r="G194">
            <v>5.2781443533000001</v>
          </cell>
          <cell r="H194" t="e">
            <v>#N/A</v>
          </cell>
          <cell r="I194" t="e">
            <v>#N/A</v>
          </cell>
          <cell r="J194">
            <v>4.6916838696000003</v>
          </cell>
          <cell r="K194" t="e">
            <v>#N/A</v>
          </cell>
          <cell r="L194" t="e">
            <v>#N/A</v>
          </cell>
        </row>
        <row r="195">
          <cell r="A195" t="str">
            <v>INT-1630-M-5-M-100</v>
          </cell>
          <cell r="B195" t="str">
            <v>3 Phase panel mounted multi-function meter with pulse output</v>
          </cell>
          <cell r="C195">
            <v>186.3</v>
          </cell>
          <cell r="D195">
            <v>297.51980204884052</v>
          </cell>
          <cell r="E195">
            <v>195.61500000000001</v>
          </cell>
          <cell r="F195">
            <v>54.261000000000003</v>
          </cell>
          <cell r="G195">
            <v>88.026750000000007</v>
          </cell>
          <cell r="H195">
            <v>33.765750000000004</v>
          </cell>
          <cell r="I195">
            <v>0.38358510339186669</v>
          </cell>
          <cell r="J195">
            <v>78.246000000000009</v>
          </cell>
          <cell r="K195">
            <v>23.985000000000007</v>
          </cell>
          <cell r="L195">
            <v>0.30653324131585008</v>
          </cell>
        </row>
        <row r="196">
          <cell r="A196" t="str">
            <v>INT-1630-M-5-M-110</v>
          </cell>
          <cell r="B196" t="str">
            <v>3 Phase panel mounted multi-function meter with modbus output</v>
          </cell>
          <cell r="C196">
            <v>201.3</v>
          </cell>
          <cell r="D196">
            <v>347.89931231294634</v>
          </cell>
          <cell r="E196">
            <v>211.36500000000001</v>
          </cell>
          <cell r="F196">
            <v>61.247</v>
          </cell>
          <cell r="G196">
            <v>95.114250000000013</v>
          </cell>
          <cell r="H196">
            <v>33.867250000000013</v>
          </cell>
          <cell r="I196">
            <v>0.35606914841887527</v>
          </cell>
          <cell r="J196">
            <v>84.546000000000006</v>
          </cell>
          <cell r="K196">
            <v>23.299000000000007</v>
          </cell>
          <cell r="L196">
            <v>0.27557779197123466</v>
          </cell>
        </row>
        <row r="197">
          <cell r="A197" t="str">
            <v>KWH-400</v>
          </cell>
          <cell r="B197" t="str">
            <v>Panel mounted KWh meter</v>
          </cell>
          <cell r="C197">
            <v>83.038049999999998</v>
          </cell>
          <cell r="D197">
            <v>509.59158572164949</v>
          </cell>
          <cell r="E197">
            <v>87.189952500000004</v>
          </cell>
          <cell r="F197">
            <v>21.329000000000001</v>
          </cell>
          <cell r="G197">
            <v>39.235478625000006</v>
          </cell>
          <cell r="H197">
            <v>17.906478625000005</v>
          </cell>
          <cell r="I197">
            <v>0.45638486524261185</v>
          </cell>
          <cell r="J197">
            <v>34.875981000000003</v>
          </cell>
          <cell r="K197">
            <v>13.546981000000002</v>
          </cell>
          <cell r="L197">
            <v>0.38843297339793831</v>
          </cell>
        </row>
        <row r="198">
          <cell r="A198" t="str">
            <v>LB1F2A</v>
          </cell>
          <cell r="B198" t="str">
            <v>200A incoming unit excluding device switch fuse</v>
          </cell>
          <cell r="C198">
            <v>236.7209</v>
          </cell>
          <cell r="D198">
            <v>677.96541375248682</v>
          </cell>
          <cell r="E198">
            <v>248.55694499999998</v>
          </cell>
          <cell r="F198">
            <v>58.086796800000002</v>
          </cell>
          <cell r="G198">
            <v>111.85062524999999</v>
          </cell>
          <cell r="H198">
            <v>53.763828449999991</v>
          </cell>
          <cell r="I198">
            <v>0.48067526068657351</v>
          </cell>
          <cell r="J198">
            <v>99.422777999999994</v>
          </cell>
          <cell r="K198">
            <v>41.335981199999992</v>
          </cell>
          <cell r="L198">
            <v>0.41575966827239524</v>
          </cell>
        </row>
        <row r="199">
          <cell r="A199" t="str">
            <v>LB1YA3</v>
          </cell>
          <cell r="B199" t="str">
            <v>250A incoming unit 250A excluding device MCCB</v>
          </cell>
          <cell r="C199">
            <v>167.8035525</v>
          </cell>
          <cell r="D199">
            <v>1020.075187291875</v>
          </cell>
          <cell r="E199">
            <v>176.193730125</v>
          </cell>
          <cell r="F199">
            <v>56.224679999999999</v>
          </cell>
          <cell r="G199">
            <v>79.287178556249998</v>
          </cell>
          <cell r="H199">
            <v>23.062498556249999</v>
          </cell>
          <cell r="I199">
            <v>0.29087298824599228</v>
          </cell>
          <cell r="J199">
            <v>70.477492050000009</v>
          </cell>
          <cell r="K199">
            <v>14.25281205000001</v>
          </cell>
          <cell r="L199">
            <v>0.20223211177674147</v>
          </cell>
        </row>
        <row r="200">
          <cell r="A200" t="str">
            <v>LB1F4A</v>
          </cell>
          <cell r="B200" t="str">
            <v>400A incoming unit 800A excluding device switch fuse</v>
          </cell>
          <cell r="C200">
            <v>323.55917116250004</v>
          </cell>
          <cell r="D200">
            <v>618.36405869732312</v>
          </cell>
          <cell r="E200">
            <v>339.73712972062503</v>
          </cell>
          <cell r="F200">
            <v>93.305335200000002</v>
          </cell>
          <cell r="G200">
            <v>152.88170837428126</v>
          </cell>
          <cell r="H200">
            <v>59.576373174281258</v>
          </cell>
          <cell r="I200">
            <v>0.38968934745566708</v>
          </cell>
          <cell r="J200">
            <v>135.89485188825003</v>
          </cell>
          <cell r="K200">
            <v>42.589516688250029</v>
          </cell>
          <cell r="L200">
            <v>0.31340051588762557</v>
          </cell>
        </row>
        <row r="201">
          <cell r="A201" t="str">
            <v>LB1Y6</v>
          </cell>
          <cell r="B201" t="str">
            <v>630A incoming unit 630A excluding device MCCB</v>
          </cell>
          <cell r="C201">
            <v>290.26322151106393</v>
          </cell>
          <cell r="D201">
            <v>290.26322151106393</v>
          </cell>
          <cell r="E201">
            <v>290.26322151106393</v>
          </cell>
          <cell r="F201">
            <v>105.7913592</v>
          </cell>
          <cell r="G201">
            <v>130.61844967997877</v>
          </cell>
          <cell r="H201">
            <v>24.827090479978764</v>
          </cell>
          <cell r="I201">
            <v>0.19007338198245563</v>
          </cell>
          <cell r="J201">
            <v>116.10528860442558</v>
          </cell>
          <cell r="K201">
            <v>10.313929404425579</v>
          </cell>
          <cell r="L201">
            <v>8.8832554730262678E-2</v>
          </cell>
        </row>
        <row r="202">
          <cell r="A202" t="str">
            <v>LB1Y7</v>
          </cell>
          <cell r="B202" t="str">
            <v>800A incoming unit 800A excluding device MCCB</v>
          </cell>
          <cell r="C202">
            <v>339.41396323214281</v>
          </cell>
          <cell r="D202">
            <v>1135.0215064209874</v>
          </cell>
          <cell r="E202">
            <v>356.38466139374992</v>
          </cell>
          <cell r="F202">
            <v>135.93307200000001</v>
          </cell>
          <cell r="G202">
            <v>160.37309762718746</v>
          </cell>
          <cell r="H202">
            <v>24.440025627187453</v>
          </cell>
          <cell r="I202">
            <v>0.15239479681312973</v>
          </cell>
          <cell r="J202">
            <v>142.55386455749996</v>
          </cell>
          <cell r="K202">
            <v>6.6207925574999535</v>
          </cell>
          <cell r="L202">
            <v>4.6444146414770938E-2</v>
          </cell>
        </row>
        <row r="203">
          <cell r="A203" t="str">
            <v>LB406YA</v>
          </cell>
          <cell r="B203" t="str">
            <v>6 way 400A panel board distribution panel</v>
          </cell>
          <cell r="C203">
            <v>497.16252265526782</v>
          </cell>
          <cell r="D203">
            <v>5.5032881067332564</v>
          </cell>
          <cell r="E203">
            <v>522.02064878803117</v>
          </cell>
          <cell r="F203">
            <v>156.68493599999999</v>
          </cell>
          <cell r="G203">
            <v>234.90929195461402</v>
          </cell>
          <cell r="H203">
            <v>78.224355954614026</v>
          </cell>
          <cell r="I203">
            <v>0.33299813431700043</v>
          </cell>
          <cell r="J203">
            <v>208.80825951521248</v>
          </cell>
          <cell r="K203">
            <v>52.123323515212491</v>
          </cell>
          <cell r="L203">
            <v>0.24962290110662555</v>
          </cell>
        </row>
        <row r="204">
          <cell r="A204" t="str">
            <v>LB412YA</v>
          </cell>
          <cell r="B204" t="str">
            <v>12 way 400A panel board distribution panel</v>
          </cell>
          <cell r="C204">
            <v>661.42967195364577</v>
          </cell>
          <cell r="D204">
            <v>47.941579477064359</v>
          </cell>
          <cell r="E204">
            <v>694.50115555132811</v>
          </cell>
          <cell r="F204">
            <v>242.1548124</v>
          </cell>
          <cell r="G204">
            <v>312.52551999809765</v>
          </cell>
          <cell r="H204">
            <v>70.370707598097653</v>
          </cell>
          <cell r="I204">
            <v>0.22516787620584072</v>
          </cell>
          <cell r="J204">
            <v>277.80046222053124</v>
          </cell>
          <cell r="K204">
            <v>35.645649820531247</v>
          </cell>
          <cell r="L204">
            <v>0.12831386073157083</v>
          </cell>
        </row>
        <row r="205">
          <cell r="A205" t="str">
            <v>LB418YA</v>
          </cell>
          <cell r="B205" t="str">
            <v>18 way 400A panel board distribution panel</v>
          </cell>
          <cell r="C205">
            <v>995.19530467499999</v>
          </cell>
          <cell r="D205">
            <v>56.404519999999991</v>
          </cell>
          <cell r="E205">
            <v>1044.9550699087499</v>
          </cell>
          <cell r="F205">
            <v>308.93504279999996</v>
          </cell>
          <cell r="G205">
            <v>470.22978145893745</v>
          </cell>
          <cell r="H205">
            <v>161.29473865893749</v>
          </cell>
          <cell r="I205">
            <v>0.34301259728489242</v>
          </cell>
          <cell r="J205">
            <v>417.9820279635</v>
          </cell>
          <cell r="K205">
            <v>109.04698516350004</v>
          </cell>
          <cell r="L205">
            <v>0.26088917194550404</v>
          </cell>
        </row>
        <row r="206">
          <cell r="A206" t="str">
            <v>LB806YA</v>
          </cell>
          <cell r="B206" t="str">
            <v>6 way 800A panel board distribution panel</v>
          </cell>
          <cell r="C206">
            <v>603.28200848519339</v>
          </cell>
          <cell r="D206">
            <v>64.862136939557658</v>
          </cell>
          <cell r="E206">
            <v>633.44610890945307</v>
          </cell>
          <cell r="F206">
            <v>163.43420040000001</v>
          </cell>
          <cell r="G206">
            <v>285.05074900925388</v>
          </cell>
          <cell r="H206">
            <v>121.61654860925387</v>
          </cell>
          <cell r="I206">
            <v>0.42664876002590579</v>
          </cell>
          <cell r="J206">
            <v>253.37844356378125</v>
          </cell>
          <cell r="K206">
            <v>89.944243163781238</v>
          </cell>
          <cell r="L206">
            <v>0.35497985502914409</v>
          </cell>
        </row>
        <row r="207">
          <cell r="A207" t="str">
            <v>LB812YA</v>
          </cell>
          <cell r="B207" t="str">
            <v>12 way 800A panel board distribution panel</v>
          </cell>
          <cell r="C207">
            <v>795.16929793108636</v>
          </cell>
          <cell r="D207">
            <v>176.25580690097186</v>
          </cell>
          <cell r="E207">
            <v>834.92776282764066</v>
          </cell>
          <cell r="F207">
            <v>262.25316600000002</v>
          </cell>
          <cell r="G207">
            <v>375.71749327243833</v>
          </cell>
          <cell r="H207">
            <v>113.46432727243831</v>
          </cell>
          <cell r="I207">
            <v>0.30199373014065023</v>
          </cell>
          <cell r="J207">
            <v>333.97110513105628</v>
          </cell>
          <cell r="K207">
            <v>71.717939131056255</v>
          </cell>
          <cell r="L207">
            <v>0.21474294640823147</v>
          </cell>
        </row>
        <row r="208">
          <cell r="A208" t="str">
            <v>LB818YA</v>
          </cell>
          <cell r="B208" t="str">
            <v>18 way 800A panel board distribution panel</v>
          </cell>
          <cell r="C208">
            <v>1107.3380550448658</v>
          </cell>
          <cell r="D208">
            <v>241.11794384052953</v>
          </cell>
          <cell r="E208">
            <v>1162.704957797109</v>
          </cell>
          <cell r="F208">
            <v>332.86477079999997</v>
          </cell>
          <cell r="G208">
            <v>523.21723100869906</v>
          </cell>
          <cell r="H208">
            <v>190.35246020869909</v>
          </cell>
          <cell r="I208">
            <v>0.36381152784613524</v>
          </cell>
          <cell r="J208">
            <v>465.08198311884365</v>
          </cell>
          <cell r="K208">
            <v>132.21721231884368</v>
          </cell>
          <cell r="L208">
            <v>0.28428796882690222</v>
          </cell>
        </row>
        <row r="209">
          <cell r="A209" t="str">
            <v>LBBP3PYA3</v>
          </cell>
          <cell r="B209" t="str">
            <v xml:space="preserve">3-pole blanking plate MCCB </v>
          </cell>
          <cell r="C209">
            <v>5.3690615675446409</v>
          </cell>
          <cell r="D209">
            <v>8.395998257812499</v>
          </cell>
          <cell r="E209">
            <v>5.6375146459218728</v>
          </cell>
          <cell r="F209">
            <v>0.31002960000000002</v>
          </cell>
          <cell r="G209">
            <v>2.536881590664843</v>
          </cell>
          <cell r="H209">
            <v>2.226851990664843</v>
          </cell>
          <cell r="I209">
            <v>0.87779106398152773</v>
          </cell>
          <cell r="J209">
            <v>2.2550058583687491</v>
          </cell>
          <cell r="K209">
            <v>1.9449762583687491</v>
          </cell>
          <cell r="L209">
            <v>0.86251494697921871</v>
          </cell>
        </row>
        <row r="210">
          <cell r="A210" t="str">
            <v>LBDD06</v>
          </cell>
          <cell r="B210" t="str">
            <v>6 way door kit</v>
          </cell>
          <cell r="C210">
            <v>46.772272660550598</v>
          </cell>
          <cell r="D210">
            <v>9.7766735268749994</v>
          </cell>
          <cell r="E210">
            <v>49.110886293578126</v>
          </cell>
          <cell r="F210">
            <v>10.849702799999999</v>
          </cell>
          <cell r="G210">
            <v>22.099898832110156</v>
          </cell>
          <cell r="H210">
            <v>11.250196032110157</v>
          </cell>
          <cell r="I210">
            <v>0.50906097433188835</v>
          </cell>
          <cell r="J210">
            <v>19.644354517431253</v>
          </cell>
          <cell r="K210">
            <v>8.794651717431254</v>
          </cell>
          <cell r="L210">
            <v>0.44769359612337445</v>
          </cell>
        </row>
        <row r="211">
          <cell r="A211" t="str">
            <v>LBDD12</v>
          </cell>
          <cell r="B211" t="str">
            <v>12 way door kit</v>
          </cell>
          <cell r="C211">
            <v>55.028799999999997</v>
          </cell>
          <cell r="D211">
            <v>11.132471764062499</v>
          </cell>
          <cell r="E211">
            <v>57.780239999999999</v>
          </cell>
          <cell r="F211">
            <v>14.413831200000001</v>
          </cell>
          <cell r="G211">
            <v>26.001107999999999</v>
          </cell>
          <cell r="H211">
            <v>11.587276799999998</v>
          </cell>
          <cell r="I211">
            <v>0.44564550095326699</v>
          </cell>
          <cell r="J211">
            <v>23.112096000000001</v>
          </cell>
          <cell r="K211">
            <v>8.6982648000000005</v>
          </cell>
          <cell r="L211">
            <v>0.37635118857242544</v>
          </cell>
        </row>
        <row r="212">
          <cell r="A212" t="str">
            <v>LBDD18</v>
          </cell>
          <cell r="B212" t="str">
            <v>18 way door kit</v>
          </cell>
          <cell r="C212">
            <v>63.280133599568451</v>
          </cell>
          <cell r="D212">
            <v>47.941579477064359</v>
          </cell>
          <cell r="E212">
            <v>66.444140279546872</v>
          </cell>
          <cell r="F212">
            <v>18.063769199999999</v>
          </cell>
          <cell r="G212">
            <v>29.899863125796092</v>
          </cell>
          <cell r="H212">
            <v>11.836093925796092</v>
          </cell>
          <cell r="I212">
            <v>0.3958577962714655</v>
          </cell>
          <cell r="J212">
            <v>26.577656111818751</v>
          </cell>
          <cell r="K212">
            <v>8.5138869118187515</v>
          </cell>
          <cell r="L212">
            <v>0.32034002080539875</v>
          </cell>
        </row>
        <row r="213">
          <cell r="A213" t="str">
            <v>LBDR4</v>
          </cell>
          <cell r="B213" t="str">
            <v>400A direct connection chamber</v>
          </cell>
          <cell r="C213">
            <v>171.95688478143597</v>
          </cell>
          <cell r="D213">
            <v>64.862136939557658</v>
          </cell>
          <cell r="E213">
            <v>180.55472902050778</v>
          </cell>
          <cell r="F213">
            <v>55.0349808</v>
          </cell>
          <cell r="G213">
            <v>81.249628059228499</v>
          </cell>
          <cell r="H213">
            <v>26.214647259228499</v>
          </cell>
          <cell r="I213">
            <v>0.32264328939596892</v>
          </cell>
          <cell r="J213">
            <v>72.221891608203109</v>
          </cell>
          <cell r="K213">
            <v>17.186910808203109</v>
          </cell>
          <cell r="L213">
            <v>0.23797370057046505</v>
          </cell>
        </row>
        <row r="214">
          <cell r="A214" t="str">
            <v>LBDR8</v>
          </cell>
          <cell r="B214" t="str">
            <v>800A direct connection chamber</v>
          </cell>
          <cell r="C214">
            <v>235.23701838100445</v>
          </cell>
          <cell r="D214">
            <v>101.5233447749598</v>
          </cell>
          <cell r="E214">
            <v>246.99886930005468</v>
          </cell>
          <cell r="F214">
            <v>70.941753599999998</v>
          </cell>
          <cell r="G214">
            <v>111.1494911850246</v>
          </cell>
          <cell r="H214">
            <v>40.207737585024603</v>
          </cell>
          <cell r="I214">
            <v>0.3617446841757731</v>
          </cell>
          <cell r="J214">
            <v>98.799547720021877</v>
          </cell>
          <cell r="K214">
            <v>27.857794120021879</v>
          </cell>
          <cell r="L214">
            <v>0.28196276969774481</v>
          </cell>
        </row>
        <row r="215">
          <cell r="A215" t="str">
            <v>LBIP5</v>
          </cell>
          <cell r="B215" t="str">
            <v>5 module vertical insulation partition kit</v>
          </cell>
          <cell r="C215">
            <v>8.1912178124999997</v>
          </cell>
          <cell r="D215">
            <v>121.26399514786864</v>
          </cell>
          <cell r="E215">
            <v>8.600778703125</v>
          </cell>
          <cell r="F215" t="e">
            <v>#N/A</v>
          </cell>
          <cell r="G215">
            <v>3.8703504164062501</v>
          </cell>
          <cell r="H215" t="e">
            <v>#N/A</v>
          </cell>
          <cell r="I215" t="e">
            <v>#N/A</v>
          </cell>
          <cell r="J215">
            <v>3.4403114812500002</v>
          </cell>
          <cell r="K215" t="e">
            <v>#N/A</v>
          </cell>
          <cell r="L215" t="e">
            <v>#N/A</v>
          </cell>
        </row>
        <row r="216">
          <cell r="A216" t="str">
            <v>LBIP6</v>
          </cell>
          <cell r="B216" t="str">
            <v>6 module vertical insulation partition kit</v>
          </cell>
          <cell r="C216">
            <v>9.5382180749999996</v>
          </cell>
          <cell r="D216">
            <v>36.071696218749999</v>
          </cell>
          <cell r="E216">
            <v>10.015128978749999</v>
          </cell>
          <cell r="F216" t="e">
            <v>#N/A</v>
          </cell>
          <cell r="G216">
            <v>4.5068080404374999</v>
          </cell>
          <cell r="H216" t="e">
            <v>#N/A</v>
          </cell>
          <cell r="I216" t="e">
            <v>#N/A</v>
          </cell>
          <cell r="J216">
            <v>4.0060515914999995</v>
          </cell>
          <cell r="K216" t="e">
            <v>#N/A</v>
          </cell>
          <cell r="L216" t="e">
            <v>#N/A</v>
          </cell>
        </row>
        <row r="217">
          <cell r="A217" t="str">
            <v>LBIP8</v>
          </cell>
          <cell r="B217" t="str">
            <v>8 module vertical insulation partition kit</v>
          </cell>
          <cell r="C217">
            <v>10.8609480625</v>
          </cell>
          <cell r="D217">
            <v>2.913825521406249</v>
          </cell>
          <cell r="E217">
            <v>11.403995465625</v>
          </cell>
          <cell r="F217" t="e">
            <v>#N/A</v>
          </cell>
          <cell r="G217">
            <v>5.1317979595312497</v>
          </cell>
          <cell r="H217" t="e">
            <v>#N/A</v>
          </cell>
          <cell r="I217" t="e">
            <v>#N/A</v>
          </cell>
          <cell r="J217">
            <v>4.5615981862500004</v>
          </cell>
          <cell r="K217" t="e">
            <v>#N/A</v>
          </cell>
          <cell r="L217" t="e">
            <v>#N/A</v>
          </cell>
        </row>
        <row r="218">
          <cell r="A218" t="str">
            <v>LBK4</v>
          </cell>
          <cell r="B218" t="str">
            <v>400A interconnection kit</v>
          </cell>
          <cell r="C218">
            <v>46.772272660550598</v>
          </cell>
          <cell r="D218">
            <v>93.063066043713164</v>
          </cell>
          <cell r="E218">
            <v>49.110886293578126</v>
          </cell>
          <cell r="F218">
            <v>24.070441199999998</v>
          </cell>
          <cell r="G218">
            <v>22.099898832110156</v>
          </cell>
          <cell r="H218">
            <v>-1.9705423678898413</v>
          </cell>
          <cell r="I218">
            <v>-8.9165221201227038E-2</v>
          </cell>
          <cell r="J218">
            <v>19.644354517431253</v>
          </cell>
          <cell r="K218">
            <v>-4.4260866825687444</v>
          </cell>
          <cell r="L218">
            <v>-0.22531087385138024</v>
          </cell>
        </row>
        <row r="219">
          <cell r="A219" t="str">
            <v>LBK8</v>
          </cell>
          <cell r="B219" t="str">
            <v>800A interconnection kit</v>
          </cell>
          <cell r="C219">
            <v>63.280133599568451</v>
          </cell>
          <cell r="D219">
            <v>28.200929104155495</v>
          </cell>
          <cell r="E219">
            <v>66.444140279546872</v>
          </cell>
          <cell r="F219">
            <v>30.187041600000001</v>
          </cell>
          <cell r="G219">
            <v>29.899863125796092</v>
          </cell>
          <cell r="H219">
            <v>-0.28717847420390896</v>
          </cell>
          <cell r="I219">
            <v>-9.6046752119124546E-3</v>
          </cell>
          <cell r="J219">
            <v>26.577656111818751</v>
          </cell>
          <cell r="K219">
            <v>-3.6093854881812497</v>
          </cell>
          <cell r="L219">
            <v>-0.1358052596134014</v>
          </cell>
        </row>
        <row r="220">
          <cell r="A220" t="str">
            <v>LBSK2B</v>
          </cell>
          <cell r="B220" t="str">
            <v>Adaptor kit connections for LB1F2A</v>
          </cell>
          <cell r="C220">
            <v>99.047165634107131</v>
          </cell>
          <cell r="D220">
            <v>33.841114924986599</v>
          </cell>
          <cell r="E220">
            <v>103.99952391581249</v>
          </cell>
          <cell r="F220" t="e">
            <v>#N/A</v>
          </cell>
          <cell r="G220">
            <v>46.799785762115619</v>
          </cell>
          <cell r="H220" t="e">
            <v>#N/A</v>
          </cell>
          <cell r="I220" t="e">
            <v>#N/A</v>
          </cell>
          <cell r="J220">
            <v>41.599809566325</v>
          </cell>
          <cell r="K220" t="e">
            <v>#N/A</v>
          </cell>
          <cell r="L220" t="e">
            <v>#N/A</v>
          </cell>
        </row>
        <row r="221">
          <cell r="A221" t="str">
            <v>LBSK4B</v>
          </cell>
          <cell r="B221" t="str">
            <v>Adaptor kit connections for LB1F4A</v>
          </cell>
          <cell r="C221">
            <v>118.30633672962796</v>
          </cell>
          <cell r="D221">
            <v>23.683304538926706</v>
          </cell>
          <cell r="E221">
            <v>124.22165356610935</v>
          </cell>
          <cell r="F221">
            <v>23.5005588</v>
          </cell>
          <cell r="G221">
            <v>55.89974410474921</v>
          </cell>
          <cell r="H221">
            <v>32.39918530474921</v>
          </cell>
          <cell r="I221">
            <v>0.57959451914551063</v>
          </cell>
          <cell r="J221">
            <v>49.688661426443744</v>
          </cell>
          <cell r="K221">
            <v>26.188102626443744</v>
          </cell>
          <cell r="L221">
            <v>0.52704383403869948</v>
          </cell>
        </row>
        <row r="222">
          <cell r="A222" t="str">
            <v>LBSKE</v>
          </cell>
          <cell r="B222" t="str">
            <v>C/W shield busbar extension</v>
          </cell>
          <cell r="C222">
            <v>35.19189875</v>
          </cell>
          <cell r="D222">
            <v>54.991811753103228</v>
          </cell>
          <cell r="E222">
            <v>36.951493687499998</v>
          </cell>
          <cell r="F222">
            <v>10.7440164</v>
          </cell>
          <cell r="G222">
            <v>16.628172159374998</v>
          </cell>
          <cell r="H222">
            <v>5.8841557593749982</v>
          </cell>
          <cell r="I222">
            <v>0.35386666092806235</v>
          </cell>
          <cell r="J222">
            <v>14.780597475</v>
          </cell>
          <cell r="K222">
            <v>4.0365810750000009</v>
          </cell>
          <cell r="L222">
            <v>0.27309999354407022</v>
          </cell>
        </row>
        <row r="223">
          <cell r="A223" t="str">
            <v>LBYA2BP3P</v>
          </cell>
          <cell r="B223" t="str">
            <v>3-pole blank</v>
          </cell>
          <cell r="C223">
            <v>2.8427566062499992</v>
          </cell>
          <cell r="D223">
            <v>181.79761738771873</v>
          </cell>
          <cell r="E223">
            <v>2.9848944365624992</v>
          </cell>
          <cell r="F223">
            <v>0.27282119999999999</v>
          </cell>
          <cell r="G223">
            <v>1.3432024964531246</v>
          </cell>
          <cell r="H223">
            <v>1.0703812964531245</v>
          </cell>
          <cell r="I223">
            <v>0.79688751270161073</v>
          </cell>
          <cell r="J223">
            <v>1.1939577746249996</v>
          </cell>
          <cell r="K223">
            <v>0.92113657462499965</v>
          </cell>
          <cell r="L223">
            <v>0.77149845178931209</v>
          </cell>
        </row>
        <row r="224">
          <cell r="A224" t="str">
            <v>LCFVK</v>
          </cell>
          <cell r="B224" t="str">
            <v>Busbar connecting kit</v>
          </cell>
          <cell r="C224">
            <v>90.793235164598215</v>
          </cell>
          <cell r="D224">
            <v>111.379678525</v>
          </cell>
          <cell r="E224">
            <v>95.332896922828127</v>
          </cell>
          <cell r="F224">
            <v>24.906600000000001</v>
          </cell>
          <cell r="G224">
            <v>42.89980361527266</v>
          </cell>
          <cell r="H224">
            <v>17.993203615272659</v>
          </cell>
          <cell r="I224">
            <v>0.41942391570452175</v>
          </cell>
          <cell r="J224">
            <v>38.133158769131249</v>
          </cell>
          <cell r="K224">
            <v>13.226558769131248</v>
          </cell>
          <cell r="L224">
            <v>0.34685190516758696</v>
          </cell>
        </row>
        <row r="225">
          <cell r="A225" t="str">
            <v>LD1D06X</v>
          </cell>
          <cell r="B225" t="str">
            <v>6 way door kit</v>
          </cell>
          <cell r="C225">
            <v>27.513101565029753</v>
          </cell>
          <cell r="D225">
            <v>279.18919813113945</v>
          </cell>
          <cell r="E225">
            <v>28.888756643281241</v>
          </cell>
          <cell r="F225" t="e">
            <v>#N/A</v>
          </cell>
          <cell r="G225">
            <v>12.999940489476559</v>
          </cell>
          <cell r="H225" t="e">
            <v>#N/A</v>
          </cell>
          <cell r="I225" t="e">
            <v>#N/A</v>
          </cell>
          <cell r="J225">
            <v>11.555502657312497</v>
          </cell>
          <cell r="K225" t="e">
            <v>#N/A</v>
          </cell>
          <cell r="L225" t="e">
            <v>#N/A</v>
          </cell>
        </row>
        <row r="226">
          <cell r="A226" t="str">
            <v>LD1D12X</v>
          </cell>
          <cell r="B226" t="str">
            <v>12 way door kit</v>
          </cell>
          <cell r="C226">
            <v>33.015721878035706</v>
          </cell>
          <cell r="D226">
            <v>345.46138152590493</v>
          </cell>
          <cell r="E226">
            <v>34.666507971937492</v>
          </cell>
          <cell r="F226">
            <v>10.6182108</v>
          </cell>
          <cell r="G226">
            <v>15.599928587371872</v>
          </cell>
          <cell r="H226">
            <v>4.9817177873718723</v>
          </cell>
          <cell r="I226">
            <v>0.31934234566974673</v>
          </cell>
          <cell r="J226">
            <v>13.866603188774997</v>
          </cell>
          <cell r="K226">
            <v>3.248392388774997</v>
          </cell>
          <cell r="L226">
            <v>0.23426013887846506</v>
          </cell>
        </row>
        <row r="227">
          <cell r="A227" t="str">
            <v>LD1DS</v>
          </cell>
          <cell r="B227" t="str">
            <v>Service centre door kit</v>
          </cell>
          <cell r="C227">
            <v>23.105662964806545</v>
          </cell>
          <cell r="D227">
            <v>445.57467984565693</v>
          </cell>
          <cell r="E227">
            <v>24.26094611304687</v>
          </cell>
          <cell r="F227">
            <v>7.6346303999999998</v>
          </cell>
          <cell r="G227">
            <v>10.917425750871091</v>
          </cell>
          <cell r="H227">
            <v>3.2827953508710914</v>
          </cell>
          <cell r="I227">
            <v>0.3006931694139674</v>
          </cell>
          <cell r="J227">
            <v>9.7043784452187491</v>
          </cell>
          <cell r="K227">
            <v>2.0697480452187493</v>
          </cell>
          <cell r="L227">
            <v>0.21327981559071346</v>
          </cell>
        </row>
        <row r="228">
          <cell r="A228" t="str">
            <v>LD2D12X</v>
          </cell>
          <cell r="B228" t="str">
            <v>2 x 12 way door kit</v>
          </cell>
          <cell r="C228">
            <v>53.65054805180803</v>
          </cell>
          <cell r="D228">
            <v>57.203780362931532</v>
          </cell>
          <cell r="E228">
            <v>56.333075454398433</v>
          </cell>
          <cell r="F228">
            <v>12.514142400000001</v>
          </cell>
          <cell r="G228">
            <v>25.349883954479296</v>
          </cell>
          <cell r="H228">
            <v>12.835741554479295</v>
          </cell>
          <cell r="I228">
            <v>0.50634320762684337</v>
          </cell>
          <cell r="J228">
            <v>22.533230181759375</v>
          </cell>
          <cell r="K228">
            <v>10.019087781759374</v>
          </cell>
          <cell r="L228">
            <v>0.44463610858019881</v>
          </cell>
        </row>
        <row r="229">
          <cell r="A229" t="str">
            <v>LDS17</v>
          </cell>
          <cell r="B229" t="str">
            <v>17 way 1-pole &amp; neutral distribution board</v>
          </cell>
          <cell r="C229">
            <v>177.36352915875</v>
          </cell>
          <cell r="D229">
            <v>65.784347417371279</v>
          </cell>
          <cell r="E229">
            <v>186.23170561668749</v>
          </cell>
          <cell r="F229">
            <v>52.513899600000002</v>
          </cell>
          <cell r="G229">
            <v>83.804267527509367</v>
          </cell>
          <cell r="H229">
            <v>31.290367927509365</v>
          </cell>
          <cell r="I229">
            <v>0.37337439787583693</v>
          </cell>
          <cell r="J229">
            <v>74.492682246675002</v>
          </cell>
          <cell r="K229">
            <v>21.978782646675</v>
          </cell>
          <cell r="L229">
            <v>0.29504619761031664</v>
          </cell>
        </row>
        <row r="230">
          <cell r="A230" t="str">
            <v>LDS24</v>
          </cell>
          <cell r="B230" t="str">
            <v>24 module service centre</v>
          </cell>
          <cell r="C230">
            <v>108.66310100000001</v>
          </cell>
          <cell r="D230">
            <v>75.79500898088429</v>
          </cell>
          <cell r="E230">
            <v>114.09625605000001</v>
          </cell>
          <cell r="F230">
            <v>33.675056400000003</v>
          </cell>
          <cell r="G230">
            <v>51.343315222500003</v>
          </cell>
          <cell r="H230">
            <v>17.6682588225</v>
          </cell>
          <cell r="I230">
            <v>0.34411994523402534</v>
          </cell>
          <cell r="J230">
            <v>45.638502420000009</v>
          </cell>
          <cell r="K230">
            <v>11.963446020000006</v>
          </cell>
          <cell r="L230">
            <v>0.26213493838827862</v>
          </cell>
        </row>
        <row r="231">
          <cell r="A231" t="str">
            <v>LDT106X</v>
          </cell>
          <cell r="B231" t="str">
            <v>6 way 3-pole &amp; neutral distribution board</v>
          </cell>
          <cell r="C231">
            <v>272.37970549379463</v>
          </cell>
          <cell r="D231">
            <v>77.225103489957547</v>
          </cell>
          <cell r="E231">
            <v>285.99869076848438</v>
          </cell>
          <cell r="F231">
            <v>80.476315200000002</v>
          </cell>
          <cell r="G231">
            <v>128.69941084581797</v>
          </cell>
          <cell r="H231">
            <v>48.223095645817963</v>
          </cell>
          <cell r="I231">
            <v>0.37469554311782582</v>
          </cell>
          <cell r="J231">
            <v>114.39947630739375</v>
          </cell>
          <cell r="K231">
            <v>33.923161107393753</v>
          </cell>
          <cell r="L231">
            <v>0.29653248600755405</v>
          </cell>
        </row>
        <row r="232">
          <cell r="A232" t="str">
            <v>LDT112X</v>
          </cell>
          <cell r="B232" t="str">
            <v>12 way 3-pole &amp; neutral distribution board</v>
          </cell>
          <cell r="C232">
            <v>337.03549417161457</v>
          </cell>
          <cell r="D232">
            <v>94.386237598837042</v>
          </cell>
          <cell r="E232">
            <v>353.88726888019528</v>
          </cell>
          <cell r="F232">
            <v>101.0803152</v>
          </cell>
          <cell r="G232">
            <v>159.24927099608789</v>
          </cell>
          <cell r="H232">
            <v>58.168955796087886</v>
          </cell>
          <cell r="I232">
            <v>0.36526984037193405</v>
          </cell>
          <cell r="J232">
            <v>141.55490755207811</v>
          </cell>
          <cell r="K232">
            <v>40.474592352078105</v>
          </cell>
          <cell r="L232">
            <v>0.28592857041842568</v>
          </cell>
        </row>
        <row r="233">
          <cell r="A233" t="str">
            <v>LDT212X</v>
          </cell>
          <cell r="B233" t="str">
            <v>2 x 12 way 3-pole &amp; neutral distribution board</v>
          </cell>
          <cell r="C233">
            <v>434.70700472747023</v>
          </cell>
          <cell r="D233">
            <v>102.96680465327677</v>
          </cell>
          <cell r="E233">
            <v>456.44235496384374</v>
          </cell>
          <cell r="F233">
            <v>153.4326552</v>
          </cell>
          <cell r="G233">
            <v>205.3990597337297</v>
          </cell>
          <cell r="H233">
            <v>51.966404533729701</v>
          </cell>
          <cell r="I233">
            <v>0.25300215395872144</v>
          </cell>
          <cell r="J233">
            <v>182.5769419855375</v>
          </cell>
          <cell r="K233">
            <v>29.144286785537503</v>
          </cell>
          <cell r="L233">
            <v>0.15962742320356157</v>
          </cell>
        </row>
        <row r="234">
          <cell r="A234" t="str">
            <v>LECM1</v>
          </cell>
          <cell r="B234" t="str">
            <v>1 module cableway</v>
          </cell>
          <cell r="C234">
            <v>55.808566207738082</v>
          </cell>
          <cell r="D234">
            <v>122.9881277803028</v>
          </cell>
          <cell r="E234">
            <v>58.598994518124982</v>
          </cell>
          <cell r="F234">
            <v>11.320079999999999</v>
          </cell>
          <cell r="G234">
            <v>26.369547533156243</v>
          </cell>
          <cell r="H234">
            <v>15.049467533156244</v>
          </cell>
          <cell r="I234">
            <v>0.57071390831539737</v>
          </cell>
          <cell r="J234">
            <v>23.439597807249996</v>
          </cell>
          <cell r="K234">
            <v>12.119517807249997</v>
          </cell>
          <cell r="L234">
            <v>0.51705314685482207</v>
          </cell>
        </row>
        <row r="235">
          <cell r="A235" t="str">
            <v>LECM2</v>
          </cell>
          <cell r="B235" t="str">
            <v>2 module cableway</v>
          </cell>
          <cell r="C235">
            <v>64.179851138898812</v>
          </cell>
          <cell r="D235">
            <v>774.98199999999997</v>
          </cell>
          <cell r="E235">
            <v>67.388843695843747</v>
          </cell>
          <cell r="F235">
            <v>13.574399999999999</v>
          </cell>
          <cell r="G235">
            <v>30.324979663129685</v>
          </cell>
          <cell r="H235">
            <v>16.750579663129685</v>
          </cell>
          <cell r="I235">
            <v>0.55236903203914445</v>
          </cell>
          <cell r="J235">
            <v>26.955537478337501</v>
          </cell>
          <cell r="K235">
            <v>13.381137478337502</v>
          </cell>
          <cell r="L235">
            <v>0.4964151610440376</v>
          </cell>
        </row>
        <row r="236">
          <cell r="A236" t="str">
            <v>LECM3</v>
          </cell>
          <cell r="B236" t="str">
            <v>3 module cableway</v>
          </cell>
          <cell r="C236">
            <v>73.946350225252971</v>
          </cell>
          <cell r="D236">
            <v>815.49</v>
          </cell>
          <cell r="E236">
            <v>77.643667736515624</v>
          </cell>
          <cell r="F236">
            <v>16.931640000000002</v>
          </cell>
          <cell r="G236">
            <v>34.939650481432032</v>
          </cell>
          <cell r="H236">
            <v>18.008010481432031</v>
          </cell>
          <cell r="I236">
            <v>0.51540328060814522</v>
          </cell>
          <cell r="J236">
            <v>31.057467094606253</v>
          </cell>
          <cell r="K236">
            <v>14.125827094606251</v>
          </cell>
          <cell r="L236">
            <v>0.45482869068416343</v>
          </cell>
        </row>
        <row r="237">
          <cell r="A237" t="str">
            <v>LECM4</v>
          </cell>
          <cell r="B237" t="str">
            <v>4 module cableway</v>
          </cell>
          <cell r="C237">
            <v>75.3415643804464</v>
          </cell>
          <cell r="D237">
            <v>85.805670544397316</v>
          </cell>
          <cell r="E237">
            <v>79.108642599468723</v>
          </cell>
          <cell r="F237">
            <v>19.258680000000002</v>
          </cell>
          <cell r="G237">
            <v>35.598889169760923</v>
          </cell>
          <cell r="H237">
            <v>16.340209169760922</v>
          </cell>
          <cell r="I237">
            <v>0.45900896210101211</v>
          </cell>
          <cell r="J237">
            <v>31.643457039787492</v>
          </cell>
          <cell r="K237">
            <v>12.38477703978749</v>
          </cell>
          <cell r="L237">
            <v>0.39138508236363867</v>
          </cell>
        </row>
        <row r="238">
          <cell r="A238" t="str">
            <v>LECM5</v>
          </cell>
          <cell r="B238" t="str">
            <v xml:space="preserve">5 module cableway </v>
          </cell>
          <cell r="C238">
            <v>92.08413424276786</v>
          </cell>
          <cell r="D238">
            <v>102.96680465327677</v>
          </cell>
          <cell r="E238">
            <v>96.688340954906252</v>
          </cell>
          <cell r="F238">
            <v>22.300799999999999</v>
          </cell>
          <cell r="G238">
            <v>43.509753429707814</v>
          </cell>
          <cell r="H238">
            <v>21.208953429707815</v>
          </cell>
          <cell r="I238">
            <v>0.48745285270283001</v>
          </cell>
          <cell r="J238">
            <v>38.675336381962502</v>
          </cell>
          <cell r="K238">
            <v>16.374536381962503</v>
          </cell>
          <cell r="L238">
            <v>0.42338445929068375</v>
          </cell>
        </row>
        <row r="239">
          <cell r="A239" t="str">
            <v>LECM6</v>
          </cell>
          <cell r="B239" t="str">
            <v>6 module cableway</v>
          </cell>
          <cell r="C239">
            <v>100.45541917392856</v>
          </cell>
          <cell r="D239">
            <v>143.00945090732881</v>
          </cell>
          <cell r="E239">
            <v>105.47819013262499</v>
          </cell>
          <cell r="F239">
            <v>23.779440000000001</v>
          </cell>
          <cell r="G239">
            <v>47.465185559681245</v>
          </cell>
          <cell r="H239">
            <v>23.685745559681244</v>
          </cell>
          <cell r="I239">
            <v>0.49901301934023889</v>
          </cell>
          <cell r="J239">
            <v>42.191276053049997</v>
          </cell>
          <cell r="K239">
            <v>18.411836053049996</v>
          </cell>
          <cell r="L239">
            <v>0.43638964675776876</v>
          </cell>
        </row>
        <row r="240">
          <cell r="A240" t="str">
            <v>LECM8</v>
          </cell>
          <cell r="B240" t="str">
            <v xml:space="preserve">8 module cableway </v>
          </cell>
          <cell r="C240">
            <v>119.98841734663689</v>
          </cell>
          <cell r="D240">
            <v>160.17058501620832</v>
          </cell>
          <cell r="E240">
            <v>125.98783821396874</v>
          </cell>
          <cell r="F240">
            <v>29.548559999999998</v>
          </cell>
          <cell r="G240">
            <v>56.694527196285932</v>
          </cell>
          <cell r="H240">
            <v>27.145967196285934</v>
          </cell>
          <cell r="I240">
            <v>0.47881106940537765</v>
          </cell>
          <cell r="J240">
            <v>50.3951352855875</v>
          </cell>
          <cell r="K240">
            <v>20.846575285587502</v>
          </cell>
          <cell r="L240">
            <v>0.41366245308104993</v>
          </cell>
        </row>
        <row r="241">
          <cell r="A241" t="str">
            <v>LECK2SM</v>
          </cell>
          <cell r="B241" t="str">
            <v>Cableway mounting plate for DSP3 units</v>
          </cell>
          <cell r="C241">
            <v>756.08</v>
          </cell>
          <cell r="D241">
            <v>188.77247519767408</v>
          </cell>
          <cell r="E241">
            <v>793.88400000000001</v>
          </cell>
          <cell r="F241" t="e">
            <v>#N/A</v>
          </cell>
          <cell r="G241">
            <v>357.24780000000004</v>
          </cell>
          <cell r="H241" t="e">
            <v>#N/A</v>
          </cell>
          <cell r="I241" t="e">
            <v>#N/A</v>
          </cell>
          <cell r="J241">
            <v>317.55360000000002</v>
          </cell>
          <cell r="K241" t="e">
            <v>#N/A</v>
          </cell>
          <cell r="L241" t="e">
            <v>#N/A</v>
          </cell>
        </row>
        <row r="242">
          <cell r="A242" t="str">
            <v>LECK2SP</v>
          </cell>
          <cell r="B242" t="str">
            <v>2 module surge protection enclosure included unit</v>
          </cell>
          <cell r="C242">
            <v>795.6</v>
          </cell>
          <cell r="D242">
            <v>207.36370381562682</v>
          </cell>
          <cell r="E242">
            <v>835.38</v>
          </cell>
          <cell r="F242" t="e">
            <v>#N/A</v>
          </cell>
          <cell r="G242">
            <v>375.92099999999999</v>
          </cell>
          <cell r="H242" t="e">
            <v>#N/A</v>
          </cell>
          <cell r="I242" t="e">
            <v>#N/A</v>
          </cell>
          <cell r="J242">
            <v>334.15200000000004</v>
          </cell>
          <cell r="K242" t="e">
            <v>#N/A</v>
          </cell>
          <cell r="L242" t="e">
            <v>#N/A</v>
          </cell>
        </row>
        <row r="243">
          <cell r="A243" t="str">
            <v>LEBM1</v>
          </cell>
          <cell r="B243" t="str">
            <v>1 module general purpose enclosure</v>
          </cell>
          <cell r="C243">
            <v>83.712849311607144</v>
          </cell>
          <cell r="D243">
            <v>533.78644936174999</v>
          </cell>
          <cell r="E243">
            <v>87.898491777187502</v>
          </cell>
          <cell r="F243">
            <v>27.245760000000001</v>
          </cell>
          <cell r="G243">
            <v>39.554321299734376</v>
          </cell>
          <cell r="H243">
            <v>12.308561299734375</v>
          </cell>
          <cell r="I243">
            <v>0.31118120334975974</v>
          </cell>
          <cell r="J243">
            <v>35.159396710875001</v>
          </cell>
          <cell r="K243">
            <v>7.9136367108750001</v>
          </cell>
          <cell r="L243">
            <v>0.22507885376847969</v>
          </cell>
        </row>
        <row r="244">
          <cell r="A244" t="str">
            <v>LEBM2</v>
          </cell>
          <cell r="B244" t="str">
            <v>2 module general purpose enclosure</v>
          </cell>
          <cell r="C244">
            <v>100.45541917392856</v>
          </cell>
          <cell r="D244">
            <v>344.05133507069706</v>
          </cell>
          <cell r="E244">
            <v>105.47819013262499</v>
          </cell>
          <cell r="F244">
            <v>35.30556</v>
          </cell>
          <cell r="G244">
            <v>47.465185559681245</v>
          </cell>
          <cell r="H244">
            <v>12.159625559681245</v>
          </cell>
          <cell r="I244">
            <v>0.25617988039659323</v>
          </cell>
          <cell r="J244">
            <v>42.191276053049997</v>
          </cell>
          <cell r="K244">
            <v>6.8857160530499968</v>
          </cell>
          <cell r="L244">
            <v>0.1632023654461674</v>
          </cell>
        </row>
        <row r="245">
          <cell r="A245" t="str">
            <v>LEBM3</v>
          </cell>
          <cell r="B245" t="str">
            <v>3 module general purpose enclosure</v>
          </cell>
          <cell r="C245">
            <v>139.5214155193452</v>
          </cell>
          <cell r="D245">
            <v>520.30714197166901</v>
          </cell>
          <cell r="E245">
            <v>146.49748629531246</v>
          </cell>
          <cell r="F245">
            <v>40.226279999999996</v>
          </cell>
          <cell r="G245">
            <v>65.923868832890605</v>
          </cell>
          <cell r="H245">
            <v>25.697588832890609</v>
          </cell>
          <cell r="I245">
            <v>0.38980704997807442</v>
          </cell>
          <cell r="J245">
            <v>58.598994518124982</v>
          </cell>
          <cell r="K245">
            <v>18.372714518124987</v>
          </cell>
          <cell r="L245">
            <v>0.31353293122533371</v>
          </cell>
        </row>
        <row r="246">
          <cell r="A246" t="str">
            <v>LEBM4</v>
          </cell>
          <cell r="B246" t="str">
            <v>4 module general purpose enclosure</v>
          </cell>
          <cell r="C246">
            <v>156.26398538166666</v>
          </cell>
          <cell r="D246">
            <v>1125.4977440099215</v>
          </cell>
          <cell r="E246">
            <v>164.07718465074998</v>
          </cell>
          <cell r="F246">
            <v>47.789159999999995</v>
          </cell>
          <cell r="G246">
            <v>73.834733092837496</v>
          </cell>
          <cell r="H246">
            <v>26.0455730928375</v>
          </cell>
          <cell r="I246">
            <v>0.35275502465876873</v>
          </cell>
          <cell r="J246">
            <v>65.630873860299999</v>
          </cell>
          <cell r="K246">
            <v>17.841713860300004</v>
          </cell>
          <cell r="L246">
            <v>0.27184940274111491</v>
          </cell>
        </row>
        <row r="247">
          <cell r="A247" t="str">
            <v>LEBM5</v>
          </cell>
          <cell r="B247" t="str">
            <v>5 module general purpose enclosure</v>
          </cell>
          <cell r="C247">
            <v>184.16826848553572</v>
          </cell>
          <cell r="D247">
            <v>1030.8591562500001</v>
          </cell>
          <cell r="E247">
            <v>193.3766819098125</v>
          </cell>
          <cell r="F247">
            <v>53.861279999999994</v>
          </cell>
          <cell r="G247">
            <v>87.019506859415628</v>
          </cell>
          <cell r="H247">
            <v>33.158226859415635</v>
          </cell>
          <cell r="I247">
            <v>0.38104360799222192</v>
          </cell>
          <cell r="J247">
            <v>77.350672763925004</v>
          </cell>
          <cell r="K247">
            <v>23.489392763925011</v>
          </cell>
          <cell r="L247">
            <v>0.30367405899124966</v>
          </cell>
        </row>
        <row r="248">
          <cell r="A248" t="str">
            <v>LEBM6</v>
          </cell>
          <cell r="B248" t="str">
            <v>6 module general purpose enclosure</v>
          </cell>
          <cell r="C248">
            <v>202.30605250305058</v>
          </cell>
          <cell r="D248">
            <v>1754.2047132324215</v>
          </cell>
          <cell r="E248">
            <v>212.42135512820312</v>
          </cell>
          <cell r="F248">
            <v>60.430319999999995</v>
          </cell>
          <cell r="G248">
            <v>95.589609807691403</v>
          </cell>
          <cell r="H248">
            <v>35.159289807691408</v>
          </cell>
          <cell r="I248">
            <v>0.36781497359833765</v>
          </cell>
          <cell r="J248">
            <v>84.968542051281247</v>
          </cell>
          <cell r="K248">
            <v>24.538222051281252</v>
          </cell>
          <cell r="L248">
            <v>0.28879184529812985</v>
          </cell>
        </row>
        <row r="249">
          <cell r="A249" t="str">
            <v>LEM1630</v>
          </cell>
          <cell r="B249" t="str">
            <v>Meter housing c/w Integra 1630</v>
          </cell>
          <cell r="C249">
            <v>520.76726767000002</v>
          </cell>
          <cell r="D249">
            <v>1547.4457031249999</v>
          </cell>
          <cell r="E249">
            <v>546.80563105350006</v>
          </cell>
          <cell r="F249">
            <v>77.477000000000004</v>
          </cell>
          <cell r="G249">
            <v>246.06253397407502</v>
          </cell>
          <cell r="H249">
            <v>168.58553397407502</v>
          </cell>
          <cell r="I249">
            <v>0.68513288573967568</v>
          </cell>
          <cell r="J249">
            <v>218.72225242140004</v>
          </cell>
          <cell r="K249">
            <v>141.24525242140004</v>
          </cell>
          <cell r="L249">
            <v>0.64577449645713525</v>
          </cell>
        </row>
        <row r="250">
          <cell r="A250" t="str">
            <v>LF1F4A</v>
          </cell>
          <cell r="B250" t="str">
            <v>400A incoming unit for fuse switch boards excluding switch fuse</v>
          </cell>
          <cell r="C250">
            <v>335.65983909336302</v>
          </cell>
          <cell r="D250">
            <v>20.727682891554291</v>
          </cell>
          <cell r="E250">
            <v>352.44283104803117</v>
          </cell>
          <cell r="F250">
            <v>127.537548</v>
          </cell>
          <cell r="G250">
            <v>158.59927397161402</v>
          </cell>
          <cell r="H250">
            <v>31.061725971614024</v>
          </cell>
          <cell r="I250">
            <v>0.19585036673732459</v>
          </cell>
          <cell r="J250">
            <v>140.97713241921247</v>
          </cell>
          <cell r="K250">
            <v>13.439584419212466</v>
          </cell>
          <cell r="L250">
            <v>9.5331662579490162E-2</v>
          </cell>
        </row>
        <row r="251">
          <cell r="A251" t="str">
            <v>LF1F8A</v>
          </cell>
          <cell r="B251" t="str">
            <v>800A incoming unit for fuse switch boards excluding switch fuse</v>
          </cell>
          <cell r="C251">
            <v>507.61672387479905</v>
          </cell>
          <cell r="D251">
            <v>20.461358717187498</v>
          </cell>
          <cell r="E251">
            <v>532.99756006853897</v>
          </cell>
          <cell r="F251">
            <v>164.9359896</v>
          </cell>
          <cell r="G251">
            <v>239.84890203084254</v>
          </cell>
          <cell r="H251">
            <v>74.912912430842539</v>
          </cell>
          <cell r="I251">
            <v>0.31233377262327167</v>
          </cell>
          <cell r="J251">
            <v>213.19902402741559</v>
          </cell>
          <cell r="K251">
            <v>48.26303442741559</v>
          </cell>
          <cell r="L251">
            <v>0.22637549420118064</v>
          </cell>
        </row>
        <row r="252">
          <cell r="A252" t="str">
            <v>LF806A</v>
          </cell>
          <cell r="B252" t="str">
            <v>6 way 800A fuse switch panelboard</v>
          </cell>
          <cell r="C252">
            <v>1098.0465795218747</v>
          </cell>
          <cell r="D252">
            <v>25.169329225458785</v>
          </cell>
          <cell r="E252">
            <v>1152.9489084979684</v>
          </cell>
          <cell r="F252">
            <v>307.96616999999998</v>
          </cell>
          <cell r="G252">
            <v>518.82700882408585</v>
          </cell>
          <cell r="H252">
            <v>210.86083882408587</v>
          </cell>
          <cell r="I252">
            <v>0.40641839233080601</v>
          </cell>
          <cell r="J252">
            <v>461.17956339918737</v>
          </cell>
          <cell r="K252">
            <v>153.2133933991874</v>
          </cell>
          <cell r="L252">
            <v>0.33222069137215671</v>
          </cell>
        </row>
        <row r="253">
          <cell r="A253" t="str">
            <v>LF806YA</v>
          </cell>
          <cell r="B253" t="str">
            <v>6 way form 4 MCCB panelboard</v>
          </cell>
          <cell r="C253">
            <v>1005.7162500000001</v>
          </cell>
          <cell r="D253">
            <v>23.4963566059375</v>
          </cell>
          <cell r="E253">
            <v>1056.0020625</v>
          </cell>
          <cell r="F253">
            <v>230.33466119999997</v>
          </cell>
          <cell r="G253">
            <v>475.20092812500002</v>
          </cell>
          <cell r="H253">
            <v>244.86626692500005</v>
          </cell>
          <cell r="I253">
            <v>0.51528995932556088</v>
          </cell>
          <cell r="J253">
            <v>422.400825</v>
          </cell>
          <cell r="K253">
            <v>192.06616380000003</v>
          </cell>
          <cell r="L253">
            <v>0.45470120424125599</v>
          </cell>
        </row>
        <row r="254">
          <cell r="A254" t="str">
            <v>LF810A</v>
          </cell>
          <cell r="B254" t="str">
            <v>10 way 800A fuse switch panelboard</v>
          </cell>
          <cell r="C254">
            <v>1711.4192324218748</v>
          </cell>
          <cell r="D254">
            <v>5.9221951118726555</v>
          </cell>
          <cell r="E254">
            <v>1796.9901940429686</v>
          </cell>
          <cell r="F254">
            <v>424.38858719999996</v>
          </cell>
          <cell r="G254">
            <v>808.64558731933585</v>
          </cell>
          <cell r="H254">
            <v>384.25700011933588</v>
          </cell>
          <cell r="I254">
            <v>0.47518592340700178</v>
          </cell>
          <cell r="J254">
            <v>718.79607761718751</v>
          </cell>
          <cell r="K254">
            <v>294.40749041718755</v>
          </cell>
          <cell r="L254">
            <v>0.40958416383287705</v>
          </cell>
        </row>
        <row r="255">
          <cell r="A255" t="str">
            <v>LF810YA</v>
          </cell>
          <cell r="B255" t="str">
            <v>10 way form 4 MCCB panelboard</v>
          </cell>
          <cell r="C255">
            <v>1509.703125</v>
          </cell>
          <cell r="D255">
            <v>23.8943891159375</v>
          </cell>
          <cell r="E255">
            <v>1585.18828125</v>
          </cell>
          <cell r="F255">
            <v>367.6748652</v>
          </cell>
          <cell r="G255">
            <v>713.33472656250001</v>
          </cell>
          <cell r="H255">
            <v>345.65986136250001</v>
          </cell>
          <cell r="I255">
            <v>0.48456895268257272</v>
          </cell>
          <cell r="J255">
            <v>634.07531250000011</v>
          </cell>
          <cell r="K255">
            <v>266.40044730000011</v>
          </cell>
          <cell r="L255">
            <v>0.42014007176789442</v>
          </cell>
        </row>
        <row r="256">
          <cell r="A256" t="str">
            <v>LFS41A</v>
          </cell>
          <cell r="B256" t="str">
            <v>Switch form 4 shield up to 70mm cables</v>
          </cell>
          <cell r="C256">
            <v>20.222129650296871</v>
          </cell>
          <cell r="D256">
            <v>100.28553474609375</v>
          </cell>
          <cell r="E256">
            <v>21.233236132811715</v>
          </cell>
          <cell r="F256">
            <v>5.0090748000000005</v>
          </cell>
          <cell r="G256">
            <v>9.5549562597652713</v>
          </cell>
          <cell r="H256">
            <v>4.5458814597652708</v>
          </cell>
          <cell r="I256">
            <v>0.47576161901519221</v>
          </cell>
          <cell r="J256">
            <v>8.4932944531246868</v>
          </cell>
          <cell r="K256">
            <v>3.4842196531246863</v>
          </cell>
          <cell r="L256">
            <v>0.4102318213920913</v>
          </cell>
        </row>
        <row r="257">
          <cell r="A257" t="str">
            <v>LFS41YA</v>
          </cell>
          <cell r="B257" t="str">
            <v>Form 4 shield up to 70mm cables</v>
          </cell>
          <cell r="C257">
            <v>19.9623011875</v>
          </cell>
          <cell r="D257">
            <v>422.53638639687495</v>
          </cell>
          <cell r="E257">
            <v>20.960416246874999</v>
          </cell>
          <cell r="F257">
            <v>5.2720788000000001</v>
          </cell>
          <cell r="G257">
            <v>9.4321873110937506</v>
          </cell>
          <cell r="H257">
            <v>4.1601085110937506</v>
          </cell>
          <cell r="I257">
            <v>0.44105448438251454</v>
          </cell>
          <cell r="J257">
            <v>8.38416649875</v>
          </cell>
          <cell r="K257">
            <v>3.1120876987499999</v>
          </cell>
          <cell r="L257">
            <v>0.37118629493032884</v>
          </cell>
        </row>
        <row r="258">
          <cell r="A258" t="str">
            <v>LFS42A</v>
          </cell>
          <cell r="B258" t="str">
            <v>Switch form 4 shield up to 150mm cables</v>
          </cell>
          <cell r="C258">
            <v>24.555443146789059</v>
          </cell>
          <cell r="D258">
            <v>113.87262583907624</v>
          </cell>
          <cell r="E258">
            <v>25.783215304128511</v>
          </cell>
          <cell r="F258">
            <v>7.5272472000000006</v>
          </cell>
          <cell r="G258">
            <v>11.60244688685783</v>
          </cell>
          <cell r="H258">
            <v>4.0751996868578297</v>
          </cell>
          <cell r="I258">
            <v>0.35123622858156206</v>
          </cell>
          <cell r="J258">
            <v>10.313286121651405</v>
          </cell>
          <cell r="K258">
            <v>2.7860389216514045</v>
          </cell>
          <cell r="L258">
            <v>0.27014075715425734</v>
          </cell>
        </row>
        <row r="259">
          <cell r="A259" t="str">
            <v>LFS42YA</v>
          </cell>
          <cell r="B259" t="str">
            <v>Form 4 shield up to 150mm cables</v>
          </cell>
          <cell r="C259">
            <v>22.923274737500002</v>
          </cell>
          <cell r="D259">
            <v>164.63512169504997</v>
          </cell>
          <cell r="E259">
            <v>24.069438474375001</v>
          </cell>
          <cell r="F259">
            <v>7.0414776000000003</v>
          </cell>
          <cell r="G259">
            <v>10.831247313468751</v>
          </cell>
          <cell r="H259">
            <v>3.7897697134687505</v>
          </cell>
          <cell r="I259">
            <v>0.34989227037186554</v>
          </cell>
          <cell r="J259">
            <v>9.6277753897500009</v>
          </cell>
          <cell r="K259">
            <v>2.5862977897500006</v>
          </cell>
          <cell r="L259">
            <v>0.26862880416834878</v>
          </cell>
        </row>
        <row r="260">
          <cell r="A260" t="str">
            <v>LFXHBA</v>
          </cell>
          <cell r="B260" t="str">
            <v>For switch handle cover plate</v>
          </cell>
          <cell r="C260">
            <v>5.7777513286562501</v>
          </cell>
          <cell r="D260">
            <v>102.89695105940623</v>
          </cell>
          <cell r="E260">
            <v>6.0666388950890626</v>
          </cell>
          <cell r="F260">
            <v>1.2639947999999999</v>
          </cell>
          <cell r="G260">
            <v>2.7299875027900784</v>
          </cell>
          <cell r="H260">
            <v>1.4659927027900785</v>
          </cell>
          <cell r="I260">
            <v>0.53699612225030968</v>
          </cell>
          <cell r="J260">
            <v>2.426655558035625</v>
          </cell>
          <cell r="K260">
            <v>1.1626607580356252</v>
          </cell>
          <cell r="L260">
            <v>0.47912063753159834</v>
          </cell>
        </row>
        <row r="261">
          <cell r="A261" t="str">
            <v>LGES</v>
          </cell>
          <cell r="B261" t="str">
            <v>Steel end plate</v>
          </cell>
          <cell r="C261">
            <v>23.311599137500004</v>
          </cell>
          <cell r="D261">
            <v>150.91552822046245</v>
          </cell>
          <cell r="E261">
            <v>24.477179094375003</v>
          </cell>
          <cell r="F261">
            <v>4.6756536000000004</v>
          </cell>
          <cell r="G261">
            <v>11.014730592468752</v>
          </cell>
          <cell r="H261">
            <v>6.3390769924687511</v>
          </cell>
          <cell r="I261">
            <v>0.57550903667158715</v>
          </cell>
          <cell r="J261">
            <v>9.7908716377500014</v>
          </cell>
          <cell r="K261">
            <v>5.1152180377500009</v>
          </cell>
          <cell r="L261">
            <v>0.52244766625553551</v>
          </cell>
        </row>
        <row r="262">
          <cell r="A262" t="str">
            <v>LLGPYA3</v>
          </cell>
          <cell r="B262" t="str">
            <v>YA3 MCCB enclosure</v>
          </cell>
          <cell r="C262">
            <v>97.839546093750002</v>
          </cell>
          <cell r="D262">
            <v>137.19593474587498</v>
          </cell>
          <cell r="E262">
            <v>102.7315233984375</v>
          </cell>
          <cell r="F262">
            <v>18.365435999999999</v>
          </cell>
          <cell r="G262">
            <v>46.229185529296878</v>
          </cell>
          <cell r="H262">
            <v>27.863749529296879</v>
          </cell>
          <cell r="I262">
            <v>0.60273070378102922</v>
          </cell>
          <cell r="J262">
            <v>41.092609359375004</v>
          </cell>
          <cell r="K262">
            <v>22.727173359375005</v>
          </cell>
          <cell r="L262">
            <v>0.55307204175365787</v>
          </cell>
        </row>
        <row r="263">
          <cell r="A263" t="str">
            <v>LLGPYA56</v>
          </cell>
          <cell r="B263" t="str">
            <v>Y5/Y6 MCCB enclosure</v>
          </cell>
          <cell r="C263">
            <v>412.230620875</v>
          </cell>
          <cell r="D263">
            <v>19.768397793749998</v>
          </cell>
          <cell r="E263">
            <v>432.84215191875001</v>
          </cell>
          <cell r="F263">
            <v>82.779599999999988</v>
          </cell>
          <cell r="G263">
            <v>194.77896836343751</v>
          </cell>
          <cell r="H263">
            <v>111.99936836343753</v>
          </cell>
          <cell r="I263">
            <v>0.57500750365644315</v>
          </cell>
          <cell r="J263">
            <v>173.13686076750002</v>
          </cell>
          <cell r="K263">
            <v>90.357260767500037</v>
          </cell>
          <cell r="L263">
            <v>0.52188344161349864</v>
          </cell>
        </row>
        <row r="264">
          <cell r="A264" t="str">
            <v>LLM100/30/2</v>
          </cell>
          <cell r="B264" t="str">
            <v xml:space="preserve">100A 30mA 2-pole RCCB </v>
          </cell>
          <cell r="C264">
            <v>111.09524472104999</v>
          </cell>
          <cell r="D264">
            <v>20.378533528125001</v>
          </cell>
          <cell r="E264">
            <v>116.65000695710249</v>
          </cell>
          <cell r="F264">
            <v>16.440999999999999</v>
          </cell>
          <cell r="G264">
            <v>52.492503130696122</v>
          </cell>
          <cell r="H264">
            <v>36.051503130696119</v>
          </cell>
          <cell r="I264">
            <v>0.68679337011105923</v>
          </cell>
          <cell r="J264">
            <v>46.660002782840998</v>
          </cell>
          <cell r="K264">
            <v>30.219002782840999</v>
          </cell>
          <cell r="L264">
            <v>0.64764254137494182</v>
          </cell>
        </row>
        <row r="265">
          <cell r="A265" t="str">
            <v>LLM100/30/4</v>
          </cell>
          <cell r="B265" t="str">
            <v xml:space="preserve">100A 30mA 4-pole RCCB </v>
          </cell>
          <cell r="C265">
            <v>160.619630922</v>
          </cell>
          <cell r="D265">
            <v>19.768397793749998</v>
          </cell>
          <cell r="E265">
            <v>168.65061246810001</v>
          </cell>
          <cell r="F265">
            <v>39.694000000000003</v>
          </cell>
          <cell r="G265">
            <v>75.892775610645003</v>
          </cell>
          <cell r="H265">
            <v>36.198775610645001</v>
          </cell>
          <cell r="I265">
            <v>0.47697261457871393</v>
          </cell>
          <cell r="J265">
            <v>67.460244987240003</v>
          </cell>
          <cell r="K265">
            <v>27.76624498724</v>
          </cell>
          <cell r="L265">
            <v>0.41159419140105319</v>
          </cell>
        </row>
        <row r="266">
          <cell r="A266" t="str">
            <v>LLM100/100/2</v>
          </cell>
          <cell r="B266" t="str">
            <v xml:space="preserve">100A 100mA 2-pole RCCB </v>
          </cell>
          <cell r="C266">
            <v>100.38726932624999</v>
          </cell>
          <cell r="D266">
            <v>20.378533528125001</v>
          </cell>
          <cell r="E266">
            <v>105.40663279256249</v>
          </cell>
          <cell r="F266">
            <v>16.934000000000001</v>
          </cell>
          <cell r="G266">
            <v>47.43298475665312</v>
          </cell>
          <cell r="H266">
            <v>30.498984756653119</v>
          </cell>
          <cell r="I266">
            <v>0.64299105175697846</v>
          </cell>
          <cell r="J266">
            <v>42.162653117025002</v>
          </cell>
          <cell r="K266">
            <v>25.228653117025001</v>
          </cell>
          <cell r="L266">
            <v>0.59836493322660089</v>
          </cell>
        </row>
        <row r="267">
          <cell r="A267" t="str">
            <v>LLM100/100/4</v>
          </cell>
          <cell r="B267" t="str">
            <v xml:space="preserve">100A 100mA 4-pole RCCB </v>
          </cell>
          <cell r="C267">
            <v>147.23466167849998</v>
          </cell>
          <cell r="D267">
            <v>61.001370722812496</v>
          </cell>
          <cell r="E267">
            <v>154.59639476242498</v>
          </cell>
          <cell r="F267">
            <v>33.112000000000002</v>
          </cell>
          <cell r="G267">
            <v>69.568377643091239</v>
          </cell>
          <cell r="H267">
            <v>36.456377643091237</v>
          </cell>
          <cell r="I267">
            <v>0.52403662235914861</v>
          </cell>
          <cell r="J267">
            <v>61.838557904969996</v>
          </cell>
          <cell r="K267">
            <v>28.726557904969994</v>
          </cell>
          <cell r="L267">
            <v>0.46454120015404216</v>
          </cell>
        </row>
        <row r="268">
          <cell r="A268" t="str">
            <v>LLM100/300/4</v>
          </cell>
          <cell r="B268" t="str">
            <v xml:space="preserve">100A 300mA 4-pole RCCB </v>
          </cell>
          <cell r="C268">
            <v>133.84969243499998</v>
          </cell>
          <cell r="D268">
            <v>28.932636524062495</v>
          </cell>
          <cell r="E268">
            <v>140.54217705674998</v>
          </cell>
          <cell r="F268">
            <v>30.138999999999999</v>
          </cell>
          <cell r="G268">
            <v>63.243979675537489</v>
          </cell>
          <cell r="H268">
            <v>33.104979675537493</v>
          </cell>
          <cell r="I268">
            <v>0.52344871156712425</v>
          </cell>
          <cell r="J268">
            <v>56.216870822699995</v>
          </cell>
          <cell r="K268">
            <v>26.077870822699996</v>
          </cell>
          <cell r="L268">
            <v>0.46387980051301481</v>
          </cell>
        </row>
        <row r="269">
          <cell r="A269" t="str">
            <v>LLM1P16CO</v>
          </cell>
          <cell r="B269" t="str">
            <v>16A control switch 1 N/O contact</v>
          </cell>
          <cell r="C269">
            <v>19.286241749999999</v>
          </cell>
          <cell r="D269">
            <v>31.275557744062496</v>
          </cell>
          <cell r="E269">
            <v>20.2505538375</v>
          </cell>
          <cell r="F269" t="e">
            <v>#N/A</v>
          </cell>
          <cell r="G269">
            <v>9.1127492268749997</v>
          </cell>
          <cell r="H269" t="e">
            <v>#N/A</v>
          </cell>
          <cell r="I269" t="e">
            <v>#N/A</v>
          </cell>
          <cell r="J269">
            <v>8.1002215350000011</v>
          </cell>
          <cell r="K269" t="e">
            <v>#N/A</v>
          </cell>
          <cell r="L269" t="e">
            <v>#N/A</v>
          </cell>
        </row>
        <row r="270">
          <cell r="A270" t="str">
            <v>LLM1P16NON</v>
          </cell>
          <cell r="B270" t="str">
            <v>16A control switch 1 N/O contact with neon</v>
          </cell>
          <cell r="C270">
            <v>19.881496125000002</v>
          </cell>
          <cell r="D270">
            <v>27.243269999999999</v>
          </cell>
          <cell r="E270">
            <v>20.875570931250003</v>
          </cell>
          <cell r="F270" t="e">
            <v>#N/A</v>
          </cell>
          <cell r="G270">
            <v>9.3940069190625017</v>
          </cell>
          <cell r="H270" t="e">
            <v>#N/A</v>
          </cell>
          <cell r="I270" t="e">
            <v>#N/A</v>
          </cell>
          <cell r="J270">
            <v>8.3502283725000019</v>
          </cell>
          <cell r="K270" t="e">
            <v>#N/A</v>
          </cell>
          <cell r="L270" t="e">
            <v>#N/A</v>
          </cell>
        </row>
        <row r="271">
          <cell r="A271" t="str">
            <v>LLM1P32CO</v>
          </cell>
          <cell r="B271" t="str">
            <v>32A control switch 1 N/O contact</v>
          </cell>
          <cell r="C271">
            <v>19.286241749999999</v>
          </cell>
          <cell r="D271">
            <v>27.243269999999999</v>
          </cell>
          <cell r="E271">
            <v>20.2505538375</v>
          </cell>
          <cell r="F271" t="e">
            <v>#N/A</v>
          </cell>
          <cell r="G271">
            <v>9.1127492268749997</v>
          </cell>
          <cell r="H271" t="e">
            <v>#N/A</v>
          </cell>
          <cell r="I271" t="e">
            <v>#N/A</v>
          </cell>
          <cell r="J271">
            <v>8.1002215350000011</v>
          </cell>
          <cell r="K271" t="e">
            <v>#N/A</v>
          </cell>
          <cell r="L271" t="e">
            <v>#N/A</v>
          </cell>
        </row>
        <row r="272">
          <cell r="A272" t="str">
            <v>LLM1P32NON</v>
          </cell>
          <cell r="B272" t="str">
            <v>32A control switch 1 N/O contact with neon</v>
          </cell>
          <cell r="C272">
            <v>19.881496125000002</v>
          </cell>
          <cell r="D272">
            <v>28.932636524062495</v>
          </cell>
          <cell r="E272">
            <v>20.875570931250003</v>
          </cell>
          <cell r="F272" t="e">
            <v>#N/A</v>
          </cell>
          <cell r="G272">
            <v>9.3940069190625017</v>
          </cell>
          <cell r="H272" t="e">
            <v>#N/A</v>
          </cell>
          <cell r="I272" t="e">
            <v>#N/A</v>
          </cell>
          <cell r="J272">
            <v>8.3502283725000019</v>
          </cell>
          <cell r="K272" t="e">
            <v>#N/A</v>
          </cell>
          <cell r="L272" t="e">
            <v>#N/A</v>
          </cell>
        </row>
        <row r="273">
          <cell r="A273" t="str">
            <v>LLM25/30/2</v>
          </cell>
          <cell r="B273" t="str">
            <v xml:space="preserve">25A 30mA 2-pole RCCB </v>
          </cell>
          <cell r="C273">
            <v>59.513532412499998</v>
          </cell>
          <cell r="D273">
            <v>31.275557744062496</v>
          </cell>
          <cell r="E273">
            <v>62.489209033125</v>
          </cell>
          <cell r="F273">
            <v>9.8360000000000003</v>
          </cell>
          <cell r="G273">
            <v>28.120144064906249</v>
          </cell>
          <cell r="H273">
            <v>18.284144064906251</v>
          </cell>
          <cell r="I273">
            <v>0.65021516329017459</v>
          </cell>
          <cell r="J273">
            <v>24.995683613250002</v>
          </cell>
          <cell r="K273">
            <v>15.159683613250001</v>
          </cell>
          <cell r="L273">
            <v>0.6064920587014464</v>
          </cell>
        </row>
        <row r="274">
          <cell r="A274" t="str">
            <v>LLM2P16CO</v>
          </cell>
          <cell r="B274" t="str">
            <v>16A control switch 2 N/O contacts</v>
          </cell>
          <cell r="C274">
            <v>28.226962462499998</v>
          </cell>
          <cell r="D274">
            <v>39.061008717187491</v>
          </cell>
          <cell r="E274">
            <v>29.638310585624996</v>
          </cell>
          <cell r="F274" t="e">
            <v>#N/A</v>
          </cell>
          <cell r="G274">
            <v>13.337239763531249</v>
          </cell>
          <cell r="H274" t="e">
            <v>#N/A</v>
          </cell>
          <cell r="I274" t="e">
            <v>#N/A</v>
          </cell>
          <cell r="J274">
            <v>11.855324234249998</v>
          </cell>
          <cell r="K274" t="e">
            <v>#N/A</v>
          </cell>
          <cell r="L274" t="e">
            <v>#N/A</v>
          </cell>
        </row>
        <row r="275">
          <cell r="A275" t="str">
            <v>LLM2P16NON</v>
          </cell>
          <cell r="B275" t="str">
            <v>16A control switch 2 N/O contacts with neon</v>
          </cell>
          <cell r="C275">
            <v>30.512739262499998</v>
          </cell>
          <cell r="D275">
            <v>39.061008717187491</v>
          </cell>
          <cell r="E275">
            <v>32.038376225625001</v>
          </cell>
          <cell r="F275" t="e">
            <v>#N/A</v>
          </cell>
          <cell r="G275">
            <v>14.417269301531251</v>
          </cell>
          <cell r="H275" t="e">
            <v>#N/A</v>
          </cell>
          <cell r="I275" t="e">
            <v>#N/A</v>
          </cell>
          <cell r="J275">
            <v>12.815350490250001</v>
          </cell>
          <cell r="K275" t="e">
            <v>#N/A</v>
          </cell>
          <cell r="L275" t="e">
            <v>#N/A</v>
          </cell>
        </row>
        <row r="276">
          <cell r="A276" t="str">
            <v>LLM2P20CC</v>
          </cell>
          <cell r="B276" t="str">
            <v>20A contactor 2 N/C contacts</v>
          </cell>
          <cell r="C276">
            <v>26.578800000000001</v>
          </cell>
          <cell r="D276">
            <v>55.553342062499993</v>
          </cell>
          <cell r="E276">
            <v>27.90774</v>
          </cell>
          <cell r="F276">
            <v>8.4550000000000001</v>
          </cell>
          <cell r="G276">
            <v>12.558483000000001</v>
          </cell>
          <cell r="H276">
            <v>4.1034830000000007</v>
          </cell>
          <cell r="I276">
            <v>0.32674989487185679</v>
          </cell>
          <cell r="J276">
            <v>11.163096000000001</v>
          </cell>
          <cell r="K276">
            <v>2.7080960000000012</v>
          </cell>
          <cell r="L276">
            <v>0.24259363173083889</v>
          </cell>
        </row>
        <row r="277">
          <cell r="A277" t="str">
            <v>LLM2P20CO</v>
          </cell>
          <cell r="B277" t="str">
            <v>20A contactor 2 N/O contacts</v>
          </cell>
          <cell r="C277">
            <v>26.578800000000001</v>
          </cell>
          <cell r="D277">
            <v>31.849085334374998</v>
          </cell>
          <cell r="E277">
            <v>27.90774</v>
          </cell>
          <cell r="F277">
            <v>8.4550000000000001</v>
          </cell>
          <cell r="G277">
            <v>12.558483000000001</v>
          </cell>
          <cell r="H277">
            <v>4.1034830000000007</v>
          </cell>
          <cell r="I277">
            <v>0.32674989487185679</v>
          </cell>
          <cell r="J277">
            <v>11.163096000000001</v>
          </cell>
          <cell r="K277">
            <v>2.7080960000000012</v>
          </cell>
          <cell r="L277">
            <v>0.24259363173083889</v>
          </cell>
        </row>
        <row r="278">
          <cell r="A278" t="str">
            <v>LLM2P32CO</v>
          </cell>
          <cell r="B278" t="str">
            <v>32A control switch 2 N/O contacts</v>
          </cell>
          <cell r="C278">
            <v>28.226962462499998</v>
          </cell>
          <cell r="D278">
            <v>49.823684069062487</v>
          </cell>
          <cell r="E278">
            <v>29.638310585624996</v>
          </cell>
          <cell r="F278" t="e">
            <v>#N/A</v>
          </cell>
          <cell r="G278">
            <v>13.337239763531249</v>
          </cell>
          <cell r="H278" t="e">
            <v>#N/A</v>
          </cell>
          <cell r="I278" t="e">
            <v>#N/A</v>
          </cell>
          <cell r="J278">
            <v>11.855324234249998</v>
          </cell>
          <cell r="K278" t="e">
            <v>#N/A</v>
          </cell>
          <cell r="L278" t="e">
            <v>#N/A</v>
          </cell>
        </row>
        <row r="279">
          <cell r="A279" t="str">
            <v>LLM2P32NON</v>
          </cell>
          <cell r="B279" t="str">
            <v>32A control switch 2 N/O contacts with neon</v>
          </cell>
          <cell r="C279">
            <v>30.512739262499998</v>
          </cell>
          <cell r="D279">
            <v>68.597967372937489</v>
          </cell>
          <cell r="E279">
            <v>32.038376225625001</v>
          </cell>
          <cell r="F279" t="e">
            <v>#N/A</v>
          </cell>
          <cell r="G279">
            <v>14.417269301531251</v>
          </cell>
          <cell r="H279" t="e">
            <v>#N/A</v>
          </cell>
          <cell r="I279" t="e">
            <v>#N/A</v>
          </cell>
          <cell r="J279">
            <v>12.815350490250001</v>
          </cell>
          <cell r="K279" t="e">
            <v>#N/A</v>
          </cell>
          <cell r="L279" t="e">
            <v>#N/A</v>
          </cell>
        </row>
        <row r="280">
          <cell r="A280" t="str">
            <v>LLM2P40CC</v>
          </cell>
          <cell r="B280" t="str">
            <v>40A contactor 2 N/C contacts</v>
          </cell>
          <cell r="C280">
            <v>38.108301187499997</v>
          </cell>
          <cell r="D280">
            <v>83.429960318437494</v>
          </cell>
          <cell r="E280">
            <v>40.013716246874999</v>
          </cell>
          <cell r="F280">
            <v>16.992999999999999</v>
          </cell>
          <cell r="G280">
            <v>18.006172311093749</v>
          </cell>
          <cell r="H280">
            <v>1.0131723110937507</v>
          </cell>
          <cell r="I280">
            <v>5.6268055952653911E-2</v>
          </cell>
          <cell r="J280">
            <v>16.005486498749999</v>
          </cell>
          <cell r="K280">
            <v>-0.98751350124999959</v>
          </cell>
          <cell r="L280">
            <v>-6.1698437053264374E-2</v>
          </cell>
        </row>
        <row r="281">
          <cell r="A281" t="str">
            <v>LLM2P40CO</v>
          </cell>
          <cell r="B281" t="str">
            <v>40A contactor 2 N/O contacts</v>
          </cell>
          <cell r="C281">
            <v>38.108301187499997</v>
          </cell>
          <cell r="D281">
            <v>64.482089330561237</v>
          </cell>
          <cell r="E281">
            <v>40.013716246874999</v>
          </cell>
          <cell r="F281">
            <v>16.847000000000001</v>
          </cell>
          <cell r="G281">
            <v>18.006172311093749</v>
          </cell>
          <cell r="H281">
            <v>1.159172311093748</v>
          </cell>
          <cell r="I281">
            <v>6.4376386667119284E-2</v>
          </cell>
          <cell r="J281">
            <v>16.005486498749999</v>
          </cell>
          <cell r="K281">
            <v>-0.84151350125000235</v>
          </cell>
          <cell r="L281">
            <v>-5.2576564999490837E-2</v>
          </cell>
        </row>
        <row r="282">
          <cell r="A282" t="str">
            <v>LLM2P63CO</v>
          </cell>
          <cell r="B282" t="str">
            <v>63A contactor 2 N/O contacts</v>
          </cell>
          <cell r="C282">
            <v>54.198382500000001</v>
          </cell>
          <cell r="D282">
            <v>73.696464947953118</v>
          </cell>
          <cell r="E282">
            <v>56.908301625</v>
          </cell>
          <cell r="F282">
            <v>24.652000000000001</v>
          </cell>
          <cell r="G282">
            <v>25.60873573125</v>
          </cell>
          <cell r="H282">
            <v>0.95673573124999933</v>
          </cell>
          <cell r="I282">
            <v>3.7359740882581226E-2</v>
          </cell>
          <cell r="J282">
            <v>22.763320650000001</v>
          </cell>
          <cell r="K282">
            <v>-1.8886793500000003</v>
          </cell>
          <cell r="L282">
            <v>-8.2970291507096103E-2</v>
          </cell>
        </row>
        <row r="283">
          <cell r="A283" t="str">
            <v>LLM3P24CO</v>
          </cell>
          <cell r="B283" t="str">
            <v>24A contactor 3 N/O contacts</v>
          </cell>
          <cell r="C283">
            <v>31.072278375</v>
          </cell>
          <cell r="D283">
            <v>71.605529786250003</v>
          </cell>
          <cell r="E283">
            <v>32.625892293749999</v>
          </cell>
          <cell r="F283">
            <v>10.124000000000001</v>
          </cell>
          <cell r="G283">
            <v>14.6816515321875</v>
          </cell>
          <cell r="H283">
            <v>4.5576515321874993</v>
          </cell>
          <cell r="I283">
            <v>0.31043180136754206</v>
          </cell>
          <cell r="J283">
            <v>13.0503569175</v>
          </cell>
          <cell r="K283">
            <v>2.9263569174999997</v>
          </cell>
          <cell r="L283">
            <v>0.22423577653848484</v>
          </cell>
        </row>
        <row r="284">
          <cell r="A284" t="str">
            <v>LLM3P40CO</v>
          </cell>
          <cell r="B284" t="str">
            <v>40A contactor 3 N/O contacts</v>
          </cell>
          <cell r="C284">
            <v>48.608472262499994</v>
          </cell>
          <cell r="D284">
            <v>34.167601124999997</v>
          </cell>
          <cell r="E284">
            <v>51.038895875624995</v>
          </cell>
          <cell r="F284">
            <v>18.047000000000001</v>
          </cell>
          <cell r="G284">
            <v>22.967503144031248</v>
          </cell>
          <cell r="H284">
            <v>4.9205031440312474</v>
          </cell>
          <cell r="I284">
            <v>0.21423761708768846</v>
          </cell>
          <cell r="J284">
            <v>20.415558350249999</v>
          </cell>
          <cell r="K284">
            <v>2.3685583502499981</v>
          </cell>
          <cell r="L284">
            <v>0.11601731922364954</v>
          </cell>
        </row>
        <row r="285">
          <cell r="A285" t="str">
            <v>LLM40/30/2</v>
          </cell>
          <cell r="B285" t="str">
            <v xml:space="preserve">40A 30mA 2-pole RCCB </v>
          </cell>
          <cell r="C285">
            <v>66.92484621749999</v>
          </cell>
          <cell r="D285">
            <v>34.167601124999997</v>
          </cell>
          <cell r="E285">
            <v>70.271088528374989</v>
          </cell>
          <cell r="F285">
            <v>10.311999999999999</v>
          </cell>
          <cell r="G285">
            <v>31.621989837768744</v>
          </cell>
          <cell r="H285">
            <v>21.309989837768747</v>
          </cell>
          <cell r="I285">
            <v>0.6738978143720884</v>
          </cell>
          <cell r="J285">
            <v>28.108435411349998</v>
          </cell>
          <cell r="K285">
            <v>17.796435411349997</v>
          </cell>
          <cell r="L285">
            <v>0.63313504116859931</v>
          </cell>
        </row>
        <row r="286">
          <cell r="A286" t="str">
            <v>LLM40/30/4</v>
          </cell>
          <cell r="B286" t="str">
            <v xml:space="preserve">40A 30mA 4-pole RCCB </v>
          </cell>
          <cell r="C286">
            <v>81.395083237500003</v>
          </cell>
          <cell r="D286">
            <v>56.132487562500003</v>
          </cell>
          <cell r="E286">
            <v>85.464837399375</v>
          </cell>
          <cell r="F286">
            <v>13.084</v>
          </cell>
          <cell r="G286">
            <v>38.45917682971875</v>
          </cell>
          <cell r="H286">
            <v>25.37517682971875</v>
          </cell>
          <cell r="I286">
            <v>0.65979511059400686</v>
          </cell>
          <cell r="J286">
            <v>34.18593495975</v>
          </cell>
          <cell r="K286">
            <v>21.10193495975</v>
          </cell>
          <cell r="L286">
            <v>0.61726949941825782</v>
          </cell>
        </row>
        <row r="287">
          <cell r="A287" t="str">
            <v>LLM40/100/2</v>
          </cell>
          <cell r="B287" t="str">
            <v xml:space="preserve">40A 100mA 2-pole RCCB </v>
          </cell>
          <cell r="C287">
            <v>62.909355444449993</v>
          </cell>
          <cell r="D287">
            <v>69.851988281249987</v>
          </cell>
          <cell r="E287">
            <v>66.054823216672489</v>
          </cell>
          <cell r="F287">
            <v>10.260999999999999</v>
          </cell>
          <cell r="G287">
            <v>29.724670447502621</v>
          </cell>
          <cell r="H287">
            <v>19.463670447502622</v>
          </cell>
          <cell r="I287">
            <v>0.65479852777099168</v>
          </cell>
          <cell r="J287">
            <v>26.421929286668998</v>
          </cell>
          <cell r="K287">
            <v>16.160929286668999</v>
          </cell>
          <cell r="L287">
            <v>0.61164834374236576</v>
          </cell>
        </row>
        <row r="288">
          <cell r="A288" t="str">
            <v>LLM40/100/4</v>
          </cell>
          <cell r="B288" t="str">
            <v>40A 100mA 4-pole RCCB</v>
          </cell>
          <cell r="C288">
            <v>71.898990193125002</v>
          </cell>
          <cell r="D288">
            <v>95.376417997499985</v>
          </cell>
          <cell r="E288">
            <v>75.493939702781248</v>
          </cell>
          <cell r="F288">
            <v>12.227</v>
          </cell>
          <cell r="G288">
            <v>33.972272866251565</v>
          </cell>
          <cell r="H288">
            <v>21.745272866251565</v>
          </cell>
          <cell r="I288">
            <v>0.64008884397762977</v>
          </cell>
          <cell r="J288">
            <v>30.197575881112499</v>
          </cell>
          <cell r="K288">
            <v>17.970575881112499</v>
          </cell>
          <cell r="L288">
            <v>0.59509994947483347</v>
          </cell>
        </row>
        <row r="289">
          <cell r="A289" t="str">
            <v>LLM40/300/4</v>
          </cell>
          <cell r="B289" t="str">
            <v xml:space="preserve">40A 300mA 4-pole RCCB </v>
          </cell>
          <cell r="C289">
            <v>69.859053450000005</v>
          </cell>
          <cell r="D289">
            <v>77.609265412499994</v>
          </cell>
          <cell r="E289">
            <v>73.352006122500001</v>
          </cell>
          <cell r="F289" t="e">
            <v>#N/A</v>
          </cell>
          <cell r="G289">
            <v>33.008402755125005</v>
          </cell>
          <cell r="H289" t="e">
            <v>#N/A</v>
          </cell>
          <cell r="I289" t="e">
            <v>#N/A</v>
          </cell>
          <cell r="J289">
            <v>29.340802449000002</v>
          </cell>
          <cell r="K289" t="e">
            <v>#N/A</v>
          </cell>
          <cell r="L289" t="e">
            <v>#N/A</v>
          </cell>
        </row>
        <row r="290">
          <cell r="A290" t="str">
            <v>LLM4P24CC</v>
          </cell>
          <cell r="B290" t="str">
            <v>24A contactor 4 N/C contacts</v>
          </cell>
          <cell r="C290">
            <v>33.334245000000003</v>
          </cell>
          <cell r="D290">
            <v>112.50066649161748</v>
          </cell>
          <cell r="E290">
            <v>35.000957250000006</v>
          </cell>
          <cell r="F290">
            <v>10.648</v>
          </cell>
          <cell r="G290">
            <v>15.750430762500002</v>
          </cell>
          <cell r="H290">
            <v>5.1024307625000027</v>
          </cell>
          <cell r="I290">
            <v>0.32395499776731912</v>
          </cell>
          <cell r="J290">
            <v>14.000382900000004</v>
          </cell>
          <cell r="K290">
            <v>3.3523829000000038</v>
          </cell>
          <cell r="L290">
            <v>0.23944937248823409</v>
          </cell>
        </row>
        <row r="291">
          <cell r="A291" t="str">
            <v>LLM4P24CO</v>
          </cell>
          <cell r="B291" t="str">
            <v>24A contactor 4 N/O contacts</v>
          </cell>
          <cell r="C291">
            <v>33.334245000000003</v>
          </cell>
          <cell r="D291">
            <v>78.201682805148735</v>
          </cell>
          <cell r="E291">
            <v>35.000957250000006</v>
          </cell>
          <cell r="F291">
            <v>10.332000000000001</v>
          </cell>
          <cell r="G291">
            <v>15.750430762500002</v>
          </cell>
          <cell r="H291">
            <v>5.4184307625000017</v>
          </cell>
          <cell r="I291">
            <v>0.34401794110931072</v>
          </cell>
          <cell r="J291">
            <v>14.000382900000004</v>
          </cell>
          <cell r="K291">
            <v>3.6683829000000028</v>
          </cell>
          <cell r="L291">
            <v>0.26202018374797464</v>
          </cell>
        </row>
        <row r="292">
          <cell r="A292" t="str">
            <v>LLM4P24COC</v>
          </cell>
          <cell r="B292" t="str">
            <v>40A contactor 2 N/O + 2 N/C contacts</v>
          </cell>
          <cell r="C292">
            <v>54.763402500000005</v>
          </cell>
          <cell r="D292">
            <v>82.317560847524987</v>
          </cell>
          <cell r="E292">
            <v>57.501572625000009</v>
          </cell>
          <cell r="F292">
            <v>13.861000000000001</v>
          </cell>
          <cell r="G292">
            <v>25.875707681250006</v>
          </cell>
          <cell r="H292">
            <v>12.014707681250005</v>
          </cell>
          <cell r="I292">
            <v>0.46432382948722495</v>
          </cell>
          <cell r="J292">
            <v>23.000629050000004</v>
          </cell>
          <cell r="K292">
            <v>9.1396290500000035</v>
          </cell>
          <cell r="L292">
            <v>0.39736430817312807</v>
          </cell>
        </row>
        <row r="293">
          <cell r="A293" t="str">
            <v>LLM4P40CO</v>
          </cell>
          <cell r="B293" t="str">
            <v>40A contactor 4 N/O contacts</v>
          </cell>
          <cell r="C293">
            <v>68.148281249999997</v>
          </cell>
          <cell r="D293">
            <v>69.969926720396245</v>
          </cell>
          <cell r="E293">
            <v>71.555695312499992</v>
          </cell>
          <cell r="F293">
            <v>19.553999999999998</v>
          </cell>
          <cell r="G293">
            <v>32.200062890624999</v>
          </cell>
          <cell r="H293">
            <v>12.646062890625</v>
          </cell>
          <cell r="I293">
            <v>0.39273410532085895</v>
          </cell>
          <cell r="J293">
            <v>28.622278124999998</v>
          </cell>
          <cell r="K293">
            <v>9.0682781249999991</v>
          </cell>
          <cell r="L293">
            <v>0.31682586848596628</v>
          </cell>
        </row>
        <row r="294">
          <cell r="A294" t="str">
            <v>LLM4P63CO</v>
          </cell>
          <cell r="B294" t="str">
            <v>63A contactor 4 N/O contacts</v>
          </cell>
          <cell r="C294">
            <v>93.050163899999987</v>
          </cell>
          <cell r="D294">
            <v>78.201682805148735</v>
          </cell>
          <cell r="E294">
            <v>97.702672094999983</v>
          </cell>
          <cell r="F294">
            <v>27.756</v>
          </cell>
          <cell r="G294">
            <v>43.966202442749996</v>
          </cell>
          <cell r="H294">
            <v>16.210202442749996</v>
          </cell>
          <cell r="I294">
            <v>0.36869689766492558</v>
          </cell>
          <cell r="J294">
            <v>39.081068837999993</v>
          </cell>
          <cell r="K294">
            <v>11.325068837999993</v>
          </cell>
          <cell r="L294">
            <v>0.2897840098730412</v>
          </cell>
        </row>
        <row r="295">
          <cell r="A295" t="str">
            <v>LLM63/30/2</v>
          </cell>
          <cell r="B295" t="str">
            <v>63A 30mA 2-pole RCCB</v>
          </cell>
          <cell r="C295">
            <v>75.716356500000003</v>
          </cell>
          <cell r="D295">
            <v>98.231853234374995</v>
          </cell>
          <cell r="E295">
            <v>79.502174324999999</v>
          </cell>
          <cell r="F295">
            <v>13.161</v>
          </cell>
          <cell r="G295">
            <v>35.775978446250001</v>
          </cell>
          <cell r="H295">
            <v>22.614978446249999</v>
          </cell>
          <cell r="I295">
            <v>0.63212746173320877</v>
          </cell>
          <cell r="J295">
            <v>31.800869730000002</v>
          </cell>
          <cell r="K295">
            <v>18.639869730000001</v>
          </cell>
          <cell r="L295">
            <v>0.58614339444985986</v>
          </cell>
        </row>
        <row r="296">
          <cell r="A296" t="str">
            <v>LLM63/30/4</v>
          </cell>
          <cell r="B296" t="str">
            <v xml:space="preserve">63A 30mA 4-pole RCCB </v>
          </cell>
          <cell r="C296">
            <v>109.75674779669998</v>
          </cell>
          <cell r="D296">
            <v>65.467564298437495</v>
          </cell>
          <cell r="E296">
            <v>115.24458518653498</v>
          </cell>
          <cell r="F296">
            <v>18.823</v>
          </cell>
          <cell r="G296">
            <v>51.860063333940744</v>
          </cell>
          <cell r="H296">
            <v>33.037063333940743</v>
          </cell>
          <cell r="I296">
            <v>0.63704247951272841</v>
          </cell>
          <cell r="J296">
            <v>46.097834074613992</v>
          </cell>
          <cell r="K296">
            <v>27.274834074613992</v>
          </cell>
          <cell r="L296">
            <v>0.59167278945181945</v>
          </cell>
        </row>
        <row r="297">
          <cell r="A297" t="str">
            <v>LLM63/100/2</v>
          </cell>
          <cell r="B297" t="str">
            <v xml:space="preserve">63A 100mA 2-pole RCCB </v>
          </cell>
          <cell r="C297">
            <v>76.294324687949995</v>
          </cell>
          <cell r="D297">
            <v>73.742814925907794</v>
          </cell>
          <cell r="E297">
            <v>80.109040922347489</v>
          </cell>
          <cell r="F297">
            <v>12.66</v>
          </cell>
          <cell r="G297">
            <v>36.049068415056368</v>
          </cell>
          <cell r="H297">
            <v>23.389068415056368</v>
          </cell>
          <cell r="I297">
            <v>0.648812006617281</v>
          </cell>
          <cell r="J297">
            <v>32.043616368938999</v>
          </cell>
          <cell r="K297">
            <v>19.383616368938998</v>
          </cell>
          <cell r="L297">
            <v>0.60491350744444117</v>
          </cell>
        </row>
        <row r="298">
          <cell r="A298" t="str">
            <v>LLM63/100/4</v>
          </cell>
          <cell r="B298" t="str">
            <v xml:space="preserve">63A 100mA 4-pole RCCB </v>
          </cell>
          <cell r="C298">
            <v>80.309815460999999</v>
          </cell>
          <cell r="D298">
            <v>111.71219214965625</v>
          </cell>
          <cell r="E298">
            <v>84.325306234050004</v>
          </cell>
          <cell r="F298">
            <v>14.429</v>
          </cell>
          <cell r="G298">
            <v>37.946387805322502</v>
          </cell>
          <cell r="H298">
            <v>23.5173878053225</v>
          </cell>
          <cell r="I298">
            <v>0.61975300326277338</v>
          </cell>
          <cell r="J298">
            <v>33.730122493620001</v>
          </cell>
          <cell r="K298">
            <v>19.301122493619999</v>
          </cell>
          <cell r="L298">
            <v>0.57222212867062006</v>
          </cell>
        </row>
        <row r="299">
          <cell r="A299" t="str">
            <v>LLM63/300/2</v>
          </cell>
          <cell r="B299" t="str">
            <v xml:space="preserve">63A 300mA 2-pole RCCB </v>
          </cell>
          <cell r="C299">
            <v>68.263343141850001</v>
          </cell>
          <cell r="D299">
            <v>69.318246030353336</v>
          </cell>
          <cell r="E299">
            <v>71.676510298942503</v>
          </cell>
          <cell r="F299">
            <v>12.137</v>
          </cell>
          <cell r="G299">
            <v>32.254429634524129</v>
          </cell>
          <cell r="H299">
            <v>20.117429634524129</v>
          </cell>
          <cell r="I299">
            <v>0.62371059920994742</v>
          </cell>
          <cell r="J299">
            <v>28.670604119577003</v>
          </cell>
          <cell r="K299">
            <v>16.533604119577003</v>
          </cell>
          <cell r="L299">
            <v>0.57667442411119085</v>
          </cell>
        </row>
        <row r="300">
          <cell r="A300" t="str">
            <v>LLM63/300/4</v>
          </cell>
          <cell r="B300" t="str">
            <v xml:space="preserve">63A 300mA 4-pole RCCB </v>
          </cell>
          <cell r="C300">
            <v>76.294324687949995</v>
          </cell>
          <cell r="D300">
            <v>117.07742072988279</v>
          </cell>
          <cell r="E300">
            <v>80.109040922347489</v>
          </cell>
          <cell r="F300">
            <v>16.466999999999999</v>
          </cell>
          <cell r="G300">
            <v>36.049068415056368</v>
          </cell>
          <cell r="H300">
            <v>19.582068415056369</v>
          </cell>
          <cell r="I300">
            <v>0.54320594889152973</v>
          </cell>
          <cell r="J300">
            <v>32.043616368938999</v>
          </cell>
          <cell r="K300">
            <v>15.576616368939</v>
          </cell>
          <cell r="L300">
            <v>0.48610669250297106</v>
          </cell>
        </row>
        <row r="301">
          <cell r="A301" t="str">
            <v>LLM80/30/2</v>
          </cell>
          <cell r="B301" t="str">
            <v xml:space="preserve">80A 30mA 2-pole RCCB </v>
          </cell>
          <cell r="C301">
            <v>95.835954375</v>
          </cell>
          <cell r="D301">
            <v>77.291994830625001</v>
          </cell>
          <cell r="E301">
            <v>100.62775209375</v>
          </cell>
          <cell r="F301">
            <v>13.192</v>
          </cell>
          <cell r="G301">
            <v>45.2824884421875</v>
          </cell>
          <cell r="H301">
            <v>32.0904884421875</v>
          </cell>
          <cell r="I301">
            <v>0.70867325419091476</v>
          </cell>
          <cell r="J301">
            <v>40.251100837500005</v>
          </cell>
          <cell r="K301">
            <v>27.059100837500004</v>
          </cell>
          <cell r="L301">
            <v>0.67225741096477909</v>
          </cell>
        </row>
        <row r="302">
          <cell r="A302" t="str">
            <v>LLMA25/30/2</v>
          </cell>
          <cell r="B302" t="str">
            <v xml:space="preserve">25A 30mA 2-pole type A RCCB </v>
          </cell>
          <cell r="C302">
            <v>63.870794437500003</v>
          </cell>
          <cell r="D302">
            <v>88.491377911089359</v>
          </cell>
          <cell r="E302">
            <v>67.064334159375008</v>
          </cell>
          <cell r="F302" t="e">
            <v>#N/A</v>
          </cell>
          <cell r="G302">
            <v>30.178950371718756</v>
          </cell>
          <cell r="H302" t="e">
            <v>#N/A</v>
          </cell>
          <cell r="I302" t="e">
            <v>#N/A</v>
          </cell>
          <cell r="J302">
            <v>26.825733663750004</v>
          </cell>
          <cell r="K302" t="e">
            <v>#N/A</v>
          </cell>
          <cell r="L302" t="e">
            <v>#N/A</v>
          </cell>
        </row>
        <row r="303">
          <cell r="A303" t="str">
            <v>LLMA40/30/2</v>
          </cell>
          <cell r="B303" t="str">
            <v xml:space="preserve">40A 30mA 2-pole type A RCCB </v>
          </cell>
          <cell r="C303">
            <v>71.944209683812488</v>
          </cell>
          <cell r="D303">
            <v>120.9382164784888</v>
          </cell>
          <cell r="E303">
            <v>75.541420168003114</v>
          </cell>
          <cell r="F303" t="e">
            <v>#N/A</v>
          </cell>
          <cell r="G303">
            <v>33.993639075601401</v>
          </cell>
          <cell r="H303" t="e">
            <v>#N/A</v>
          </cell>
          <cell r="I303" t="e">
            <v>#N/A</v>
          </cell>
          <cell r="J303">
            <v>30.216568067201248</v>
          </cell>
          <cell r="K303" t="e">
            <v>#N/A</v>
          </cell>
          <cell r="L303" t="e">
            <v>#N/A</v>
          </cell>
        </row>
        <row r="304">
          <cell r="A304" t="str">
            <v>LLMA40/30/4</v>
          </cell>
          <cell r="B304" t="str">
            <v xml:space="preserve">40A 30mA 4-pole type A RCCB </v>
          </cell>
          <cell r="C304">
            <v>108.98750453625</v>
          </cell>
          <cell r="D304">
            <v>144.98978624999995</v>
          </cell>
          <cell r="E304">
            <v>114.43687976306251</v>
          </cell>
          <cell r="F304" t="e">
            <v>#N/A</v>
          </cell>
          <cell r="G304">
            <v>51.496595893378128</v>
          </cell>
          <cell r="H304" t="e">
            <v>#N/A</v>
          </cell>
          <cell r="I304" t="e">
            <v>#N/A</v>
          </cell>
          <cell r="J304">
            <v>45.774751905225003</v>
          </cell>
          <cell r="K304" t="e">
            <v>#N/A</v>
          </cell>
          <cell r="L304" t="e">
            <v>#N/A</v>
          </cell>
        </row>
        <row r="305">
          <cell r="A305" t="str">
            <v>LLMA40/100/2</v>
          </cell>
          <cell r="B305" t="str">
            <v xml:space="preserve">40A 100mA 2-pole type A RCCB </v>
          </cell>
          <cell r="C305">
            <v>67.627557102783754</v>
          </cell>
          <cell r="D305">
            <v>84.066809015534886</v>
          </cell>
          <cell r="E305">
            <v>71.008934957922946</v>
          </cell>
          <cell r="F305" t="e">
            <v>#N/A</v>
          </cell>
          <cell r="G305">
            <v>31.954020731065327</v>
          </cell>
          <cell r="H305" t="e">
            <v>#N/A</v>
          </cell>
          <cell r="I305" t="e">
            <v>#N/A</v>
          </cell>
          <cell r="J305">
            <v>28.403573983169181</v>
          </cell>
          <cell r="K305" t="e">
            <v>#N/A</v>
          </cell>
          <cell r="L305" t="e">
            <v>#N/A</v>
          </cell>
        </row>
        <row r="306">
          <cell r="A306" t="str">
            <v>LLMA40/100/4</v>
          </cell>
          <cell r="B306" t="str">
            <v xml:space="preserve">40A 100mA 4-pole type A RCCB </v>
          </cell>
          <cell r="C306">
            <v>114.22187388281249</v>
          </cell>
          <cell r="D306">
            <v>88.491377911089359</v>
          </cell>
          <cell r="E306">
            <v>119.93296757695312</v>
          </cell>
          <cell r="F306" t="e">
            <v>#N/A</v>
          </cell>
          <cell r="G306">
            <v>53.969835409628907</v>
          </cell>
          <cell r="H306" t="e">
            <v>#N/A</v>
          </cell>
          <cell r="I306" t="e">
            <v>#N/A</v>
          </cell>
          <cell r="J306">
            <v>47.973187030781247</v>
          </cell>
          <cell r="K306" t="e">
            <v>#N/A</v>
          </cell>
          <cell r="L306" t="e">
            <v>#N/A</v>
          </cell>
        </row>
        <row r="307">
          <cell r="A307" t="str">
            <v>LLMA40/300/4</v>
          </cell>
          <cell r="B307" t="str">
            <v xml:space="preserve">40A 300mA 4-pole type A RCCB </v>
          </cell>
          <cell r="C307">
            <v>75.406824225000008</v>
          </cell>
          <cell r="D307">
            <v>75.217671224425956</v>
          </cell>
          <cell r="E307">
            <v>79.177165436250007</v>
          </cell>
          <cell r="F307" t="e">
            <v>#N/A</v>
          </cell>
          <cell r="G307">
            <v>35.629724446312501</v>
          </cell>
          <cell r="H307" t="e">
            <v>#N/A</v>
          </cell>
          <cell r="I307" t="e">
            <v>#N/A</v>
          </cell>
          <cell r="J307">
            <v>31.670866174500006</v>
          </cell>
          <cell r="K307" t="e">
            <v>#N/A</v>
          </cell>
          <cell r="L307" t="e">
            <v>#N/A</v>
          </cell>
        </row>
        <row r="308">
          <cell r="A308" t="str">
            <v>LLMA63/30/2</v>
          </cell>
          <cell r="B308" t="str">
            <v xml:space="preserve">63A 30mA 2-pole type A RCCB </v>
          </cell>
          <cell r="C308">
            <v>86.333051620574992</v>
          </cell>
          <cell r="D308">
            <v>75.217671224425956</v>
          </cell>
          <cell r="E308">
            <v>90.64970420160374</v>
          </cell>
          <cell r="F308" t="e">
            <v>#N/A</v>
          </cell>
          <cell r="G308">
            <v>40.792366890721681</v>
          </cell>
          <cell r="H308" t="e">
            <v>#N/A</v>
          </cell>
          <cell r="I308" t="e">
            <v>#N/A</v>
          </cell>
          <cell r="J308">
            <v>36.259881680641499</v>
          </cell>
          <cell r="K308" t="e">
            <v>#N/A</v>
          </cell>
          <cell r="L308" t="e">
            <v>#N/A</v>
          </cell>
        </row>
        <row r="309">
          <cell r="A309" t="str">
            <v>LLMA63/30/4</v>
          </cell>
          <cell r="B309" t="str">
            <v xml:space="preserve">63A 30mA 4-pole type A RCCB </v>
          </cell>
          <cell r="C309">
            <v>117.9885038814525</v>
          </cell>
          <cell r="D309">
            <v>84.066809015534886</v>
          </cell>
          <cell r="E309">
            <v>123.88792907552512</v>
          </cell>
          <cell r="F309" t="e">
            <v>#N/A</v>
          </cell>
          <cell r="G309">
            <v>55.749568083986304</v>
          </cell>
          <cell r="H309" t="e">
            <v>#N/A</v>
          </cell>
          <cell r="I309" t="e">
            <v>#N/A</v>
          </cell>
          <cell r="J309">
            <v>49.555171630210054</v>
          </cell>
          <cell r="K309" t="e">
            <v>#N/A</v>
          </cell>
          <cell r="L309" t="e">
            <v>#N/A</v>
          </cell>
        </row>
        <row r="310">
          <cell r="A310" t="str">
            <v>LLMA-S63/300/4</v>
          </cell>
          <cell r="B310" t="str">
            <v xml:space="preserve">63A 30mA 4-pole type A RCCB </v>
          </cell>
          <cell r="C310">
            <v>141.45344999999998</v>
          </cell>
          <cell r="D310">
            <v>91.093265142187491</v>
          </cell>
          <cell r="E310">
            <v>148.52612249999999</v>
          </cell>
          <cell r="F310" t="e">
            <v>#N/A</v>
          </cell>
          <cell r="G310">
            <v>66.836755124999996</v>
          </cell>
          <cell r="H310" t="e">
            <v>#N/A</v>
          </cell>
          <cell r="I310" t="e">
            <v>#N/A</v>
          </cell>
          <cell r="J310">
            <v>59.410449</v>
          </cell>
          <cell r="K310" t="e">
            <v>#N/A</v>
          </cell>
          <cell r="L310" t="e">
            <v>#N/A</v>
          </cell>
        </row>
        <row r="311">
          <cell r="A311" t="str">
            <v>LLMA63/100/2</v>
          </cell>
          <cell r="B311" t="str">
            <v xml:space="preserve">63A 100mA 2-pole type A RCCB </v>
          </cell>
          <cell r="C311">
            <v>82.016399039546243</v>
          </cell>
          <cell r="D311">
            <v>123.4914726375</v>
          </cell>
          <cell r="E311">
            <v>86.117218991523558</v>
          </cell>
          <cell r="F311" t="e">
            <v>#N/A</v>
          </cell>
          <cell r="G311">
            <v>38.7527485461856</v>
          </cell>
          <cell r="H311" t="e">
            <v>#N/A</v>
          </cell>
          <cell r="I311" t="e">
            <v>#N/A</v>
          </cell>
          <cell r="J311">
            <v>34.446887596609422</v>
          </cell>
          <cell r="K311" t="e">
            <v>#N/A</v>
          </cell>
          <cell r="L311" t="e">
            <v>#N/A</v>
          </cell>
        </row>
        <row r="312">
          <cell r="A312" t="str">
            <v>LLMA63/100/4</v>
          </cell>
          <cell r="B312" t="str">
            <v xml:space="preserve">63A 100mA 4-pole type A RCCB </v>
          </cell>
          <cell r="C312">
            <v>86.333051620574992</v>
          </cell>
          <cell r="D312">
            <v>122.41307277700696</v>
          </cell>
          <cell r="E312">
            <v>90.64970420160374</v>
          </cell>
          <cell r="F312" t="e">
            <v>#N/A</v>
          </cell>
          <cell r="G312">
            <v>40.792366890721681</v>
          </cell>
          <cell r="H312" t="e">
            <v>#N/A</v>
          </cell>
          <cell r="I312" t="e">
            <v>#N/A</v>
          </cell>
          <cell r="J312">
            <v>36.259881680641499</v>
          </cell>
          <cell r="K312" t="e">
            <v>#N/A</v>
          </cell>
          <cell r="L312" t="e">
            <v>#N/A</v>
          </cell>
        </row>
        <row r="313">
          <cell r="A313" t="str">
            <v>LLMA63/300/2</v>
          </cell>
          <cell r="B313" t="str">
            <v xml:space="preserve">63A 300mA 2-pole type A RCCB </v>
          </cell>
          <cell r="C313">
            <v>73.383093877488747</v>
          </cell>
          <cell r="D313">
            <v>176.98275582217872</v>
          </cell>
          <cell r="E313">
            <v>77.05224857136318</v>
          </cell>
          <cell r="F313" t="e">
            <v>#N/A</v>
          </cell>
          <cell r="G313">
            <v>34.673511857113432</v>
          </cell>
          <cell r="H313" t="e">
            <v>#N/A</v>
          </cell>
          <cell r="I313" t="e">
            <v>#N/A</v>
          </cell>
          <cell r="J313">
            <v>30.820899428545275</v>
          </cell>
          <cell r="K313" t="e">
            <v>#N/A</v>
          </cell>
          <cell r="L313" t="e">
            <v>#N/A</v>
          </cell>
        </row>
        <row r="314">
          <cell r="A314" t="str">
            <v>LLMA63/300/2</v>
          </cell>
          <cell r="B314" t="str">
            <v xml:space="preserve">63A 300mA 2-pole type A RCCB </v>
          </cell>
          <cell r="C314">
            <v>73.383093877488747</v>
          </cell>
          <cell r="D314">
            <v>110.61422238886169</v>
          </cell>
          <cell r="E314">
            <v>77.05224857136318</v>
          </cell>
          <cell r="F314" t="e">
            <v>#N/A</v>
          </cell>
          <cell r="G314">
            <v>34.673511857113432</v>
          </cell>
          <cell r="H314" t="e">
            <v>#N/A</v>
          </cell>
          <cell r="I314" t="e">
            <v>#N/A</v>
          </cell>
          <cell r="J314">
            <v>30.820899428545275</v>
          </cell>
          <cell r="K314" t="e">
            <v>#N/A</v>
          </cell>
          <cell r="L314" t="e">
            <v>#N/A</v>
          </cell>
        </row>
        <row r="315">
          <cell r="A315" t="str">
            <v>LLMA63/300/4</v>
          </cell>
          <cell r="B315" t="str">
            <v xml:space="preserve">63A 300mA 4-pole type A RCCB </v>
          </cell>
          <cell r="C315">
            <v>82.016399039546243</v>
          </cell>
          <cell r="D315">
            <v>138.52521713249999</v>
          </cell>
          <cell r="E315">
            <v>86.117218991523558</v>
          </cell>
          <cell r="F315" t="e">
            <v>#N/A</v>
          </cell>
          <cell r="G315">
            <v>38.7527485461856</v>
          </cell>
          <cell r="H315" t="e">
            <v>#N/A</v>
          </cell>
          <cell r="I315" t="e">
            <v>#N/A</v>
          </cell>
          <cell r="J315">
            <v>34.446887596609422</v>
          </cell>
          <cell r="K315" t="e">
            <v>#N/A</v>
          </cell>
          <cell r="L315" t="e">
            <v>#N/A</v>
          </cell>
        </row>
        <row r="316">
          <cell r="A316" t="str">
            <v>LLMA80/30/2</v>
          </cell>
          <cell r="B316" t="str">
            <v xml:space="preserve">80A 30mA 2-pole type A RCCB </v>
          </cell>
          <cell r="C316">
            <v>88.871478187500003</v>
          </cell>
          <cell r="D316">
            <v>162.23419283699712</v>
          </cell>
          <cell r="E316">
            <v>93.315052096875007</v>
          </cell>
          <cell r="F316" t="e">
            <v>#N/A</v>
          </cell>
          <cell r="G316">
            <v>41.991773443593758</v>
          </cell>
          <cell r="H316" t="e">
            <v>#N/A</v>
          </cell>
          <cell r="I316" t="e">
            <v>#N/A</v>
          </cell>
          <cell r="J316">
            <v>37.326020838750004</v>
          </cell>
          <cell r="K316" t="e">
            <v>#N/A</v>
          </cell>
          <cell r="L316" t="e">
            <v>#N/A</v>
          </cell>
        </row>
        <row r="317">
          <cell r="A317" t="str">
            <v>LLMA-S80/100/2</v>
          </cell>
          <cell r="B317" t="str">
            <v xml:space="preserve">80A 100mA 2-pole type A-S RCCB </v>
          </cell>
          <cell r="C317">
            <v>120.47948550000001</v>
          </cell>
          <cell r="D317">
            <v>170.07381061769533</v>
          </cell>
          <cell r="E317">
            <v>126.50345977500001</v>
          </cell>
          <cell r="F317" t="e">
            <v>#N/A</v>
          </cell>
          <cell r="G317">
            <v>56.926556898750007</v>
          </cell>
          <cell r="H317" t="e">
            <v>#N/A</v>
          </cell>
          <cell r="I317" t="e">
            <v>#N/A</v>
          </cell>
          <cell r="J317">
            <v>50.60138391000001</v>
          </cell>
          <cell r="K317" t="e">
            <v>#N/A</v>
          </cell>
          <cell r="L317" t="e">
            <v>#N/A</v>
          </cell>
        </row>
        <row r="318">
          <cell r="A318" t="str">
            <v>LLMA100/30/2</v>
          </cell>
          <cell r="B318" t="str">
            <v xml:space="preserve">100A 30mA 2-pole type A RCCB </v>
          </cell>
          <cell r="C318">
            <v>119.42738807512875</v>
          </cell>
          <cell r="D318">
            <v>147.48562985181559</v>
          </cell>
          <cell r="E318">
            <v>125.39875747888519</v>
          </cell>
          <cell r="F318" t="e">
            <v>#N/A</v>
          </cell>
          <cell r="G318">
            <v>56.429440865498336</v>
          </cell>
          <cell r="H318" t="e">
            <v>#N/A</v>
          </cell>
          <cell r="I318" t="e">
            <v>#N/A</v>
          </cell>
          <cell r="J318">
            <v>50.159502991554078</v>
          </cell>
          <cell r="K318" t="e">
            <v>#N/A</v>
          </cell>
          <cell r="L318" t="e">
            <v>#N/A</v>
          </cell>
        </row>
        <row r="319">
          <cell r="A319" t="str">
            <v>LLMA100/30/4</v>
          </cell>
          <cell r="B319" t="str">
            <v xml:space="preserve">100A 30mA 4-pole type A RCCB </v>
          </cell>
          <cell r="C319">
            <v>172.66610324114998</v>
          </cell>
          <cell r="D319">
            <v>5.8374736386328125</v>
          </cell>
          <cell r="E319">
            <v>181.29940840320748</v>
          </cell>
          <cell r="F319" t="e">
            <v>#N/A</v>
          </cell>
          <cell r="G319">
            <v>81.584733781443362</v>
          </cell>
          <cell r="H319" t="e">
            <v>#N/A</v>
          </cell>
          <cell r="I319" t="e">
            <v>#N/A</v>
          </cell>
          <cell r="J319">
            <v>72.519763361282997</v>
          </cell>
          <cell r="K319" t="e">
            <v>#N/A</v>
          </cell>
          <cell r="L319" t="e">
            <v>#N/A</v>
          </cell>
        </row>
        <row r="320">
          <cell r="A320" t="str">
            <v>LLMA100/100/2</v>
          </cell>
          <cell r="B320" t="str">
            <v xml:space="preserve">100A 100mA 2-pole type A RCCB </v>
          </cell>
          <cell r="C320">
            <v>107.91631452571873</v>
          </cell>
          <cell r="D320">
            <v>7.306680487007811</v>
          </cell>
          <cell r="E320">
            <v>113.31213025200466</v>
          </cell>
          <cell r="F320" t="e">
            <v>#N/A</v>
          </cell>
          <cell r="G320">
            <v>50.990458613402097</v>
          </cell>
          <cell r="H320" t="e">
            <v>#N/A</v>
          </cell>
          <cell r="I320" t="e">
            <v>#N/A</v>
          </cell>
          <cell r="J320">
            <v>45.32485210080187</v>
          </cell>
          <cell r="K320" t="e">
            <v>#N/A</v>
          </cell>
          <cell r="L320" t="e">
            <v>#N/A</v>
          </cell>
        </row>
        <row r="321">
          <cell r="A321" t="str">
            <v>LLMA-S100/100/2</v>
          </cell>
          <cell r="B321" t="str">
            <v xml:space="preserve">100A 100mA 2-pole type A-S RCCB </v>
          </cell>
          <cell r="C321">
            <v>135.14655329999999</v>
          </cell>
          <cell r="D321">
            <v>21.906923542734372</v>
          </cell>
          <cell r="E321">
            <v>141.90388096499998</v>
          </cell>
          <cell r="F321" t="e">
            <v>#N/A</v>
          </cell>
          <cell r="G321">
            <v>63.856746434249992</v>
          </cell>
          <cell r="H321" t="e">
            <v>#N/A</v>
          </cell>
          <cell r="I321" t="e">
            <v>#N/A</v>
          </cell>
          <cell r="J321">
            <v>56.761552385999998</v>
          </cell>
          <cell r="K321" t="e">
            <v>#N/A</v>
          </cell>
          <cell r="L321" t="e">
            <v>#N/A</v>
          </cell>
        </row>
        <row r="322">
          <cell r="A322" t="str">
            <v>LLMA100/100/4</v>
          </cell>
          <cell r="B322" t="str">
            <v xml:space="preserve">100A 100mA 4-pole type A RCCB </v>
          </cell>
          <cell r="C322">
            <v>158.27726130438745</v>
          </cell>
          <cell r="D322">
            <v>47.053667834999999</v>
          </cell>
          <cell r="E322">
            <v>166.19112436960683</v>
          </cell>
          <cell r="F322" t="e">
            <v>#N/A</v>
          </cell>
          <cell r="G322">
            <v>74.786005966323074</v>
          </cell>
          <cell r="H322" t="e">
            <v>#N/A</v>
          </cell>
          <cell r="I322" t="e">
            <v>#N/A</v>
          </cell>
          <cell r="J322">
            <v>66.476449747842736</v>
          </cell>
          <cell r="K322" t="e">
            <v>#N/A</v>
          </cell>
          <cell r="L322" t="e">
            <v>#N/A</v>
          </cell>
        </row>
        <row r="323">
          <cell r="A323" t="str">
            <v>LLMA-S100/100/4</v>
          </cell>
          <cell r="B323" t="str">
            <v xml:space="preserve">100A 100mA 4-pole type A-S RCCB </v>
          </cell>
          <cell r="C323">
            <v>165.92566889531253</v>
          </cell>
          <cell r="D323">
            <v>49.128129331874995</v>
          </cell>
          <cell r="E323">
            <v>174.22195234007816</v>
          </cell>
          <cell r="F323" t="e">
            <v>#N/A</v>
          </cell>
          <cell r="G323">
            <v>78.39987855303518</v>
          </cell>
          <cell r="H323" t="e">
            <v>#N/A</v>
          </cell>
          <cell r="I323" t="e">
            <v>#N/A</v>
          </cell>
          <cell r="J323">
            <v>69.688780936031264</v>
          </cell>
          <cell r="K323" t="e">
            <v>#N/A</v>
          </cell>
          <cell r="L323" t="e">
            <v>#N/A</v>
          </cell>
        </row>
        <row r="324">
          <cell r="A324" t="str">
            <v>LLMA100/300/4</v>
          </cell>
          <cell r="B324" t="str">
            <v xml:space="preserve">100A 300mA 4-pole type A RCCB </v>
          </cell>
          <cell r="C324">
            <v>143.88841936762498</v>
          </cell>
          <cell r="D324">
            <v>41.714980159218747</v>
          </cell>
          <cell r="E324">
            <v>151.08284033600623</v>
          </cell>
          <cell r="F324" t="e">
            <v>#N/A</v>
          </cell>
          <cell r="G324">
            <v>67.987278151202801</v>
          </cell>
          <cell r="H324" t="e">
            <v>#N/A</v>
          </cell>
          <cell r="I324" t="e">
            <v>#N/A</v>
          </cell>
          <cell r="J324">
            <v>60.433136134402496</v>
          </cell>
          <cell r="K324" t="e">
            <v>#N/A</v>
          </cell>
          <cell r="L324" t="e">
            <v>#N/A</v>
          </cell>
        </row>
        <row r="325">
          <cell r="A325" t="str">
            <v>LLMGPI2</v>
          </cell>
          <cell r="B325" t="str">
            <v>Insulated 2 module IP40 enclosure</v>
          </cell>
          <cell r="C325">
            <v>5.6950962328125003</v>
          </cell>
          <cell r="D325">
            <v>62.572470238828124</v>
          </cell>
          <cell r="E325">
            <v>5.9798510444531257</v>
          </cell>
          <cell r="F325">
            <v>1.3120000000000001</v>
          </cell>
          <cell r="G325">
            <v>2.6909329700039066</v>
          </cell>
          <cell r="H325">
            <v>1.3789329700039066</v>
          </cell>
          <cell r="I325">
            <v>0.51243675906275166</v>
          </cell>
          <cell r="J325">
            <v>2.3919404177812504</v>
          </cell>
          <cell r="K325">
            <v>1.0799404177812504</v>
          </cell>
          <cell r="L325">
            <v>0.45149135394559559</v>
          </cell>
        </row>
        <row r="326">
          <cell r="A326" t="str">
            <v>LLMGPI4</v>
          </cell>
          <cell r="B326" t="str">
            <v>Insulated 4 module IP40 enclosure</v>
          </cell>
          <cell r="C326">
            <v>7.1284687678124996</v>
          </cell>
          <cell r="D326">
            <v>1.5040593749999998</v>
          </cell>
          <cell r="E326">
            <v>7.4848922062031242</v>
          </cell>
          <cell r="F326">
            <v>1.819</v>
          </cell>
          <cell r="G326">
            <v>3.3682014927914059</v>
          </cell>
          <cell r="H326">
            <v>1.549201492791406</v>
          </cell>
          <cell r="I326">
            <v>0.45994917350015813</v>
          </cell>
          <cell r="J326">
            <v>2.9939568824812497</v>
          </cell>
          <cell r="K326">
            <v>1.1749568824812497</v>
          </cell>
          <cell r="L326">
            <v>0.3924428201876779</v>
          </cell>
        </row>
        <row r="327">
          <cell r="A327" t="str">
            <v>LLMGPI8</v>
          </cell>
          <cell r="B327" t="str">
            <v>Insulated 8 module IP40 enclosure</v>
          </cell>
          <cell r="C327">
            <v>21.372608334374998</v>
          </cell>
          <cell r="D327">
            <v>1.5040593749999998</v>
          </cell>
          <cell r="E327">
            <v>22.441238751093749</v>
          </cell>
          <cell r="F327">
            <v>5.1559999999999997</v>
          </cell>
          <cell r="G327">
            <v>10.098557437992188</v>
          </cell>
          <cell r="H327">
            <v>4.9425574379921882</v>
          </cell>
          <cell r="I327">
            <v>0.48943202713266698</v>
          </cell>
          <cell r="J327">
            <v>8.9764955004374993</v>
          </cell>
          <cell r="K327">
            <v>3.8204955004374996</v>
          </cell>
          <cell r="L327">
            <v>0.42561103052425026</v>
          </cell>
        </row>
        <row r="328">
          <cell r="A328" t="str">
            <v>LLMGPS6F</v>
          </cell>
          <cell r="B328" t="str">
            <v>6 module flush IP41 enclosure</v>
          </cell>
          <cell r="C328">
            <v>45.906017400000003</v>
          </cell>
          <cell r="D328">
            <v>1.5040593749999998</v>
          </cell>
          <cell r="E328">
            <v>48.201318270000002</v>
          </cell>
          <cell r="F328">
            <v>8.068041599999999</v>
          </cell>
          <cell r="G328">
            <v>21.690593221500002</v>
          </cell>
          <cell r="H328">
            <v>13.622551621500003</v>
          </cell>
          <cell r="I328">
            <v>0.62803960603517062</v>
          </cell>
          <cell r="J328">
            <v>19.280527308000003</v>
          </cell>
          <cell r="K328">
            <v>11.212485708000004</v>
          </cell>
          <cell r="L328">
            <v>0.58154455678956696</v>
          </cell>
        </row>
        <row r="329">
          <cell r="A329" t="str">
            <v>LLMGPS6S</v>
          </cell>
          <cell r="B329" t="str">
            <v>6 module surface IP41 enclosure</v>
          </cell>
          <cell r="C329">
            <v>47.929882274999997</v>
          </cell>
          <cell r="D329">
            <v>1.5040593749999998</v>
          </cell>
          <cell r="E329">
            <v>50.326376388749999</v>
          </cell>
          <cell r="F329">
            <v>7.0165103999999996</v>
          </cell>
          <cell r="G329">
            <v>22.646869374937499</v>
          </cell>
          <cell r="H329">
            <v>15.630358974937499</v>
          </cell>
          <cell r="I329">
            <v>0.69017746851293593</v>
          </cell>
          <cell r="J329">
            <v>20.130550555500001</v>
          </cell>
          <cell r="K329">
            <v>13.114040155500001</v>
          </cell>
          <cell r="L329">
            <v>0.65144965207705297</v>
          </cell>
        </row>
        <row r="330">
          <cell r="A330" t="str">
            <v>LLMGPW5</v>
          </cell>
          <cell r="B330" t="str">
            <v>Insulated 5 module IP55 enclosure</v>
          </cell>
          <cell r="C330">
            <v>40.697541618750002</v>
          </cell>
          <cell r="D330">
            <v>9.0989807343749991</v>
          </cell>
          <cell r="E330">
            <v>42.7324186996875</v>
          </cell>
          <cell r="F330">
            <v>8.6950000000000003</v>
          </cell>
          <cell r="G330">
            <v>19.229588414859375</v>
          </cell>
          <cell r="H330">
            <v>10.534588414859375</v>
          </cell>
          <cell r="I330">
            <v>0.5478322358017258</v>
          </cell>
          <cell r="J330">
            <v>17.092967479875</v>
          </cell>
          <cell r="K330">
            <v>8.3979674798749997</v>
          </cell>
          <cell r="L330">
            <v>0.49131126527694147</v>
          </cell>
        </row>
        <row r="331">
          <cell r="A331" t="str">
            <v>LLMGPW8</v>
          </cell>
          <cell r="B331" t="str">
            <v>Insulated 8 module IP55 enclosure</v>
          </cell>
          <cell r="C331">
            <v>61.046312428125006</v>
          </cell>
          <cell r="D331">
            <v>9.0987021941484354</v>
          </cell>
          <cell r="E331">
            <v>64.098628049531257</v>
          </cell>
          <cell r="F331">
            <v>13.206</v>
          </cell>
          <cell r="G331">
            <v>28.844382622289068</v>
          </cell>
          <cell r="H331">
            <v>15.638382622289068</v>
          </cell>
          <cell r="I331">
            <v>0.54216388775139668</v>
          </cell>
          <cell r="J331">
            <v>25.639451219812504</v>
          </cell>
          <cell r="K331">
            <v>12.433451219812504</v>
          </cell>
          <cell r="L331">
            <v>0.48493437372032128</v>
          </cell>
        </row>
        <row r="332">
          <cell r="A332" t="str">
            <v>LLMLA</v>
          </cell>
          <cell r="B332" t="str">
            <v>Amber indicator</v>
          </cell>
          <cell r="C332">
            <v>1.4673749999999999</v>
          </cell>
          <cell r="D332">
            <v>10.615152559839842</v>
          </cell>
          <cell r="E332">
            <v>1.5407437499999999</v>
          </cell>
          <cell r="F332" t="e">
            <v>#N/A</v>
          </cell>
          <cell r="G332">
            <v>0.69333468749999994</v>
          </cell>
          <cell r="H332" t="e">
            <v>#N/A</v>
          </cell>
          <cell r="I332" t="e">
            <v>#N/A</v>
          </cell>
          <cell r="J332">
            <v>0.61629749999999994</v>
          </cell>
          <cell r="K332" t="e">
            <v>#N/A</v>
          </cell>
          <cell r="L332" t="e">
            <v>#N/A</v>
          </cell>
        </row>
        <row r="333">
          <cell r="A333" t="str">
            <v>LLMLC</v>
          </cell>
          <cell r="B333" t="str">
            <v xml:space="preserve">Clear indicator </v>
          </cell>
          <cell r="C333">
            <v>1.4673749999999999</v>
          </cell>
          <cell r="D333">
            <v>9.0987021941484354</v>
          </cell>
          <cell r="E333">
            <v>1.5407437499999999</v>
          </cell>
          <cell r="F333" t="e">
            <v>#N/A</v>
          </cell>
          <cell r="G333">
            <v>0.69333468749999994</v>
          </cell>
          <cell r="H333" t="e">
            <v>#N/A</v>
          </cell>
          <cell r="I333" t="e">
            <v>#N/A</v>
          </cell>
          <cell r="J333">
            <v>0.61629749999999994</v>
          </cell>
          <cell r="K333" t="e">
            <v>#N/A</v>
          </cell>
          <cell r="L333" t="e">
            <v>#N/A</v>
          </cell>
        </row>
        <row r="334">
          <cell r="A334" t="str">
            <v>LLMLG</v>
          </cell>
          <cell r="B334" t="str">
            <v xml:space="preserve">Green indicator </v>
          </cell>
          <cell r="C334">
            <v>1.4673749999999999</v>
          </cell>
          <cell r="D334">
            <v>11.397487499999999</v>
          </cell>
          <cell r="E334">
            <v>1.5407437499999999</v>
          </cell>
          <cell r="F334" t="e">
            <v>#N/A</v>
          </cell>
          <cell r="G334">
            <v>0.69333468749999994</v>
          </cell>
          <cell r="H334" t="e">
            <v>#N/A</v>
          </cell>
          <cell r="I334" t="e">
            <v>#N/A</v>
          </cell>
          <cell r="J334">
            <v>0.61629749999999994</v>
          </cell>
          <cell r="K334" t="e">
            <v>#N/A</v>
          </cell>
          <cell r="L334" t="e">
            <v>#N/A</v>
          </cell>
        </row>
        <row r="335">
          <cell r="A335" t="str">
            <v>LLMLR</v>
          </cell>
          <cell r="B335" t="str">
            <v xml:space="preserve">Red indicator </v>
          </cell>
          <cell r="C335">
            <v>1.4673749999999999</v>
          </cell>
          <cell r="D335">
            <v>2.6152875</v>
          </cell>
          <cell r="E335">
            <v>1.5407437499999999</v>
          </cell>
          <cell r="F335" t="e">
            <v>#N/A</v>
          </cell>
          <cell r="G335">
            <v>0.69333468749999994</v>
          </cell>
          <cell r="H335" t="e">
            <v>#N/A</v>
          </cell>
          <cell r="I335" t="e">
            <v>#N/A</v>
          </cell>
          <cell r="J335">
            <v>0.61629749999999994</v>
          </cell>
          <cell r="K335" t="e">
            <v>#N/A</v>
          </cell>
          <cell r="L335" t="e">
            <v>#N/A</v>
          </cell>
        </row>
        <row r="336">
          <cell r="A336" t="str">
            <v>LLMPBNC</v>
          </cell>
          <cell r="B336" t="str">
            <v>Pushbutton N/C</v>
          </cell>
          <cell r="C336">
            <v>8.8770543750000002</v>
          </cell>
          <cell r="D336">
            <v>3.0329007313828122</v>
          </cell>
          <cell r="E336">
            <v>9.3209070937499998</v>
          </cell>
          <cell r="F336" t="e">
            <v>#N/A</v>
          </cell>
          <cell r="G336">
            <v>4.1944081921874998</v>
          </cell>
          <cell r="H336" t="e">
            <v>#N/A</v>
          </cell>
          <cell r="I336" t="e">
            <v>#N/A</v>
          </cell>
          <cell r="J336">
            <v>3.7283628375000002</v>
          </cell>
          <cell r="K336" t="e">
            <v>#N/A</v>
          </cell>
          <cell r="L336" t="e">
            <v>#N/A</v>
          </cell>
        </row>
        <row r="337">
          <cell r="A337" t="str">
            <v>LLMPBNO</v>
          </cell>
          <cell r="B337" t="str">
            <v>Pushbutton N/O</v>
          </cell>
          <cell r="C337">
            <v>8.876782628437498</v>
          </cell>
          <cell r="D337">
            <v>19.142352912656246</v>
          </cell>
          <cell r="E337">
            <v>9.3206217598593728</v>
          </cell>
          <cell r="F337" t="e">
            <v>#N/A</v>
          </cell>
          <cell r="G337">
            <v>4.1942797919367178</v>
          </cell>
          <cell r="H337" t="e">
            <v>#N/A</v>
          </cell>
          <cell r="I337" t="e">
            <v>#N/A</v>
          </cell>
          <cell r="J337">
            <v>3.7282487039437493</v>
          </cell>
          <cell r="K337" t="e">
            <v>#N/A</v>
          </cell>
          <cell r="L337" t="e">
            <v>#N/A</v>
          </cell>
        </row>
        <row r="338">
          <cell r="A338" t="str">
            <v>LLMPBNON</v>
          </cell>
          <cell r="B338" t="str">
            <v>Pushbutton N/O + neon</v>
          </cell>
          <cell r="C338">
            <v>10.35624639984375</v>
          </cell>
          <cell r="D338">
            <v>19.142352912656246</v>
          </cell>
          <cell r="E338">
            <v>10.874058719835936</v>
          </cell>
          <cell r="F338" t="e">
            <v>#N/A</v>
          </cell>
          <cell r="G338">
            <v>4.8933264239261716</v>
          </cell>
          <cell r="H338" t="e">
            <v>#N/A</v>
          </cell>
          <cell r="I338" t="e">
            <v>#N/A</v>
          </cell>
          <cell r="J338">
            <v>4.3496234879343749</v>
          </cell>
          <cell r="K338" t="e">
            <v>#N/A</v>
          </cell>
          <cell r="L338" t="e">
            <v>#N/A</v>
          </cell>
        </row>
        <row r="339">
          <cell r="A339" t="str">
            <v>LLMPBNONC</v>
          </cell>
          <cell r="B339" t="str">
            <v>Pushbutton N/O + N/C</v>
          </cell>
          <cell r="C339">
            <v>8.876782628437498</v>
          </cell>
          <cell r="D339">
            <v>19.142352912656246</v>
          </cell>
          <cell r="E339">
            <v>9.3206217598593728</v>
          </cell>
          <cell r="F339" t="e">
            <v>#N/A</v>
          </cell>
          <cell r="G339">
            <v>4.1942797919367178</v>
          </cell>
          <cell r="H339" t="e">
            <v>#N/A</v>
          </cell>
          <cell r="I339" t="e">
            <v>#N/A</v>
          </cell>
          <cell r="J339">
            <v>3.7282487039437493</v>
          </cell>
          <cell r="K339" t="e">
            <v>#N/A</v>
          </cell>
          <cell r="L339" t="e">
            <v>#N/A</v>
          </cell>
        </row>
        <row r="340">
          <cell r="A340" t="str">
            <v>LLMPL</v>
          </cell>
          <cell r="B340" t="str">
            <v>Indicator lamp holder</v>
          </cell>
          <cell r="C340">
            <v>11.1195</v>
          </cell>
          <cell r="D340">
            <v>19.142352912656246</v>
          </cell>
          <cell r="E340">
            <v>11.675475</v>
          </cell>
          <cell r="F340" t="e">
            <v>#N/A</v>
          </cell>
          <cell r="G340">
            <v>5.2539637500000005</v>
          </cell>
          <cell r="H340" t="e">
            <v>#N/A</v>
          </cell>
          <cell r="I340" t="e">
            <v>#N/A</v>
          </cell>
          <cell r="J340">
            <v>4.6701900000000007</v>
          </cell>
          <cell r="K340" t="e">
            <v>#N/A</v>
          </cell>
          <cell r="L340" t="e">
            <v>#N/A</v>
          </cell>
        </row>
        <row r="341">
          <cell r="A341" t="str">
            <v>LLMRL</v>
          </cell>
          <cell r="B341" t="str">
            <v>Lamp</v>
          </cell>
          <cell r="C341">
            <v>2.5515000000000003</v>
          </cell>
          <cell r="D341">
            <v>19.142352912656246</v>
          </cell>
          <cell r="E341">
            <v>2.6790750000000005</v>
          </cell>
          <cell r="F341" t="e">
            <v>#N/A</v>
          </cell>
          <cell r="G341">
            <v>1.2055837500000002</v>
          </cell>
          <cell r="H341" t="e">
            <v>#N/A</v>
          </cell>
          <cell r="I341" t="e">
            <v>#N/A</v>
          </cell>
          <cell r="J341">
            <v>1.0716300000000003</v>
          </cell>
          <cell r="K341" t="e">
            <v>#N/A</v>
          </cell>
          <cell r="L341" t="e">
            <v>#N/A</v>
          </cell>
        </row>
        <row r="342">
          <cell r="A342" t="str">
            <v>LLMV</v>
          </cell>
          <cell r="B342" t="str">
            <v>Heat dissipation insert</v>
          </cell>
          <cell r="C342">
            <v>2.9589275428124999</v>
          </cell>
          <cell r="D342">
            <v>19.142352912656246</v>
          </cell>
          <cell r="E342">
            <v>3.106873919953125</v>
          </cell>
          <cell r="F342">
            <v>0.84</v>
          </cell>
          <cell r="G342">
            <v>1.3980932639789063</v>
          </cell>
          <cell r="H342">
            <v>0.55809326397890635</v>
          </cell>
          <cell r="I342">
            <v>0.39918171294996424</v>
          </cell>
          <cell r="J342">
            <v>1.2427495679812501</v>
          </cell>
          <cell r="K342">
            <v>0.40274956798125017</v>
          </cell>
          <cell r="L342">
            <v>0.32407942706870979</v>
          </cell>
        </row>
        <row r="343">
          <cell r="A343" t="str">
            <v>LM5 OBSOLETE</v>
          </cell>
          <cell r="B343" t="str">
            <v>Loadmaster 1-pole 5A MCB</v>
          </cell>
          <cell r="C343">
            <v>18.675466256249997</v>
          </cell>
          <cell r="D343">
            <v>19.142352912656246</v>
          </cell>
          <cell r="E343">
            <v>21.476786194687499</v>
          </cell>
          <cell r="F343" t="e">
            <v>#N/A</v>
          </cell>
          <cell r="G343">
            <v>9.6645537876093748</v>
          </cell>
          <cell r="H343" t="e">
            <v>#N/A</v>
          </cell>
          <cell r="I343" t="e">
            <v>#N/A</v>
          </cell>
          <cell r="J343">
            <v>8.5907144778750002</v>
          </cell>
          <cell r="K343" t="e">
            <v>#N/A</v>
          </cell>
          <cell r="L343" t="e">
            <v>#N/A</v>
          </cell>
        </row>
        <row r="344">
          <cell r="A344" t="str">
            <v>LM10</v>
          </cell>
          <cell r="B344" t="str">
            <v>Loadmaster 1-pole 10A MCB</v>
          </cell>
          <cell r="C344">
            <v>18.675466256249997</v>
          </cell>
          <cell r="D344">
            <v>19.142352912656246</v>
          </cell>
          <cell r="E344">
            <v>21.476786194687499</v>
          </cell>
          <cell r="F344">
            <v>2.74</v>
          </cell>
          <cell r="G344">
            <v>9.6645537876093748</v>
          </cell>
          <cell r="H344">
            <v>6.9245537876093746</v>
          </cell>
          <cell r="I344">
            <v>0.71648975625622058</v>
          </cell>
          <cell r="J344">
            <v>8.5907144778750002</v>
          </cell>
          <cell r="K344">
            <v>5.850714477875</v>
          </cell>
          <cell r="L344">
            <v>0.68105097578824825</v>
          </cell>
        </row>
        <row r="345">
          <cell r="A345" t="str">
            <v>LM15 OBSOLETE</v>
          </cell>
          <cell r="B345" t="str">
            <v>Loadmaster 1-pole 15A MCB</v>
          </cell>
          <cell r="C345">
            <v>18.675466256249997</v>
          </cell>
          <cell r="D345">
            <v>19.142352912656246</v>
          </cell>
          <cell r="E345">
            <v>21.476786194687499</v>
          </cell>
          <cell r="G345">
            <v>9.6645537876093748</v>
          </cell>
          <cell r="H345">
            <v>9.6645537876093748</v>
          </cell>
          <cell r="I345">
            <v>1</v>
          </cell>
          <cell r="J345">
            <v>8.5907144778750002</v>
          </cell>
          <cell r="K345">
            <v>8.5907144778750002</v>
          </cell>
          <cell r="L345">
            <v>1</v>
          </cell>
        </row>
        <row r="346">
          <cell r="A346" t="str">
            <v>LM20</v>
          </cell>
          <cell r="B346" t="str">
            <v>Loadmaster 1-pole 20A MCB</v>
          </cell>
          <cell r="C346">
            <v>18.675466256249997</v>
          </cell>
          <cell r="D346">
            <v>19.142352912656246</v>
          </cell>
          <cell r="E346">
            <v>21.476786194687499</v>
          </cell>
          <cell r="F346">
            <v>2.74</v>
          </cell>
          <cell r="G346">
            <v>9.6645537876093748</v>
          </cell>
          <cell r="H346">
            <v>6.9245537876093746</v>
          </cell>
          <cell r="I346">
            <v>0.71648975625622058</v>
          </cell>
          <cell r="J346">
            <v>8.5907144778750002</v>
          </cell>
          <cell r="K346">
            <v>5.850714477875</v>
          </cell>
          <cell r="L346">
            <v>0.68105097578824825</v>
          </cell>
        </row>
        <row r="347">
          <cell r="A347" t="str">
            <v>LM25</v>
          </cell>
          <cell r="B347" t="str">
            <v>Loadmaster 1-pole 25A MCB</v>
          </cell>
          <cell r="C347">
            <v>18.675466256249997</v>
          </cell>
          <cell r="D347">
            <v>67.328771318164073</v>
          </cell>
          <cell r="E347">
            <v>21.476786194687499</v>
          </cell>
          <cell r="F347">
            <v>3.06</v>
          </cell>
          <cell r="G347">
            <v>9.6645537876093748</v>
          </cell>
          <cell r="H347">
            <v>6.6045537876093743</v>
          </cell>
          <cell r="I347">
            <v>0.68337907085548721</v>
          </cell>
          <cell r="J347">
            <v>8.5907144778750002</v>
          </cell>
          <cell r="K347">
            <v>5.5307144778749997</v>
          </cell>
          <cell r="L347">
            <v>0.64380145471242312</v>
          </cell>
        </row>
        <row r="348">
          <cell r="A348" t="str">
            <v>LM30</v>
          </cell>
          <cell r="B348" t="str">
            <v>Loadmaster 1-pole 30A MCB</v>
          </cell>
          <cell r="C348">
            <v>18.675466256249997</v>
          </cell>
          <cell r="D348">
            <v>67.328771318164073</v>
          </cell>
          <cell r="E348">
            <v>21.476786194687499</v>
          </cell>
          <cell r="F348">
            <v>3.06</v>
          </cell>
          <cell r="G348">
            <v>9.6645537876093748</v>
          </cell>
          <cell r="H348">
            <v>6.6045537876093743</v>
          </cell>
          <cell r="I348">
            <v>0.68337907085548721</v>
          </cell>
          <cell r="J348">
            <v>8.5907144778750002</v>
          </cell>
          <cell r="K348">
            <v>5.5307144778749997</v>
          </cell>
          <cell r="L348">
            <v>0.64380145471242312</v>
          </cell>
        </row>
        <row r="349">
          <cell r="A349" t="str">
            <v>LM40</v>
          </cell>
          <cell r="B349" t="str">
            <v>Loadmaster 1-pole 40A MCB</v>
          </cell>
          <cell r="C349">
            <v>18.675466256249997</v>
          </cell>
          <cell r="D349">
            <v>67.328771318164073</v>
          </cell>
          <cell r="E349">
            <v>21.476786194687499</v>
          </cell>
          <cell r="F349">
            <v>3.23</v>
          </cell>
          <cell r="G349">
            <v>9.6645537876093748</v>
          </cell>
          <cell r="H349">
            <v>6.4345537876093744</v>
          </cell>
          <cell r="I349">
            <v>0.66578901923634759</v>
          </cell>
          <cell r="J349">
            <v>8.5907144778750002</v>
          </cell>
          <cell r="K349">
            <v>5.3607144778749998</v>
          </cell>
          <cell r="L349">
            <v>0.62401264664089107</v>
          </cell>
        </row>
        <row r="350">
          <cell r="A350" t="str">
            <v>LM50</v>
          </cell>
          <cell r="B350" t="str">
            <v>Loadmaster 1-pole 50A MCB</v>
          </cell>
          <cell r="C350">
            <v>18.675466256249997</v>
          </cell>
          <cell r="D350">
            <v>67.328771318164073</v>
          </cell>
          <cell r="E350">
            <v>21.476786194687499</v>
          </cell>
          <cell r="F350">
            <v>3.9</v>
          </cell>
          <cell r="G350">
            <v>9.6645537876093748</v>
          </cell>
          <cell r="H350">
            <v>5.7645537876093744</v>
          </cell>
          <cell r="I350">
            <v>0.5964635216785622</v>
          </cell>
          <cell r="J350">
            <v>8.5907144778750002</v>
          </cell>
          <cell r="K350">
            <v>4.6907144778749998</v>
          </cell>
          <cell r="L350">
            <v>0.54602146188838241</v>
          </cell>
        </row>
        <row r="351">
          <cell r="A351" t="str">
            <v>LM60</v>
          </cell>
          <cell r="B351" t="str">
            <v>Loadmaster 1-pole 60A MCB</v>
          </cell>
          <cell r="C351">
            <v>18.675466256249997</v>
          </cell>
          <cell r="D351">
            <v>67.328771318164073</v>
          </cell>
          <cell r="E351">
            <v>21.476786194687499</v>
          </cell>
          <cell r="F351">
            <v>3.9</v>
          </cell>
          <cell r="G351">
            <v>9.6645537876093748</v>
          </cell>
          <cell r="H351">
            <v>5.7645537876093744</v>
          </cell>
          <cell r="I351">
            <v>0.5964635216785622</v>
          </cell>
          <cell r="J351">
            <v>8.5907144778750002</v>
          </cell>
          <cell r="K351">
            <v>4.6907144778749998</v>
          </cell>
          <cell r="L351">
            <v>0.54602146188838241</v>
          </cell>
        </row>
        <row r="352">
          <cell r="A352" t="str">
            <v>LM70</v>
          </cell>
          <cell r="B352" t="str">
            <v>Loadmaster 1-pole 70A MCB</v>
          </cell>
          <cell r="C352">
            <v>18.675466256249997</v>
          </cell>
          <cell r="D352">
            <v>67.328771318164073</v>
          </cell>
          <cell r="E352">
            <v>21.476786194687499</v>
          </cell>
          <cell r="F352" t="e">
            <v>#N/A</v>
          </cell>
          <cell r="G352">
            <v>9.6645537876093748</v>
          </cell>
          <cell r="H352" t="e">
            <v>#N/A</v>
          </cell>
          <cell r="I352" t="e">
            <v>#N/A</v>
          </cell>
          <cell r="J352">
            <v>8.5907144778750002</v>
          </cell>
          <cell r="K352" t="e">
            <v>#N/A</v>
          </cell>
          <cell r="L352" t="e">
            <v>#N/A</v>
          </cell>
        </row>
        <row r="353">
          <cell r="A353" t="str">
            <v>LM2P10</v>
          </cell>
          <cell r="B353" t="str">
            <v>Loadmaster 2-pole 10A MCB</v>
          </cell>
          <cell r="C353">
            <v>65.686606164062511</v>
          </cell>
          <cell r="D353">
            <v>67.328771318164073</v>
          </cell>
          <cell r="E353">
            <v>68.970936472265635</v>
          </cell>
          <cell r="F353" t="e">
            <v>#N/A</v>
          </cell>
          <cell r="G353">
            <v>31.036921412519536</v>
          </cell>
          <cell r="H353" t="e">
            <v>#N/A</v>
          </cell>
          <cell r="I353" t="e">
            <v>#N/A</v>
          </cell>
          <cell r="J353">
            <v>27.588374588906255</v>
          </cell>
          <cell r="K353" t="e">
            <v>#N/A</v>
          </cell>
          <cell r="L353" t="e">
            <v>#N/A</v>
          </cell>
        </row>
        <row r="354">
          <cell r="A354" t="str">
            <v>LM2P20</v>
          </cell>
          <cell r="B354" t="str">
            <v>Loadmaster 2-pole 20A MCB</v>
          </cell>
          <cell r="C354">
            <v>65.686606164062511</v>
          </cell>
          <cell r="D354">
            <v>99.017125801953128</v>
          </cell>
          <cell r="E354">
            <v>68.970936472265635</v>
          </cell>
          <cell r="F354" t="e">
            <v>#N/A</v>
          </cell>
          <cell r="G354">
            <v>31.036921412519536</v>
          </cell>
          <cell r="H354" t="e">
            <v>#N/A</v>
          </cell>
          <cell r="I354" t="e">
            <v>#N/A</v>
          </cell>
          <cell r="J354">
            <v>27.588374588906255</v>
          </cell>
          <cell r="K354" t="e">
            <v>#N/A</v>
          </cell>
          <cell r="L354" t="e">
            <v>#N/A</v>
          </cell>
        </row>
        <row r="355">
          <cell r="A355" t="str">
            <v>LM2P30</v>
          </cell>
          <cell r="B355" t="str">
            <v>Loadmaster 2-pole 30A MCB</v>
          </cell>
          <cell r="C355">
            <v>65.686606164062511</v>
          </cell>
          <cell r="D355">
            <v>99.017125801953128</v>
          </cell>
          <cell r="E355">
            <v>68.970936472265635</v>
          </cell>
          <cell r="F355" t="e">
            <v>#N/A</v>
          </cell>
          <cell r="G355">
            <v>31.036921412519536</v>
          </cell>
          <cell r="H355" t="e">
            <v>#N/A</v>
          </cell>
          <cell r="I355" t="e">
            <v>#N/A</v>
          </cell>
          <cell r="J355">
            <v>27.588374588906255</v>
          </cell>
          <cell r="K355" t="e">
            <v>#N/A</v>
          </cell>
          <cell r="L355" t="e">
            <v>#N/A</v>
          </cell>
        </row>
        <row r="356">
          <cell r="A356" t="str">
            <v>LM2P40</v>
          </cell>
          <cell r="B356" t="str">
            <v>Loadmaster 2-pole 40A MCB</v>
          </cell>
          <cell r="C356">
            <v>65.686606164062511</v>
          </cell>
          <cell r="D356">
            <v>99.017125801953128</v>
          </cell>
          <cell r="E356">
            <v>68.970936472265635</v>
          </cell>
          <cell r="F356" t="e">
            <v>#N/A</v>
          </cell>
          <cell r="G356">
            <v>31.036921412519536</v>
          </cell>
          <cell r="H356" t="e">
            <v>#N/A</v>
          </cell>
          <cell r="I356" t="e">
            <v>#N/A</v>
          </cell>
          <cell r="J356">
            <v>27.588374588906255</v>
          </cell>
          <cell r="K356" t="e">
            <v>#N/A</v>
          </cell>
          <cell r="L356" t="e">
            <v>#N/A</v>
          </cell>
        </row>
        <row r="357">
          <cell r="A357" t="str">
            <v>LM2P50</v>
          </cell>
          <cell r="B357" t="str">
            <v>Loadmaster 2-pole 50A MCB</v>
          </cell>
          <cell r="C357">
            <v>65.686606164062511</v>
          </cell>
          <cell r="D357">
            <v>99.017125801953128</v>
          </cell>
          <cell r="E357">
            <v>68.970936472265635</v>
          </cell>
          <cell r="F357" t="e">
            <v>#N/A</v>
          </cell>
          <cell r="G357">
            <v>31.036921412519536</v>
          </cell>
          <cell r="H357" t="e">
            <v>#N/A</v>
          </cell>
          <cell r="I357" t="e">
            <v>#N/A</v>
          </cell>
          <cell r="J357">
            <v>27.588374588906255</v>
          </cell>
          <cell r="K357" t="e">
            <v>#N/A</v>
          </cell>
          <cell r="L357" t="e">
            <v>#N/A</v>
          </cell>
        </row>
        <row r="358">
          <cell r="A358" t="str">
            <v>LM2P60</v>
          </cell>
          <cell r="B358" t="str">
            <v>Loadmaster 2-pole 60A MCB</v>
          </cell>
          <cell r="C358">
            <v>65.686606164062511</v>
          </cell>
          <cell r="D358">
            <v>99.017125801953128</v>
          </cell>
          <cell r="E358">
            <v>68.970936472265635</v>
          </cell>
          <cell r="F358" t="e">
            <v>#N/A</v>
          </cell>
          <cell r="G358">
            <v>31.036921412519536</v>
          </cell>
          <cell r="H358" t="e">
            <v>#N/A</v>
          </cell>
          <cell r="I358" t="e">
            <v>#N/A</v>
          </cell>
          <cell r="J358">
            <v>27.588374588906255</v>
          </cell>
          <cell r="K358" t="e">
            <v>#N/A</v>
          </cell>
          <cell r="L358" t="e">
            <v>#N/A</v>
          </cell>
        </row>
        <row r="359">
          <cell r="A359" t="str">
            <v>LM2P70</v>
          </cell>
          <cell r="B359" t="str">
            <v>Loadmaster 2-pole 70A MCB</v>
          </cell>
          <cell r="C359">
            <v>65.686606164062511</v>
          </cell>
          <cell r="D359">
            <v>99.017125801953128</v>
          </cell>
          <cell r="E359">
            <v>68.970936472265635</v>
          </cell>
          <cell r="F359" t="e">
            <v>#N/A</v>
          </cell>
          <cell r="G359">
            <v>31.036921412519536</v>
          </cell>
          <cell r="H359" t="e">
            <v>#N/A</v>
          </cell>
          <cell r="I359" t="e">
            <v>#N/A</v>
          </cell>
          <cell r="J359">
            <v>27.588374588906255</v>
          </cell>
          <cell r="K359" t="e">
            <v>#N/A</v>
          </cell>
          <cell r="L359" t="e">
            <v>#N/A</v>
          </cell>
        </row>
        <row r="360">
          <cell r="A360" t="str">
            <v>LM3P10</v>
          </cell>
          <cell r="B360" t="str">
            <v>Loadmaster 3-pole 10A MCB</v>
          </cell>
          <cell r="C360">
            <v>96.602073953125014</v>
          </cell>
          <cell r="D360">
            <v>99.017125801953128</v>
          </cell>
          <cell r="E360">
            <v>101.43217765078127</v>
          </cell>
          <cell r="F360">
            <v>10.3</v>
          </cell>
          <cell r="G360">
            <v>45.644479942851575</v>
          </cell>
          <cell r="H360">
            <v>35.344479942851578</v>
          </cell>
          <cell r="I360">
            <v>0.77434292135881611</v>
          </cell>
          <cell r="J360">
            <v>40.572871060312508</v>
          </cell>
          <cell r="K360">
            <v>30.272871060312507</v>
          </cell>
          <cell r="L360">
            <v>0.74613578652866808</v>
          </cell>
        </row>
        <row r="361">
          <cell r="A361" t="str">
            <v>LM3P20</v>
          </cell>
          <cell r="B361" t="str">
            <v>Loadmaster 3-pole 20A MCB</v>
          </cell>
          <cell r="C361">
            <v>96.602073953125014</v>
          </cell>
          <cell r="D361">
            <v>8.3424837124999982</v>
          </cell>
          <cell r="E361">
            <v>101.43217765078127</v>
          </cell>
          <cell r="F361">
            <v>10.3</v>
          </cell>
          <cell r="G361">
            <v>45.644479942851575</v>
          </cell>
          <cell r="H361">
            <v>35.344479942851578</v>
          </cell>
          <cell r="I361">
            <v>0.77434292135881611</v>
          </cell>
          <cell r="J361">
            <v>40.572871060312508</v>
          </cell>
          <cell r="K361">
            <v>30.272871060312507</v>
          </cell>
          <cell r="L361">
            <v>0.74613578652866808</v>
          </cell>
        </row>
        <row r="362">
          <cell r="A362" t="str">
            <v>LM3P30</v>
          </cell>
          <cell r="B362" t="str">
            <v>Loadmaster 3-pole 30A MCB</v>
          </cell>
          <cell r="C362">
            <v>96.602073953125014</v>
          </cell>
          <cell r="D362">
            <v>1.5050604284374998</v>
          </cell>
          <cell r="E362">
            <v>101.43217765078127</v>
          </cell>
          <cell r="F362">
            <v>11.24</v>
          </cell>
          <cell r="G362">
            <v>45.644479942851575</v>
          </cell>
          <cell r="H362">
            <v>34.404479942851573</v>
          </cell>
          <cell r="I362">
            <v>0.75374897437602839</v>
          </cell>
          <cell r="J362">
            <v>40.572871060312508</v>
          </cell>
          <cell r="K362">
            <v>29.332871060312506</v>
          </cell>
          <cell r="L362">
            <v>0.72296759617303186</v>
          </cell>
        </row>
        <row r="363">
          <cell r="A363" t="str">
            <v>LM3P40</v>
          </cell>
          <cell r="B363" t="str">
            <v>Loadmaster 3-pole 40A MCB</v>
          </cell>
          <cell r="C363">
            <v>96.602073953125014</v>
          </cell>
          <cell r="D363">
            <v>1.5174989443749995</v>
          </cell>
          <cell r="E363">
            <v>101.43217765078127</v>
          </cell>
          <cell r="F363">
            <v>12.05</v>
          </cell>
          <cell r="G363">
            <v>45.644479942851575</v>
          </cell>
          <cell r="H363">
            <v>33.594479942851578</v>
          </cell>
          <cell r="I363">
            <v>0.73600312644405186</v>
          </cell>
          <cell r="J363">
            <v>40.572871060312508</v>
          </cell>
          <cell r="K363">
            <v>28.522871060312507</v>
          </cell>
          <cell r="L363">
            <v>0.70300351724955823</v>
          </cell>
        </row>
        <row r="364">
          <cell r="A364" t="str">
            <v>LM3P50</v>
          </cell>
          <cell r="B364" t="str">
            <v>Loadmaster 3-pole 50A MCB</v>
          </cell>
          <cell r="C364">
            <v>96.602073953125014</v>
          </cell>
          <cell r="D364">
            <v>1.5548144921874998</v>
          </cell>
          <cell r="E364">
            <v>101.43217765078127</v>
          </cell>
          <cell r="F364">
            <v>14.31</v>
          </cell>
          <cell r="G364">
            <v>45.644479942851575</v>
          </cell>
          <cell r="H364">
            <v>31.334479942851573</v>
          </cell>
          <cell r="I364">
            <v>0.6864900198684134</v>
          </cell>
          <cell r="J364">
            <v>40.572871060312508</v>
          </cell>
          <cell r="K364">
            <v>26.262871060312506</v>
          </cell>
          <cell r="L364">
            <v>0.647301272351965</v>
          </cell>
        </row>
        <row r="365">
          <cell r="A365" t="str">
            <v>LM3P60</v>
          </cell>
          <cell r="B365" t="str">
            <v>Loadmaster 3-pole 60A MCB</v>
          </cell>
          <cell r="C365">
            <v>96.602073953125014</v>
          </cell>
          <cell r="D365">
            <v>1.6170070718749998</v>
          </cell>
          <cell r="E365">
            <v>101.43217765078127</v>
          </cell>
          <cell r="F365">
            <v>14.31</v>
          </cell>
          <cell r="G365">
            <v>45.644479942851575</v>
          </cell>
          <cell r="H365">
            <v>31.334479942851573</v>
          </cell>
          <cell r="I365">
            <v>0.6864900198684134</v>
          </cell>
          <cell r="J365">
            <v>40.572871060312508</v>
          </cell>
          <cell r="K365">
            <v>26.262871060312506</v>
          </cell>
          <cell r="L365">
            <v>0.647301272351965</v>
          </cell>
        </row>
        <row r="366">
          <cell r="A366" t="str">
            <v>LM3P70</v>
          </cell>
          <cell r="B366" t="str">
            <v>Loadmaster 3-pole 70A MCB</v>
          </cell>
          <cell r="C366">
            <v>96.602073953125014</v>
          </cell>
          <cell r="D366">
            <v>3.7564318131249999</v>
          </cell>
          <cell r="E366">
            <v>101.43217765078127</v>
          </cell>
          <cell r="F366" t="e">
            <v>#N/A</v>
          </cell>
          <cell r="G366">
            <v>45.644479942851575</v>
          </cell>
          <cell r="H366" t="e">
            <v>#N/A</v>
          </cell>
          <cell r="I366" t="e">
            <v>#N/A</v>
          </cell>
          <cell r="J366">
            <v>40.572871060312508</v>
          </cell>
          <cell r="K366" t="e">
            <v>#N/A</v>
          </cell>
          <cell r="L366" t="e">
            <v>#N/A</v>
          </cell>
        </row>
        <row r="367">
          <cell r="A367" t="str">
            <v>LMBP OBSOLETE</v>
          </cell>
          <cell r="B367" t="str">
            <v>Loadmaster blank piece</v>
          </cell>
          <cell r="C367">
            <v>8.1390084999999992</v>
          </cell>
          <cell r="D367">
            <v>4.5151812853125</v>
          </cell>
          <cell r="E367">
            <v>8.545958924999999</v>
          </cell>
          <cell r="F367" t="e">
            <v>#N/A</v>
          </cell>
          <cell r="G367">
            <v>3.8456815162499995</v>
          </cell>
          <cell r="H367" t="e">
            <v>#N/A</v>
          </cell>
          <cell r="I367" t="e">
            <v>#N/A</v>
          </cell>
          <cell r="J367">
            <v>3.4183835699999996</v>
          </cell>
          <cell r="K367" t="e">
            <v>#N/A</v>
          </cell>
          <cell r="L367" t="e">
            <v>#N/A</v>
          </cell>
        </row>
        <row r="368">
          <cell r="A368" t="str">
            <v>LMMB1</v>
          </cell>
          <cell r="B368" t="str">
            <v>Loadmaster 1-pole mounting bracket</v>
          </cell>
          <cell r="C368">
            <v>1.4683516374999999</v>
          </cell>
          <cell r="D368">
            <v>32.353804687500002</v>
          </cell>
          <cell r="E368">
            <v>1.5417692193749999</v>
          </cell>
          <cell r="F368" t="e">
            <v>#N/A</v>
          </cell>
          <cell r="G368">
            <v>0.69379614871874995</v>
          </cell>
          <cell r="H368" t="e">
            <v>#N/A</v>
          </cell>
          <cell r="I368" t="e">
            <v>#N/A</v>
          </cell>
          <cell r="J368">
            <v>0.61670768774999996</v>
          </cell>
          <cell r="K368" t="e">
            <v>#N/A</v>
          </cell>
          <cell r="L368" t="e">
            <v>#N/A</v>
          </cell>
        </row>
        <row r="369">
          <cell r="A369" t="str">
            <v>LMMB2</v>
          </cell>
          <cell r="B369" t="str">
            <v>Loadmaster 2-pole mounting bracket</v>
          </cell>
          <cell r="C369">
            <v>1.4804867749999997</v>
          </cell>
          <cell r="D369">
            <v>35.254490624999995</v>
          </cell>
          <cell r="E369">
            <v>1.5545111137499996</v>
          </cell>
          <cell r="F369" t="e">
            <v>#N/A</v>
          </cell>
          <cell r="G369">
            <v>0.69953000118749986</v>
          </cell>
          <cell r="H369" t="e">
            <v>#N/A</v>
          </cell>
          <cell r="I369" t="e">
            <v>#N/A</v>
          </cell>
          <cell r="J369">
            <v>0.62180444549999991</v>
          </cell>
          <cell r="K369" t="e">
            <v>#N/A</v>
          </cell>
          <cell r="L369" t="e">
            <v>#N/A</v>
          </cell>
        </row>
        <row r="370">
          <cell r="A370" t="str">
            <v>LMMB3</v>
          </cell>
          <cell r="B370" t="str">
            <v>Loadmaster 3-pole mounting bracket</v>
          </cell>
          <cell r="C370">
            <v>1.5168921874999999</v>
          </cell>
          <cell r="D370">
            <v>9.3992499999999986</v>
          </cell>
          <cell r="E370">
            <v>1.5927367968749999</v>
          </cell>
          <cell r="F370" t="e">
            <v>#N/A</v>
          </cell>
          <cell r="G370">
            <v>0.71673155859374993</v>
          </cell>
          <cell r="H370" t="e">
            <v>#N/A</v>
          </cell>
          <cell r="I370" t="e">
            <v>#N/A</v>
          </cell>
          <cell r="J370">
            <v>0.63709471875000001</v>
          </cell>
          <cell r="K370" t="e">
            <v>#N/A</v>
          </cell>
          <cell r="L370" t="e">
            <v>#N/A</v>
          </cell>
        </row>
        <row r="371">
          <cell r="A371" t="str">
            <v>LMMB4</v>
          </cell>
          <cell r="B371" t="str">
            <v>Loadmaster 4-pole mounting bracket</v>
          </cell>
          <cell r="C371">
            <v>1.577567875</v>
          </cell>
          <cell r="E371">
            <v>1.6564462687499999</v>
          </cell>
          <cell r="F371" t="e">
            <v>#N/A</v>
          </cell>
          <cell r="G371">
            <v>0.74540082093749993</v>
          </cell>
          <cell r="H371" t="e">
            <v>#N/A</v>
          </cell>
          <cell r="I371" t="e">
            <v>#N/A</v>
          </cell>
          <cell r="J371">
            <v>0.66257850750000002</v>
          </cell>
          <cell r="K371" t="e">
            <v>#N/A</v>
          </cell>
          <cell r="L371" t="e">
            <v>#N/A</v>
          </cell>
        </row>
        <row r="372">
          <cell r="A372" t="str">
            <v>LMMPD</v>
          </cell>
          <cell r="B372" t="str">
            <v>Loadmaster padlocking device</v>
          </cell>
          <cell r="C372">
            <v>3.6648115250000002</v>
          </cell>
          <cell r="D372">
            <v>166.51012249999997</v>
          </cell>
          <cell r="E372">
            <v>3.8480521012500004</v>
          </cell>
          <cell r="F372" t="e">
            <v>#N/A</v>
          </cell>
          <cell r="G372">
            <v>1.7316234455625001</v>
          </cell>
          <cell r="H372" t="e">
            <v>#N/A</v>
          </cell>
          <cell r="I372" t="e">
            <v>#N/A</v>
          </cell>
          <cell r="J372">
            <v>1.5392208405000003</v>
          </cell>
          <cell r="K372" t="e">
            <v>#N/A</v>
          </cell>
          <cell r="L372" t="e">
            <v>#N/A</v>
          </cell>
        </row>
        <row r="373">
          <cell r="A373" t="str">
            <v>LMSPD</v>
          </cell>
          <cell r="B373" t="str">
            <v>Loadmaster 1-pole padlocking device</v>
          </cell>
          <cell r="C373">
            <v>4.4050549125000007</v>
          </cell>
          <cell r="D373">
            <v>944.69253124999989</v>
          </cell>
          <cell r="E373">
            <v>4.625307658125001</v>
          </cell>
          <cell r="F373" t="e">
            <v>#N/A</v>
          </cell>
          <cell r="G373">
            <v>2.0813884461562506</v>
          </cell>
          <cell r="H373" t="e">
            <v>#N/A</v>
          </cell>
          <cell r="I373" t="e">
            <v>#N/A</v>
          </cell>
          <cell r="J373">
            <v>1.8501230632500005</v>
          </cell>
          <cell r="K373" t="e">
            <v>#N/A</v>
          </cell>
          <cell r="L373" t="e">
            <v>#N/A</v>
          </cell>
        </row>
        <row r="374">
          <cell r="A374" t="str">
            <v>LW2</v>
          </cell>
          <cell r="B374" t="str">
            <v>Loadmaster 2-pole isolator switch</v>
          </cell>
          <cell r="C374">
            <v>31.564687500000002</v>
          </cell>
          <cell r="D374">
            <v>825.69003124999995</v>
          </cell>
          <cell r="E374">
            <v>33.142921874999999</v>
          </cell>
          <cell r="F374" t="e">
            <v>#N/A</v>
          </cell>
          <cell r="G374">
            <v>14.914314843750001</v>
          </cell>
          <cell r="H374" t="e">
            <v>#N/A</v>
          </cell>
          <cell r="I374" t="e">
            <v>#N/A</v>
          </cell>
          <cell r="J374">
            <v>13.25716875</v>
          </cell>
          <cell r="K374" t="e">
            <v>#N/A</v>
          </cell>
          <cell r="L374" t="e">
            <v>#N/A</v>
          </cell>
        </row>
        <row r="375">
          <cell r="A375" t="str">
            <v>LW3</v>
          </cell>
          <cell r="B375" t="str">
            <v>Loadmaster 3-pole isolator switch</v>
          </cell>
          <cell r="C375">
            <v>34.394624999999998</v>
          </cell>
          <cell r="E375">
            <v>42.993281249999995</v>
          </cell>
          <cell r="F375">
            <v>10.119999999999999</v>
          </cell>
          <cell r="G375">
            <v>19.3469765625</v>
          </cell>
          <cell r="H375">
            <v>9.2269765625000009</v>
          </cell>
          <cell r="I375">
            <v>0.47692085286258801</v>
          </cell>
          <cell r="J375">
            <v>17.197312499999999</v>
          </cell>
          <cell r="K375">
            <v>7.0773124999999997</v>
          </cell>
          <cell r="L375">
            <v>0.41153595947041144</v>
          </cell>
        </row>
        <row r="376">
          <cell r="A376" t="str">
            <v>M53J-100/5D</v>
          </cell>
          <cell r="B376" t="str">
            <v>100a Current transformer with DINclip, busbar &amp; foot mounting</v>
          </cell>
          <cell r="C376">
            <v>9.17</v>
          </cell>
          <cell r="D376">
            <v>335.76693749999998</v>
          </cell>
          <cell r="E376">
            <v>9.8118999999999996</v>
          </cell>
          <cell r="F376">
            <v>2.9609999999999999</v>
          </cell>
          <cell r="G376">
            <v>4.4153549999999999</v>
          </cell>
          <cell r="H376">
            <v>1.4543550000000001</v>
          </cell>
          <cell r="I376">
            <v>0.32938574588000286</v>
          </cell>
          <cell r="J376">
            <v>3.92476</v>
          </cell>
          <cell r="K376">
            <v>0.96376000000000017</v>
          </cell>
          <cell r="L376">
            <v>0.24555896411500325</v>
          </cell>
        </row>
        <row r="377">
          <cell r="A377" t="str">
            <v>M53J-125/5D</v>
          </cell>
          <cell r="B377" t="str">
            <v>125a Current transformer with DINclip, busbar &amp; foot mounting</v>
          </cell>
          <cell r="C377">
            <v>9.17</v>
          </cell>
          <cell r="E377">
            <v>9.8118999999999996</v>
          </cell>
          <cell r="F377">
            <v>2.9609999999999999</v>
          </cell>
          <cell r="G377">
            <v>4.4153549999999999</v>
          </cell>
          <cell r="H377">
            <v>1.4543550000000001</v>
          </cell>
          <cell r="I377">
            <v>0.32938574588000286</v>
          </cell>
          <cell r="J377">
            <v>3.92476</v>
          </cell>
          <cell r="K377">
            <v>0.96376000000000017</v>
          </cell>
          <cell r="L377">
            <v>0.24555896411500325</v>
          </cell>
        </row>
        <row r="378">
          <cell r="A378" t="str">
            <v>M53J-150/5D</v>
          </cell>
          <cell r="B378" t="str">
            <v>150a Current transformer with DINclip, busbar &amp; foot mounting</v>
          </cell>
          <cell r="C378">
            <v>9.17</v>
          </cell>
          <cell r="E378">
            <v>9.8118999999999996</v>
          </cell>
          <cell r="F378">
            <v>2.9609999999999999</v>
          </cell>
          <cell r="G378">
            <v>4.4153549999999999</v>
          </cell>
          <cell r="H378">
            <v>1.4543550000000001</v>
          </cell>
          <cell r="I378">
            <v>0.32938574588000286</v>
          </cell>
          <cell r="J378">
            <v>3.92476</v>
          </cell>
          <cell r="K378">
            <v>0.96376000000000017</v>
          </cell>
          <cell r="L378">
            <v>0.24555896411500325</v>
          </cell>
        </row>
        <row r="379">
          <cell r="A379" t="str">
            <v>M53J-200/5D</v>
          </cell>
          <cell r="B379" t="str">
            <v>200a Current transformer with DINclip, busbar &amp; foot mounting</v>
          </cell>
          <cell r="C379">
            <v>9.17</v>
          </cell>
          <cell r="D379">
            <v>47.5250119453125</v>
          </cell>
          <cell r="E379">
            <v>9.8118999999999996</v>
          </cell>
          <cell r="F379">
            <v>2.9609999999999999</v>
          </cell>
          <cell r="G379">
            <v>4.4153549999999999</v>
          </cell>
          <cell r="H379">
            <v>1.4543550000000001</v>
          </cell>
          <cell r="I379">
            <v>0.32938574588000286</v>
          </cell>
          <cell r="J379">
            <v>3.92476</v>
          </cell>
          <cell r="K379">
            <v>0.96376000000000017</v>
          </cell>
          <cell r="L379">
            <v>0.24555896411500325</v>
          </cell>
        </row>
        <row r="380">
          <cell r="A380" t="str">
            <v>M53J-250/5D</v>
          </cell>
          <cell r="B380" t="str">
            <v>250a Current transformer with DINclip, busbar &amp; foot mounting</v>
          </cell>
          <cell r="C380">
            <v>9.17</v>
          </cell>
          <cell r="D380">
            <v>61.027195367187495</v>
          </cell>
          <cell r="E380">
            <v>9.8118999999999996</v>
          </cell>
          <cell r="F380">
            <v>2.9609999999999999</v>
          </cell>
          <cell r="G380">
            <v>4.4153549999999999</v>
          </cell>
          <cell r="H380">
            <v>1.4543550000000001</v>
          </cell>
          <cell r="I380">
            <v>0.32938574588000286</v>
          </cell>
          <cell r="J380">
            <v>3.92476</v>
          </cell>
          <cell r="K380">
            <v>0.96376000000000017</v>
          </cell>
          <cell r="L380">
            <v>0.24555896411500325</v>
          </cell>
        </row>
        <row r="381">
          <cell r="A381" t="str">
            <v>MCFMY6</v>
          </cell>
          <cell r="B381" t="str">
            <v>Links from MMS15Y to Y6 MCCB</v>
          </cell>
          <cell r="C381">
            <v>162.44889999999998</v>
          </cell>
          <cell r="D381">
            <v>688.44642624999994</v>
          </cell>
          <cell r="E381">
            <v>170.57134499999998</v>
          </cell>
          <cell r="F381" t="e">
            <v>#N/A</v>
          </cell>
          <cell r="G381">
            <v>76.757105249999995</v>
          </cell>
          <cell r="H381" t="e">
            <v>#N/A</v>
          </cell>
          <cell r="I381" t="e">
            <v>#N/A</v>
          </cell>
          <cell r="J381">
            <v>68.228538</v>
          </cell>
          <cell r="K381" t="e">
            <v>#N/A</v>
          </cell>
          <cell r="L381" t="e">
            <v>#N/A</v>
          </cell>
        </row>
        <row r="382">
          <cell r="A382" t="str">
            <v>MDSP3/90</v>
          </cell>
          <cell r="B382" t="str">
            <v>90kA 3-phase surge protection assembly</v>
          </cell>
          <cell r="C382">
            <v>921.65125</v>
          </cell>
          <cell r="D382">
            <v>522.07703624999999</v>
          </cell>
          <cell r="E382">
            <v>967.7338125</v>
          </cell>
          <cell r="F382" t="e">
            <v>#N/A</v>
          </cell>
          <cell r="G382">
            <v>435.48021562500003</v>
          </cell>
          <cell r="H382" t="e">
            <v>#N/A</v>
          </cell>
          <cell r="I382" t="e">
            <v>#N/A</v>
          </cell>
          <cell r="J382">
            <v>387.093525</v>
          </cell>
          <cell r="K382" t="e">
            <v>#N/A</v>
          </cell>
          <cell r="L382" t="e">
            <v>#N/A</v>
          </cell>
        </row>
        <row r="383">
          <cell r="A383" t="str">
            <v>MDSP3/150</v>
          </cell>
          <cell r="B383" t="str">
            <v>150kA 3-phase surge protection assembly</v>
          </cell>
          <cell r="C383">
            <v>805.55124999999998</v>
          </cell>
          <cell r="D383">
            <v>599.27639749999992</v>
          </cell>
          <cell r="E383">
            <v>845.82881250000003</v>
          </cell>
          <cell r="F383" t="e">
            <v>#N/A</v>
          </cell>
          <cell r="G383">
            <v>380.62296562500001</v>
          </cell>
          <cell r="H383" t="e">
            <v>#N/A</v>
          </cell>
          <cell r="I383" t="e">
            <v>#N/A</v>
          </cell>
          <cell r="J383">
            <v>338.33152500000006</v>
          </cell>
          <cell r="K383" t="e">
            <v>#N/A</v>
          </cell>
          <cell r="L383" t="e">
            <v>#N/A</v>
          </cell>
        </row>
        <row r="384">
          <cell r="A384" t="str">
            <v>MMS15Y</v>
          </cell>
          <cell r="B384" t="str">
            <v>Modis Incoming housing</v>
          </cell>
          <cell r="C384">
            <v>327.57749999999999</v>
          </cell>
          <cell r="D384">
            <v>692.17732374999991</v>
          </cell>
          <cell r="E384">
            <v>343.95637499999998</v>
          </cell>
          <cell r="F384">
            <v>123.6115164</v>
          </cell>
          <cell r="G384">
            <v>154.78036875000001</v>
          </cell>
          <cell r="H384">
            <v>31.168852350000009</v>
          </cell>
          <cell r="I384">
            <v>0.20137471309648891</v>
          </cell>
          <cell r="J384">
            <v>137.58255</v>
          </cell>
          <cell r="K384">
            <v>13.971033599999998</v>
          </cell>
          <cell r="L384">
            <v>0.10154655223354996</v>
          </cell>
        </row>
        <row r="385">
          <cell r="A385" t="str">
            <v>MXD06</v>
          </cell>
          <cell r="B385" t="str">
            <v>6 way unshielded door kit</v>
          </cell>
          <cell r="C385">
            <v>46.365865312500006</v>
          </cell>
          <cell r="D385">
            <v>535.81590562499991</v>
          </cell>
          <cell r="E385">
            <v>48.684158578125007</v>
          </cell>
          <cell r="F385">
            <v>16.080573600000001</v>
          </cell>
          <cell r="G385">
            <v>21.907871360156253</v>
          </cell>
          <cell r="H385">
            <v>5.8272977601562523</v>
          </cell>
          <cell r="I385">
            <v>0.26599105245589183</v>
          </cell>
          <cell r="J385">
            <v>19.473663431250003</v>
          </cell>
          <cell r="K385">
            <v>3.393089831250002</v>
          </cell>
          <cell r="L385">
            <v>0.17423993401287832</v>
          </cell>
        </row>
        <row r="386">
          <cell r="A386" t="str">
            <v>MXD10</v>
          </cell>
          <cell r="B386" t="str">
            <v>10 way unshielded door kit</v>
          </cell>
          <cell r="C386">
            <v>59.538727187500001</v>
          </cell>
          <cell r="D386">
            <v>613.53865237499986</v>
          </cell>
          <cell r="E386">
            <v>62.515663546875004</v>
          </cell>
          <cell r="F386">
            <v>23.661391200000001</v>
          </cell>
          <cell r="G386">
            <v>28.132048596093753</v>
          </cell>
          <cell r="H386">
            <v>4.4706573960937526</v>
          </cell>
          <cell r="I386">
            <v>0.15891688018463473</v>
          </cell>
          <cell r="J386">
            <v>25.006265418750004</v>
          </cell>
          <cell r="K386">
            <v>1.3448742187500038</v>
          </cell>
          <cell r="L386">
            <v>5.3781490207714125E-2</v>
          </cell>
        </row>
        <row r="387">
          <cell r="A387" t="str">
            <v>PB1630</v>
          </cell>
          <cell r="B387" t="str">
            <v>Meter housing c/w integra 1630</v>
          </cell>
          <cell r="C387">
            <v>671.65504999999996</v>
          </cell>
          <cell r="D387">
            <v>705.39280762500005</v>
          </cell>
          <cell r="E387">
            <v>705.23780249999993</v>
          </cell>
          <cell r="F387" t="e">
            <v>#N/A</v>
          </cell>
          <cell r="G387">
            <v>317.35701112499999</v>
          </cell>
          <cell r="H387" t="e">
            <v>#N/A</v>
          </cell>
          <cell r="I387" t="e">
            <v>#N/A</v>
          </cell>
          <cell r="J387">
            <v>282.09512100000001</v>
          </cell>
          <cell r="K387" t="e">
            <v>#N/A</v>
          </cell>
          <cell r="L387" t="e">
            <v>#N/A</v>
          </cell>
        </row>
        <row r="388">
          <cell r="A388" t="str">
            <v>PB206YA</v>
          </cell>
          <cell r="B388" t="str">
            <v>6 way 250A panel board</v>
          </cell>
          <cell r="C388">
            <v>509.34345000000002</v>
          </cell>
          <cell r="D388">
            <v>509.34345000000002</v>
          </cell>
          <cell r="E388">
            <v>509.34345000000002</v>
          </cell>
          <cell r="F388">
            <v>141.34950000000001</v>
          </cell>
          <cell r="G388">
            <v>229.20455250000001</v>
          </cell>
          <cell r="H388">
            <v>87.855052499999999</v>
          </cell>
          <cell r="I388">
            <v>0.38330413397875246</v>
          </cell>
          <cell r="J388">
            <v>203.73738000000003</v>
          </cell>
          <cell r="K388">
            <v>62.387880000000024</v>
          </cell>
          <cell r="L388">
            <v>0.30621715072609657</v>
          </cell>
        </row>
        <row r="389">
          <cell r="A389" t="str">
            <v>PB208YA</v>
          </cell>
          <cell r="B389" t="str">
            <v>8 way 250A panel board</v>
          </cell>
          <cell r="C389">
            <v>584.65989999999999</v>
          </cell>
          <cell r="D389">
            <v>584.65989999999999</v>
          </cell>
          <cell r="E389">
            <v>584.65989999999999</v>
          </cell>
          <cell r="F389">
            <v>152.695032</v>
          </cell>
          <cell r="G389">
            <v>263.09695499999998</v>
          </cell>
          <cell r="H389">
            <v>110.40192299999998</v>
          </cell>
          <cell r="I389">
            <v>0.41962448026051835</v>
          </cell>
          <cell r="J389">
            <v>233.86396000000002</v>
          </cell>
          <cell r="K389">
            <v>81.168928000000022</v>
          </cell>
          <cell r="L389">
            <v>0.3470775402930833</v>
          </cell>
        </row>
        <row r="390">
          <cell r="A390" t="str">
            <v>PB212YA</v>
          </cell>
          <cell r="B390" t="str">
            <v>12 way 250A panel board</v>
          </cell>
          <cell r="C390">
            <v>675.29494999999997</v>
          </cell>
          <cell r="D390">
            <v>31.013834999999997</v>
          </cell>
          <cell r="E390">
            <v>709.05969749999997</v>
          </cell>
          <cell r="F390">
            <v>175.44790799999998</v>
          </cell>
          <cell r="G390">
            <v>319.07686387500002</v>
          </cell>
          <cell r="H390">
            <v>143.62895587500003</v>
          </cell>
          <cell r="I390">
            <v>0.45013904841206975</v>
          </cell>
          <cell r="J390">
            <v>283.62387899999999</v>
          </cell>
          <cell r="K390">
            <v>108.175971</v>
          </cell>
          <cell r="L390">
            <v>0.38140642946357844</v>
          </cell>
        </row>
        <row r="391">
          <cell r="A391" t="str">
            <v>PB406YA</v>
          </cell>
          <cell r="B391" t="str">
            <v>6 way 400A panel board</v>
          </cell>
          <cell r="C391">
            <v>522.74722499999996</v>
          </cell>
          <cell r="D391">
            <v>751.46019750000005</v>
          </cell>
          <cell r="E391">
            <v>548.88458624999998</v>
          </cell>
          <cell r="F391">
            <v>147.23376000000002</v>
          </cell>
          <cell r="G391">
            <v>246.99806381249999</v>
          </cell>
          <cell r="H391">
            <v>99.764303812499975</v>
          </cell>
          <cell r="I391">
            <v>0.40390723017259189</v>
          </cell>
          <cell r="J391">
            <v>219.55383449999999</v>
          </cell>
          <cell r="K391">
            <v>72.320074499999976</v>
          </cell>
          <cell r="L391">
            <v>0.32939563394416588</v>
          </cell>
        </row>
        <row r="392">
          <cell r="A392" t="str">
            <v>PB408YA</v>
          </cell>
          <cell r="B392" t="str">
            <v>8 way 400A panel board</v>
          </cell>
          <cell r="C392">
            <v>598.57429499999989</v>
          </cell>
          <cell r="D392">
            <v>90.494542462499993</v>
          </cell>
          <cell r="E392">
            <v>628.50300974999993</v>
          </cell>
          <cell r="F392">
            <v>157.26911999999999</v>
          </cell>
          <cell r="G392">
            <v>282.82635438749998</v>
          </cell>
          <cell r="H392">
            <v>125.55723438749999</v>
          </cell>
          <cell r="I392">
            <v>0.44393753424928079</v>
          </cell>
          <cell r="J392">
            <v>251.40120389999998</v>
          </cell>
          <cell r="K392">
            <v>94.132083899999998</v>
          </cell>
          <cell r="L392">
            <v>0.37442972603044089</v>
          </cell>
        </row>
        <row r="393">
          <cell r="A393" t="str">
            <v>PB412YA</v>
          </cell>
          <cell r="B393" t="str">
            <v>12 way 400A panel board</v>
          </cell>
          <cell r="C393">
            <v>688.18810500000006</v>
          </cell>
          <cell r="D393">
            <v>61.857029024999996</v>
          </cell>
          <cell r="E393">
            <v>722.59751025000003</v>
          </cell>
          <cell r="F393">
            <v>179.04875999999999</v>
          </cell>
          <cell r="G393">
            <v>325.16887961250001</v>
          </cell>
          <cell r="H393">
            <v>146.12011961250002</v>
          </cell>
          <cell r="I393">
            <v>0.44936686372518081</v>
          </cell>
          <cell r="J393">
            <v>289.0390041</v>
          </cell>
          <cell r="K393">
            <v>109.99024410000001</v>
          </cell>
          <cell r="L393">
            <v>0.38053772169082839</v>
          </cell>
        </row>
        <row r="394">
          <cell r="A394" t="str">
            <v>PB416YA</v>
          </cell>
          <cell r="B394" t="str">
            <v>16 way 400A panel board</v>
          </cell>
          <cell r="C394">
            <v>841.24644999999998</v>
          </cell>
          <cell r="D394">
            <v>12.4963695</v>
          </cell>
          <cell r="E394">
            <v>883.30877250000003</v>
          </cell>
          <cell r="F394">
            <v>197.84688</v>
          </cell>
          <cell r="G394">
            <v>397.48894762500004</v>
          </cell>
          <cell r="H394">
            <v>199.64206762500004</v>
          </cell>
          <cell r="I394">
            <v>0.50225816042902116</v>
          </cell>
          <cell r="J394">
            <v>353.32350900000006</v>
          </cell>
          <cell r="K394">
            <v>155.47662900000006</v>
          </cell>
          <cell r="L394">
            <v>0.44004043048264879</v>
          </cell>
        </row>
        <row r="395">
          <cell r="A395" t="str">
            <v>PB4PNC250</v>
          </cell>
          <cell r="B395" t="str">
            <v>YA3 4-pole incomer kit for loadbank 125</v>
          </cell>
          <cell r="C395">
            <v>26.638750000000002</v>
          </cell>
          <cell r="D395">
            <v>108.82255106249998</v>
          </cell>
          <cell r="E395">
            <v>27.9706875</v>
          </cell>
          <cell r="F395">
            <v>6.7068443999999996</v>
          </cell>
          <cell r="G395">
            <v>12.586809375</v>
          </cell>
          <cell r="H395">
            <v>5.879964975</v>
          </cell>
          <cell r="I395">
            <v>0.46715293763634996</v>
          </cell>
          <cell r="J395">
            <v>11.188275000000001</v>
          </cell>
          <cell r="K395">
            <v>4.4814306000000013</v>
          </cell>
          <cell r="L395">
            <v>0.40054705484089381</v>
          </cell>
        </row>
        <row r="396">
          <cell r="A396" t="str">
            <v>PB4PNC400</v>
          </cell>
          <cell r="B396" t="str">
            <v>YA5 4-pole incomer kit for loadbank 125</v>
          </cell>
          <cell r="C396">
            <v>30.257400000000001</v>
          </cell>
          <cell r="D396">
            <v>99.658546762499981</v>
          </cell>
          <cell r="E396">
            <v>31.77027</v>
          </cell>
          <cell r="F396">
            <v>7.6798380000000002</v>
          </cell>
          <cell r="G396">
            <v>14.296621500000001</v>
          </cell>
          <cell r="H396">
            <v>6.6167835000000004</v>
          </cell>
          <cell r="I396">
            <v>0.46282147848706773</v>
          </cell>
          <cell r="J396">
            <v>12.708108000000001</v>
          </cell>
          <cell r="K396">
            <v>5.0282700000000009</v>
          </cell>
          <cell r="L396">
            <v>0.39567416329795124</v>
          </cell>
        </row>
        <row r="397">
          <cell r="A397" t="str">
            <v>PBSM</v>
          </cell>
          <cell r="B397" t="str">
            <v>TVSS mounting kit c/w DSP3 unit</v>
          </cell>
          <cell r="C397">
            <v>733.13190000000009</v>
          </cell>
          <cell r="D397">
            <v>16.814868749999999</v>
          </cell>
          <cell r="E397">
            <v>769.78849500000013</v>
          </cell>
          <cell r="F397" t="e">
            <v>#N/A</v>
          </cell>
          <cell r="G397">
            <v>346.40482275000005</v>
          </cell>
          <cell r="H397" t="e">
            <v>#N/A</v>
          </cell>
          <cell r="I397" t="e">
            <v>#N/A</v>
          </cell>
          <cell r="J397">
            <v>307.9153980000001</v>
          </cell>
          <cell r="K397" t="e">
            <v>#N/A</v>
          </cell>
          <cell r="L397" t="e">
            <v>#N/A</v>
          </cell>
        </row>
        <row r="398">
          <cell r="A398" t="str">
            <v>PBYA2CSB</v>
          </cell>
          <cell r="B398" t="str">
            <v>Cable spreader box</v>
          </cell>
          <cell r="C398">
            <v>88.287358499999996</v>
          </cell>
          <cell r="D398">
            <v>16.337474999999998</v>
          </cell>
          <cell r="E398">
            <v>92.701726425000004</v>
          </cell>
          <cell r="F398">
            <v>15.281017200000001</v>
          </cell>
          <cell r="G398">
            <v>41.715776891250002</v>
          </cell>
          <cell r="H398">
            <v>26.434759691250001</v>
          </cell>
          <cell r="I398">
            <v>0.63368733992809234</v>
          </cell>
          <cell r="J398">
            <v>37.080690570000002</v>
          </cell>
          <cell r="K398">
            <v>21.799673370000001</v>
          </cell>
          <cell r="L398">
            <v>0.58789825741910395</v>
          </cell>
        </row>
        <row r="399">
          <cell r="A399" t="str">
            <v>PBYA2DC4</v>
          </cell>
          <cell r="B399" t="str">
            <v>400A direct connection kit</v>
          </cell>
          <cell r="C399">
            <v>60.348320999999999</v>
          </cell>
          <cell r="D399">
            <v>9.123524999999999</v>
          </cell>
          <cell r="E399">
            <v>63.36573705</v>
          </cell>
          <cell r="F399">
            <v>6.3597276000000003</v>
          </cell>
          <cell r="G399">
            <v>28.5145816725</v>
          </cell>
          <cell r="H399">
            <v>22.154854072500001</v>
          </cell>
          <cell r="I399">
            <v>0.77696577586009474</v>
          </cell>
          <cell r="J399">
            <v>25.346294820000001</v>
          </cell>
          <cell r="K399">
            <v>18.986567220000001</v>
          </cell>
          <cell r="L399">
            <v>0.74908649784260661</v>
          </cell>
        </row>
        <row r="400">
          <cell r="A400" t="str">
            <v>PBYA2NA</v>
          </cell>
          <cell r="B400" t="str">
            <v>Outgoing cable gland</v>
          </cell>
          <cell r="C400">
            <v>12.191580000000002</v>
          </cell>
          <cell r="D400">
            <v>8.9174999999999986</v>
          </cell>
          <cell r="E400">
            <v>12.801159000000002</v>
          </cell>
          <cell r="F400">
            <v>4.5800268000000006</v>
          </cell>
          <cell r="G400">
            <v>5.7605215500000009</v>
          </cell>
          <cell r="H400">
            <v>1.1804947500000003</v>
          </cell>
          <cell r="I400">
            <v>0.20492844957762549</v>
          </cell>
          <cell r="J400">
            <v>5.1204636000000008</v>
          </cell>
          <cell r="K400">
            <v>0.54043680000000016</v>
          </cell>
          <cell r="L400">
            <v>0.10554450577482868</v>
          </cell>
        </row>
        <row r="401">
          <cell r="A401" t="str">
            <v>PBYA2OG</v>
          </cell>
          <cell r="B401" t="str">
            <v>YA3 outgoing housing</v>
          </cell>
          <cell r="C401">
            <v>106.16834249999999</v>
          </cell>
          <cell r="D401">
            <v>8.9174999999999986</v>
          </cell>
          <cell r="E401">
            <v>111.476759625</v>
          </cell>
          <cell r="F401">
            <v>37.584968400000001</v>
          </cell>
          <cell r="G401">
            <v>50.164541831249998</v>
          </cell>
          <cell r="H401">
            <v>12.579573431249997</v>
          </cell>
          <cell r="I401">
            <v>0.25076623790498875</v>
          </cell>
          <cell r="J401">
            <v>44.590703850000004</v>
          </cell>
          <cell r="K401">
            <v>7.0057354500000031</v>
          </cell>
          <cell r="L401">
            <v>0.15711201764311244</v>
          </cell>
        </row>
        <row r="402">
          <cell r="A402" t="str">
            <v>PBYA2SC24</v>
          </cell>
          <cell r="B402" t="str">
            <v>24 way 1-pole service centre</v>
          </cell>
          <cell r="C402">
            <v>97.227850499999988</v>
          </cell>
          <cell r="D402">
            <v>8.9174999999999986</v>
          </cell>
          <cell r="E402">
            <v>102.08924302499999</v>
          </cell>
          <cell r="F402">
            <v>15.93477</v>
          </cell>
          <cell r="G402">
            <v>45.940159361249997</v>
          </cell>
          <cell r="H402">
            <v>30.005389361249996</v>
          </cell>
          <cell r="I402">
            <v>0.65314073304149667</v>
          </cell>
          <cell r="J402">
            <v>40.835697209999999</v>
          </cell>
          <cell r="K402">
            <v>24.900927209999999</v>
          </cell>
          <cell r="L402">
            <v>0.60978332467168372</v>
          </cell>
        </row>
        <row r="403">
          <cell r="A403" t="str">
            <v>PE201-40/5</v>
          </cell>
          <cell r="B403" t="str">
            <v>Moulded current transformer</v>
          </cell>
          <cell r="C403">
            <v>16.40475</v>
          </cell>
          <cell r="D403">
            <v>8.9174999999999986</v>
          </cell>
          <cell r="E403">
            <v>17.224987500000001</v>
          </cell>
          <cell r="F403" t="e">
            <v>#N/A</v>
          </cell>
          <cell r="G403">
            <v>7.7512443750000006</v>
          </cell>
          <cell r="H403" t="e">
            <v>#N/A</v>
          </cell>
          <cell r="I403" t="e">
            <v>#N/A</v>
          </cell>
          <cell r="J403">
            <v>6.8899950000000008</v>
          </cell>
          <cell r="K403" t="e">
            <v>#N/A</v>
          </cell>
          <cell r="L403" t="e">
            <v>#N/A</v>
          </cell>
        </row>
        <row r="404">
          <cell r="A404" t="str">
            <v>PE201-60/5</v>
          </cell>
          <cell r="B404" t="str">
            <v>Moulded current transformer</v>
          </cell>
          <cell r="C404">
            <v>15.939</v>
          </cell>
          <cell r="D404">
            <v>10.141964999999999</v>
          </cell>
          <cell r="E404">
            <v>16.735949999999999</v>
          </cell>
          <cell r="F404" t="e">
            <v>#N/A</v>
          </cell>
          <cell r="G404">
            <v>7.5311775000000001</v>
          </cell>
          <cell r="H404" t="e">
            <v>#N/A</v>
          </cell>
          <cell r="I404" t="e">
            <v>#N/A</v>
          </cell>
          <cell r="J404">
            <v>6.6943799999999998</v>
          </cell>
          <cell r="K404" t="e">
            <v>#N/A</v>
          </cell>
          <cell r="L404" t="e">
            <v>#N/A</v>
          </cell>
        </row>
        <row r="405">
          <cell r="A405" t="str">
            <v>PE301-75/5</v>
          </cell>
          <cell r="B405" t="str">
            <v>Moulded current transformer</v>
          </cell>
          <cell r="C405">
            <v>8.9009999999999998</v>
          </cell>
          <cell r="D405">
            <v>10.141964999999999</v>
          </cell>
          <cell r="E405">
            <v>9.34605</v>
          </cell>
          <cell r="F405" t="e">
            <v>#N/A</v>
          </cell>
          <cell r="G405">
            <v>4.2057225000000003</v>
          </cell>
          <cell r="H405" t="e">
            <v>#N/A</v>
          </cell>
          <cell r="I405" t="e">
            <v>#N/A</v>
          </cell>
          <cell r="J405">
            <v>3.7384200000000001</v>
          </cell>
          <cell r="K405" t="e">
            <v>#N/A</v>
          </cell>
          <cell r="L405" t="e">
            <v>#N/A</v>
          </cell>
        </row>
        <row r="406">
          <cell r="A406" t="str">
            <v>PE301-100/5</v>
          </cell>
          <cell r="B406" t="str">
            <v>Moulded current transformer</v>
          </cell>
          <cell r="C406">
            <v>8.6999999999999993</v>
          </cell>
          <cell r="D406">
            <v>10.141964999999999</v>
          </cell>
          <cell r="E406">
            <v>9.1349999999999998</v>
          </cell>
          <cell r="F406" t="e">
            <v>#N/A</v>
          </cell>
          <cell r="G406">
            <v>4.1107500000000003</v>
          </cell>
          <cell r="H406" t="e">
            <v>#N/A</v>
          </cell>
          <cell r="I406" t="e">
            <v>#N/A</v>
          </cell>
          <cell r="J406">
            <v>3.6539999999999999</v>
          </cell>
          <cell r="K406" t="e">
            <v>#N/A</v>
          </cell>
          <cell r="L406" t="e">
            <v>#N/A</v>
          </cell>
        </row>
        <row r="407">
          <cell r="A407" t="str">
            <v>PE301-150/5</v>
          </cell>
          <cell r="B407" t="str">
            <v>Moulded current transformer</v>
          </cell>
          <cell r="C407">
            <v>8.6999999999999993</v>
          </cell>
          <cell r="D407">
            <v>10.141964999999999</v>
          </cell>
          <cell r="E407">
            <v>9.1349999999999998</v>
          </cell>
          <cell r="F407" t="e">
            <v>#N/A</v>
          </cell>
          <cell r="G407">
            <v>4.1107500000000003</v>
          </cell>
          <cell r="H407" t="e">
            <v>#N/A</v>
          </cell>
          <cell r="I407" t="e">
            <v>#N/A</v>
          </cell>
          <cell r="J407">
            <v>3.6539999999999999</v>
          </cell>
          <cell r="K407" t="e">
            <v>#N/A</v>
          </cell>
          <cell r="L407" t="e">
            <v>#N/A</v>
          </cell>
        </row>
        <row r="408">
          <cell r="A408" t="str">
            <v>PE301-200/5</v>
          </cell>
          <cell r="B408" t="str">
            <v>Moulded current transformer</v>
          </cell>
          <cell r="C408">
            <v>8.6999999999999993</v>
          </cell>
          <cell r="D408">
            <v>11.612443837500001</v>
          </cell>
          <cell r="E408">
            <v>9.1349999999999998</v>
          </cell>
          <cell r="F408" t="e">
            <v>#N/A</v>
          </cell>
          <cell r="G408">
            <v>4.1107500000000003</v>
          </cell>
          <cell r="H408" t="e">
            <v>#N/A</v>
          </cell>
          <cell r="I408" t="e">
            <v>#N/A</v>
          </cell>
          <cell r="J408">
            <v>3.6539999999999999</v>
          </cell>
          <cell r="K408" t="e">
            <v>#N/A</v>
          </cell>
          <cell r="L408" t="e">
            <v>#N/A</v>
          </cell>
        </row>
        <row r="409">
          <cell r="A409" t="str">
            <v>PE301-250/5</v>
          </cell>
          <cell r="B409" t="str">
            <v>Moulded current transformer</v>
          </cell>
          <cell r="C409">
            <v>8.6999999999999993</v>
          </cell>
          <cell r="D409">
            <v>11.612443837500001</v>
          </cell>
          <cell r="E409">
            <v>9.1349999999999998</v>
          </cell>
          <cell r="F409" t="e">
            <v>#N/A</v>
          </cell>
          <cell r="G409">
            <v>4.1107500000000003</v>
          </cell>
          <cell r="H409" t="e">
            <v>#N/A</v>
          </cell>
          <cell r="I409" t="e">
            <v>#N/A</v>
          </cell>
          <cell r="J409">
            <v>3.6539999999999999</v>
          </cell>
          <cell r="K409" t="e">
            <v>#N/A</v>
          </cell>
          <cell r="L409" t="e">
            <v>#N/A</v>
          </cell>
        </row>
        <row r="410">
          <cell r="A410" t="str">
            <v>PE401-250/5</v>
          </cell>
          <cell r="B410" t="str">
            <v>250A/5A current transformer</v>
          </cell>
          <cell r="C410">
            <v>9.8946000000000005</v>
          </cell>
          <cell r="D410">
            <v>15.276599999999998</v>
          </cell>
          <cell r="E410">
            <v>10.389330000000001</v>
          </cell>
          <cell r="F410" t="e">
            <v>#N/A</v>
          </cell>
          <cell r="G410">
            <v>4.6751985000000005</v>
          </cell>
          <cell r="H410" t="e">
            <v>#N/A</v>
          </cell>
          <cell r="I410" t="e">
            <v>#N/A</v>
          </cell>
          <cell r="J410">
            <v>4.1557320000000004</v>
          </cell>
          <cell r="K410" t="e">
            <v>#N/A</v>
          </cell>
          <cell r="L410" t="e">
            <v>#N/A</v>
          </cell>
        </row>
        <row r="411">
          <cell r="A411" t="str">
            <v>PE401-300/5</v>
          </cell>
          <cell r="B411" t="str">
            <v>300/5A  moulded current transformer</v>
          </cell>
          <cell r="C411">
            <v>9.8946000000000005</v>
          </cell>
          <cell r="D411">
            <v>15.276599999999998</v>
          </cell>
          <cell r="E411">
            <v>10.389330000000001</v>
          </cell>
          <cell r="F411" t="e">
            <v>#N/A</v>
          </cell>
          <cell r="G411">
            <v>4.6751985000000005</v>
          </cell>
          <cell r="H411" t="e">
            <v>#N/A</v>
          </cell>
          <cell r="I411" t="e">
            <v>#N/A</v>
          </cell>
          <cell r="J411">
            <v>4.1557320000000004</v>
          </cell>
          <cell r="K411" t="e">
            <v>#N/A</v>
          </cell>
          <cell r="L411" t="e">
            <v>#N/A</v>
          </cell>
        </row>
        <row r="412">
          <cell r="A412" t="str">
            <v>PE401-400/5</v>
          </cell>
          <cell r="B412" t="str">
            <v>400A/5A moulded current transformer</v>
          </cell>
          <cell r="C412">
            <v>9.8946000000000005</v>
          </cell>
          <cell r="E412">
            <v>10.389330000000001</v>
          </cell>
          <cell r="F412" t="e">
            <v>#N/A</v>
          </cell>
          <cell r="G412">
            <v>4.6751985000000005</v>
          </cell>
          <cell r="H412" t="e">
            <v>#N/A</v>
          </cell>
          <cell r="I412" t="e">
            <v>#N/A</v>
          </cell>
          <cell r="J412">
            <v>4.1557320000000004</v>
          </cell>
          <cell r="K412" t="e">
            <v>#N/A</v>
          </cell>
          <cell r="L412" t="e">
            <v>#N/A</v>
          </cell>
        </row>
        <row r="413">
          <cell r="A413" t="str">
            <v>PE401-600/5</v>
          </cell>
          <cell r="B413" t="str">
            <v>600/5A moulded current transformer</v>
          </cell>
          <cell r="C413">
            <v>9.8946000000000005</v>
          </cell>
          <cell r="D413">
            <v>19.031330246499994</v>
          </cell>
          <cell r="E413">
            <v>10.389330000000001</v>
          </cell>
          <cell r="F413" t="e">
            <v>#N/A</v>
          </cell>
          <cell r="G413">
            <v>4.6751985000000005</v>
          </cell>
          <cell r="H413" t="e">
            <v>#N/A</v>
          </cell>
          <cell r="I413" t="e">
            <v>#N/A</v>
          </cell>
          <cell r="J413">
            <v>4.1557320000000004</v>
          </cell>
          <cell r="K413" t="e">
            <v>#N/A</v>
          </cell>
          <cell r="L413" t="e">
            <v>#N/A</v>
          </cell>
        </row>
        <row r="414">
          <cell r="A414" t="str">
            <v>PE601-400/5</v>
          </cell>
          <cell r="B414" t="str">
            <v>400A/5A current transformer</v>
          </cell>
          <cell r="C414">
            <v>11.329213500000002</v>
          </cell>
          <cell r="D414">
            <v>25.384098882999997</v>
          </cell>
          <cell r="E414">
            <v>11.895674175000002</v>
          </cell>
          <cell r="F414" t="e">
            <v>#N/A</v>
          </cell>
          <cell r="G414">
            <v>5.3530533787500012</v>
          </cell>
          <cell r="H414" t="e">
            <v>#N/A</v>
          </cell>
          <cell r="I414" t="e">
            <v>#N/A</v>
          </cell>
          <cell r="J414">
            <v>4.7582696700000007</v>
          </cell>
          <cell r="K414" t="e">
            <v>#N/A</v>
          </cell>
          <cell r="L414" t="e">
            <v>#N/A</v>
          </cell>
        </row>
        <row r="415">
          <cell r="A415" t="str">
            <v>PE601-600/5</v>
          </cell>
          <cell r="B415" t="str">
            <v>600A/5A current transformer</v>
          </cell>
          <cell r="C415">
            <v>11.329213500000002</v>
          </cell>
          <cell r="D415">
            <v>37.765928199999998</v>
          </cell>
          <cell r="E415">
            <v>11.895674175000002</v>
          </cell>
          <cell r="F415" t="e">
            <v>#N/A</v>
          </cell>
          <cell r="G415">
            <v>5.3530533787500012</v>
          </cell>
          <cell r="H415" t="e">
            <v>#N/A</v>
          </cell>
          <cell r="I415" t="e">
            <v>#N/A</v>
          </cell>
          <cell r="J415">
            <v>4.7582696700000007</v>
          </cell>
          <cell r="K415" t="e">
            <v>#N/A</v>
          </cell>
          <cell r="L415" t="e">
            <v>#N/A</v>
          </cell>
        </row>
        <row r="416">
          <cell r="A416" t="str">
            <v>PE801-800/5</v>
          </cell>
          <cell r="B416" t="str">
            <v>800A/5A current transformer</v>
          </cell>
          <cell r="C416">
            <v>14.904</v>
          </cell>
          <cell r="D416">
            <v>39.27656532799999</v>
          </cell>
          <cell r="E416">
            <v>15.6492</v>
          </cell>
          <cell r="F416" t="e">
            <v>#N/A</v>
          </cell>
          <cell r="G416">
            <v>7.0421400000000007</v>
          </cell>
          <cell r="H416" t="e">
            <v>#N/A</v>
          </cell>
          <cell r="I416" t="e">
            <v>#N/A</v>
          </cell>
          <cell r="J416">
            <v>6.2596800000000004</v>
          </cell>
          <cell r="K416" t="e">
            <v>#N/A</v>
          </cell>
          <cell r="L416" t="e">
            <v>#N/A</v>
          </cell>
        </row>
        <row r="417">
          <cell r="A417" t="str">
            <v>PE801-1000/5</v>
          </cell>
          <cell r="B417" t="str">
            <v>1000A/5A  current transformer</v>
          </cell>
          <cell r="C417">
            <v>14.904</v>
          </cell>
          <cell r="D417">
            <v>66.468033632000001</v>
          </cell>
          <cell r="E417">
            <v>15.6492</v>
          </cell>
          <cell r="F417" t="e">
            <v>#N/A</v>
          </cell>
          <cell r="G417">
            <v>7.0421400000000007</v>
          </cell>
          <cell r="H417" t="e">
            <v>#N/A</v>
          </cell>
          <cell r="I417" t="e">
            <v>#N/A</v>
          </cell>
          <cell r="J417">
            <v>6.2596800000000004</v>
          </cell>
          <cell r="K417" t="e">
            <v>#N/A</v>
          </cell>
          <cell r="L417" t="e">
            <v>#N/A</v>
          </cell>
        </row>
        <row r="418">
          <cell r="A418" t="str">
            <v>PE1001-1250/5</v>
          </cell>
          <cell r="B418" t="str">
            <v>Moulded current transformer</v>
          </cell>
          <cell r="C418">
            <v>19.923749999999998</v>
          </cell>
          <cell r="D418">
            <v>84.59567916799999</v>
          </cell>
          <cell r="E418">
            <v>20.9199375</v>
          </cell>
          <cell r="F418" t="e">
            <v>#N/A</v>
          </cell>
          <cell r="G418">
            <v>9.4139718749999997</v>
          </cell>
          <cell r="H418" t="e">
            <v>#N/A</v>
          </cell>
          <cell r="I418" t="e">
            <v>#N/A</v>
          </cell>
          <cell r="J418">
            <v>8.3679749999999995</v>
          </cell>
          <cell r="K418" t="e">
            <v>#N/A</v>
          </cell>
          <cell r="L418" t="e">
            <v>#N/A</v>
          </cell>
        </row>
        <row r="419">
          <cell r="A419" t="str">
            <v>PS16NY</v>
          </cell>
          <cell r="B419" t="str">
            <v>16A 3-pole &amp; neutral switch disconnector</v>
          </cell>
          <cell r="C419">
            <v>18.567151459999995</v>
          </cell>
          <cell r="D419">
            <v>117.82969598399997</v>
          </cell>
          <cell r="E419">
            <v>19.495509032999994</v>
          </cell>
          <cell r="F419">
            <v>5.4589999999999996</v>
          </cell>
          <cell r="G419">
            <v>8.7729790648499968</v>
          </cell>
          <cell r="H419">
            <v>3.3139790648499972</v>
          </cell>
          <cell r="I419">
            <v>0.37774842962157013</v>
          </cell>
          <cell r="J419">
            <v>7.7982036131999983</v>
          </cell>
          <cell r="K419">
            <v>2.3392036131999987</v>
          </cell>
          <cell r="L419">
            <v>0.29996698332426652</v>
          </cell>
        </row>
        <row r="420">
          <cell r="A420" t="str">
            <v>PS25NY</v>
          </cell>
          <cell r="B420" t="str">
            <v>25A 3-pole &amp; neutral switch disconnector</v>
          </cell>
          <cell r="C420">
            <v>24.764974519999999</v>
          </cell>
          <cell r="D420">
            <v>170.636752</v>
          </cell>
          <cell r="E420">
            <v>26.003223245999997</v>
          </cell>
          <cell r="F420">
            <v>6.6779999999999999</v>
          </cell>
          <cell r="G420">
            <v>11.701450460699999</v>
          </cell>
          <cell r="H420">
            <v>5.0234504606999986</v>
          </cell>
          <cell r="I420">
            <v>0.42930151929212101</v>
          </cell>
          <cell r="J420">
            <v>10.4012892984</v>
          </cell>
          <cell r="K420">
            <v>3.7232892984000001</v>
          </cell>
          <cell r="L420">
            <v>0.3579642092036362</v>
          </cell>
        </row>
        <row r="421">
          <cell r="A421" t="str">
            <v>PS32NY</v>
          </cell>
          <cell r="B421" t="str">
            <v>32A 3-pole &amp; neutral switch disconnector</v>
          </cell>
          <cell r="C421">
            <v>36.844808</v>
          </cell>
          <cell r="D421">
            <v>7.2606152390624992</v>
          </cell>
          <cell r="E421">
            <v>38.687048400000002</v>
          </cell>
          <cell r="F421">
            <v>10.176</v>
          </cell>
          <cell r="G421">
            <v>17.409171780000001</v>
          </cell>
          <cell r="H421">
            <v>7.233171780000001</v>
          </cell>
          <cell r="I421">
            <v>0.41548052207225683</v>
          </cell>
          <cell r="J421">
            <v>15.474819360000001</v>
          </cell>
          <cell r="K421">
            <v>5.2988193600000013</v>
          </cell>
          <cell r="L421">
            <v>0.34241558733128896</v>
          </cell>
        </row>
        <row r="422">
          <cell r="A422" t="str">
            <v>PS40NY</v>
          </cell>
          <cell r="B422" t="str">
            <v>40A 3-pole &amp; neutral switch disconnector</v>
          </cell>
          <cell r="C422">
            <v>38.318600319999994</v>
          </cell>
          <cell r="D422">
            <v>7.2606152390624992</v>
          </cell>
          <cell r="E422">
            <v>40.234530335999992</v>
          </cell>
          <cell r="F422">
            <v>10.347</v>
          </cell>
          <cell r="G422">
            <v>18.105538651199996</v>
          </cell>
          <cell r="H422">
            <v>7.7585386511999967</v>
          </cell>
          <cell r="I422">
            <v>0.42851741672351612</v>
          </cell>
          <cell r="J422">
            <v>16.093812134399997</v>
          </cell>
          <cell r="K422">
            <v>5.7468121343999972</v>
          </cell>
          <cell r="L422">
            <v>0.35708209381395561</v>
          </cell>
        </row>
        <row r="423">
          <cell r="A423" t="str">
            <v>PS63NY</v>
          </cell>
          <cell r="B423" t="str">
            <v>63A 3-pole &amp; neutral switch disconnector</v>
          </cell>
          <cell r="C423">
            <v>64.846862080000008</v>
          </cell>
          <cell r="D423">
            <v>7.2606152390624992</v>
          </cell>
          <cell r="E423">
            <v>68.089205184000008</v>
          </cell>
          <cell r="F423">
            <v>11.909000000000001</v>
          </cell>
          <cell r="G423">
            <v>30.640142332800004</v>
          </cell>
          <cell r="H423">
            <v>18.731142332800005</v>
          </cell>
          <cell r="I423">
            <v>0.61132687078768821</v>
          </cell>
          <cell r="J423">
            <v>27.235682073600003</v>
          </cell>
          <cell r="K423">
            <v>15.326682073600002</v>
          </cell>
          <cell r="L423">
            <v>0.56274272963614924</v>
          </cell>
        </row>
        <row r="424">
          <cell r="A424" t="str">
            <v>PS80NY</v>
          </cell>
          <cell r="B424" t="str">
            <v>80A 3-pole &amp; neutral switch disconnector</v>
          </cell>
          <cell r="C424">
            <v>82.532369919999994</v>
          </cell>
          <cell r="D424">
            <v>7.2606152390624992</v>
          </cell>
          <cell r="E424">
            <v>86.658988416</v>
          </cell>
          <cell r="F424">
            <v>25.69</v>
          </cell>
          <cell r="G424">
            <v>38.996544787200001</v>
          </cell>
          <cell r="H424">
            <v>13.3065447872</v>
          </cell>
          <cell r="I424">
            <v>0.34122368686283361</v>
          </cell>
          <cell r="J424">
            <v>34.663595366400003</v>
          </cell>
          <cell r="K424">
            <v>8.9735953664000014</v>
          </cell>
          <cell r="L424">
            <v>0.25887664772068786</v>
          </cell>
        </row>
        <row r="425">
          <cell r="A425" t="str">
            <v>PS100NY</v>
          </cell>
          <cell r="B425" t="str">
            <v>100A 3-pole &amp; neutral switch disconnector</v>
          </cell>
          <cell r="C425">
            <v>114.95580095999998</v>
          </cell>
          <cell r="D425">
            <v>7.2606152390624992</v>
          </cell>
          <cell r="E425">
            <v>120.70359100799998</v>
          </cell>
          <cell r="F425">
            <v>28.158999999999999</v>
          </cell>
          <cell r="G425">
            <v>54.316615953599992</v>
          </cell>
          <cell r="H425">
            <v>26.157615953599993</v>
          </cell>
          <cell r="I425">
            <v>0.48157668688242938</v>
          </cell>
          <cell r="J425">
            <v>48.28143640319999</v>
          </cell>
          <cell r="K425">
            <v>20.122436403199991</v>
          </cell>
          <cell r="L425">
            <v>0.41677377274273303</v>
          </cell>
        </row>
        <row r="426">
          <cell r="A426" t="str">
            <v>PS125NY</v>
          </cell>
          <cell r="B426" t="str">
            <v>125A 3-pole &amp; neutral switch disconnector</v>
          </cell>
          <cell r="C426">
            <v>166.47488000000001</v>
          </cell>
          <cell r="D426">
            <v>7.2606152390624992</v>
          </cell>
          <cell r="E426">
            <v>174.79862400000002</v>
          </cell>
          <cell r="F426">
            <v>33.53</v>
          </cell>
          <cell r="G426">
            <v>78.659380800000008</v>
          </cell>
          <cell r="H426">
            <v>45.129380800000007</v>
          </cell>
          <cell r="I426">
            <v>0.57373170677183871</v>
          </cell>
          <cell r="J426">
            <v>69.919449600000007</v>
          </cell>
          <cell r="K426">
            <v>36.389449600000006</v>
          </cell>
          <cell r="L426">
            <v>0.52044817011831856</v>
          </cell>
        </row>
        <row r="427">
          <cell r="A427" t="str">
            <v>S1PB06</v>
          </cell>
          <cell r="B427" t="str">
            <v>S Series 6kA 6A B type MCB</v>
          </cell>
          <cell r="C427">
            <v>7.0835270625</v>
          </cell>
          <cell r="D427">
            <v>7.2606152390624992</v>
          </cell>
          <cell r="E427">
            <v>7.4377034156250001</v>
          </cell>
          <cell r="F427">
            <v>1.21</v>
          </cell>
          <cell r="G427">
            <v>3.3469665370312502</v>
          </cell>
          <cell r="H427">
            <v>2.1369665370312503</v>
          </cell>
          <cell r="I427">
            <v>0.63847860843172144</v>
          </cell>
          <cell r="J427">
            <v>2.9750813662500004</v>
          </cell>
          <cell r="K427">
            <v>1.7650813662500004</v>
          </cell>
          <cell r="L427">
            <v>0.59328843448568658</v>
          </cell>
        </row>
        <row r="428">
          <cell r="A428" t="str">
            <v>S1PB10</v>
          </cell>
          <cell r="B428" t="str">
            <v>S Series 6kA 10A B type MCB</v>
          </cell>
          <cell r="C428">
            <v>7.0835270625</v>
          </cell>
          <cell r="D428">
            <v>7.2606152390624992</v>
          </cell>
          <cell r="E428">
            <v>7.4377034156250001</v>
          </cell>
          <cell r="F428">
            <v>1.165</v>
          </cell>
          <cell r="G428">
            <v>3.3469665370312502</v>
          </cell>
          <cell r="H428">
            <v>2.1819665370312502</v>
          </cell>
          <cell r="I428">
            <v>0.65192361886194661</v>
          </cell>
          <cell r="J428">
            <v>2.9750813662500004</v>
          </cell>
          <cell r="K428">
            <v>1.8100813662500004</v>
          </cell>
          <cell r="L428">
            <v>0.60841407121969004</v>
          </cell>
        </row>
        <row r="429">
          <cell r="A429" t="str">
            <v>S1PB16</v>
          </cell>
          <cell r="B429" t="str">
            <v>S Series 6kA 16A B type MCB</v>
          </cell>
          <cell r="C429">
            <v>7.0835270625</v>
          </cell>
          <cell r="D429">
            <v>7.2606152390624992</v>
          </cell>
          <cell r="E429">
            <v>7.4377034156250001</v>
          </cell>
          <cell r="F429">
            <v>1.165</v>
          </cell>
          <cell r="G429">
            <v>3.3469665370312502</v>
          </cell>
          <cell r="H429">
            <v>2.1819665370312502</v>
          </cell>
          <cell r="I429">
            <v>0.65192361886194661</v>
          </cell>
          <cell r="J429">
            <v>2.9750813662500004</v>
          </cell>
          <cell r="K429">
            <v>1.8100813662500004</v>
          </cell>
          <cell r="L429">
            <v>0.60841407121969004</v>
          </cell>
        </row>
        <row r="430">
          <cell r="A430" t="str">
            <v>S1PB20</v>
          </cell>
          <cell r="B430" t="str">
            <v>S Series 6kA 20A B type MCB</v>
          </cell>
          <cell r="C430">
            <v>7.0835270625</v>
          </cell>
          <cell r="D430">
            <v>7.2606152390624992</v>
          </cell>
          <cell r="E430">
            <v>7.4377034156250001</v>
          </cell>
          <cell r="F430">
            <v>1.165</v>
          </cell>
          <cell r="G430">
            <v>3.3469665370312502</v>
          </cell>
          <cell r="H430">
            <v>2.1819665370312502</v>
          </cell>
          <cell r="I430">
            <v>0.65192361886194661</v>
          </cell>
          <cell r="J430">
            <v>2.9750813662500004</v>
          </cell>
          <cell r="K430">
            <v>1.8100813662500004</v>
          </cell>
          <cell r="L430">
            <v>0.60841407121969004</v>
          </cell>
        </row>
        <row r="431">
          <cell r="A431" t="str">
            <v>S1PB32</v>
          </cell>
          <cell r="B431" t="str">
            <v>S Series 6kA 32A B type MCB</v>
          </cell>
          <cell r="C431">
            <v>7.0835270625</v>
          </cell>
          <cell r="D431">
            <v>7.2606152390624992</v>
          </cell>
          <cell r="E431">
            <v>7.4377034156250001</v>
          </cell>
          <cell r="F431">
            <v>1.165</v>
          </cell>
          <cell r="G431">
            <v>3.3469665370312502</v>
          </cell>
          <cell r="H431">
            <v>2.1819665370312502</v>
          </cell>
          <cell r="I431">
            <v>0.65192361886194661</v>
          </cell>
          <cell r="J431">
            <v>2.9750813662500004</v>
          </cell>
          <cell r="K431">
            <v>1.8100813662500004</v>
          </cell>
          <cell r="L431">
            <v>0.60841407121969004</v>
          </cell>
        </row>
        <row r="432">
          <cell r="A432" t="str">
            <v>S1PB40</v>
          </cell>
          <cell r="B432" t="str">
            <v>S Series 6kA 40A B type MCB</v>
          </cell>
          <cell r="C432">
            <v>7.0835270625</v>
          </cell>
          <cell r="D432">
            <v>7.2606152390624992</v>
          </cell>
          <cell r="E432">
            <v>7.4377034156250001</v>
          </cell>
          <cell r="F432">
            <v>1.383</v>
          </cell>
          <cell r="G432">
            <v>3.3469665370312502</v>
          </cell>
          <cell r="H432">
            <v>1.9639665370312502</v>
          </cell>
          <cell r="I432">
            <v>0.58679001277774434</v>
          </cell>
          <cell r="J432">
            <v>2.9750813662500004</v>
          </cell>
          <cell r="K432">
            <v>1.5920813662500004</v>
          </cell>
          <cell r="L432">
            <v>0.53513876437496244</v>
          </cell>
        </row>
        <row r="433">
          <cell r="A433" t="str">
            <v>S1PB50</v>
          </cell>
          <cell r="B433" t="str">
            <v>S Series 6kA 50A B type MCB</v>
          </cell>
          <cell r="C433">
            <v>7.0835270625</v>
          </cell>
          <cell r="D433">
            <v>7.2606152390624992</v>
          </cell>
          <cell r="E433">
            <v>7.4377034156250001</v>
          </cell>
          <cell r="F433">
            <v>2.274</v>
          </cell>
          <cell r="G433">
            <v>3.3469665370312502</v>
          </cell>
          <cell r="H433">
            <v>1.0729665370312502</v>
          </cell>
          <cell r="I433">
            <v>0.3205788062592847</v>
          </cell>
          <cell r="J433">
            <v>2.9750813662500004</v>
          </cell>
          <cell r="K433">
            <v>0.70108136625000039</v>
          </cell>
          <cell r="L433">
            <v>0.23565115704169534</v>
          </cell>
        </row>
        <row r="434">
          <cell r="A434" t="str">
            <v>S1PB63</v>
          </cell>
          <cell r="B434" t="str">
            <v>S Series 6kA 63A B type MCB</v>
          </cell>
          <cell r="C434">
            <v>7.0835270625</v>
          </cell>
          <cell r="D434">
            <v>7.2606152390624992</v>
          </cell>
          <cell r="E434">
            <v>7.4377034156250001</v>
          </cell>
          <cell r="F434">
            <v>2.274</v>
          </cell>
          <cell r="G434">
            <v>3.3469665370312502</v>
          </cell>
          <cell r="H434">
            <v>1.0729665370312502</v>
          </cell>
          <cell r="I434">
            <v>0.3205788062592847</v>
          </cell>
          <cell r="J434">
            <v>2.9750813662500004</v>
          </cell>
          <cell r="K434">
            <v>0.70108136625000039</v>
          </cell>
          <cell r="L434">
            <v>0.23565115704169534</v>
          </cell>
        </row>
        <row r="435">
          <cell r="A435" t="str">
            <v>S1PC06</v>
          </cell>
          <cell r="B435" t="str">
            <v>S Series 6kA 6A C type MCB</v>
          </cell>
          <cell r="C435">
            <v>7.0835270625</v>
          </cell>
          <cell r="D435">
            <v>7.2606152390624992</v>
          </cell>
          <cell r="E435">
            <v>7.4377034156250001</v>
          </cell>
          <cell r="F435">
            <v>1.21</v>
          </cell>
          <cell r="G435">
            <v>3.3469665370312502</v>
          </cell>
          <cell r="H435">
            <v>2.1369665370312503</v>
          </cell>
          <cell r="I435">
            <v>0.63847860843172144</v>
          </cell>
          <cell r="J435">
            <v>2.9750813662500004</v>
          </cell>
          <cell r="K435">
            <v>1.7650813662500004</v>
          </cell>
          <cell r="L435">
            <v>0.59328843448568658</v>
          </cell>
        </row>
        <row r="436">
          <cell r="A436" t="str">
            <v>S1PC10</v>
          </cell>
          <cell r="B436" t="str">
            <v>S Series 6kA 10A C type MCB</v>
          </cell>
          <cell r="C436">
            <v>7.0835270625</v>
          </cell>
          <cell r="D436">
            <v>132.31191999999999</v>
          </cell>
          <cell r="E436">
            <v>7.4377034156250001</v>
          </cell>
          <cell r="F436">
            <v>1.165</v>
          </cell>
          <cell r="G436">
            <v>3.3469665370312502</v>
          </cell>
          <cell r="H436">
            <v>2.1819665370312502</v>
          </cell>
          <cell r="I436">
            <v>0.65192361886194661</v>
          </cell>
          <cell r="J436">
            <v>2.9750813662500004</v>
          </cell>
          <cell r="K436">
            <v>1.8100813662500004</v>
          </cell>
          <cell r="L436">
            <v>0.60841407121969004</v>
          </cell>
        </row>
        <row r="437">
          <cell r="A437" t="str">
            <v>S1PC16</v>
          </cell>
          <cell r="B437" t="str">
            <v>S Series 6kA 16A C type MCB</v>
          </cell>
          <cell r="C437">
            <v>7.0835270625</v>
          </cell>
          <cell r="D437">
            <v>132.31191999999999</v>
          </cell>
          <cell r="E437">
            <v>7.4377034156250001</v>
          </cell>
          <cell r="F437">
            <v>1.165</v>
          </cell>
          <cell r="G437">
            <v>3.3469665370312502</v>
          </cell>
          <cell r="H437">
            <v>2.1819665370312502</v>
          </cell>
          <cell r="I437">
            <v>0.65192361886194661</v>
          </cell>
          <cell r="J437">
            <v>2.9750813662500004</v>
          </cell>
          <cell r="K437">
            <v>1.8100813662500004</v>
          </cell>
          <cell r="L437">
            <v>0.60841407121969004</v>
          </cell>
        </row>
        <row r="438">
          <cell r="A438" t="str">
            <v>S1PC20</v>
          </cell>
          <cell r="B438" t="str">
            <v>S Series 6kA 20A C type MCB</v>
          </cell>
          <cell r="C438">
            <v>7.0835270625</v>
          </cell>
          <cell r="D438">
            <v>145.99936</v>
          </cell>
          <cell r="E438">
            <v>7.4377034156250001</v>
          </cell>
          <cell r="F438">
            <v>1.165</v>
          </cell>
          <cell r="G438">
            <v>3.3469665370312502</v>
          </cell>
          <cell r="H438">
            <v>2.1819665370312502</v>
          </cell>
          <cell r="I438">
            <v>0.65192361886194661</v>
          </cell>
          <cell r="J438">
            <v>2.9750813662500004</v>
          </cell>
          <cell r="K438">
            <v>1.8100813662500004</v>
          </cell>
          <cell r="L438">
            <v>0.60841407121969004</v>
          </cell>
        </row>
        <row r="439">
          <cell r="A439" t="str">
            <v>S1PC32</v>
          </cell>
          <cell r="B439" t="str">
            <v>S Series 6kA 32A C type MCB</v>
          </cell>
          <cell r="C439">
            <v>7.0835270625</v>
          </cell>
          <cell r="D439">
            <v>145.99936</v>
          </cell>
          <cell r="E439">
            <v>7.4377034156250001</v>
          </cell>
          <cell r="F439">
            <v>1.165</v>
          </cell>
          <cell r="G439">
            <v>3.3469665370312502</v>
          </cell>
          <cell r="H439">
            <v>2.1819665370312502</v>
          </cell>
          <cell r="I439">
            <v>0.65192361886194661</v>
          </cell>
          <cell r="J439">
            <v>2.9750813662500004</v>
          </cell>
          <cell r="K439">
            <v>1.8100813662500004</v>
          </cell>
          <cell r="L439">
            <v>0.60841407121969004</v>
          </cell>
        </row>
        <row r="440">
          <cell r="A440" t="str">
            <v>S1PC40</v>
          </cell>
          <cell r="B440" t="str">
            <v>S Series 6kA 40A C type MCB</v>
          </cell>
          <cell r="C440">
            <v>7.0835270625</v>
          </cell>
          <cell r="D440">
            <v>152.84307999999999</v>
          </cell>
          <cell r="E440">
            <v>7.4377034156250001</v>
          </cell>
          <cell r="F440">
            <v>1.383</v>
          </cell>
          <cell r="G440">
            <v>3.3469665370312502</v>
          </cell>
          <cell r="H440">
            <v>1.9639665370312502</v>
          </cell>
          <cell r="I440">
            <v>0.58679001277774434</v>
          </cell>
          <cell r="J440">
            <v>2.9750813662500004</v>
          </cell>
          <cell r="K440">
            <v>1.5920813662500004</v>
          </cell>
          <cell r="L440">
            <v>0.53513876437496244</v>
          </cell>
        </row>
        <row r="441">
          <cell r="A441" t="str">
            <v>S1PC50</v>
          </cell>
          <cell r="B441" t="str">
            <v>S Series 6kA 50A C type MCB</v>
          </cell>
          <cell r="C441">
            <v>7.0835270625</v>
          </cell>
          <cell r="E441">
            <v>7.4377034156250001</v>
          </cell>
          <cell r="F441">
            <v>2.274</v>
          </cell>
          <cell r="G441">
            <v>3.3469665370312502</v>
          </cell>
          <cell r="H441">
            <v>1.0729665370312502</v>
          </cell>
          <cell r="I441">
            <v>0.3205788062592847</v>
          </cell>
          <cell r="K441">
            <v>-2.274</v>
          </cell>
          <cell r="L441" t="e">
            <v>#DIV/0!</v>
          </cell>
        </row>
        <row r="442">
          <cell r="A442" t="str">
            <v>S1PC63</v>
          </cell>
          <cell r="B442" t="str">
            <v>S Series 6kA 63A C type MCB</v>
          </cell>
          <cell r="C442">
            <v>7.0835270625</v>
          </cell>
          <cell r="D442">
            <v>71.046798749999994</v>
          </cell>
          <cell r="E442">
            <v>7.4377034156250001</v>
          </cell>
          <cell r="F442">
            <v>2.274</v>
          </cell>
          <cell r="G442">
            <v>3.3469665370312502</v>
          </cell>
          <cell r="H442">
            <v>1.0729665370312502</v>
          </cell>
          <cell r="I442">
            <v>0.3205788062592847</v>
          </cell>
          <cell r="J442">
            <v>2.9750813662500004</v>
          </cell>
          <cell r="K442">
            <v>0.70108136625000039</v>
          </cell>
          <cell r="L442">
            <v>0.23565115704169534</v>
          </cell>
        </row>
        <row r="443">
          <cell r="A443" t="str">
            <v>SAUX2F</v>
          </cell>
          <cell r="B443" t="str">
            <v>63-200A auxiliary 2 bank switch</v>
          </cell>
          <cell r="C443">
            <v>129.0848</v>
          </cell>
          <cell r="D443">
            <v>71.046798749999994</v>
          </cell>
          <cell r="E443">
            <v>135.53904</v>
          </cell>
          <cell r="F443">
            <v>63.863</v>
          </cell>
          <cell r="G443">
            <v>60.992567999999999</v>
          </cell>
          <cell r="H443">
            <v>-2.870432000000001</v>
          </cell>
          <cell r="I443">
            <v>-4.7061996143530162E-2</v>
          </cell>
          <cell r="J443">
            <v>54.215616000000004</v>
          </cell>
          <cell r="K443">
            <v>-9.6473839999999953</v>
          </cell>
          <cell r="L443">
            <v>-0.17794474566147131</v>
          </cell>
        </row>
        <row r="444">
          <cell r="A444" t="str">
            <v>SAUX2N</v>
          </cell>
          <cell r="B444" t="str">
            <v>315-800A auxiliary 2 bank switch</v>
          </cell>
          <cell r="C444">
            <v>129.0848</v>
          </cell>
          <cell r="D444">
            <v>71.046798749999994</v>
          </cell>
          <cell r="E444">
            <v>135.53904</v>
          </cell>
          <cell r="F444">
            <v>62.765999999999998</v>
          </cell>
          <cell r="G444">
            <v>60.992567999999999</v>
          </cell>
          <cell r="H444">
            <v>-1.7734319999999997</v>
          </cell>
          <cell r="I444">
            <v>-2.9076198267303646E-2</v>
          </cell>
          <cell r="J444">
            <v>54.215616000000004</v>
          </cell>
          <cell r="K444">
            <v>-8.550383999999994</v>
          </cell>
          <cell r="L444">
            <v>-0.15771072305071648</v>
          </cell>
        </row>
        <row r="445">
          <cell r="A445" t="str">
            <v>SAUX4F</v>
          </cell>
          <cell r="B445" t="str">
            <v>63-200A auxiliary 4 bank switch</v>
          </cell>
          <cell r="C445">
            <v>142.4384</v>
          </cell>
          <cell r="D445">
            <v>165.90850189333329</v>
          </cell>
          <cell r="E445">
            <v>149.56031999999999</v>
          </cell>
          <cell r="F445">
            <v>103.759</v>
          </cell>
          <cell r="G445">
            <v>67.302143999999998</v>
          </cell>
          <cell r="H445">
            <v>-36.456856000000002</v>
          </cell>
          <cell r="I445">
            <v>-0.54168937025245445</v>
          </cell>
          <cell r="J445">
            <v>59.824128000000002</v>
          </cell>
          <cell r="K445">
            <v>-43.934871999999999</v>
          </cell>
          <cell r="L445">
            <v>-0.73440054153401113</v>
          </cell>
        </row>
        <row r="446">
          <cell r="A446" t="str">
            <v>SAUX4N</v>
          </cell>
          <cell r="B446" t="str">
            <v>315-800A auxiliary 4 bank switch</v>
          </cell>
          <cell r="C446">
            <v>142.4384</v>
          </cell>
          <cell r="D446">
            <v>209.49463374666658</v>
          </cell>
          <cell r="E446">
            <v>149.56031999999999</v>
          </cell>
          <cell r="F446">
            <v>102.66200000000001</v>
          </cell>
          <cell r="G446">
            <v>67.302143999999998</v>
          </cell>
          <cell r="H446">
            <v>-35.359856000000008</v>
          </cell>
          <cell r="I446">
            <v>-0.5253897409271242</v>
          </cell>
          <cell r="J446">
            <v>59.824128000000002</v>
          </cell>
          <cell r="K446">
            <v>-42.837872000000004</v>
          </cell>
          <cell r="L446">
            <v>-0.71606345854301467</v>
          </cell>
        </row>
        <row r="447">
          <cell r="A447" t="str">
            <v>SAUX6N</v>
          </cell>
          <cell r="B447" t="str">
            <v>315-800A auxiliary 6 bank switch</v>
          </cell>
          <cell r="C447">
            <v>149.11519999999999</v>
          </cell>
          <cell r="D447">
            <v>227.77268903999996</v>
          </cell>
          <cell r="E447">
            <v>156.57095999999999</v>
          </cell>
          <cell r="F447">
            <v>141.38</v>
          </cell>
          <cell r="G447">
            <v>70.456931999999995</v>
          </cell>
          <cell r="H447">
            <v>-70.923068000000001</v>
          </cell>
          <cell r="I447">
            <v>-1.006615899766967</v>
          </cell>
          <cell r="J447">
            <v>62.628383999999997</v>
          </cell>
          <cell r="K447">
            <v>-78.751615999999999</v>
          </cell>
          <cell r="L447">
            <v>-1.2574428872378378</v>
          </cell>
        </row>
        <row r="448">
          <cell r="A448" t="str">
            <v>SCPKLSCA1</v>
          </cell>
          <cell r="B448" t="str">
            <v>Split core CT 100/5 A</v>
          </cell>
          <cell r="C448">
            <v>69.313950000000006</v>
          </cell>
          <cell r="D448">
            <v>285.66491417099996</v>
          </cell>
          <cell r="E448">
            <v>72.77964750000001</v>
          </cell>
          <cell r="F448" t="e">
            <v>#N/A</v>
          </cell>
          <cell r="G448">
            <v>32.750841375000007</v>
          </cell>
          <cell r="H448" t="e">
            <v>#N/A</v>
          </cell>
          <cell r="I448" t="e">
            <v>#N/A</v>
          </cell>
          <cell r="J448">
            <v>29.111859000000006</v>
          </cell>
          <cell r="K448" t="e">
            <v>#N/A</v>
          </cell>
          <cell r="L448" t="e">
            <v>#N/A</v>
          </cell>
        </row>
        <row r="449">
          <cell r="A449" t="str">
            <v>SCRLLSCA1</v>
          </cell>
          <cell r="B449" t="str">
            <v>Split core CT 200/5 A</v>
          </cell>
          <cell r="C449">
            <v>69.313950000000006</v>
          </cell>
          <cell r="D449">
            <v>324.96273305166665</v>
          </cell>
          <cell r="E449">
            <v>72.77964750000001</v>
          </cell>
          <cell r="F449" t="e">
            <v>#N/A</v>
          </cell>
          <cell r="G449">
            <v>32.750841375000007</v>
          </cell>
          <cell r="H449" t="e">
            <v>#N/A</v>
          </cell>
          <cell r="I449" t="e">
            <v>#N/A</v>
          </cell>
          <cell r="J449">
            <v>29.111859000000006</v>
          </cell>
          <cell r="K449" t="e">
            <v>#N/A</v>
          </cell>
          <cell r="L449" t="e">
            <v>#N/A</v>
          </cell>
        </row>
        <row r="450">
          <cell r="A450" t="str">
            <v>SCRSLSCA1</v>
          </cell>
          <cell r="B450" t="str">
            <v>Split core CT 250/5 A</v>
          </cell>
          <cell r="C450">
            <v>69.313950000000006</v>
          </cell>
          <cell r="D450">
            <v>23.831772093999994</v>
          </cell>
          <cell r="E450">
            <v>72.77964750000001</v>
          </cell>
          <cell r="F450" t="e">
            <v>#N/A</v>
          </cell>
          <cell r="G450">
            <v>32.750841375000007</v>
          </cell>
          <cell r="H450" t="e">
            <v>#N/A</v>
          </cell>
          <cell r="I450" t="e">
            <v>#N/A</v>
          </cell>
          <cell r="J450">
            <v>29.111859000000006</v>
          </cell>
          <cell r="K450" t="e">
            <v>#N/A</v>
          </cell>
          <cell r="L450" t="e">
            <v>#N/A</v>
          </cell>
        </row>
        <row r="451">
          <cell r="A451" t="str">
            <v>SF3P63N</v>
          </cell>
          <cell r="B451" t="str">
            <v>63A 3-pole &amp; neutral skeleton unit</v>
          </cell>
          <cell r="C451">
            <v>161.86195306666664</v>
          </cell>
          <cell r="E451">
            <v>169.95505071999997</v>
          </cell>
          <cell r="F451">
            <v>46.741</v>
          </cell>
          <cell r="G451">
            <v>76.479772823999994</v>
          </cell>
          <cell r="H451">
            <v>29.738772823999994</v>
          </cell>
          <cell r="I451">
            <v>0.38884494194872554</v>
          </cell>
          <cell r="J451">
            <v>67.982020287999987</v>
          </cell>
          <cell r="K451">
            <v>21.241020287999987</v>
          </cell>
          <cell r="L451">
            <v>0.31245055969231617</v>
          </cell>
        </row>
        <row r="452">
          <cell r="A452" t="str">
            <v>SF3P100N</v>
          </cell>
          <cell r="B452" t="str">
            <v>100A 3-pole &amp; neutral skeleton unit</v>
          </cell>
          <cell r="C452">
            <v>204.38500853333326</v>
          </cell>
          <cell r="E452">
            <v>214.60425895999992</v>
          </cell>
          <cell r="F452">
            <v>47.515000000000001</v>
          </cell>
          <cell r="G452">
            <v>96.571916531999975</v>
          </cell>
          <cell r="H452">
            <v>49.056916531999974</v>
          </cell>
          <cell r="I452">
            <v>0.50798325531568511</v>
          </cell>
          <cell r="J452">
            <v>85.841703583999973</v>
          </cell>
          <cell r="K452">
            <v>38.326703583999972</v>
          </cell>
          <cell r="L452">
            <v>0.44648116223014572</v>
          </cell>
        </row>
        <row r="453">
          <cell r="A453" t="str">
            <v>SF3P125N</v>
          </cell>
          <cell r="B453" t="str">
            <v>125A 3-pole &amp; neutral skeleton unit</v>
          </cell>
          <cell r="C453">
            <v>222.21725759999998</v>
          </cell>
          <cell r="E453">
            <v>233.32812048</v>
          </cell>
          <cell r="F453">
            <v>52.606999999999999</v>
          </cell>
          <cell r="G453">
            <v>104.997654216</v>
          </cell>
          <cell r="H453">
            <v>52.390654216000001</v>
          </cell>
          <cell r="I453">
            <v>0.49896975896454349</v>
          </cell>
          <cell r="J453">
            <v>93.331248192000004</v>
          </cell>
          <cell r="K453">
            <v>40.724248192000005</v>
          </cell>
          <cell r="L453">
            <v>0.43634097883511141</v>
          </cell>
        </row>
        <row r="454">
          <cell r="A454" t="str">
            <v>SF3P160N</v>
          </cell>
          <cell r="B454" t="str">
            <v>160A 3-pole &amp; neutral skeleton unit</v>
          </cell>
          <cell r="C454">
            <v>278.69747724000001</v>
          </cell>
          <cell r="D454">
            <v>181.37454867999995</v>
          </cell>
          <cell r="E454">
            <v>292.63235110200003</v>
          </cell>
          <cell r="F454">
            <v>54.578000000000003</v>
          </cell>
          <cell r="G454">
            <v>131.68455799590001</v>
          </cell>
          <cell r="H454">
            <v>77.106557995900005</v>
          </cell>
          <cell r="I454">
            <v>0.58553986260333357</v>
          </cell>
          <cell r="J454">
            <v>117.05294044080001</v>
          </cell>
          <cell r="K454">
            <v>62.474940440800012</v>
          </cell>
          <cell r="L454">
            <v>0.53373234542875037</v>
          </cell>
        </row>
        <row r="455">
          <cell r="A455" t="str">
            <v>SF3P200N</v>
          </cell>
          <cell r="B455" t="str">
            <v>200A 3-pole &amp; neutral skeleton unit</v>
          </cell>
          <cell r="C455">
            <v>317.03681273333336</v>
          </cell>
          <cell r="D455">
            <v>227.77268903999996</v>
          </cell>
          <cell r="E455">
            <v>332.88865337000004</v>
          </cell>
          <cell r="F455">
            <v>54.58</v>
          </cell>
          <cell r="G455">
            <v>149.79989401650002</v>
          </cell>
          <cell r="H455">
            <v>95.219894016500021</v>
          </cell>
          <cell r="I455">
            <v>0.63564727226049855</v>
          </cell>
          <cell r="J455">
            <v>133.15546134800002</v>
          </cell>
          <cell r="K455">
            <v>78.575461348000019</v>
          </cell>
          <cell r="L455">
            <v>0.59010318129306094</v>
          </cell>
        </row>
        <row r="456">
          <cell r="A456" t="str">
            <v>SK3P315N</v>
          </cell>
          <cell r="B456" t="str">
            <v>315A 3-pole &amp; neutral skeleton unit</v>
          </cell>
          <cell r="C456">
            <v>685.68426940000006</v>
          </cell>
          <cell r="D456">
            <v>246.05074433333331</v>
          </cell>
          <cell r="E456">
            <v>719.96848287000012</v>
          </cell>
          <cell r="F456">
            <v>107.402</v>
          </cell>
          <cell r="G456">
            <v>323.98581729150004</v>
          </cell>
          <cell r="H456">
            <v>216.58381729150005</v>
          </cell>
          <cell r="I456">
            <v>0.66849783457228595</v>
          </cell>
          <cell r="J456">
            <v>287.98739314800008</v>
          </cell>
          <cell r="K456">
            <v>180.58539314800009</v>
          </cell>
          <cell r="L456">
            <v>0.62706006389382174</v>
          </cell>
        </row>
        <row r="457">
          <cell r="A457" t="str">
            <v>SL3P400N</v>
          </cell>
          <cell r="B457" t="str">
            <v>400A 3-pole &amp; neutral skeleton unit</v>
          </cell>
          <cell r="C457">
            <v>824.29571310666665</v>
          </cell>
          <cell r="D457">
            <v>305.31633433321429</v>
          </cell>
          <cell r="E457">
            <v>865.510498762</v>
          </cell>
          <cell r="F457">
            <v>117.23699999999999</v>
          </cell>
          <cell r="G457">
            <v>389.47972444290002</v>
          </cell>
          <cell r="H457">
            <v>272.2427244429</v>
          </cell>
          <cell r="I457">
            <v>0.69899074934467442</v>
          </cell>
          <cell r="J457">
            <v>346.20419950480004</v>
          </cell>
          <cell r="K457">
            <v>228.96719950480005</v>
          </cell>
          <cell r="L457">
            <v>0.66136459301275885</v>
          </cell>
        </row>
        <row r="458">
          <cell r="A458" t="str">
            <v>SN3P630N</v>
          </cell>
          <cell r="B458" t="str">
            <v>630A 3-pole &amp; neutral skeleton unit</v>
          </cell>
          <cell r="C458">
            <v>1486.3865452799998</v>
          </cell>
          <cell r="D458">
            <v>355.19182449833323</v>
          </cell>
          <cell r="E458">
            <v>1560.7058725439999</v>
          </cell>
          <cell r="F458">
            <v>178.935</v>
          </cell>
          <cell r="G458">
            <v>702.3176426448</v>
          </cell>
          <cell r="H458">
            <v>523.38264264479994</v>
          </cell>
          <cell r="I458">
            <v>0.7452221201133955</v>
          </cell>
          <cell r="J458">
            <v>624.28234901760004</v>
          </cell>
          <cell r="K458">
            <v>445.34734901760004</v>
          </cell>
          <cell r="L458">
            <v>0.71337488512757008</v>
          </cell>
        </row>
        <row r="459">
          <cell r="A459" t="str">
            <v>SN3P800N</v>
          </cell>
          <cell r="B459" t="str">
            <v>800A 3-pole &amp; neutral skeleton unit</v>
          </cell>
          <cell r="C459">
            <v>1685.4561718800001</v>
          </cell>
          <cell r="D459">
            <v>27.786159056499994</v>
          </cell>
          <cell r="E459">
            <v>1769.7289804740001</v>
          </cell>
          <cell r="F459">
            <v>234.43799999999999</v>
          </cell>
          <cell r="G459">
            <v>796.37804121330009</v>
          </cell>
          <cell r="H459">
            <v>561.94004121330011</v>
          </cell>
          <cell r="I459">
            <v>0.70561970839523858</v>
          </cell>
          <cell r="J459">
            <v>707.89159218960003</v>
          </cell>
          <cell r="K459">
            <v>473.45359218960004</v>
          </cell>
          <cell r="L459">
            <v>0.66882217194464333</v>
          </cell>
        </row>
        <row r="460">
          <cell r="A460" t="str">
            <v>SF4P63</v>
          </cell>
          <cell r="B460" t="str">
            <v>63A 4-pole skeleton unit</v>
          </cell>
          <cell r="C460">
            <v>176.95077919999997</v>
          </cell>
          <cell r="E460">
            <v>185.79831815999998</v>
          </cell>
          <cell r="F460">
            <v>50.5</v>
          </cell>
          <cell r="G460">
            <v>83.609243171999992</v>
          </cell>
          <cell r="H460">
            <v>33.109243171999992</v>
          </cell>
          <cell r="I460">
            <v>0.39599979518876915</v>
          </cell>
          <cell r="J460">
            <v>74.319327263999995</v>
          </cell>
          <cell r="K460">
            <v>23.819327263999995</v>
          </cell>
          <cell r="L460">
            <v>0.32049976958736531</v>
          </cell>
        </row>
        <row r="461">
          <cell r="A461" t="str">
            <v>SF4P100</v>
          </cell>
          <cell r="B461" t="str">
            <v>100A 4-pole skeleton unit</v>
          </cell>
          <cell r="C461">
            <v>222.21725759999998</v>
          </cell>
          <cell r="E461">
            <v>233.32812048</v>
          </cell>
          <cell r="F461">
            <v>51.152000000000001</v>
          </cell>
          <cell r="G461">
            <v>104.997654216</v>
          </cell>
          <cell r="H461">
            <v>53.845654216</v>
          </cell>
          <cell r="I461">
            <v>0.51282721140825982</v>
          </cell>
          <cell r="J461">
            <v>93.331248192000004</v>
          </cell>
          <cell r="K461">
            <v>42.179248192000003</v>
          </cell>
          <cell r="L461">
            <v>0.45193061283429237</v>
          </cell>
        </row>
        <row r="462">
          <cell r="A462" t="str">
            <v>SF4P125</v>
          </cell>
          <cell r="B462" t="str">
            <v>125A 4-pole skeleton unit</v>
          </cell>
          <cell r="C462">
            <v>240.04950666666667</v>
          </cell>
          <cell r="E462">
            <v>252.05198200000001</v>
          </cell>
          <cell r="F462">
            <v>56.438000000000002</v>
          </cell>
          <cell r="G462">
            <v>113.42339190000001</v>
          </cell>
          <cell r="H462">
            <v>56.98539190000001</v>
          </cell>
          <cell r="I462">
            <v>0.50241304677470155</v>
          </cell>
          <cell r="J462">
            <v>100.82079280000001</v>
          </cell>
          <cell r="K462">
            <v>44.382792800000004</v>
          </cell>
          <cell r="L462">
            <v>0.44021467762153921</v>
          </cell>
        </row>
        <row r="463">
          <cell r="A463" t="str">
            <v>SF4P160</v>
          </cell>
          <cell r="B463" t="str">
            <v>160A 4-pole skeleton unit</v>
          </cell>
          <cell r="C463">
            <v>297.86959447142857</v>
          </cell>
          <cell r="E463">
            <v>312.763074195</v>
          </cell>
          <cell r="F463">
            <v>58.344999999999999</v>
          </cell>
          <cell r="G463">
            <v>140.74338338775001</v>
          </cell>
          <cell r="H463">
            <v>82.398383387750016</v>
          </cell>
          <cell r="I463">
            <v>0.58545120491200142</v>
          </cell>
          <cell r="J463">
            <v>125.105229678</v>
          </cell>
          <cell r="K463">
            <v>66.760229678000002</v>
          </cell>
          <cell r="L463">
            <v>0.53363260552600156</v>
          </cell>
        </row>
        <row r="464">
          <cell r="A464" t="str">
            <v>SF4P200</v>
          </cell>
          <cell r="B464" t="str">
            <v>200A 4-pole skeleton unit</v>
          </cell>
          <cell r="C464">
            <v>346.52860926666659</v>
          </cell>
          <cell r="E464">
            <v>363.85503972999993</v>
          </cell>
          <cell r="F464">
            <v>58.344999999999999</v>
          </cell>
          <cell r="G464">
            <v>163.73476787849998</v>
          </cell>
          <cell r="H464">
            <v>105.38976787849998</v>
          </cell>
          <cell r="I464">
            <v>0.64366150967218438</v>
          </cell>
          <cell r="J464">
            <v>145.54201589199997</v>
          </cell>
          <cell r="K464">
            <v>87.197015891999968</v>
          </cell>
          <cell r="L464">
            <v>0.59911919838120742</v>
          </cell>
        </row>
        <row r="465">
          <cell r="A465" t="str">
            <v>SK4P315</v>
          </cell>
          <cell r="B465" t="str">
            <v>315A 4-pole skeleton unit</v>
          </cell>
          <cell r="C465">
            <v>752.04081159999987</v>
          </cell>
          <cell r="D465">
            <v>7.3313078923809512</v>
          </cell>
          <cell r="E465">
            <v>789.64285217999986</v>
          </cell>
          <cell r="F465">
            <v>120.73099999999999</v>
          </cell>
          <cell r="G465">
            <v>355.33928348099994</v>
          </cell>
          <cell r="H465">
            <v>234.60828348099994</v>
          </cell>
          <cell r="I465">
            <v>0.66023739672887727</v>
          </cell>
          <cell r="J465">
            <v>315.85714087199995</v>
          </cell>
          <cell r="K465">
            <v>195.12614087199995</v>
          </cell>
          <cell r="L465">
            <v>0.61776707131998698</v>
          </cell>
        </row>
        <row r="466">
          <cell r="A466" t="str">
            <v>SL4P400</v>
          </cell>
          <cell r="B466" t="str">
            <v>400A 4-pole skeleton unit</v>
          </cell>
          <cell r="C466">
            <v>890.65225530666669</v>
          </cell>
          <cell r="D466">
            <v>29.720079999999999</v>
          </cell>
          <cell r="E466">
            <v>935.18486807199997</v>
          </cell>
          <cell r="F466">
            <v>127.348</v>
          </cell>
          <cell r="G466">
            <v>420.83319063239998</v>
          </cell>
          <cell r="H466">
            <v>293.48519063239996</v>
          </cell>
          <cell r="I466">
            <v>0.6973907884769498</v>
          </cell>
          <cell r="J466">
            <v>374.07394722880002</v>
          </cell>
          <cell r="K466">
            <v>246.72594722880001</v>
          </cell>
          <cell r="L466">
            <v>0.65956463703656865</v>
          </cell>
        </row>
        <row r="467">
          <cell r="A467" t="str">
            <v>SN4P630</v>
          </cell>
          <cell r="B467" t="str">
            <v>630A 4-pole skeleton unit</v>
          </cell>
          <cell r="C467">
            <v>1654.4897855200004</v>
          </cell>
          <cell r="D467">
            <v>26.11913358630952</v>
          </cell>
          <cell r="E467">
            <v>1737.2142747960004</v>
          </cell>
          <cell r="F467">
            <v>230.952</v>
          </cell>
          <cell r="G467">
            <v>781.74642365820023</v>
          </cell>
          <cell r="H467">
            <v>550.79442365820023</v>
          </cell>
          <cell r="I467">
            <v>0.70456916333655251</v>
          </cell>
          <cell r="J467">
            <v>694.88570991840015</v>
          </cell>
          <cell r="K467">
            <v>463.93370991840015</v>
          </cell>
          <cell r="L467">
            <v>0.66764030875362157</v>
          </cell>
        </row>
        <row r="468">
          <cell r="A468" t="str">
            <v>SN4P800</v>
          </cell>
          <cell r="B468" t="str">
            <v>800A 4-pole skeleton unit</v>
          </cell>
          <cell r="C468">
            <v>1855.0340019466664</v>
          </cell>
          <cell r="D468">
            <v>41.336525047999992</v>
          </cell>
          <cell r="E468">
            <v>1947.7857020439997</v>
          </cell>
          <cell r="F468">
            <v>230.952</v>
          </cell>
          <cell r="G468">
            <v>876.50356591979983</v>
          </cell>
          <cell r="H468">
            <v>645.55156591979983</v>
          </cell>
          <cell r="I468">
            <v>0.73650763216503312</v>
          </cell>
          <cell r="J468">
            <v>779.11428081759993</v>
          </cell>
          <cell r="K468">
            <v>548.16228081759994</v>
          </cell>
          <cell r="L468">
            <v>0.70357108618566233</v>
          </cell>
        </row>
        <row r="469">
          <cell r="A469" t="str">
            <v>SFFS125</v>
          </cell>
          <cell r="B469" t="str">
            <v>63A/125A fuse shroud</v>
          </cell>
          <cell r="C469">
            <v>23.250509359999995</v>
          </cell>
          <cell r="D469">
            <v>9.9386925657499976</v>
          </cell>
          <cell r="E469">
            <v>24.413034827999994</v>
          </cell>
          <cell r="F469">
            <v>6.1740000000000004</v>
          </cell>
          <cell r="G469">
            <v>10.985865672599997</v>
          </cell>
          <cell r="H469">
            <v>4.8118656725999971</v>
          </cell>
          <cell r="I469">
            <v>0.43800514370035848</v>
          </cell>
          <cell r="J469">
            <v>9.7652139311999981</v>
          </cell>
          <cell r="K469">
            <v>3.5912139311999978</v>
          </cell>
          <cell r="L469">
            <v>0.36775578666290332</v>
          </cell>
        </row>
        <row r="470">
          <cell r="A470" t="str">
            <v>SFFS200</v>
          </cell>
          <cell r="B470" t="str">
            <v>160A/200A fuse shroud</v>
          </cell>
          <cell r="C470">
            <v>27.108447859999995</v>
          </cell>
          <cell r="D470">
            <v>32.478698251999994</v>
          </cell>
          <cell r="E470">
            <v>28.463870252999996</v>
          </cell>
          <cell r="F470">
            <v>8.0709999999999997</v>
          </cell>
          <cell r="G470">
            <v>12.808741613849998</v>
          </cell>
          <cell r="H470">
            <v>4.7377416138499981</v>
          </cell>
          <cell r="I470">
            <v>0.36988345589914257</v>
          </cell>
          <cell r="J470">
            <v>11.385548101199999</v>
          </cell>
          <cell r="K470">
            <v>3.3145481011999998</v>
          </cell>
          <cell r="L470">
            <v>0.2911188878865355</v>
          </cell>
        </row>
        <row r="471">
          <cell r="A471" t="str">
            <v>SFTB</v>
          </cell>
          <cell r="B471" t="str">
            <v>63/200A terminal barrier</v>
          </cell>
          <cell r="C471">
            <v>7.1524955047619043</v>
          </cell>
          <cell r="D471">
            <v>41.336525047999992</v>
          </cell>
          <cell r="E471">
            <v>7.5101202799999998</v>
          </cell>
          <cell r="F471">
            <v>2.1230000000000002</v>
          </cell>
          <cell r="G471">
            <v>3.3795541259999999</v>
          </cell>
          <cell r="H471">
            <v>1.2565541259999997</v>
          </cell>
          <cell r="I471">
            <v>0.3718106232810191</v>
          </cell>
          <cell r="J471">
            <v>3.004048112</v>
          </cell>
          <cell r="K471">
            <v>0.88104811199999977</v>
          </cell>
          <cell r="L471">
            <v>0.29328695119114651</v>
          </cell>
        </row>
        <row r="472">
          <cell r="A472" t="str">
            <v>SFTSL</v>
          </cell>
          <cell r="B472" t="str">
            <v>160/200A terminal shroud long</v>
          </cell>
          <cell r="C472">
            <v>28.995200000000001</v>
          </cell>
          <cell r="D472">
            <v>10.16842361785714</v>
          </cell>
          <cell r="E472">
            <v>30.444960000000002</v>
          </cell>
          <cell r="F472">
            <v>6.7270000000000003</v>
          </cell>
          <cell r="G472">
            <v>13.700232000000002</v>
          </cell>
          <cell r="H472">
            <v>6.9732320000000012</v>
          </cell>
          <cell r="I472">
            <v>0.50898641716432247</v>
          </cell>
          <cell r="J472">
            <v>12.177984000000002</v>
          </cell>
          <cell r="K472">
            <v>5.4509840000000018</v>
          </cell>
          <cell r="L472">
            <v>0.44760971930986287</v>
          </cell>
        </row>
        <row r="473">
          <cell r="A473" t="str">
            <v>SFTSS</v>
          </cell>
          <cell r="B473" t="str">
            <v>160/200A terminal shroud</v>
          </cell>
          <cell r="C473">
            <v>25.482081547619046</v>
          </cell>
          <cell r="D473">
            <v>33.25451131321428</v>
          </cell>
          <cell r="E473">
            <v>26.756185624999997</v>
          </cell>
          <cell r="F473">
            <v>5.5940000000000003</v>
          </cell>
          <cell r="G473">
            <v>12.040283531249999</v>
          </cell>
          <cell r="H473">
            <v>6.4462835312499989</v>
          </cell>
          <cell r="I473">
            <v>0.53539300088066599</v>
          </cell>
          <cell r="J473">
            <v>10.70247425</v>
          </cell>
          <cell r="K473">
            <v>5.1084742499999996</v>
          </cell>
          <cell r="L473">
            <v>0.47731712599074927</v>
          </cell>
        </row>
        <row r="474">
          <cell r="A474" t="str">
            <v>SKFS</v>
          </cell>
          <cell r="B474" t="str">
            <v>315A fuse shroud</v>
          </cell>
          <cell r="C474">
            <v>40.328317119999994</v>
          </cell>
          <cell r="D474">
            <v>128.47363864833332</v>
          </cell>
          <cell r="E474">
            <v>42.344732975999996</v>
          </cell>
          <cell r="F474">
            <v>17.431000000000001</v>
          </cell>
          <cell r="G474">
            <v>19.055129839199999</v>
          </cell>
          <cell r="H474">
            <v>1.6241298391999983</v>
          </cell>
          <cell r="I474">
            <v>8.5233207692915147E-2</v>
          </cell>
          <cell r="J474">
            <v>16.937893190400001</v>
          </cell>
          <cell r="K474">
            <v>-0.49310680960000042</v>
          </cell>
          <cell r="L474">
            <v>-2.911264134547039E-2</v>
          </cell>
        </row>
        <row r="475">
          <cell r="A475" t="str">
            <v>SKTB</v>
          </cell>
          <cell r="B475" t="str">
            <v>315A terminal barrier</v>
          </cell>
          <cell r="C475">
            <v>9.6962854299999979</v>
          </cell>
          <cell r="D475">
            <v>41.336525047999992</v>
          </cell>
          <cell r="E475">
            <v>10.181099701499997</v>
          </cell>
          <cell r="F475">
            <v>2.8969999999999998</v>
          </cell>
          <cell r="G475">
            <v>4.5814948656749985</v>
          </cell>
          <cell r="H475">
            <v>1.6844948656749987</v>
          </cell>
          <cell r="I475">
            <v>0.36767363383846541</v>
          </cell>
          <cell r="J475">
            <v>4.0724398805999993</v>
          </cell>
          <cell r="K475">
            <v>1.1754398805999995</v>
          </cell>
          <cell r="L475">
            <v>0.28863283806827372</v>
          </cell>
        </row>
        <row r="476">
          <cell r="A476" t="str">
            <v>SKTS</v>
          </cell>
          <cell r="B476" t="str">
            <v>315A terminal shroud</v>
          </cell>
          <cell r="C476">
            <v>31.686534879999996</v>
          </cell>
          <cell r="D476">
            <v>33.25451131321428</v>
          </cell>
          <cell r="E476">
            <v>33.270861623999998</v>
          </cell>
          <cell r="F476">
            <v>9.9</v>
          </cell>
          <cell r="G476">
            <v>14.971887730799999</v>
          </cell>
          <cell r="H476">
            <v>5.0718877307999986</v>
          </cell>
          <cell r="I476">
            <v>0.33876073758996789</v>
          </cell>
          <cell r="J476">
            <v>13.3083446496</v>
          </cell>
          <cell r="K476">
            <v>3.4083446496000001</v>
          </cell>
          <cell r="L476">
            <v>0.25610582978871399</v>
          </cell>
        </row>
        <row r="477">
          <cell r="A477" t="str">
            <v>SLFS</v>
          </cell>
          <cell r="B477" t="str">
            <v>400A fuse shroud</v>
          </cell>
          <cell r="C477">
            <v>40.328317119999994</v>
          </cell>
          <cell r="D477">
            <v>46.660818749999997</v>
          </cell>
          <cell r="E477">
            <v>42.344732975999996</v>
          </cell>
          <cell r="F477">
            <v>15.836</v>
          </cell>
          <cell r="G477">
            <v>19.055129839199999</v>
          </cell>
          <cell r="H477">
            <v>3.219129839199999</v>
          </cell>
          <cell r="I477">
            <v>0.16893770162497876</v>
          </cell>
          <cell r="J477">
            <v>16.937893190400001</v>
          </cell>
          <cell r="K477">
            <v>1.1018931904000002</v>
          </cell>
          <cell r="L477">
            <v>6.5054914328101163E-2</v>
          </cell>
        </row>
        <row r="478">
          <cell r="A478" t="str">
            <v>SLTB</v>
          </cell>
          <cell r="B478" t="str">
            <v>400A terminal barrier</v>
          </cell>
          <cell r="C478">
            <v>9.9204132857142842</v>
          </cell>
          <cell r="D478">
            <v>46.660818749999997</v>
          </cell>
          <cell r="E478">
            <v>10.416433949999998</v>
          </cell>
          <cell r="F478">
            <v>2.5219999999999998</v>
          </cell>
          <cell r="G478">
            <v>4.6873952774999994</v>
          </cell>
          <cell r="H478">
            <v>2.1653952774999996</v>
          </cell>
          <cell r="I478">
            <v>0.46196131311863742</v>
          </cell>
          <cell r="J478">
            <v>4.1665735799999997</v>
          </cell>
          <cell r="K478">
            <v>1.6445735799999999</v>
          </cell>
          <cell r="L478">
            <v>0.39470647725846714</v>
          </cell>
        </row>
        <row r="479">
          <cell r="A479" t="str">
            <v>SLTS</v>
          </cell>
          <cell r="B479" t="str">
            <v>400A terminal shroud</v>
          </cell>
          <cell r="C479">
            <v>32.443425671428571</v>
          </cell>
          <cell r="D479">
            <v>1.71990484234375</v>
          </cell>
          <cell r="E479">
            <v>34.065596954999997</v>
          </cell>
          <cell r="F479">
            <v>7.3710000000000004</v>
          </cell>
          <cell r="G479">
            <v>15.329518629749998</v>
          </cell>
          <cell r="H479">
            <v>7.9585186297499977</v>
          </cell>
          <cell r="I479">
            <v>0.51916298365069991</v>
          </cell>
          <cell r="J479">
            <v>13.626238782</v>
          </cell>
          <cell r="K479">
            <v>6.2552387819999993</v>
          </cell>
          <cell r="L479">
            <v>0.45905835660703742</v>
          </cell>
        </row>
        <row r="480">
          <cell r="A480" t="str">
            <v>SNCET</v>
          </cell>
          <cell r="B480" t="str">
            <v>630/800A cable extension (set of 8)</v>
          </cell>
          <cell r="C480">
            <v>125.34013526666666</v>
          </cell>
          <cell r="D480">
            <v>1.71990484234375</v>
          </cell>
          <cell r="E480">
            <v>131.60714203000001</v>
          </cell>
          <cell r="F480">
            <v>31.14</v>
          </cell>
          <cell r="G480">
            <v>59.223213913500004</v>
          </cell>
          <cell r="H480">
            <v>28.083213913500003</v>
          </cell>
          <cell r="I480">
            <v>0.47419266969397622</v>
          </cell>
          <cell r="J480">
            <v>52.642856812000005</v>
          </cell>
          <cell r="K480">
            <v>21.502856812000005</v>
          </cell>
          <cell r="L480">
            <v>0.40846675340572325</v>
          </cell>
        </row>
        <row r="481">
          <cell r="A481" t="str">
            <v>SNFS</v>
          </cell>
          <cell r="B481" t="str">
            <v>630/800A fuse shroud</v>
          </cell>
          <cell r="C481">
            <v>40.328317119999994</v>
          </cell>
          <cell r="D481">
            <v>1.71990484234375</v>
          </cell>
          <cell r="E481">
            <v>46.377564687999993</v>
          </cell>
          <cell r="F481">
            <v>25.28</v>
          </cell>
          <cell r="G481">
            <v>20.869904109599997</v>
          </cell>
          <cell r="H481">
            <v>-4.4100958904000045</v>
          </cell>
          <cell r="I481">
            <v>-0.2113136633134502</v>
          </cell>
          <cell r="J481">
            <v>18.551025875199997</v>
          </cell>
          <cell r="K481">
            <v>-6.7289741248000041</v>
          </cell>
          <cell r="L481">
            <v>-0.3627278712276315</v>
          </cell>
        </row>
        <row r="482">
          <cell r="A482" t="str">
            <v>SNTS</v>
          </cell>
          <cell r="B482" t="str">
            <v>630/800A terminal shroud</v>
          </cell>
          <cell r="C482">
            <v>32.443425671428571</v>
          </cell>
          <cell r="D482">
            <v>1.71990484234375</v>
          </cell>
          <cell r="E482">
            <v>37.309939522142855</v>
          </cell>
          <cell r="F482">
            <v>17.369</v>
          </cell>
          <cell r="G482">
            <v>16.789472784964286</v>
          </cell>
          <cell r="H482">
            <v>-0.57952721503571425</v>
          </cell>
          <cell r="I482">
            <v>-3.4517296788181849E-2</v>
          </cell>
          <cell r="J482">
            <v>14.923975808857143</v>
          </cell>
          <cell r="K482">
            <v>-2.4450241911428563</v>
          </cell>
          <cell r="L482">
            <v>-0.16383195888670452</v>
          </cell>
        </row>
        <row r="483">
          <cell r="A483" t="str">
            <v>SPM/40/230</v>
          </cell>
          <cell r="B483" t="str">
            <v>40kA MOV surge protection replacement module</v>
          </cell>
          <cell r="C483">
            <v>45.522750000000002</v>
          </cell>
          <cell r="D483">
            <v>1.71990484234375</v>
          </cell>
          <cell r="E483">
            <v>47.798887499999999</v>
          </cell>
          <cell r="F483" t="e">
            <v>#N/A</v>
          </cell>
          <cell r="G483">
            <v>21.509499375000001</v>
          </cell>
          <cell r="H483" t="e">
            <v>#N/A</v>
          </cell>
          <cell r="I483" t="e">
            <v>#N/A</v>
          </cell>
          <cell r="J483">
            <v>19.119555000000002</v>
          </cell>
          <cell r="K483" t="e">
            <v>#N/A</v>
          </cell>
          <cell r="L483" t="e">
            <v>#N/A</v>
          </cell>
        </row>
        <row r="484">
          <cell r="A484" t="str">
            <v>SPM/NE/40/230</v>
          </cell>
          <cell r="B484" t="str">
            <v>40kA MOV surge protection replacement module for neutral/earth</v>
          </cell>
          <cell r="C484">
            <v>45.522750000000002</v>
          </cell>
          <cell r="D484">
            <v>1.71990484234375</v>
          </cell>
          <cell r="E484">
            <v>47.798887499999999</v>
          </cell>
          <cell r="F484" t="e">
            <v>#N/A</v>
          </cell>
          <cell r="G484">
            <v>21.509499375000001</v>
          </cell>
          <cell r="H484" t="e">
            <v>#N/A</v>
          </cell>
          <cell r="I484" t="e">
            <v>#N/A</v>
          </cell>
          <cell r="J484">
            <v>19.119555000000002</v>
          </cell>
          <cell r="K484" t="e">
            <v>#N/A</v>
          </cell>
          <cell r="L484" t="e">
            <v>#N/A</v>
          </cell>
        </row>
        <row r="485">
          <cell r="A485" t="str">
            <v>SRLB32</v>
          </cell>
          <cell r="B485" t="str">
            <v>32A rating strip label (strip of 8)</v>
          </cell>
          <cell r="C485">
            <v>1.67795594375</v>
          </cell>
          <cell r="D485">
            <v>1.71990484234375</v>
          </cell>
          <cell r="E485">
            <v>1.7618537409375001</v>
          </cell>
          <cell r="F485">
            <v>1.423</v>
          </cell>
          <cell r="G485">
            <v>0.79283418342187506</v>
          </cell>
          <cell r="H485">
            <v>-0.63016581657812498</v>
          </cell>
          <cell r="I485">
            <v>-0.79482674909188089</v>
          </cell>
          <cell r="J485">
            <v>0.70474149637500005</v>
          </cell>
          <cell r="K485">
            <v>-0.71825850362499999</v>
          </cell>
          <cell r="L485">
            <v>-1.0191800927283661</v>
          </cell>
        </row>
        <row r="486">
          <cell r="A486" t="str">
            <v>SRLB63</v>
          </cell>
          <cell r="B486" t="str">
            <v>63A rating strip label (strip of 8)</v>
          </cell>
          <cell r="C486">
            <v>1.67795594375</v>
          </cell>
          <cell r="D486">
            <v>1.71990484234375</v>
          </cell>
          <cell r="E486">
            <v>1.7618537409375001</v>
          </cell>
          <cell r="F486">
            <v>1.423</v>
          </cell>
          <cell r="G486">
            <v>0.79283418342187506</v>
          </cell>
          <cell r="H486">
            <v>-0.63016581657812498</v>
          </cell>
          <cell r="I486">
            <v>-0.79482674909188089</v>
          </cell>
          <cell r="J486">
            <v>0.70474149637500005</v>
          </cell>
          <cell r="K486">
            <v>-0.71825850362499999</v>
          </cell>
          <cell r="L486">
            <v>-1.0191800927283661</v>
          </cell>
        </row>
        <row r="487">
          <cell r="A487" t="str">
            <v>SRLB100</v>
          </cell>
          <cell r="B487" t="str">
            <v>100A rating strip label (strip of 8)</v>
          </cell>
          <cell r="C487">
            <v>1.67795594375</v>
          </cell>
          <cell r="D487">
            <v>1.71990484234375</v>
          </cell>
          <cell r="E487">
            <v>1.7618537409375001</v>
          </cell>
          <cell r="F487">
            <v>1.423</v>
          </cell>
          <cell r="G487">
            <v>0.79283418342187506</v>
          </cell>
          <cell r="H487">
            <v>-0.63016581657812498</v>
          </cell>
          <cell r="I487">
            <v>-0.79482674909188089</v>
          </cell>
          <cell r="J487">
            <v>0.70474149637500005</v>
          </cell>
          <cell r="K487">
            <v>-0.71825850362499999</v>
          </cell>
          <cell r="L487">
            <v>-1.0191800927283661</v>
          </cell>
        </row>
        <row r="488">
          <cell r="A488" t="str">
            <v>SRLB125</v>
          </cell>
          <cell r="B488" t="str">
            <v>125A rating strip label (strip of 8)</v>
          </cell>
          <cell r="C488">
            <v>1.67795594375</v>
          </cell>
          <cell r="D488">
            <v>1.71990484234375</v>
          </cell>
          <cell r="E488">
            <v>1.7618537409375001</v>
          </cell>
          <cell r="F488">
            <v>1.423</v>
          </cell>
          <cell r="G488">
            <v>0.79283418342187506</v>
          </cell>
          <cell r="H488">
            <v>-0.63016581657812498</v>
          </cell>
          <cell r="I488">
            <v>-0.79482674909188089</v>
          </cell>
          <cell r="J488">
            <v>0.70474149637500005</v>
          </cell>
          <cell r="K488">
            <v>-0.71825850362499999</v>
          </cell>
          <cell r="L488">
            <v>-1.0191800927283661</v>
          </cell>
        </row>
        <row r="489">
          <cell r="A489" t="str">
            <v>SRLB160</v>
          </cell>
          <cell r="B489" t="str">
            <v>160A rating strip label (strip of 8)</v>
          </cell>
          <cell r="C489">
            <v>1.67795594375</v>
          </cell>
          <cell r="D489">
            <v>7.8816485171874993</v>
          </cell>
          <cell r="E489">
            <v>1.7618537409375001</v>
          </cell>
          <cell r="F489">
            <v>1.423</v>
          </cell>
          <cell r="G489">
            <v>0.79283418342187506</v>
          </cell>
          <cell r="H489">
            <v>-0.63016581657812498</v>
          </cell>
          <cell r="I489">
            <v>-0.79482674909188089</v>
          </cell>
          <cell r="J489">
            <v>0.70474149637500005</v>
          </cell>
          <cell r="K489">
            <v>-0.71825850362499999</v>
          </cell>
          <cell r="L489">
            <v>-1.0191800927283661</v>
          </cell>
        </row>
        <row r="490">
          <cell r="A490" t="str">
            <v>SRLB200</v>
          </cell>
          <cell r="B490" t="str">
            <v>200A rating strip label (strip of 8)</v>
          </cell>
          <cell r="C490">
            <v>1.67795594375</v>
          </cell>
          <cell r="D490">
            <v>9.9576306015624994</v>
          </cell>
          <cell r="E490">
            <v>1.7618537409375001</v>
          </cell>
          <cell r="F490">
            <v>1.423</v>
          </cell>
          <cell r="G490">
            <v>0.79283418342187506</v>
          </cell>
          <cell r="H490">
            <v>-0.63016581657812498</v>
          </cell>
          <cell r="I490">
            <v>-0.79482674909188089</v>
          </cell>
          <cell r="J490">
            <v>0.70474149637500005</v>
          </cell>
          <cell r="K490">
            <v>-0.71825850362499999</v>
          </cell>
          <cell r="L490">
            <v>-1.0191800927283661</v>
          </cell>
        </row>
        <row r="491">
          <cell r="A491" t="str">
            <v>SRLB315</v>
          </cell>
          <cell r="B491" t="str">
            <v>315A rating strip label (strip of 8)</v>
          </cell>
          <cell r="C491">
            <v>1.67795594375</v>
          </cell>
          <cell r="D491">
            <v>8.3723045019531241</v>
          </cell>
          <cell r="E491">
            <v>1.7618537409375001</v>
          </cell>
          <cell r="F491">
            <v>1.423</v>
          </cell>
          <cell r="G491">
            <v>0.79283418342187506</v>
          </cell>
          <cell r="H491">
            <v>-0.63016581657812498</v>
          </cell>
          <cell r="I491">
            <v>-0.79482674909188089</v>
          </cell>
          <cell r="J491">
            <v>0.70474149637500005</v>
          </cell>
          <cell r="K491">
            <v>-0.71825850362499999</v>
          </cell>
          <cell r="L491">
            <v>-1.0191800927283661</v>
          </cell>
        </row>
        <row r="492">
          <cell r="A492" t="str">
            <v>SRLB400</v>
          </cell>
          <cell r="B492" t="str">
            <v>400A rating strip label (strip of 8)</v>
          </cell>
          <cell r="C492">
            <v>1.67795594375</v>
          </cell>
          <cell r="D492">
            <v>10.823511523437498</v>
          </cell>
          <cell r="E492">
            <v>1.7618537409375001</v>
          </cell>
          <cell r="F492">
            <v>1.423</v>
          </cell>
          <cell r="G492">
            <v>0.79283418342187506</v>
          </cell>
          <cell r="H492">
            <v>-0.63016581657812498</v>
          </cell>
          <cell r="I492">
            <v>-0.79482674909188089</v>
          </cell>
          <cell r="J492">
            <v>0.70474149637500005</v>
          </cell>
          <cell r="K492">
            <v>-0.71825850362499999</v>
          </cell>
          <cell r="L492">
            <v>-1.0191800927283661</v>
          </cell>
        </row>
        <row r="493">
          <cell r="A493" t="str">
            <v>SRLB630</v>
          </cell>
          <cell r="B493" t="str">
            <v>630A rating strip label (strip of 8)</v>
          </cell>
          <cell r="C493">
            <v>1.67795594375</v>
          </cell>
          <cell r="D493">
            <v>10.77339872203185</v>
          </cell>
          <cell r="E493">
            <v>1.7618537409375001</v>
          </cell>
          <cell r="F493">
            <v>1.423</v>
          </cell>
          <cell r="G493">
            <v>0.79283418342187506</v>
          </cell>
          <cell r="H493">
            <v>-0.63016581657812498</v>
          </cell>
          <cell r="I493">
            <v>-0.79482674909188089</v>
          </cell>
          <cell r="J493">
            <v>0.70474149637500005</v>
          </cell>
          <cell r="K493">
            <v>-0.71825850362499999</v>
          </cell>
          <cell r="L493">
            <v>-1.0191800927283661</v>
          </cell>
        </row>
        <row r="494">
          <cell r="A494" t="str">
            <v>SRLB800</v>
          </cell>
          <cell r="B494" t="str">
            <v>800A rating strip label (strip of 8)</v>
          </cell>
          <cell r="C494">
            <v>1.67795594375</v>
          </cell>
          <cell r="D494">
            <v>10.224691457928364</v>
          </cell>
          <cell r="E494">
            <v>1.7618537409375001</v>
          </cell>
          <cell r="F494">
            <v>1.423</v>
          </cell>
          <cell r="G494">
            <v>0.79283418342187506</v>
          </cell>
          <cell r="H494">
            <v>-0.63016581657812498</v>
          </cell>
          <cell r="I494">
            <v>-0.79482674909188089</v>
          </cell>
          <cell r="J494">
            <v>0.70474149637500005</v>
          </cell>
          <cell r="K494">
            <v>-0.71825850362499999</v>
          </cell>
          <cell r="L494">
            <v>-1.0191800927283661</v>
          </cell>
        </row>
        <row r="495">
          <cell r="A495" t="str">
            <v>SXT127</v>
          </cell>
          <cell r="B495" t="str">
            <v>8 x 270mm shaft extension</v>
          </cell>
          <cell r="C495">
            <v>7.6894131874999996</v>
          </cell>
          <cell r="D495">
            <v>10.224691457928364</v>
          </cell>
          <cell r="E495">
            <v>8.0738838468749989</v>
          </cell>
          <cell r="F495">
            <v>2.8540000000000001</v>
          </cell>
          <cell r="G495">
            <v>3.6332477310937494</v>
          </cell>
          <cell r="H495">
            <v>0.77924773109374934</v>
          </cell>
          <cell r="I495">
            <v>0.21447690572400505</v>
          </cell>
          <cell r="J495">
            <v>3.2295535387499998</v>
          </cell>
          <cell r="K495">
            <v>0.37555353874999975</v>
          </cell>
          <cell r="L495">
            <v>0.11628651893950577</v>
          </cell>
        </row>
        <row r="496">
          <cell r="A496" t="str">
            <v>SXT160</v>
          </cell>
          <cell r="B496" t="str">
            <v>8 x 600mm shaft extension</v>
          </cell>
          <cell r="C496">
            <v>9.7147615624999997</v>
          </cell>
          <cell r="D496">
            <v>10.224691457928364</v>
          </cell>
          <cell r="E496">
            <v>10.200499640624999</v>
          </cell>
          <cell r="F496">
            <v>3.339</v>
          </cell>
          <cell r="G496">
            <v>4.5902248382812498</v>
          </cell>
          <cell r="H496">
            <v>1.2512248382812499</v>
          </cell>
          <cell r="I496">
            <v>0.27258465159405021</v>
          </cell>
          <cell r="J496">
            <v>4.0801998562500001</v>
          </cell>
          <cell r="K496">
            <v>0.74119985625000018</v>
          </cell>
          <cell r="L496">
            <v>0.18165773304330651</v>
          </cell>
        </row>
        <row r="497">
          <cell r="A497" t="str">
            <v>SXT227</v>
          </cell>
          <cell r="B497" t="str">
            <v>10 x 270mm shaft extension</v>
          </cell>
          <cell r="C497">
            <v>8.1681019531249994</v>
          </cell>
          <cell r="D497">
            <v>10.224691457928364</v>
          </cell>
          <cell r="E497">
            <v>8.5765070507812489</v>
          </cell>
          <cell r="F497">
            <v>2.8820000000000001</v>
          </cell>
          <cell r="G497">
            <v>3.8594281728515623</v>
          </cell>
          <cell r="H497">
            <v>0.97742817285156214</v>
          </cell>
          <cell r="I497">
            <v>0.25325725187143028</v>
          </cell>
          <cell r="J497">
            <v>3.4306028203124996</v>
          </cell>
          <cell r="K497">
            <v>0.54860282031249952</v>
          </cell>
          <cell r="L497">
            <v>0.15991440835535906</v>
          </cell>
        </row>
        <row r="498">
          <cell r="A498" t="str">
            <v>SXT260</v>
          </cell>
          <cell r="B498" t="str">
            <v>10 x 600mm shaft extension</v>
          </cell>
          <cell r="C498">
            <v>10.559523437499999</v>
          </cell>
          <cell r="D498">
            <v>10.224691457928364</v>
          </cell>
          <cell r="E498">
            <v>11.087499609375</v>
          </cell>
          <cell r="F498">
            <v>3.4420000000000002</v>
          </cell>
          <cell r="G498">
            <v>4.9893748242187499</v>
          </cell>
          <cell r="H498">
            <v>1.5473748242187497</v>
          </cell>
          <cell r="I498">
            <v>0.31013401051925216</v>
          </cell>
          <cell r="J498">
            <v>4.43499984375</v>
          </cell>
          <cell r="K498">
            <v>0.99299984374999983</v>
          </cell>
          <cell r="L498">
            <v>0.22390076183415872</v>
          </cell>
        </row>
        <row r="499">
          <cell r="A499" t="str">
            <v>TEGRA-710-200</v>
          </cell>
          <cell r="B499" t="str">
            <v>DIN-rail multi-function meter with 2 pulse Outputs (4 modules)</v>
          </cell>
          <cell r="C499">
            <v>165.4</v>
          </cell>
          <cell r="D499">
            <v>10.224691457928364</v>
          </cell>
          <cell r="E499">
            <v>173.67000000000002</v>
          </cell>
          <cell r="F499">
            <v>46.313000000000002</v>
          </cell>
          <cell r="G499">
            <v>78.151500000000013</v>
          </cell>
          <cell r="H499">
            <v>31.83850000000001</v>
          </cell>
          <cell r="I499">
            <v>0.40739461174769526</v>
          </cell>
          <cell r="J499">
            <v>69.468000000000004</v>
          </cell>
          <cell r="K499">
            <v>23.155000000000001</v>
          </cell>
          <cell r="L499">
            <v>0.3333189382161571</v>
          </cell>
        </row>
        <row r="500">
          <cell r="A500" t="str">
            <v>X1PB06</v>
          </cell>
          <cell r="B500" t="str">
            <v>X Series 10kA 1-pole 6A B type MCB</v>
          </cell>
          <cell r="C500">
            <v>10.510632899543269</v>
          </cell>
          <cell r="D500">
            <v>10.224691457928364</v>
          </cell>
          <cell r="E500">
            <v>11.036164544520433</v>
          </cell>
          <cell r="F500">
            <v>1.742</v>
          </cell>
          <cell r="G500">
            <v>4.9662740450341953</v>
          </cell>
          <cell r="H500">
            <v>3.2242740450341953</v>
          </cell>
          <cell r="I500">
            <v>0.64923401644703127</v>
          </cell>
          <cell r="J500">
            <v>4.4144658178081739</v>
          </cell>
          <cell r="K500">
            <v>2.6724658178081739</v>
          </cell>
          <cell r="L500">
            <v>0.60538826850291017</v>
          </cell>
        </row>
        <row r="501">
          <cell r="A501" t="str">
            <v>X1PB10</v>
          </cell>
          <cell r="B501" t="str">
            <v>X Series 10kA 1-pole 10A B type MCB</v>
          </cell>
          <cell r="C501">
            <v>9.9753087394423066</v>
          </cell>
          <cell r="D501">
            <v>10.77339872203185</v>
          </cell>
          <cell r="E501">
            <v>10.474074176414423</v>
          </cell>
          <cell r="F501">
            <v>1.33</v>
          </cell>
          <cell r="G501">
            <v>4.7133333793864907</v>
          </cell>
          <cell r="H501">
            <v>3.3833333793864906</v>
          </cell>
          <cell r="I501">
            <v>0.71782178493533189</v>
          </cell>
          <cell r="J501">
            <v>4.1896296705657692</v>
          </cell>
          <cell r="K501">
            <v>2.8596296705657691</v>
          </cell>
          <cell r="L501">
            <v>0.68254950805224834</v>
          </cell>
        </row>
        <row r="502">
          <cell r="A502" t="str">
            <v>X1PB13</v>
          </cell>
          <cell r="B502" t="str">
            <v xml:space="preserve">X Series 10kA 1-pole 13A B type MCB </v>
          </cell>
          <cell r="C502">
            <v>9.9753087394423066</v>
          </cell>
          <cell r="D502">
            <v>10.77339872203185</v>
          </cell>
          <cell r="E502">
            <v>10.474074176414423</v>
          </cell>
          <cell r="F502">
            <v>1.33</v>
          </cell>
          <cell r="G502">
            <v>4.7133333793864907</v>
          </cell>
          <cell r="H502">
            <v>3.3833333793864906</v>
          </cell>
          <cell r="I502">
            <v>0.71782178493533189</v>
          </cell>
          <cell r="J502">
            <v>4.1896296705657692</v>
          </cell>
          <cell r="K502">
            <v>2.8596296705657691</v>
          </cell>
          <cell r="L502">
            <v>0.68254950805224834</v>
          </cell>
        </row>
        <row r="503">
          <cell r="A503" t="str">
            <v>X1PB16</v>
          </cell>
          <cell r="B503" t="str">
            <v xml:space="preserve">X Series 10kA 1-pole 16A B type MCB </v>
          </cell>
          <cell r="C503">
            <v>9.9753087394423066</v>
          </cell>
          <cell r="D503">
            <v>40.793616249999999</v>
          </cell>
          <cell r="E503">
            <v>10.474074176414423</v>
          </cell>
          <cell r="F503">
            <v>1.33</v>
          </cell>
          <cell r="G503">
            <v>4.7133333793864907</v>
          </cell>
          <cell r="H503">
            <v>3.3833333793864906</v>
          </cell>
          <cell r="I503">
            <v>0.71782178493533189</v>
          </cell>
          <cell r="J503">
            <v>4.1896296705657692</v>
          </cell>
          <cell r="K503">
            <v>2.8596296705657691</v>
          </cell>
          <cell r="L503">
            <v>0.68254950805224834</v>
          </cell>
        </row>
        <row r="504">
          <cell r="A504" t="str">
            <v>X1PB20</v>
          </cell>
          <cell r="B504" t="str">
            <v>X Series 10kA 1-pole 20A B type MCB</v>
          </cell>
          <cell r="C504">
            <v>9.9753087394423066</v>
          </cell>
          <cell r="D504">
            <v>43.870822562500003</v>
          </cell>
          <cell r="E504">
            <v>10.474074176414423</v>
          </cell>
          <cell r="F504">
            <v>1.33</v>
          </cell>
          <cell r="G504">
            <v>4.7133333793864907</v>
          </cell>
          <cell r="H504">
            <v>3.3833333793864906</v>
          </cell>
          <cell r="I504">
            <v>0.71782178493533189</v>
          </cell>
          <cell r="J504">
            <v>4.1896296705657692</v>
          </cell>
          <cell r="K504">
            <v>2.8596296705657691</v>
          </cell>
          <cell r="L504">
            <v>0.68254950805224834</v>
          </cell>
        </row>
        <row r="505">
          <cell r="A505" t="str">
            <v>X1PB25</v>
          </cell>
          <cell r="B505" t="str">
            <v xml:space="preserve">X Series 10kA 1-pole 25A B type MCB </v>
          </cell>
          <cell r="C505">
            <v>9.9753087394423066</v>
          </cell>
          <cell r="D505">
            <v>46.794758062499994</v>
          </cell>
          <cell r="E505">
            <v>10.474074176414423</v>
          </cell>
          <cell r="F505">
            <v>1.33</v>
          </cell>
          <cell r="G505">
            <v>4.7133333793864907</v>
          </cell>
          <cell r="H505">
            <v>3.3833333793864906</v>
          </cell>
          <cell r="I505">
            <v>0.71782178493533189</v>
          </cell>
          <cell r="J505">
            <v>4.1896296705657692</v>
          </cell>
          <cell r="K505">
            <v>2.8596296705657691</v>
          </cell>
          <cell r="L505">
            <v>0.68254950805224834</v>
          </cell>
        </row>
        <row r="506">
          <cell r="A506" t="str">
            <v>X1PB32</v>
          </cell>
          <cell r="B506" t="str">
            <v>X Series 10kA 1-pole 32A B type MCB</v>
          </cell>
          <cell r="C506">
            <v>9.9753087394423066</v>
          </cell>
          <cell r="D506">
            <v>10.77339872203185</v>
          </cell>
          <cell r="E506">
            <v>10.474074176414423</v>
          </cell>
          <cell r="F506">
            <v>1.33</v>
          </cell>
          <cell r="G506">
            <v>4.7133333793864907</v>
          </cell>
          <cell r="H506">
            <v>3.3833333793864906</v>
          </cell>
          <cell r="I506">
            <v>0.71782178493533189</v>
          </cell>
          <cell r="J506">
            <v>4.1896296705657692</v>
          </cell>
          <cell r="K506">
            <v>2.8596296705657691</v>
          </cell>
          <cell r="L506">
            <v>0.68254950805224834</v>
          </cell>
        </row>
        <row r="507">
          <cell r="A507" t="str">
            <v>X1PB40</v>
          </cell>
          <cell r="B507" t="str">
            <v xml:space="preserve">X Series 10kA 1-pole 40A B type MCB </v>
          </cell>
          <cell r="C507">
            <v>9.9753087394423066</v>
          </cell>
          <cell r="D507">
            <v>10.224691457928364</v>
          </cell>
          <cell r="E507">
            <v>12</v>
          </cell>
          <cell r="F507">
            <v>2.0169999999999999</v>
          </cell>
          <cell r="G507">
            <v>5.4</v>
          </cell>
          <cell r="H507">
            <v>3.3830000000000005</v>
          </cell>
          <cell r="I507">
            <v>0.62648148148148153</v>
          </cell>
          <cell r="J507">
            <v>4.8000000000000007</v>
          </cell>
          <cell r="K507">
            <v>2.7830000000000008</v>
          </cell>
          <cell r="L507">
            <v>0.57979166666666671</v>
          </cell>
        </row>
        <row r="508">
          <cell r="A508" t="str">
            <v>X1PB50</v>
          </cell>
          <cell r="B508" t="str">
            <v>X Series 10kA 1-pole 50A B type MCB</v>
          </cell>
          <cell r="C508">
            <v>10.510632899543269</v>
          </cell>
          <cell r="D508">
            <v>10.224691457928364</v>
          </cell>
          <cell r="E508">
            <v>13</v>
          </cell>
          <cell r="F508">
            <v>2.8879999999999999</v>
          </cell>
          <cell r="G508">
            <v>5.8500000000000005</v>
          </cell>
          <cell r="H508">
            <v>2.9620000000000006</v>
          </cell>
          <cell r="I508">
            <v>0.50632478632478639</v>
          </cell>
          <cell r="J508">
            <v>5.2</v>
          </cell>
          <cell r="K508">
            <v>2.3120000000000003</v>
          </cell>
          <cell r="L508">
            <v>0.44461538461538463</v>
          </cell>
        </row>
        <row r="509">
          <cell r="A509" t="str">
            <v>X1PB63</v>
          </cell>
          <cell r="B509" t="str">
            <v xml:space="preserve">X Series 10kA 1-pole 63A B type MCB </v>
          </cell>
          <cell r="C509">
            <v>10.510632899543269</v>
          </cell>
          <cell r="D509">
            <v>10.224691457928364</v>
          </cell>
          <cell r="E509">
            <v>13</v>
          </cell>
          <cell r="F509">
            <v>2.98</v>
          </cell>
          <cell r="G509">
            <v>5.8500000000000005</v>
          </cell>
          <cell r="H509">
            <v>2.8700000000000006</v>
          </cell>
          <cell r="I509">
            <v>0.49059829059829063</v>
          </cell>
          <cell r="J509">
            <v>5.2</v>
          </cell>
          <cell r="K509">
            <v>2.2200000000000002</v>
          </cell>
          <cell r="L509">
            <v>0.42692307692307696</v>
          </cell>
        </row>
        <row r="510">
          <cell r="A510" t="str">
            <v>X1PB80</v>
          </cell>
          <cell r="B510" t="str">
            <v>X Series 10kA 1-pole 80A B type MCB</v>
          </cell>
          <cell r="C510">
            <v>39.798650000000002</v>
          </cell>
          <cell r="D510">
            <v>10.224691457928364</v>
          </cell>
          <cell r="E510">
            <v>41.788582500000004</v>
          </cell>
          <cell r="F510">
            <v>9.3330000000000002</v>
          </cell>
          <cell r="G510">
            <v>18.804862125000003</v>
          </cell>
          <cell r="H510">
            <v>9.471862125000003</v>
          </cell>
          <cell r="I510">
            <v>0.5036921867354559</v>
          </cell>
          <cell r="J510">
            <v>16.715433000000001</v>
          </cell>
          <cell r="K510">
            <v>7.3824330000000007</v>
          </cell>
          <cell r="L510">
            <v>0.4416537100773878</v>
          </cell>
        </row>
        <row r="511">
          <cell r="A511" t="str">
            <v>X1PB100</v>
          </cell>
          <cell r="B511" t="str">
            <v>X Series 10kA 1-pole 100A B type MCB</v>
          </cell>
          <cell r="C511">
            <v>42.800802500000003</v>
          </cell>
          <cell r="D511">
            <v>10.224691457928364</v>
          </cell>
          <cell r="E511">
            <v>44.940842625000002</v>
          </cell>
          <cell r="F511">
            <v>10.394</v>
          </cell>
          <cell r="G511">
            <v>20.223379181250003</v>
          </cell>
          <cell r="H511">
            <v>9.8293791812500029</v>
          </cell>
          <cell r="I511">
            <v>0.48604039380141073</v>
          </cell>
          <cell r="J511">
            <v>17.976337050000001</v>
          </cell>
          <cell r="K511">
            <v>7.5823370500000014</v>
          </cell>
          <cell r="L511">
            <v>0.42179544302658706</v>
          </cell>
        </row>
        <row r="512">
          <cell r="A512" t="str">
            <v>X1PB125</v>
          </cell>
          <cell r="B512" t="str">
            <v>X Series 10kA 1-pole 125A B type MCB</v>
          </cell>
          <cell r="C512">
            <v>45.653422499999998</v>
          </cell>
          <cell r="D512">
            <v>10.224691457928364</v>
          </cell>
          <cell r="E512">
            <v>47.936093624999998</v>
          </cell>
          <cell r="F512">
            <v>11.170999999999999</v>
          </cell>
          <cell r="G512">
            <v>21.571242131249999</v>
          </cell>
          <cell r="H512">
            <v>10.40024213125</v>
          </cell>
          <cell r="I512">
            <v>0.48213459697730127</v>
          </cell>
          <cell r="J512">
            <v>19.174437449999999</v>
          </cell>
          <cell r="K512">
            <v>8.0034374499999998</v>
          </cell>
          <cell r="L512">
            <v>0.41740142159946392</v>
          </cell>
        </row>
        <row r="513">
          <cell r="A513" t="str">
            <v>X1PC06</v>
          </cell>
          <cell r="B513" t="str">
            <v>X Series 10kA 1-pole 6A C type MCB</v>
          </cell>
          <cell r="C513">
            <v>10.510632899543269</v>
          </cell>
          <cell r="D513">
            <v>10.224691457928364</v>
          </cell>
          <cell r="E513">
            <v>11.036164544520433</v>
          </cell>
          <cell r="F513">
            <v>1.742</v>
          </cell>
          <cell r="G513">
            <v>4.9662740450341953</v>
          </cell>
          <cell r="H513">
            <v>3.2242740450341953</v>
          </cell>
          <cell r="I513">
            <v>0.64923401644703127</v>
          </cell>
          <cell r="J513">
            <v>4.4144658178081739</v>
          </cell>
          <cell r="K513">
            <v>2.6724658178081739</v>
          </cell>
          <cell r="L513">
            <v>0.60538826850291017</v>
          </cell>
        </row>
        <row r="514">
          <cell r="A514" t="str">
            <v>X1PC10</v>
          </cell>
          <cell r="B514" t="str">
            <v>X Series 10kA 1-pole 10A C type MCB</v>
          </cell>
          <cell r="C514">
            <v>9.9753087394423066</v>
          </cell>
          <cell r="D514">
            <v>10.77339872203185</v>
          </cell>
          <cell r="E514">
            <v>10.474074176414423</v>
          </cell>
          <cell r="F514">
            <v>1.33</v>
          </cell>
          <cell r="G514">
            <v>4.7133333793864907</v>
          </cell>
          <cell r="H514">
            <v>3.3833333793864906</v>
          </cell>
          <cell r="I514">
            <v>0.71782178493533189</v>
          </cell>
          <cell r="J514">
            <v>4.1896296705657692</v>
          </cell>
          <cell r="K514">
            <v>2.8596296705657691</v>
          </cell>
          <cell r="L514">
            <v>0.68254950805224834</v>
          </cell>
        </row>
        <row r="515">
          <cell r="A515" t="str">
            <v>X1PC13</v>
          </cell>
          <cell r="B515" t="str">
            <v xml:space="preserve">X Series 10kA 1-pole 13A C type MCB </v>
          </cell>
          <cell r="C515">
            <v>9.9753087394423066</v>
          </cell>
          <cell r="D515">
            <v>10.77339872203185</v>
          </cell>
          <cell r="E515">
            <v>10.474074176414423</v>
          </cell>
          <cell r="F515">
            <v>1.33</v>
          </cell>
          <cell r="G515">
            <v>4.7133333793864907</v>
          </cell>
          <cell r="H515">
            <v>3.3833333793864906</v>
          </cell>
          <cell r="I515">
            <v>0.71782178493533189</v>
          </cell>
          <cell r="J515">
            <v>4.1896296705657692</v>
          </cell>
          <cell r="K515">
            <v>2.8596296705657691</v>
          </cell>
          <cell r="L515">
            <v>0.68254950805224834</v>
          </cell>
        </row>
        <row r="516">
          <cell r="A516" t="str">
            <v>X1PC16</v>
          </cell>
          <cell r="B516" t="str">
            <v>X Series 10kA 1-pole 16A C type MCB</v>
          </cell>
          <cell r="C516">
            <v>9.9753087394423066</v>
          </cell>
          <cell r="D516">
            <v>40.793616249999999</v>
          </cell>
          <cell r="E516">
            <v>10.474074176414423</v>
          </cell>
          <cell r="F516">
            <v>1.33</v>
          </cell>
          <cell r="G516">
            <v>4.7133333793864907</v>
          </cell>
          <cell r="H516">
            <v>3.3833333793864906</v>
          </cell>
          <cell r="I516">
            <v>0.71782178493533189</v>
          </cell>
          <cell r="J516">
            <v>4.1896296705657692</v>
          </cell>
          <cell r="K516">
            <v>2.8596296705657691</v>
          </cell>
          <cell r="L516">
            <v>0.68254950805224834</v>
          </cell>
        </row>
        <row r="517">
          <cell r="A517" t="str">
            <v>X1PC20</v>
          </cell>
          <cell r="B517" t="str">
            <v>X Series 10kA 1-pole 20A C type MCB</v>
          </cell>
          <cell r="C517">
            <v>9.9753087394423066</v>
          </cell>
          <cell r="D517">
            <v>43.870822562500003</v>
          </cell>
          <cell r="E517">
            <v>10.474074176414423</v>
          </cell>
          <cell r="F517">
            <v>1.33</v>
          </cell>
          <cell r="G517">
            <v>4.7133333793864907</v>
          </cell>
          <cell r="H517">
            <v>3.3833333793864906</v>
          </cell>
          <cell r="I517">
            <v>0.71782178493533189</v>
          </cell>
          <cell r="J517">
            <v>4.1896296705657692</v>
          </cell>
          <cell r="K517">
            <v>2.8596296705657691</v>
          </cell>
          <cell r="L517">
            <v>0.68254950805224834</v>
          </cell>
        </row>
        <row r="518">
          <cell r="A518" t="str">
            <v>X1PC25</v>
          </cell>
          <cell r="B518" t="str">
            <v xml:space="preserve">X Series 10kA 1-pole 25A C type MCB </v>
          </cell>
          <cell r="C518">
            <v>9.9753087394423066</v>
          </cell>
          <cell r="D518">
            <v>46.794758062499994</v>
          </cell>
          <cell r="E518">
            <v>10.474074176414423</v>
          </cell>
          <cell r="F518">
            <v>1.33</v>
          </cell>
          <cell r="G518">
            <v>4.7133333793864907</v>
          </cell>
          <cell r="H518">
            <v>3.3833333793864906</v>
          </cell>
          <cell r="I518">
            <v>0.71782178493533189</v>
          </cell>
          <cell r="J518">
            <v>4.1896296705657692</v>
          </cell>
          <cell r="K518">
            <v>2.8596296705657691</v>
          </cell>
          <cell r="L518">
            <v>0.68254950805224834</v>
          </cell>
        </row>
        <row r="519">
          <cell r="A519" t="str">
            <v>X1PC32</v>
          </cell>
          <cell r="B519" t="str">
            <v>X Series 10kA 1-pole 32A C type MCB</v>
          </cell>
          <cell r="C519">
            <v>9.9753087394423066</v>
          </cell>
          <cell r="D519">
            <v>12.00282211343149</v>
          </cell>
          <cell r="E519">
            <v>10.474074176414423</v>
          </cell>
          <cell r="F519">
            <v>1.33</v>
          </cell>
          <cell r="G519">
            <v>4.7133333793864907</v>
          </cell>
          <cell r="H519">
            <v>3.3833333793864906</v>
          </cell>
          <cell r="I519">
            <v>0.71782178493533189</v>
          </cell>
          <cell r="J519">
            <v>4.1896296705657692</v>
          </cell>
          <cell r="K519">
            <v>2.8596296705657691</v>
          </cell>
          <cell r="L519">
            <v>0.68254950805224834</v>
          </cell>
        </row>
        <row r="520">
          <cell r="A520" t="str">
            <v>X1PC40</v>
          </cell>
          <cell r="B520" t="str">
            <v xml:space="preserve">X Series 10kA 1-pole 40A C type MCB </v>
          </cell>
          <cell r="C520">
            <v>9.9753087394423066</v>
          </cell>
          <cell r="D520">
            <v>11.235050976111776</v>
          </cell>
          <cell r="E520">
            <v>12</v>
          </cell>
          <cell r="F520">
            <v>2.0169999999999999</v>
          </cell>
          <cell r="G520">
            <v>5.4</v>
          </cell>
          <cell r="H520">
            <v>3.3830000000000005</v>
          </cell>
          <cell r="I520">
            <v>0.62648148148148153</v>
          </cell>
          <cell r="J520">
            <v>4.8000000000000007</v>
          </cell>
          <cell r="K520">
            <v>2.7830000000000008</v>
          </cell>
          <cell r="L520">
            <v>0.57979166666666671</v>
          </cell>
        </row>
        <row r="521">
          <cell r="A521" t="str">
            <v>X1PC50</v>
          </cell>
          <cell r="B521" t="str">
            <v>X Series 10kA 1-pole 50A C type MCB</v>
          </cell>
          <cell r="C521">
            <v>10.510632899543269</v>
          </cell>
          <cell r="D521">
            <v>11.235050976111776</v>
          </cell>
          <cell r="E521">
            <v>13</v>
          </cell>
          <cell r="F521">
            <v>2.8879999999999999</v>
          </cell>
          <cell r="G521">
            <v>5.8500000000000005</v>
          </cell>
          <cell r="H521">
            <v>2.9620000000000006</v>
          </cell>
          <cell r="I521">
            <v>0.50632478632478639</v>
          </cell>
          <cell r="J521">
            <v>5.2</v>
          </cell>
          <cell r="K521">
            <v>2.3120000000000003</v>
          </cell>
          <cell r="L521">
            <v>0.44461538461538463</v>
          </cell>
        </row>
        <row r="522">
          <cell r="A522" t="str">
            <v>X1PC63</v>
          </cell>
          <cell r="B522" t="str">
            <v xml:space="preserve">X Series 10kA 1-pole 63A C type MCB </v>
          </cell>
          <cell r="C522">
            <v>10.510632899543269</v>
          </cell>
          <cell r="D522">
            <v>11.235050976111776</v>
          </cell>
          <cell r="E522">
            <v>13</v>
          </cell>
          <cell r="F522">
            <v>2.98</v>
          </cell>
          <cell r="G522">
            <v>5.8500000000000005</v>
          </cell>
          <cell r="H522">
            <v>2.8700000000000006</v>
          </cell>
          <cell r="I522">
            <v>0.49059829059829063</v>
          </cell>
          <cell r="J522">
            <v>5.2</v>
          </cell>
          <cell r="K522">
            <v>2.2200000000000002</v>
          </cell>
          <cell r="L522">
            <v>0.42692307692307696</v>
          </cell>
        </row>
        <row r="523">
          <cell r="A523" t="str">
            <v>X1PC80</v>
          </cell>
          <cell r="B523" t="str">
            <v>X Series 10kA 1-pole 80A C type MCB</v>
          </cell>
          <cell r="C523">
            <v>39.798650000000002</v>
          </cell>
          <cell r="D523">
            <v>11.235050976111776</v>
          </cell>
          <cell r="E523">
            <v>41.788582500000004</v>
          </cell>
          <cell r="F523">
            <v>9.3330000000000002</v>
          </cell>
          <cell r="G523">
            <v>18.804862125000003</v>
          </cell>
          <cell r="H523">
            <v>9.471862125000003</v>
          </cell>
          <cell r="I523">
            <v>0.5036921867354559</v>
          </cell>
          <cell r="J523">
            <v>16.715433000000001</v>
          </cell>
          <cell r="K523">
            <v>7.3824330000000007</v>
          </cell>
          <cell r="L523">
            <v>0.4416537100773878</v>
          </cell>
        </row>
        <row r="524">
          <cell r="A524" t="str">
            <v>X1PC100</v>
          </cell>
          <cell r="B524" t="str">
            <v>X Series 10kA 1-pole 100A C type MCB</v>
          </cell>
          <cell r="C524">
            <v>42.800802500000003</v>
          </cell>
          <cell r="D524">
            <v>11.235050976111776</v>
          </cell>
          <cell r="E524">
            <v>44.940842625000002</v>
          </cell>
          <cell r="F524">
            <v>10.394</v>
          </cell>
          <cell r="G524">
            <v>20.223379181250003</v>
          </cell>
          <cell r="H524">
            <v>9.8293791812500029</v>
          </cell>
          <cell r="I524">
            <v>0.48604039380141073</v>
          </cell>
          <cell r="J524">
            <v>17.976337050000001</v>
          </cell>
          <cell r="K524">
            <v>7.5823370500000014</v>
          </cell>
          <cell r="L524">
            <v>0.42179544302658706</v>
          </cell>
        </row>
        <row r="525">
          <cell r="A525" t="str">
            <v>X1PC125</v>
          </cell>
          <cell r="B525" t="str">
            <v>X Series 10kA 1-pole 125A C type MCB</v>
          </cell>
          <cell r="C525">
            <v>45.653422499999998</v>
          </cell>
          <cell r="D525">
            <v>11.235050976111776</v>
          </cell>
          <cell r="E525">
            <v>47.936093624999998</v>
          </cell>
          <cell r="F525">
            <v>11.170999999999999</v>
          </cell>
          <cell r="G525">
            <v>21.571242131249999</v>
          </cell>
          <cell r="H525">
            <v>10.40024213125</v>
          </cell>
          <cell r="I525">
            <v>0.48213459697730127</v>
          </cell>
          <cell r="J525">
            <v>19.174437449999999</v>
          </cell>
          <cell r="K525">
            <v>8.0034374499999998</v>
          </cell>
          <cell r="L525">
            <v>0.41740142159946392</v>
          </cell>
        </row>
        <row r="526">
          <cell r="A526" t="str">
            <v>X1PD06</v>
          </cell>
          <cell r="B526" t="str">
            <v xml:space="preserve">X Series 10kA 1-pole 6A D type MCB </v>
          </cell>
          <cell r="C526">
            <v>11.710070354567309</v>
          </cell>
          <cell r="D526">
            <v>11.235050976111776</v>
          </cell>
          <cell r="E526">
            <v>11.827171058112983</v>
          </cell>
          <cell r="F526">
            <v>2.2109999999999999</v>
          </cell>
          <cell r="G526">
            <v>5.3222269761508425</v>
          </cell>
          <cell r="H526">
            <v>3.1112269761508426</v>
          </cell>
          <cell r="I526">
            <v>0.58457239612147349</v>
          </cell>
          <cell r="J526">
            <v>4.7308684232451936</v>
          </cell>
          <cell r="K526">
            <v>2.5198684232451938</v>
          </cell>
          <cell r="L526">
            <v>0.53264394563665773</v>
          </cell>
        </row>
        <row r="527">
          <cell r="A527" t="str">
            <v>X1PD10</v>
          </cell>
          <cell r="B527" t="str">
            <v>X Series 10kA 1-pole 10A D type MCB</v>
          </cell>
          <cell r="C527">
            <v>10.961025342548075</v>
          </cell>
          <cell r="D527">
            <v>12.00282211343149</v>
          </cell>
          <cell r="E527">
            <v>11.070635595973556</v>
          </cell>
          <cell r="F527">
            <v>1.9259999999999999</v>
          </cell>
          <cell r="G527">
            <v>4.9817860181881004</v>
          </cell>
          <cell r="H527">
            <v>3.0557860181881003</v>
          </cell>
          <cell r="I527">
            <v>0.61339166456200067</v>
          </cell>
          <cell r="J527">
            <v>4.4282542383894228</v>
          </cell>
          <cell r="K527">
            <v>2.5022542383894226</v>
          </cell>
          <cell r="L527">
            <v>0.5650656226322508</v>
          </cell>
        </row>
        <row r="528">
          <cell r="A528" t="str">
            <v>X1PD13</v>
          </cell>
          <cell r="B528" t="str">
            <v xml:space="preserve">X Series 10kA 1-pole 13A D type MCB </v>
          </cell>
          <cell r="C528">
            <v>10.961025342548075</v>
          </cell>
          <cell r="D528">
            <v>12.00282211343149</v>
          </cell>
          <cell r="E528">
            <v>11.070635595973556</v>
          </cell>
          <cell r="F528">
            <v>1.9259999999999999</v>
          </cell>
          <cell r="G528">
            <v>4.9817860181881004</v>
          </cell>
          <cell r="H528">
            <v>3.0557860181881003</v>
          </cell>
          <cell r="I528">
            <v>0.61339166456200067</v>
          </cell>
          <cell r="J528">
            <v>4.4282542383894228</v>
          </cell>
          <cell r="K528">
            <v>2.5022542383894226</v>
          </cell>
          <cell r="L528">
            <v>0.5650656226322508</v>
          </cell>
        </row>
        <row r="529">
          <cell r="A529" t="str">
            <v>X1PD16</v>
          </cell>
          <cell r="B529" t="str">
            <v>X Series 10kA 1-pole 16A D type MCB</v>
          </cell>
          <cell r="C529">
            <v>10.961025342548075</v>
          </cell>
          <cell r="D529">
            <v>32.883491013561787</v>
          </cell>
          <cell r="E529">
            <v>11.070635595973556</v>
          </cell>
          <cell r="F529">
            <v>1.9259999999999999</v>
          </cell>
          <cell r="G529">
            <v>4.9817860181881004</v>
          </cell>
          <cell r="H529">
            <v>3.0557860181881003</v>
          </cell>
          <cell r="I529">
            <v>0.61339166456200067</v>
          </cell>
          <cell r="J529">
            <v>4.4282542383894228</v>
          </cell>
          <cell r="K529">
            <v>2.5022542383894226</v>
          </cell>
          <cell r="L529">
            <v>0.5650656226322508</v>
          </cell>
        </row>
        <row r="530">
          <cell r="A530" t="str">
            <v>X1PD20</v>
          </cell>
          <cell r="B530" t="str">
            <v xml:space="preserve">X Series 10kA 1-pole 20A D type MCB </v>
          </cell>
          <cell r="C530">
            <v>10.961025342548075</v>
          </cell>
          <cell r="D530">
            <v>30.861170167740379</v>
          </cell>
          <cell r="E530">
            <v>11.070635595973556</v>
          </cell>
          <cell r="F530">
            <v>1.9259999999999999</v>
          </cell>
          <cell r="G530">
            <v>4.9817860181881004</v>
          </cell>
          <cell r="H530">
            <v>3.0557860181881003</v>
          </cell>
          <cell r="I530">
            <v>0.61339166456200067</v>
          </cell>
          <cell r="J530">
            <v>4.4282542383894228</v>
          </cell>
          <cell r="K530">
            <v>2.5022542383894226</v>
          </cell>
          <cell r="L530">
            <v>0.5650656226322508</v>
          </cell>
        </row>
        <row r="531">
          <cell r="A531" t="str">
            <v>X1PD25</v>
          </cell>
          <cell r="B531" t="str">
            <v>X Series 10kA 1-pole 25A D type MCB</v>
          </cell>
          <cell r="C531">
            <v>10.961025342548075</v>
          </cell>
          <cell r="D531">
            <v>30.861170167740379</v>
          </cell>
          <cell r="E531">
            <v>11.070635595973556</v>
          </cell>
          <cell r="F531">
            <v>1.9259999999999999</v>
          </cell>
          <cell r="G531">
            <v>4.9817860181881004</v>
          </cell>
          <cell r="H531">
            <v>3.0557860181881003</v>
          </cell>
          <cell r="I531">
            <v>0.61339166456200067</v>
          </cell>
          <cell r="J531">
            <v>4.4282542383894228</v>
          </cell>
          <cell r="K531">
            <v>2.5022542383894226</v>
          </cell>
          <cell r="L531">
            <v>0.5650656226322508</v>
          </cell>
        </row>
        <row r="532">
          <cell r="A532" t="str">
            <v>X1PD32</v>
          </cell>
          <cell r="B532" t="str">
            <v xml:space="preserve">X Series 10kA 1-pole 32A D type MCB </v>
          </cell>
          <cell r="C532">
            <v>10.961025342548075</v>
          </cell>
          <cell r="D532">
            <v>30.861170167740379</v>
          </cell>
          <cell r="E532">
            <v>11.070635595973556</v>
          </cell>
          <cell r="F532">
            <v>1.9259999999999999</v>
          </cell>
          <cell r="G532">
            <v>4.9817860181881004</v>
          </cell>
          <cell r="H532">
            <v>3.0557860181881003</v>
          </cell>
          <cell r="I532">
            <v>0.61339166456200067</v>
          </cell>
          <cell r="J532">
            <v>4.4282542383894228</v>
          </cell>
          <cell r="K532">
            <v>2.5022542383894226</v>
          </cell>
          <cell r="L532">
            <v>0.5650656226322508</v>
          </cell>
        </row>
        <row r="533">
          <cell r="A533" t="str">
            <v>X1PD40</v>
          </cell>
          <cell r="B533" t="str">
            <v xml:space="preserve">X Series 10kA 1-pole 40A D type MCB </v>
          </cell>
          <cell r="C533">
            <v>10.961025342548075</v>
          </cell>
          <cell r="D533">
            <v>30.861170167740379</v>
          </cell>
          <cell r="E533">
            <v>11.070635595973556</v>
          </cell>
          <cell r="F533" t="e">
            <v>#N/A</v>
          </cell>
          <cell r="G533">
            <v>4.9817860181881004</v>
          </cell>
          <cell r="H533" t="e">
            <v>#N/A</v>
          </cell>
          <cell r="I533" t="e">
            <v>#N/A</v>
          </cell>
          <cell r="J533">
            <v>4.4282542383894228</v>
          </cell>
          <cell r="K533" t="e">
            <v>#N/A</v>
          </cell>
          <cell r="L533" t="e">
            <v>#N/A</v>
          </cell>
        </row>
        <row r="534">
          <cell r="A534" t="str">
            <v>X1PD50</v>
          </cell>
          <cell r="B534" t="str">
            <v xml:space="preserve">X Series 10kA 1-pole 50A D type MCB </v>
          </cell>
          <cell r="C534">
            <v>11.710070354567309</v>
          </cell>
          <cell r="D534">
            <v>30.861170167740379</v>
          </cell>
          <cell r="E534">
            <v>11.827171058112983</v>
          </cell>
          <cell r="F534" t="e">
            <v>#N/A</v>
          </cell>
          <cell r="G534">
            <v>5.3222269761508425</v>
          </cell>
          <cell r="H534" t="e">
            <v>#N/A</v>
          </cell>
          <cell r="I534" t="e">
            <v>#N/A</v>
          </cell>
          <cell r="J534">
            <v>4.7308684232451936</v>
          </cell>
          <cell r="K534" t="e">
            <v>#N/A</v>
          </cell>
          <cell r="L534" t="e">
            <v>#N/A</v>
          </cell>
        </row>
        <row r="535">
          <cell r="A535" t="str">
            <v>X1PD63</v>
          </cell>
          <cell r="B535" t="str">
            <v xml:space="preserve">X Series 10kA 1-pole 63A D type MCB </v>
          </cell>
          <cell r="C535">
            <v>11.710070354567309</v>
          </cell>
          <cell r="D535">
            <v>30.861170167740379</v>
          </cell>
          <cell r="E535">
            <v>11.827171058112983</v>
          </cell>
          <cell r="F535" t="e">
            <v>#N/A</v>
          </cell>
          <cell r="G535">
            <v>5.3222269761508425</v>
          </cell>
          <cell r="H535" t="e">
            <v>#N/A</v>
          </cell>
          <cell r="I535" t="e">
            <v>#N/A</v>
          </cell>
          <cell r="J535">
            <v>4.7308684232451936</v>
          </cell>
          <cell r="K535" t="e">
            <v>#N/A</v>
          </cell>
          <cell r="L535" t="e">
            <v>#N/A</v>
          </cell>
        </row>
        <row r="536">
          <cell r="A536" t="str">
            <v>X2PB06</v>
          </cell>
          <cell r="B536" t="str">
            <v>X Series 10kA 2-pole 6A B type MCB</v>
          </cell>
          <cell r="C536">
            <v>32.081454647377356</v>
          </cell>
          <cell r="D536">
            <v>30.861170167740379</v>
          </cell>
          <cell r="E536">
            <v>32.402269193851133</v>
          </cell>
          <cell r="F536">
            <v>4.3499999999999996</v>
          </cell>
          <cell r="G536">
            <v>14.581021137233011</v>
          </cell>
          <cell r="H536">
            <v>10.231021137233011</v>
          </cell>
          <cell r="I536">
            <v>0.70166698483879408</v>
          </cell>
          <cell r="J536">
            <v>12.960907677540455</v>
          </cell>
          <cell r="K536">
            <v>8.6109076775404549</v>
          </cell>
          <cell r="L536">
            <v>0.66437535794364333</v>
          </cell>
        </row>
        <row r="537">
          <cell r="A537" t="str">
            <v>X2PB10</v>
          </cell>
          <cell r="B537" t="str">
            <v>X Series 10kA 2-pole 10A B type MCB</v>
          </cell>
          <cell r="C537">
            <v>30.108458700234518</v>
          </cell>
          <cell r="D537">
            <v>32.883491013561787</v>
          </cell>
          <cell r="E537">
            <v>30.409543287236865</v>
          </cell>
          <cell r="F537">
            <v>4.57</v>
          </cell>
          <cell r="G537">
            <v>13.684294479256589</v>
          </cell>
          <cell r="H537">
            <v>9.1142944792565892</v>
          </cell>
          <cell r="I537">
            <v>0.6660405103874768</v>
          </cell>
          <cell r="J537">
            <v>12.163817314894747</v>
          </cell>
          <cell r="K537">
            <v>7.5938173148947463</v>
          </cell>
          <cell r="L537">
            <v>0.62429557418591131</v>
          </cell>
        </row>
        <row r="538">
          <cell r="A538" t="str">
            <v>X2PB13</v>
          </cell>
          <cell r="B538" t="str">
            <v>X Series 10kA 2-pole 13A B type MCB</v>
          </cell>
          <cell r="C538">
            <v>30.108458700234518</v>
          </cell>
          <cell r="D538">
            <v>32.883491013561787</v>
          </cell>
          <cell r="E538">
            <v>30.409543287236865</v>
          </cell>
          <cell r="F538" t="e">
            <v>#N/A</v>
          </cell>
          <cell r="G538">
            <v>13.684294479256589</v>
          </cell>
          <cell r="H538" t="e">
            <v>#N/A</v>
          </cell>
          <cell r="I538" t="e">
            <v>#N/A</v>
          </cell>
          <cell r="J538">
            <v>12.163817314894747</v>
          </cell>
          <cell r="K538" t="e">
            <v>#N/A</v>
          </cell>
          <cell r="L538" t="e">
            <v>#N/A</v>
          </cell>
        </row>
        <row r="539">
          <cell r="A539" t="str">
            <v>X2PB16</v>
          </cell>
          <cell r="B539" t="str">
            <v>X Series 10kA 2-pole 16A B type MCB</v>
          </cell>
          <cell r="C539">
            <v>30.108458700234518</v>
          </cell>
          <cell r="D539">
            <v>78.280414720312493</v>
          </cell>
          <cell r="E539">
            <v>30.409543287236865</v>
          </cell>
          <cell r="F539">
            <v>4.798</v>
          </cell>
          <cell r="G539">
            <v>13.684294479256589</v>
          </cell>
          <cell r="H539">
            <v>8.8862944792565894</v>
          </cell>
          <cell r="I539">
            <v>0.64937907414422613</v>
          </cell>
          <cell r="J539">
            <v>12.163817314894747</v>
          </cell>
          <cell r="K539">
            <v>7.3658173148947466</v>
          </cell>
          <cell r="L539">
            <v>0.60555145841225444</v>
          </cell>
        </row>
        <row r="540">
          <cell r="A540" t="str">
            <v>X2PB20</v>
          </cell>
          <cell r="B540" t="str">
            <v>X Series 10kA 2-pole 20A B type MCB</v>
          </cell>
          <cell r="C540">
            <v>30.108458700234518</v>
          </cell>
          <cell r="D540">
            <v>88.847965639687501</v>
          </cell>
          <cell r="E540">
            <v>30.409543287236865</v>
          </cell>
          <cell r="F540">
            <v>4.7069999999999999</v>
          </cell>
          <cell r="G540">
            <v>13.684294479256589</v>
          </cell>
          <cell r="H540">
            <v>8.9772944792565887</v>
          </cell>
          <cell r="I540">
            <v>0.65602903334657614</v>
          </cell>
          <cell r="J540">
            <v>12.163817314894747</v>
          </cell>
          <cell r="K540">
            <v>7.4568173148947468</v>
          </cell>
          <cell r="L540">
            <v>0.61303266251489819</v>
          </cell>
        </row>
        <row r="541">
          <cell r="A541" t="str">
            <v>X2PB25</v>
          </cell>
          <cell r="B541" t="str">
            <v>X Series 10kA 2-pole 25A B type MCB</v>
          </cell>
          <cell r="C541">
            <v>30.108458700234518</v>
          </cell>
          <cell r="D541">
            <v>91.093265142187491</v>
          </cell>
          <cell r="E541">
            <v>30.409543287236865</v>
          </cell>
          <cell r="F541" t="e">
            <v>#N/A</v>
          </cell>
          <cell r="G541">
            <v>13.684294479256589</v>
          </cell>
          <cell r="H541" t="e">
            <v>#N/A</v>
          </cell>
          <cell r="I541" t="e">
            <v>#N/A</v>
          </cell>
          <cell r="J541">
            <v>12.163817314894747</v>
          </cell>
          <cell r="K541" t="e">
            <v>#N/A</v>
          </cell>
          <cell r="L541" t="e">
            <v>#N/A</v>
          </cell>
        </row>
        <row r="542">
          <cell r="A542" t="str">
            <v>X2PB32</v>
          </cell>
          <cell r="B542" t="str">
            <v>X Series 10kA 2-pole 32A B type MCB</v>
          </cell>
          <cell r="C542">
            <v>30.108458700234518</v>
          </cell>
          <cell r="D542">
            <v>32.883491013561787</v>
          </cell>
          <cell r="E542">
            <v>30.409543287236865</v>
          </cell>
          <cell r="F542">
            <v>4.57</v>
          </cell>
          <cell r="G542">
            <v>13.684294479256589</v>
          </cell>
          <cell r="H542">
            <v>9.1142944792565892</v>
          </cell>
          <cell r="I542">
            <v>0.6660405103874768</v>
          </cell>
          <cell r="J542">
            <v>12.163817314894747</v>
          </cell>
          <cell r="K542">
            <v>7.5938173148947463</v>
          </cell>
          <cell r="L542">
            <v>0.62429557418591131</v>
          </cell>
        </row>
        <row r="543">
          <cell r="A543" t="str">
            <v>X2PB40</v>
          </cell>
          <cell r="B543" t="str">
            <v>X Series 10kA 2-pole 40A B type MCB</v>
          </cell>
          <cell r="C543">
            <v>30.108458700234518</v>
          </cell>
          <cell r="D543">
            <v>30.861170167740379</v>
          </cell>
          <cell r="E543">
            <v>30.409543287236865</v>
          </cell>
          <cell r="F543">
            <v>4.798</v>
          </cell>
          <cell r="G543">
            <v>13.684294479256589</v>
          </cell>
          <cell r="H543">
            <v>8.8862944792565894</v>
          </cell>
          <cell r="I543">
            <v>0.64937907414422613</v>
          </cell>
          <cell r="J543">
            <v>12.163817314894747</v>
          </cell>
          <cell r="K543">
            <v>7.3658173148947466</v>
          </cell>
          <cell r="L543">
            <v>0.60555145841225444</v>
          </cell>
        </row>
        <row r="544">
          <cell r="A544" t="str">
            <v>X2PB50</v>
          </cell>
          <cell r="B544" t="str">
            <v>X Series 10kA 2-pole 50A B type MCB</v>
          </cell>
          <cell r="C544">
            <v>32.081454647377356</v>
          </cell>
          <cell r="D544">
            <v>30.861170167740379</v>
          </cell>
          <cell r="E544">
            <v>32.402269193851133</v>
          </cell>
          <cell r="F544">
            <v>5.181</v>
          </cell>
          <cell r="G544">
            <v>14.581021137233011</v>
          </cell>
          <cell r="H544">
            <v>9.4000211372330114</v>
          </cell>
          <cell r="I544">
            <v>0.64467509159765335</v>
          </cell>
          <cell r="J544">
            <v>12.960907677540455</v>
          </cell>
          <cell r="K544">
            <v>7.7799076775404545</v>
          </cell>
          <cell r="L544">
            <v>0.60025947804736002</v>
          </cell>
        </row>
        <row r="545">
          <cell r="A545" t="str">
            <v>X2PB63</v>
          </cell>
          <cell r="B545" t="str">
            <v>X Series 10kA 2-pole 63A B type MCB</v>
          </cell>
          <cell r="C545">
            <v>32.081454647377356</v>
          </cell>
          <cell r="D545">
            <v>30.861170167740379</v>
          </cell>
          <cell r="E545">
            <v>32.402269193851133</v>
          </cell>
          <cell r="F545">
            <v>5.181</v>
          </cell>
          <cell r="G545">
            <v>14.581021137233011</v>
          </cell>
          <cell r="H545">
            <v>9.4000211372330114</v>
          </cell>
          <cell r="I545">
            <v>0.64467509159765335</v>
          </cell>
          <cell r="J545">
            <v>12.960907677540455</v>
          </cell>
          <cell r="K545">
            <v>7.7799076775404545</v>
          </cell>
          <cell r="L545">
            <v>0.60025947804736002</v>
          </cell>
        </row>
        <row r="546">
          <cell r="A546" t="str">
            <v>X2PB80</v>
          </cell>
          <cell r="B546" t="str">
            <v>X Series 10kA 2-pole 80A B type MCB</v>
          </cell>
          <cell r="C546">
            <v>76.371136312499999</v>
          </cell>
          <cell r="D546">
            <v>30.861170167740379</v>
          </cell>
          <cell r="E546">
            <v>77.134847675624997</v>
          </cell>
          <cell r="F546">
            <v>16.486000000000001</v>
          </cell>
          <cell r="G546">
            <v>34.710681454031253</v>
          </cell>
          <cell r="H546">
            <v>18.224681454031252</v>
          </cell>
          <cell r="I546">
            <v>0.52504533736011283</v>
          </cell>
          <cell r="J546">
            <v>30.85393907025</v>
          </cell>
          <cell r="K546">
            <v>14.367939070249999</v>
          </cell>
          <cell r="L546">
            <v>0.46567600453012692</v>
          </cell>
        </row>
        <row r="547">
          <cell r="A547" t="str">
            <v>X2PB100</v>
          </cell>
          <cell r="B547" t="str">
            <v>X Series 10kA 2-pole 100A B type MCB</v>
          </cell>
          <cell r="C547">
            <v>86.680942087500014</v>
          </cell>
          <cell r="D547">
            <v>30.861170167740379</v>
          </cell>
          <cell r="E547">
            <v>87.547751508375015</v>
          </cell>
          <cell r="F547">
            <v>17.064</v>
          </cell>
          <cell r="G547">
            <v>39.396488178768756</v>
          </cell>
          <cell r="H547">
            <v>22.332488178768756</v>
          </cell>
          <cell r="I547">
            <v>0.56686494688133149</v>
          </cell>
          <cell r="J547">
            <v>35.019100603350005</v>
          </cell>
          <cell r="K547">
            <v>17.955100603350004</v>
          </cell>
          <cell r="L547">
            <v>0.51272306524149791</v>
          </cell>
        </row>
        <row r="548">
          <cell r="A548" t="str">
            <v>X2PB125</v>
          </cell>
          <cell r="B548" t="str">
            <v>X Series 10kA 2-pole 125A B type MCB</v>
          </cell>
          <cell r="C548">
            <v>88.871478187500003</v>
          </cell>
          <cell r="D548">
            <v>30.861170167740379</v>
          </cell>
          <cell r="E548">
            <v>89.760192969374998</v>
          </cell>
          <cell r="F548">
            <v>18.882999999999999</v>
          </cell>
          <cell r="G548">
            <v>40.392086836218752</v>
          </cell>
          <cell r="H548">
            <v>21.509086836218753</v>
          </cell>
          <cell r="I548">
            <v>0.53250744195103084</v>
          </cell>
          <cell r="J548">
            <v>35.904077187749998</v>
          </cell>
          <cell r="K548">
            <v>17.021077187749999</v>
          </cell>
          <cell r="L548">
            <v>0.47407087219490962</v>
          </cell>
        </row>
        <row r="549">
          <cell r="A549" t="str">
            <v>X2PC06</v>
          </cell>
          <cell r="B549" t="str">
            <v>X Series 10kA 2-pole 6A C type MCB</v>
          </cell>
          <cell r="C549">
            <v>32.081454647377356</v>
          </cell>
          <cell r="D549">
            <v>30.861170167740379</v>
          </cell>
          <cell r="E549">
            <v>32.402269193851133</v>
          </cell>
          <cell r="F549" t="e">
            <v>#N/A</v>
          </cell>
          <cell r="G549">
            <v>14.581021137233011</v>
          </cell>
          <cell r="H549" t="e">
            <v>#N/A</v>
          </cell>
          <cell r="I549" t="e">
            <v>#N/A</v>
          </cell>
          <cell r="J549">
            <v>12.960907677540455</v>
          </cell>
          <cell r="K549" t="e">
            <v>#N/A</v>
          </cell>
          <cell r="L549" t="e">
            <v>#N/A</v>
          </cell>
        </row>
        <row r="550">
          <cell r="A550" t="str">
            <v>X2PC10</v>
          </cell>
          <cell r="B550" t="str">
            <v>X Series 10kA 2-pole 10A C type MCB</v>
          </cell>
          <cell r="C550">
            <v>30.108458700234518</v>
          </cell>
          <cell r="D550">
            <v>32.883491013561787</v>
          </cell>
          <cell r="E550">
            <v>30.409543287236865</v>
          </cell>
          <cell r="F550" t="e">
            <v>#N/A</v>
          </cell>
          <cell r="G550">
            <v>13.684294479256589</v>
          </cell>
          <cell r="H550" t="e">
            <v>#N/A</v>
          </cell>
          <cell r="I550" t="e">
            <v>#N/A</v>
          </cell>
          <cell r="J550">
            <v>12.163817314894747</v>
          </cell>
          <cell r="K550" t="e">
            <v>#N/A</v>
          </cell>
          <cell r="L550" t="e">
            <v>#N/A</v>
          </cell>
        </row>
        <row r="551">
          <cell r="A551" t="str">
            <v>X2PC13</v>
          </cell>
          <cell r="B551" t="str">
            <v>X Series 10kA 2-pole 13A C type MCB</v>
          </cell>
          <cell r="C551">
            <v>30.108458700234518</v>
          </cell>
          <cell r="D551">
            <v>32.883491013561787</v>
          </cell>
          <cell r="E551">
            <v>30.409543287236865</v>
          </cell>
          <cell r="F551" t="e">
            <v>#N/A</v>
          </cell>
          <cell r="G551">
            <v>13.684294479256589</v>
          </cell>
          <cell r="H551" t="e">
            <v>#N/A</v>
          </cell>
          <cell r="I551" t="e">
            <v>#N/A</v>
          </cell>
          <cell r="J551">
            <v>12.163817314894747</v>
          </cell>
          <cell r="K551" t="e">
            <v>#N/A</v>
          </cell>
          <cell r="L551" t="e">
            <v>#N/A</v>
          </cell>
        </row>
        <row r="552">
          <cell r="A552" t="str">
            <v>X2PC16</v>
          </cell>
          <cell r="B552" t="str">
            <v>X Series 10kA 2-pole 16A C type MCB</v>
          </cell>
          <cell r="C552">
            <v>30.108458700234518</v>
          </cell>
          <cell r="D552">
            <v>78.280414720312493</v>
          </cell>
          <cell r="E552">
            <v>30.409543287236865</v>
          </cell>
          <cell r="F552" t="e">
            <v>#N/A</v>
          </cell>
          <cell r="G552">
            <v>13.684294479256589</v>
          </cell>
          <cell r="H552" t="e">
            <v>#N/A</v>
          </cell>
          <cell r="I552" t="e">
            <v>#N/A</v>
          </cell>
          <cell r="J552">
            <v>12.163817314894747</v>
          </cell>
          <cell r="K552" t="e">
            <v>#N/A</v>
          </cell>
          <cell r="L552" t="e">
            <v>#N/A</v>
          </cell>
        </row>
        <row r="553">
          <cell r="A553" t="str">
            <v>X2PC20</v>
          </cell>
          <cell r="B553" t="str">
            <v>X Series 10kA 2-pole 20A C type MCB</v>
          </cell>
          <cell r="C553">
            <v>30.108458700234518</v>
          </cell>
          <cell r="D553">
            <v>88.847965639687501</v>
          </cell>
          <cell r="E553">
            <v>30.409543287236865</v>
          </cell>
          <cell r="F553" t="e">
            <v>#N/A</v>
          </cell>
          <cell r="G553">
            <v>13.684294479256589</v>
          </cell>
          <cell r="H553" t="e">
            <v>#N/A</v>
          </cell>
          <cell r="I553" t="e">
            <v>#N/A</v>
          </cell>
          <cell r="J553">
            <v>12.163817314894747</v>
          </cell>
          <cell r="K553" t="e">
            <v>#N/A</v>
          </cell>
          <cell r="L553" t="e">
            <v>#N/A</v>
          </cell>
        </row>
        <row r="554">
          <cell r="A554" t="str">
            <v>X2PC25</v>
          </cell>
          <cell r="B554" t="str">
            <v>X Series 10kA 2-pole 25A C type MCB</v>
          </cell>
          <cell r="C554">
            <v>30.108458700234518</v>
          </cell>
          <cell r="D554">
            <v>91.093265142187491</v>
          </cell>
          <cell r="E554">
            <v>30.409543287236865</v>
          </cell>
          <cell r="F554" t="e">
            <v>#N/A</v>
          </cell>
          <cell r="G554">
            <v>13.684294479256589</v>
          </cell>
          <cell r="H554" t="e">
            <v>#N/A</v>
          </cell>
          <cell r="I554" t="e">
            <v>#N/A</v>
          </cell>
          <cell r="J554">
            <v>12.163817314894747</v>
          </cell>
          <cell r="K554" t="e">
            <v>#N/A</v>
          </cell>
          <cell r="L554" t="e">
            <v>#N/A</v>
          </cell>
        </row>
        <row r="555">
          <cell r="A555" t="str">
            <v>X2PC32</v>
          </cell>
          <cell r="B555" t="str">
            <v>X Series 10kA 2-pole 32A C type MCB</v>
          </cell>
          <cell r="C555">
            <v>30.108458700234518</v>
          </cell>
          <cell r="D555">
            <v>36.169506336347276</v>
          </cell>
          <cell r="E555">
            <v>30.409543287236865</v>
          </cell>
          <cell r="F555" t="e">
            <v>#N/A</v>
          </cell>
          <cell r="G555">
            <v>13.684294479256589</v>
          </cell>
          <cell r="H555" t="e">
            <v>#N/A</v>
          </cell>
          <cell r="I555" t="e">
            <v>#N/A</v>
          </cell>
          <cell r="J555">
            <v>12.163817314894747</v>
          </cell>
          <cell r="K555" t="e">
            <v>#N/A</v>
          </cell>
          <cell r="L555" t="e">
            <v>#N/A</v>
          </cell>
        </row>
        <row r="556">
          <cell r="A556" t="str">
            <v>X2PC40</v>
          </cell>
          <cell r="B556" t="str">
            <v>X Series 10kA 2-pole 40A C type MCB</v>
          </cell>
          <cell r="C556">
            <v>30.108458700234518</v>
          </cell>
          <cell r="D556">
            <v>33.719356694375747</v>
          </cell>
          <cell r="E556">
            <v>30.409543287236865</v>
          </cell>
          <cell r="F556" t="e">
            <v>#N/A</v>
          </cell>
          <cell r="G556">
            <v>13.684294479256589</v>
          </cell>
          <cell r="H556" t="e">
            <v>#N/A</v>
          </cell>
          <cell r="I556" t="e">
            <v>#N/A</v>
          </cell>
          <cell r="J556">
            <v>12.163817314894747</v>
          </cell>
          <cell r="K556" t="e">
            <v>#N/A</v>
          </cell>
          <cell r="L556" t="e">
            <v>#N/A</v>
          </cell>
        </row>
        <row r="557">
          <cell r="A557" t="str">
            <v>X2PC50</v>
          </cell>
          <cell r="B557" t="str">
            <v>X Series 10kA 2-pole 50A C type MCB</v>
          </cell>
          <cell r="C557">
            <v>32.081454647377356</v>
          </cell>
          <cell r="D557">
            <v>33.719356694375747</v>
          </cell>
          <cell r="E557">
            <v>32.402269193851133</v>
          </cell>
          <cell r="F557" t="e">
            <v>#N/A</v>
          </cell>
          <cell r="G557">
            <v>14.581021137233011</v>
          </cell>
          <cell r="H557" t="e">
            <v>#N/A</v>
          </cell>
          <cell r="I557" t="e">
            <v>#N/A</v>
          </cell>
          <cell r="J557">
            <v>12.960907677540455</v>
          </cell>
          <cell r="K557" t="e">
            <v>#N/A</v>
          </cell>
          <cell r="L557" t="e">
            <v>#N/A</v>
          </cell>
        </row>
        <row r="558">
          <cell r="A558" t="str">
            <v>X2PC63</v>
          </cell>
          <cell r="B558" t="str">
            <v>X Series 10kA 2-pole 63A C type MCB</v>
          </cell>
          <cell r="C558">
            <v>32.081454647377356</v>
          </cell>
          <cell r="D558">
            <v>33.719356694375747</v>
          </cell>
          <cell r="E558">
            <v>32.402269193851133</v>
          </cell>
          <cell r="F558" t="e">
            <v>#N/A</v>
          </cell>
          <cell r="G558">
            <v>14.581021137233011</v>
          </cell>
          <cell r="H558" t="e">
            <v>#N/A</v>
          </cell>
          <cell r="I558" t="e">
            <v>#N/A</v>
          </cell>
          <cell r="J558">
            <v>12.960907677540455</v>
          </cell>
          <cell r="K558" t="e">
            <v>#N/A</v>
          </cell>
          <cell r="L558" t="e">
            <v>#N/A</v>
          </cell>
        </row>
        <row r="559">
          <cell r="A559" t="str">
            <v>X2PC80</v>
          </cell>
          <cell r="B559" t="str">
            <v>X Series 10kA 2-pole 80A C type MCB</v>
          </cell>
          <cell r="C559">
            <v>76.371136312499999</v>
          </cell>
          <cell r="D559">
            <v>33.719356694375747</v>
          </cell>
          <cell r="E559">
            <v>77.134847675624997</v>
          </cell>
          <cell r="F559" t="e">
            <v>#N/A</v>
          </cell>
          <cell r="G559">
            <v>34.710681454031253</v>
          </cell>
          <cell r="H559" t="e">
            <v>#N/A</v>
          </cell>
          <cell r="I559" t="e">
            <v>#N/A</v>
          </cell>
          <cell r="J559">
            <v>30.85393907025</v>
          </cell>
          <cell r="K559" t="e">
            <v>#N/A</v>
          </cell>
          <cell r="L559" t="e">
            <v>#N/A</v>
          </cell>
        </row>
        <row r="560">
          <cell r="A560" t="str">
            <v>X2PC100</v>
          </cell>
          <cell r="B560" t="str">
            <v>X Series 10kA 2-pole 100A C type MCB</v>
          </cell>
          <cell r="C560">
            <v>86.680942087500014</v>
          </cell>
          <cell r="D560">
            <v>33.719356694375747</v>
          </cell>
          <cell r="E560">
            <v>87.547751508375015</v>
          </cell>
          <cell r="F560" t="e">
            <v>#N/A</v>
          </cell>
          <cell r="G560">
            <v>39.396488178768756</v>
          </cell>
          <cell r="H560" t="e">
            <v>#N/A</v>
          </cell>
          <cell r="I560" t="e">
            <v>#N/A</v>
          </cell>
          <cell r="J560">
            <v>35.019100603350005</v>
          </cell>
          <cell r="K560" t="e">
            <v>#N/A</v>
          </cell>
          <cell r="L560" t="e">
            <v>#N/A</v>
          </cell>
        </row>
        <row r="561">
          <cell r="A561" t="str">
            <v>X2PC125</v>
          </cell>
          <cell r="B561" t="str">
            <v>X Series 10kA 2-pole 125A C type MCB</v>
          </cell>
          <cell r="C561">
            <v>88.871478187500003</v>
          </cell>
          <cell r="D561">
            <v>33.719356694375747</v>
          </cell>
          <cell r="E561">
            <v>89.760192969374998</v>
          </cell>
          <cell r="F561" t="e">
            <v>#N/A</v>
          </cell>
          <cell r="G561">
            <v>40.392086836218752</v>
          </cell>
          <cell r="H561" t="e">
            <v>#N/A</v>
          </cell>
          <cell r="I561" t="e">
            <v>#N/A</v>
          </cell>
          <cell r="J561">
            <v>35.904077187749998</v>
          </cell>
          <cell r="K561" t="e">
            <v>#N/A</v>
          </cell>
          <cell r="L561" t="e">
            <v>#N/A</v>
          </cell>
        </row>
        <row r="562">
          <cell r="A562" t="str">
            <v>X2PD06</v>
          </cell>
          <cell r="B562" t="str">
            <v>X Series 10kA 2-pole 6A D type MCB</v>
          </cell>
          <cell r="C562">
            <v>35.287323254972954</v>
          </cell>
          <cell r="D562">
            <v>33.719356694375747</v>
          </cell>
          <cell r="E562">
            <v>35.640196487522687</v>
          </cell>
          <cell r="F562" t="e">
            <v>#N/A</v>
          </cell>
          <cell r="G562">
            <v>16.038088419385211</v>
          </cell>
          <cell r="H562" t="e">
            <v>#N/A</v>
          </cell>
          <cell r="I562" t="e">
            <v>#N/A</v>
          </cell>
          <cell r="J562">
            <v>14.256078595009075</v>
          </cell>
          <cell r="K562" t="e">
            <v>#N/A</v>
          </cell>
          <cell r="L562" t="e">
            <v>#N/A</v>
          </cell>
        </row>
        <row r="563">
          <cell r="A563" t="str">
            <v>X2PD10</v>
          </cell>
          <cell r="B563" t="str">
            <v>X Series 10kA 2-pole 10A D type MCB</v>
          </cell>
          <cell r="C563">
            <v>32.896933360366589</v>
          </cell>
          <cell r="D563">
            <v>36.169506336347276</v>
          </cell>
          <cell r="E563">
            <v>33.225902693970255</v>
          </cell>
          <cell r="F563" t="e">
            <v>#N/A</v>
          </cell>
          <cell r="G563">
            <v>14.951656212286615</v>
          </cell>
          <cell r="H563" t="e">
            <v>#N/A</v>
          </cell>
          <cell r="I563" t="e">
            <v>#N/A</v>
          </cell>
          <cell r="J563">
            <v>13.290361077588102</v>
          </cell>
          <cell r="K563" t="e">
            <v>#N/A</v>
          </cell>
          <cell r="L563" t="e">
            <v>#N/A</v>
          </cell>
        </row>
        <row r="564">
          <cell r="A564" t="str">
            <v>X2PD13</v>
          </cell>
          <cell r="B564" t="str">
            <v>X Series 10kA 2-pole 13A D type MCB</v>
          </cell>
          <cell r="C564">
            <v>32.896933360366589</v>
          </cell>
          <cell r="D564">
            <v>36.169506336347276</v>
          </cell>
          <cell r="E564">
            <v>33.225902693970255</v>
          </cell>
          <cell r="F564" t="e">
            <v>#N/A</v>
          </cell>
          <cell r="G564">
            <v>14.951656212286615</v>
          </cell>
          <cell r="H564" t="e">
            <v>#N/A</v>
          </cell>
          <cell r="I564" t="e">
            <v>#N/A</v>
          </cell>
          <cell r="J564">
            <v>13.290361077588102</v>
          </cell>
          <cell r="K564" t="e">
            <v>#N/A</v>
          </cell>
          <cell r="L564" t="e">
            <v>#N/A</v>
          </cell>
        </row>
        <row r="565">
          <cell r="A565" t="str">
            <v>X2PD16</v>
          </cell>
          <cell r="B565" t="str">
            <v>X Series 10kA 2-pole 16A D type MCB</v>
          </cell>
          <cell r="C565">
            <v>32.896933360366589</v>
          </cell>
          <cell r="D565">
            <v>47.704609541157026</v>
          </cell>
          <cell r="E565">
            <v>33.225902693970255</v>
          </cell>
          <cell r="F565" t="e">
            <v>#N/A</v>
          </cell>
          <cell r="G565">
            <v>14.951656212286615</v>
          </cell>
          <cell r="H565" t="e">
            <v>#N/A</v>
          </cell>
          <cell r="I565" t="e">
            <v>#N/A</v>
          </cell>
          <cell r="J565">
            <v>13.290361077588102</v>
          </cell>
          <cell r="K565" t="e">
            <v>#N/A</v>
          </cell>
          <cell r="L565" t="e">
            <v>#N/A</v>
          </cell>
        </row>
        <row r="566">
          <cell r="A566" t="str">
            <v>X2PD20</v>
          </cell>
          <cell r="B566" t="str">
            <v>X Series 10kA 2-pole 20A D type MCB</v>
          </cell>
          <cell r="C566">
            <v>32.896933360366589</v>
          </cell>
          <cell r="D566">
            <v>45.709991720620827</v>
          </cell>
          <cell r="E566">
            <v>33.225902693970255</v>
          </cell>
          <cell r="F566" t="e">
            <v>#N/A</v>
          </cell>
          <cell r="G566">
            <v>14.951656212286615</v>
          </cell>
          <cell r="H566" t="e">
            <v>#N/A</v>
          </cell>
          <cell r="I566" t="e">
            <v>#N/A</v>
          </cell>
          <cell r="J566">
            <v>13.290361077588102</v>
          </cell>
          <cell r="K566" t="e">
            <v>#N/A</v>
          </cell>
          <cell r="L566" t="e">
            <v>#N/A</v>
          </cell>
        </row>
        <row r="567">
          <cell r="A567" t="str">
            <v>X2PD25</v>
          </cell>
          <cell r="B567" t="str">
            <v>X Series 10kA 2-pole 25A D type MCB</v>
          </cell>
          <cell r="C567">
            <v>32.896933360366589</v>
          </cell>
          <cell r="D567">
            <v>45.709991720620827</v>
          </cell>
          <cell r="E567">
            <v>33.225902693970255</v>
          </cell>
          <cell r="F567" t="e">
            <v>#N/A</v>
          </cell>
          <cell r="G567">
            <v>14.951656212286615</v>
          </cell>
          <cell r="H567" t="e">
            <v>#N/A</v>
          </cell>
          <cell r="I567" t="e">
            <v>#N/A</v>
          </cell>
          <cell r="J567">
            <v>13.290361077588102</v>
          </cell>
          <cell r="K567" t="e">
            <v>#N/A</v>
          </cell>
          <cell r="L567" t="e">
            <v>#N/A</v>
          </cell>
        </row>
        <row r="568">
          <cell r="A568" t="str">
            <v>X2PD32</v>
          </cell>
          <cell r="B568" t="str">
            <v>X Series 10kA 2-pole 32A D type MCB</v>
          </cell>
          <cell r="C568">
            <v>32.896933360366589</v>
          </cell>
          <cell r="D568">
            <v>45.709991720620827</v>
          </cell>
          <cell r="E568">
            <v>33.225902693970255</v>
          </cell>
          <cell r="F568" t="e">
            <v>#N/A</v>
          </cell>
          <cell r="G568">
            <v>14.951656212286615</v>
          </cell>
          <cell r="H568" t="e">
            <v>#N/A</v>
          </cell>
          <cell r="I568" t="e">
            <v>#N/A</v>
          </cell>
          <cell r="J568">
            <v>13.290361077588102</v>
          </cell>
          <cell r="K568" t="e">
            <v>#N/A</v>
          </cell>
          <cell r="L568" t="e">
            <v>#N/A</v>
          </cell>
        </row>
        <row r="569">
          <cell r="A569" t="str">
            <v>X2PD40</v>
          </cell>
          <cell r="B569" t="str">
            <v>X Series 10kA 2-pole 40A D type MCB</v>
          </cell>
          <cell r="C569">
            <v>32.896933360366589</v>
          </cell>
          <cell r="D569">
            <v>45.709991720620827</v>
          </cell>
          <cell r="E569">
            <v>33.225902693970255</v>
          </cell>
          <cell r="F569" t="e">
            <v>#N/A</v>
          </cell>
          <cell r="G569">
            <v>14.951656212286615</v>
          </cell>
          <cell r="H569" t="e">
            <v>#N/A</v>
          </cell>
          <cell r="I569" t="e">
            <v>#N/A</v>
          </cell>
          <cell r="J569">
            <v>13.290361077588102</v>
          </cell>
          <cell r="K569" t="e">
            <v>#N/A</v>
          </cell>
          <cell r="L569" t="e">
            <v>#N/A</v>
          </cell>
        </row>
        <row r="570">
          <cell r="A570" t="str">
            <v>X2PD50</v>
          </cell>
          <cell r="B570" t="str">
            <v>X Series 10kA 2-pole 50A D type MCB</v>
          </cell>
          <cell r="C570">
            <v>35.287323254972954</v>
          </cell>
          <cell r="D570">
            <v>45.709991720620827</v>
          </cell>
          <cell r="E570">
            <v>35.640196487522687</v>
          </cell>
          <cell r="F570" t="e">
            <v>#N/A</v>
          </cell>
          <cell r="G570">
            <v>16.038088419385211</v>
          </cell>
          <cell r="H570" t="e">
            <v>#N/A</v>
          </cell>
          <cell r="I570" t="e">
            <v>#N/A</v>
          </cell>
          <cell r="J570">
            <v>14.256078595009075</v>
          </cell>
          <cell r="K570" t="e">
            <v>#N/A</v>
          </cell>
          <cell r="L570" t="e">
            <v>#N/A</v>
          </cell>
        </row>
        <row r="571">
          <cell r="A571" t="str">
            <v>X2PD63</v>
          </cell>
          <cell r="B571" t="str">
            <v>X Series 10kA 2-pole 63A D type MCB</v>
          </cell>
          <cell r="C571">
            <v>35.287323254972954</v>
          </cell>
          <cell r="D571">
            <v>45.709991720620827</v>
          </cell>
          <cell r="E571">
            <v>35.640196487522687</v>
          </cell>
          <cell r="F571" t="e">
            <v>#N/A</v>
          </cell>
          <cell r="G571">
            <v>16.038088419385211</v>
          </cell>
          <cell r="H571" t="e">
            <v>#N/A</v>
          </cell>
          <cell r="I571" t="e">
            <v>#N/A</v>
          </cell>
          <cell r="J571">
            <v>14.256078595009075</v>
          </cell>
          <cell r="K571" t="e">
            <v>#N/A</v>
          </cell>
          <cell r="L571" t="e">
            <v>#N/A</v>
          </cell>
        </row>
        <row r="572">
          <cell r="A572" t="str">
            <v>X3PB06</v>
          </cell>
          <cell r="B572" t="str">
            <v xml:space="preserve">X Series 10kA 3-pole 6A B type MCB </v>
          </cell>
          <cell r="C572">
            <v>46.541082479177589</v>
          </cell>
          <cell r="D572">
            <v>45.709991720620827</v>
          </cell>
          <cell r="E572">
            <v>47.006493303969364</v>
          </cell>
          <cell r="F572">
            <v>5.96</v>
          </cell>
          <cell r="G572">
            <v>21.152921986786215</v>
          </cell>
          <cell r="H572">
            <v>15.192921986786214</v>
          </cell>
          <cell r="I572">
            <v>0.71824223605026827</v>
          </cell>
          <cell r="J572">
            <v>18.802597321587747</v>
          </cell>
          <cell r="K572">
            <v>12.842597321587746</v>
          </cell>
          <cell r="L572">
            <v>0.6830225155565518</v>
          </cell>
        </row>
        <row r="573">
          <cell r="A573" t="str">
            <v>X3PB10</v>
          </cell>
          <cell r="B573" t="str">
            <v>X Series 10kA 3-pole 10A B type MCB</v>
          </cell>
          <cell r="C573">
            <v>44.59511387377642</v>
          </cell>
          <cell r="D573">
            <v>47.704609541157026</v>
          </cell>
          <cell r="E573">
            <v>45.041065012514181</v>
          </cell>
          <cell r="F573">
            <v>5.08</v>
          </cell>
          <cell r="G573">
            <v>20.268479255631384</v>
          </cell>
          <cell r="H573">
            <v>15.188479255631384</v>
          </cell>
          <cell r="I573">
            <v>0.7493645213373088</v>
          </cell>
          <cell r="J573">
            <v>18.016426005005673</v>
          </cell>
          <cell r="K573">
            <v>12.936426005005673</v>
          </cell>
          <cell r="L573">
            <v>0.71803508650447234</v>
          </cell>
        </row>
        <row r="574">
          <cell r="A574" t="str">
            <v>X3PB13</v>
          </cell>
          <cell r="B574" t="str">
            <v>X Series 10kA 3-pole 13A B type MCB</v>
          </cell>
          <cell r="C574">
            <v>44.59511387377642</v>
          </cell>
          <cell r="D574">
            <v>47.704609541157026</v>
          </cell>
          <cell r="E574">
            <v>45.041065012514181</v>
          </cell>
          <cell r="F574">
            <v>5.08</v>
          </cell>
          <cell r="G574">
            <v>20.268479255631384</v>
          </cell>
          <cell r="H574">
            <v>15.188479255631384</v>
          </cell>
          <cell r="I574">
            <v>0.7493645213373088</v>
          </cell>
          <cell r="J574">
            <v>18.016426005005673</v>
          </cell>
          <cell r="K574">
            <v>12.936426005005673</v>
          </cell>
          <cell r="L574">
            <v>0.71803508650447234</v>
          </cell>
        </row>
        <row r="575">
          <cell r="A575" t="str">
            <v>X3PB16</v>
          </cell>
          <cell r="B575" t="str">
            <v>X Series 10kA 3-pole 16A B type MCB</v>
          </cell>
          <cell r="C575">
            <v>44.59511387377642</v>
          </cell>
          <cell r="D575">
            <v>105.19960332093748</v>
          </cell>
          <cell r="E575">
            <v>45.041065012514181</v>
          </cell>
          <cell r="F575">
            <v>5.08</v>
          </cell>
          <cell r="G575">
            <v>20.268479255631384</v>
          </cell>
          <cell r="H575">
            <v>15.188479255631384</v>
          </cell>
          <cell r="I575">
            <v>0.7493645213373088</v>
          </cell>
          <cell r="J575">
            <v>18.016426005005673</v>
          </cell>
          <cell r="K575">
            <v>12.936426005005673</v>
          </cell>
          <cell r="L575">
            <v>0.71803508650447234</v>
          </cell>
        </row>
        <row r="576">
          <cell r="A576" t="str">
            <v>X3PB20</v>
          </cell>
          <cell r="B576" t="str">
            <v>X Series 10kA 3-pole 20A B type MCB</v>
          </cell>
          <cell r="C576">
            <v>44.59511387377642</v>
          </cell>
          <cell r="D576">
            <v>114.98618050031249</v>
          </cell>
          <cell r="E576">
            <v>45.041065012514181</v>
          </cell>
          <cell r="F576">
            <v>5.08</v>
          </cell>
          <cell r="G576">
            <v>20.268479255631384</v>
          </cell>
          <cell r="H576">
            <v>15.188479255631384</v>
          </cell>
          <cell r="I576">
            <v>0.7493645213373088</v>
          </cell>
          <cell r="J576">
            <v>18.016426005005673</v>
          </cell>
          <cell r="K576">
            <v>12.936426005005673</v>
          </cell>
          <cell r="L576">
            <v>0.71803508650447234</v>
          </cell>
        </row>
        <row r="577">
          <cell r="A577" t="str">
            <v>X3PB25</v>
          </cell>
          <cell r="B577" t="str">
            <v>X Series 10kA 3-pole 25A B type MCB</v>
          </cell>
          <cell r="C577">
            <v>44.59511387377642</v>
          </cell>
          <cell r="D577">
            <v>117.85381845187499</v>
          </cell>
          <cell r="E577">
            <v>45.041065012514181</v>
          </cell>
          <cell r="F577">
            <v>5.08</v>
          </cell>
          <cell r="G577">
            <v>20.268479255631384</v>
          </cell>
          <cell r="H577">
            <v>15.188479255631384</v>
          </cell>
          <cell r="I577">
            <v>0.7493645213373088</v>
          </cell>
          <cell r="J577">
            <v>18.016426005005673</v>
          </cell>
          <cell r="K577">
            <v>12.936426005005673</v>
          </cell>
          <cell r="L577">
            <v>0.71803508650447234</v>
          </cell>
        </row>
        <row r="578">
          <cell r="A578" t="str">
            <v>X3PB32</v>
          </cell>
          <cell r="B578" t="str">
            <v>X Series 10kA 3-pole 32A B type MCB</v>
          </cell>
          <cell r="C578">
            <v>44.59511387377642</v>
          </cell>
          <cell r="D578">
            <v>47.704609541157026</v>
          </cell>
          <cell r="E578">
            <v>45.041065012514181</v>
          </cell>
          <cell r="F578">
            <v>5.08</v>
          </cell>
          <cell r="G578">
            <v>20.268479255631384</v>
          </cell>
          <cell r="H578">
            <v>15.188479255631384</v>
          </cell>
          <cell r="I578">
            <v>0.7493645213373088</v>
          </cell>
          <cell r="J578">
            <v>18.016426005005673</v>
          </cell>
          <cell r="K578">
            <v>12.936426005005673</v>
          </cell>
          <cell r="L578">
            <v>0.71803508650447234</v>
          </cell>
        </row>
        <row r="579">
          <cell r="A579" t="str">
            <v>X3PB40</v>
          </cell>
          <cell r="B579" t="str">
            <v>X Series 10kA 3-pole 40A B type MCB</v>
          </cell>
          <cell r="C579">
            <v>44.59511387377642</v>
          </cell>
          <cell r="D579">
            <v>45.709991720620827</v>
          </cell>
          <cell r="E579">
            <v>47</v>
          </cell>
          <cell r="F579">
            <v>7.7939999999999996</v>
          </cell>
          <cell r="G579">
            <v>21.150000000000002</v>
          </cell>
          <cell r="H579">
            <v>13.356000000000002</v>
          </cell>
          <cell r="I579">
            <v>0.63148936170212766</v>
          </cell>
          <cell r="J579">
            <v>18.8</v>
          </cell>
          <cell r="K579">
            <v>11.006</v>
          </cell>
          <cell r="L579">
            <v>0.58542553191489366</v>
          </cell>
        </row>
        <row r="580">
          <cell r="A580" t="str">
            <v>X3PB50</v>
          </cell>
          <cell r="B580" t="str">
            <v>X Series 10kA 3-pole 50A B type MCB</v>
          </cell>
          <cell r="C580">
            <v>46.541082479177589</v>
          </cell>
          <cell r="D580">
            <v>45.709991720620827</v>
          </cell>
          <cell r="E580">
            <v>49</v>
          </cell>
          <cell r="F580">
            <v>10.086</v>
          </cell>
          <cell r="G580">
            <v>22.05</v>
          </cell>
          <cell r="H580">
            <v>11.964</v>
          </cell>
          <cell r="I580">
            <v>0.54258503401360547</v>
          </cell>
          <cell r="J580">
            <v>19.600000000000001</v>
          </cell>
          <cell r="K580">
            <v>9.5140000000000011</v>
          </cell>
          <cell r="L580">
            <v>0.48540816326530617</v>
          </cell>
        </row>
        <row r="581">
          <cell r="A581" t="str">
            <v>X3PB63</v>
          </cell>
          <cell r="B581" t="str">
            <v>X Series 10kA 3-pole 63A B type MCB</v>
          </cell>
          <cell r="C581">
            <v>46.541082479177589</v>
          </cell>
          <cell r="D581">
            <v>45.709991720620827</v>
          </cell>
          <cell r="E581">
            <v>49</v>
          </cell>
          <cell r="F581">
            <v>10.086</v>
          </cell>
          <cell r="G581">
            <v>22.05</v>
          </cell>
          <cell r="H581">
            <v>11.964</v>
          </cell>
          <cell r="I581">
            <v>0.54258503401360547</v>
          </cell>
          <cell r="J581">
            <v>19.600000000000001</v>
          </cell>
          <cell r="K581">
            <v>9.5140000000000011</v>
          </cell>
          <cell r="L581">
            <v>0.48540816326530617</v>
          </cell>
        </row>
        <row r="582">
          <cell r="A582" t="str">
            <v>X3PB80</v>
          </cell>
          <cell r="B582" t="str">
            <v>X Series 10kA 3-pole 80A B type MCB</v>
          </cell>
          <cell r="C582">
            <v>102.6337593375</v>
          </cell>
          <cell r="D582">
            <v>45.709991720620827</v>
          </cell>
          <cell r="E582">
            <v>103.660096930875</v>
          </cell>
          <cell r="F582" t="e">
            <v>#N/A</v>
          </cell>
          <cell r="G582">
            <v>46.647043618893754</v>
          </cell>
          <cell r="H582" t="e">
            <v>#N/A</v>
          </cell>
          <cell r="I582" t="e">
            <v>#N/A</v>
          </cell>
          <cell r="J582">
            <v>41.464038772350001</v>
          </cell>
          <cell r="K582" t="e">
            <v>#N/A</v>
          </cell>
          <cell r="L582" t="e">
            <v>#N/A</v>
          </cell>
        </row>
        <row r="583">
          <cell r="A583" t="str">
            <v>X3PB100</v>
          </cell>
          <cell r="B583" t="str">
            <v>X Series 10kA 3-pole 100A B type MCB</v>
          </cell>
          <cell r="C583">
            <v>112.1816395125</v>
          </cell>
          <cell r="D583">
            <v>45.709991720620827</v>
          </cell>
          <cell r="E583">
            <v>113.30345590762499</v>
          </cell>
          <cell r="F583" t="e">
            <v>#N/A</v>
          </cell>
          <cell r="G583">
            <v>50.986555158431251</v>
          </cell>
          <cell r="H583" t="e">
            <v>#N/A</v>
          </cell>
          <cell r="I583" t="e">
            <v>#N/A</v>
          </cell>
          <cell r="J583">
            <v>45.321382363049999</v>
          </cell>
          <cell r="K583" t="e">
            <v>#N/A</v>
          </cell>
          <cell r="L583" t="e">
            <v>#N/A</v>
          </cell>
        </row>
        <row r="584">
          <cell r="A584" t="str">
            <v>X3PB125</v>
          </cell>
          <cell r="B584" t="str">
            <v>X Series 10kA 3-pole 125A B type MCB</v>
          </cell>
          <cell r="C584">
            <v>114.97933507499999</v>
          </cell>
          <cell r="D584">
            <v>45.709991720620827</v>
          </cell>
          <cell r="E584">
            <v>116.12912842575</v>
          </cell>
          <cell r="F584" t="e">
            <v>#N/A</v>
          </cell>
          <cell r="G584">
            <v>52.258107791587499</v>
          </cell>
          <cell r="H584" t="e">
            <v>#N/A</v>
          </cell>
          <cell r="I584" t="e">
            <v>#N/A</v>
          </cell>
          <cell r="J584">
            <v>46.451651370299999</v>
          </cell>
          <cell r="K584" t="e">
            <v>#N/A</v>
          </cell>
          <cell r="L584" t="e">
            <v>#N/A</v>
          </cell>
        </row>
        <row r="585">
          <cell r="A585" t="str">
            <v>X3PC06</v>
          </cell>
          <cell r="B585" t="str">
            <v>X Series 10kA 3-pole 6A C type MCB</v>
          </cell>
          <cell r="C585">
            <v>46.541082479177589</v>
          </cell>
          <cell r="D585">
            <v>45.709991720620827</v>
          </cell>
          <cell r="E585">
            <v>47.006493303969364</v>
          </cell>
          <cell r="F585">
            <v>5.96</v>
          </cell>
          <cell r="G585">
            <v>21.152921986786215</v>
          </cell>
          <cell r="H585">
            <v>15.192921986786214</v>
          </cell>
          <cell r="I585">
            <v>0.71824223605026827</v>
          </cell>
          <cell r="J585">
            <v>18.802597321587747</v>
          </cell>
          <cell r="K585">
            <v>12.842597321587746</v>
          </cell>
          <cell r="L585">
            <v>0.6830225155565518</v>
          </cell>
        </row>
        <row r="586">
          <cell r="A586" t="str">
            <v>X3PC10</v>
          </cell>
          <cell r="B586" t="str">
            <v>X Series 10kA 3-pole 10A C type MCB</v>
          </cell>
          <cell r="C586">
            <v>44.59511387377642</v>
          </cell>
          <cell r="D586">
            <v>47.704609541157026</v>
          </cell>
          <cell r="E586">
            <v>45.041065012514181</v>
          </cell>
          <cell r="F586">
            <v>5.08</v>
          </cell>
          <cell r="G586">
            <v>20.268479255631384</v>
          </cell>
          <cell r="H586">
            <v>15.188479255631384</v>
          </cell>
          <cell r="I586">
            <v>0.7493645213373088</v>
          </cell>
          <cell r="J586">
            <v>18.016426005005673</v>
          </cell>
          <cell r="K586">
            <v>12.936426005005673</v>
          </cell>
          <cell r="L586">
            <v>0.71803508650447234</v>
          </cell>
        </row>
        <row r="587">
          <cell r="A587" t="str">
            <v>X3PC13</v>
          </cell>
          <cell r="B587" t="str">
            <v>X Series 10kA 3-pole 13A C type MCB</v>
          </cell>
          <cell r="C587">
            <v>44.59511387377642</v>
          </cell>
          <cell r="D587">
            <v>47.704609541157026</v>
          </cell>
          <cell r="E587">
            <v>45.041065012514181</v>
          </cell>
          <cell r="F587">
            <v>5.08</v>
          </cell>
          <cell r="G587">
            <v>20.268479255631384</v>
          </cell>
          <cell r="H587">
            <v>15.188479255631384</v>
          </cell>
          <cell r="I587">
            <v>0.7493645213373088</v>
          </cell>
          <cell r="J587">
            <v>18.016426005005673</v>
          </cell>
          <cell r="K587">
            <v>12.936426005005673</v>
          </cell>
          <cell r="L587">
            <v>0.71803508650447234</v>
          </cell>
        </row>
        <row r="588">
          <cell r="A588" t="str">
            <v>X3PC16</v>
          </cell>
          <cell r="B588" t="str">
            <v>X Series 10kA 3-pole 16A C type MCB</v>
          </cell>
          <cell r="C588">
            <v>44.59511387377642</v>
          </cell>
          <cell r="D588">
            <v>105.19960332093748</v>
          </cell>
          <cell r="E588">
            <v>45.041065012514181</v>
          </cell>
          <cell r="F588">
            <v>5.08</v>
          </cell>
          <cell r="G588">
            <v>20.268479255631384</v>
          </cell>
          <cell r="H588">
            <v>15.188479255631384</v>
          </cell>
          <cell r="I588">
            <v>0.7493645213373088</v>
          </cell>
          <cell r="J588">
            <v>18.016426005005673</v>
          </cell>
          <cell r="K588">
            <v>12.936426005005673</v>
          </cell>
          <cell r="L588">
            <v>0.71803508650447234</v>
          </cell>
        </row>
        <row r="589">
          <cell r="A589" t="str">
            <v>X3PC20</v>
          </cell>
          <cell r="B589" t="str">
            <v>X Series 10kA 3-pole 20A C type MCB</v>
          </cell>
          <cell r="C589">
            <v>44.59511387377642</v>
          </cell>
          <cell r="D589">
            <v>114.98618050031249</v>
          </cell>
          <cell r="E589">
            <v>45.041065012514181</v>
          </cell>
          <cell r="F589">
            <v>5.08</v>
          </cell>
          <cell r="G589">
            <v>20.268479255631384</v>
          </cell>
          <cell r="H589">
            <v>15.188479255631384</v>
          </cell>
          <cell r="I589">
            <v>0.7493645213373088</v>
          </cell>
          <cell r="J589">
            <v>18.016426005005673</v>
          </cell>
          <cell r="K589">
            <v>12.936426005005673</v>
          </cell>
          <cell r="L589">
            <v>0.71803508650447234</v>
          </cell>
        </row>
        <row r="590">
          <cell r="A590" t="str">
            <v>X3PC25</v>
          </cell>
          <cell r="B590" t="str">
            <v>X Series 10kA 3-pole 25A C type MCB</v>
          </cell>
          <cell r="C590">
            <v>44.59511387377642</v>
          </cell>
          <cell r="D590">
            <v>117.85381845187499</v>
          </cell>
          <cell r="E590">
            <v>45.041065012514181</v>
          </cell>
          <cell r="F590">
            <v>5.08</v>
          </cell>
          <cell r="G590">
            <v>20.268479255631384</v>
          </cell>
          <cell r="H590">
            <v>15.188479255631384</v>
          </cell>
          <cell r="I590">
            <v>0.7493645213373088</v>
          </cell>
          <cell r="J590">
            <v>18.016426005005673</v>
          </cell>
          <cell r="K590">
            <v>12.936426005005673</v>
          </cell>
          <cell r="L590">
            <v>0.71803508650447234</v>
          </cell>
        </row>
        <row r="591">
          <cell r="A591" t="str">
            <v>X3PC32</v>
          </cell>
          <cell r="B591" t="str">
            <v>X Series 10kA 3-pole 32A C type MCB</v>
          </cell>
          <cell r="C591">
            <v>44.59511387377642</v>
          </cell>
          <cell r="D591">
            <v>52.949720370822547</v>
          </cell>
          <cell r="E591">
            <v>45.041065012514181</v>
          </cell>
          <cell r="F591">
            <v>5.08</v>
          </cell>
          <cell r="G591">
            <v>20.268479255631384</v>
          </cell>
          <cell r="H591">
            <v>15.188479255631384</v>
          </cell>
          <cell r="I591">
            <v>0.7493645213373088</v>
          </cell>
          <cell r="J591">
            <v>18.016426005005673</v>
          </cell>
          <cell r="K591">
            <v>12.936426005005673</v>
          </cell>
          <cell r="L591">
            <v>0.71803508650447234</v>
          </cell>
        </row>
        <row r="592">
          <cell r="A592" t="str">
            <v>X3PC40</v>
          </cell>
          <cell r="B592" t="str">
            <v>X Series 10kA 3-pole 40A C type MCB</v>
          </cell>
          <cell r="C592">
            <v>44.59511387377642</v>
          </cell>
          <cell r="D592">
            <v>49.983052696219204</v>
          </cell>
          <cell r="E592">
            <v>45.041065012514181</v>
          </cell>
          <cell r="F592">
            <v>7.7939999999999996</v>
          </cell>
          <cell r="G592">
            <v>20.268479255631384</v>
          </cell>
          <cell r="H592">
            <v>12.474479255631383</v>
          </cell>
          <cell r="I592">
            <v>0.61546202348483947</v>
          </cell>
          <cell r="J592">
            <v>18.016426005005673</v>
          </cell>
          <cell r="K592">
            <v>10.222426005005673</v>
          </cell>
          <cell r="L592">
            <v>0.56739477642044434</v>
          </cell>
        </row>
        <row r="593">
          <cell r="A593" t="str">
            <v>X3PC50</v>
          </cell>
          <cell r="B593" t="str">
            <v>X Series 10kA 3-pole 50A C type MCB</v>
          </cell>
          <cell r="C593">
            <v>46.541082479177589</v>
          </cell>
          <cell r="D593">
            <v>49.983052696219204</v>
          </cell>
          <cell r="E593">
            <v>47.006493303969364</v>
          </cell>
          <cell r="F593">
            <v>10.086</v>
          </cell>
          <cell r="G593">
            <v>21.152921986786215</v>
          </cell>
          <cell r="H593">
            <v>11.066921986786214</v>
          </cell>
          <cell r="I593">
            <v>0.5231864417454708</v>
          </cell>
          <cell r="J593">
            <v>18.802597321587747</v>
          </cell>
          <cell r="K593">
            <v>8.7165973215877468</v>
          </cell>
          <cell r="L593">
            <v>0.46358474696365465</v>
          </cell>
        </row>
        <row r="594">
          <cell r="A594" t="str">
            <v>X3PC63</v>
          </cell>
          <cell r="B594" t="str">
            <v>X Series 10kA 3-pole 63A C type MCB</v>
          </cell>
          <cell r="C594">
            <v>46.541082479177589</v>
          </cell>
          <cell r="D594">
            <v>49.983052696219204</v>
          </cell>
          <cell r="E594">
            <v>47.006493303969364</v>
          </cell>
          <cell r="F594">
            <v>10.086</v>
          </cell>
          <cell r="G594">
            <v>21.152921986786215</v>
          </cell>
          <cell r="H594">
            <v>11.066921986786214</v>
          </cell>
          <cell r="I594">
            <v>0.5231864417454708</v>
          </cell>
          <cell r="J594">
            <v>18.802597321587747</v>
          </cell>
          <cell r="K594">
            <v>8.7165973215877468</v>
          </cell>
          <cell r="L594">
            <v>0.46358474696365465</v>
          </cell>
        </row>
        <row r="595">
          <cell r="A595" t="str">
            <v>X3PC80</v>
          </cell>
          <cell r="B595" t="str">
            <v>X Series 10kA 3-pole 80A C type MCB</v>
          </cell>
          <cell r="C595">
            <v>102.6337593375</v>
          </cell>
          <cell r="D595">
            <v>49.983052696219204</v>
          </cell>
          <cell r="E595">
            <v>103.660096930875</v>
          </cell>
          <cell r="F595" t="e">
            <v>#N/A</v>
          </cell>
          <cell r="G595">
            <v>46.647043618893754</v>
          </cell>
          <cell r="H595" t="e">
            <v>#N/A</v>
          </cell>
          <cell r="I595" t="e">
            <v>#N/A</v>
          </cell>
          <cell r="J595">
            <v>41.464038772350001</v>
          </cell>
          <cell r="K595" t="e">
            <v>#N/A</v>
          </cell>
          <cell r="L595" t="e">
            <v>#N/A</v>
          </cell>
        </row>
        <row r="596">
          <cell r="A596" t="str">
            <v>X3PC100</v>
          </cell>
          <cell r="B596" t="str">
            <v>X Series 10kA 3-pole 100A C type MCB</v>
          </cell>
          <cell r="C596">
            <v>112.1816395125</v>
          </cell>
          <cell r="D596">
            <v>49.983052696219204</v>
          </cell>
          <cell r="E596">
            <v>113.30345590762499</v>
          </cell>
          <cell r="F596" t="e">
            <v>#N/A</v>
          </cell>
          <cell r="G596">
            <v>50.986555158431251</v>
          </cell>
          <cell r="H596" t="e">
            <v>#N/A</v>
          </cell>
          <cell r="I596" t="e">
            <v>#N/A</v>
          </cell>
          <cell r="J596">
            <v>45.321382363049999</v>
          </cell>
          <cell r="K596" t="e">
            <v>#N/A</v>
          </cell>
          <cell r="L596" t="e">
            <v>#N/A</v>
          </cell>
        </row>
        <row r="597">
          <cell r="A597" t="str">
            <v>X3PC125</v>
          </cell>
          <cell r="B597" t="str">
            <v>X Series 10kA 3-pole 125A C type MCB</v>
          </cell>
          <cell r="C597">
            <v>114.97933507499999</v>
          </cell>
          <cell r="D597">
            <v>49.983052696219204</v>
          </cell>
          <cell r="E597">
            <v>116.12912842575</v>
          </cell>
          <cell r="F597" t="e">
            <v>#N/A</v>
          </cell>
          <cell r="G597">
            <v>52.258107791587499</v>
          </cell>
          <cell r="H597" t="e">
            <v>#N/A</v>
          </cell>
          <cell r="I597" t="e">
            <v>#N/A</v>
          </cell>
          <cell r="J597">
            <v>46.451651370299999</v>
          </cell>
          <cell r="K597" t="e">
            <v>#N/A</v>
          </cell>
          <cell r="L597" t="e">
            <v>#N/A</v>
          </cell>
        </row>
        <row r="598">
          <cell r="A598" t="str">
            <v>X3PD06</v>
          </cell>
          <cell r="B598" t="str">
            <v>X Series 10kA 3-pole 6A D type MCB</v>
          </cell>
          <cell r="C598">
            <v>51.658263776412248</v>
          </cell>
          <cell r="D598">
            <v>49.983052696219204</v>
          </cell>
          <cell r="E598">
            <v>52.174846414176372</v>
          </cell>
          <cell r="F598">
            <v>9.5370000000000008</v>
          </cell>
          <cell r="G598">
            <v>23.478680886379369</v>
          </cell>
          <cell r="H598">
            <v>13.941680886379368</v>
          </cell>
          <cell r="I598">
            <v>0.59380171117140235</v>
          </cell>
          <cell r="J598">
            <v>20.869938565670552</v>
          </cell>
          <cell r="K598">
            <v>11.332938565670551</v>
          </cell>
          <cell r="L598">
            <v>0.54302692506782768</v>
          </cell>
        </row>
        <row r="599">
          <cell r="A599" t="str">
            <v>X3PD10</v>
          </cell>
          <cell r="B599" t="str">
            <v>X Series 10kA 3-pole 10A D type MCB</v>
          </cell>
          <cell r="C599">
            <v>48.763953849969958</v>
          </cell>
          <cell r="D599">
            <v>52.949720370822547</v>
          </cell>
          <cell r="E599">
            <v>49.251593388469658</v>
          </cell>
          <cell r="F599">
            <v>8.1590000000000007</v>
          </cell>
          <cell r="G599">
            <v>22.163217024811345</v>
          </cell>
          <cell r="H599">
            <v>14.004217024811345</v>
          </cell>
          <cell r="I599">
            <v>0.63186752217125619</v>
          </cell>
          <cell r="J599">
            <v>19.700637355387865</v>
          </cell>
          <cell r="K599">
            <v>11.541637355387865</v>
          </cell>
          <cell r="L599">
            <v>0.58585096244266321</v>
          </cell>
        </row>
        <row r="600">
          <cell r="A600" t="str">
            <v>X3PD13</v>
          </cell>
          <cell r="B600" t="str">
            <v xml:space="preserve">X Series 10kA 3-pole 13A D type MCB </v>
          </cell>
          <cell r="C600">
            <v>48.763953849969958</v>
          </cell>
          <cell r="D600">
            <v>52.949720370822547</v>
          </cell>
          <cell r="E600">
            <v>49.251593388469658</v>
          </cell>
          <cell r="F600">
            <v>8.1590000000000007</v>
          </cell>
          <cell r="G600">
            <v>22.163217024811345</v>
          </cell>
          <cell r="H600">
            <v>14.004217024811345</v>
          </cell>
          <cell r="I600">
            <v>0.63186752217125619</v>
          </cell>
          <cell r="J600">
            <v>19.700637355387865</v>
          </cell>
          <cell r="K600">
            <v>11.541637355387865</v>
          </cell>
          <cell r="L600">
            <v>0.58585096244266321</v>
          </cell>
        </row>
        <row r="601">
          <cell r="A601" t="str">
            <v>X3PD16</v>
          </cell>
          <cell r="B601" t="str">
            <v>X Series 10kA 3-pole 16A D type MCB</v>
          </cell>
          <cell r="C601">
            <v>48.763953849969958</v>
          </cell>
          <cell r="D601">
            <v>79.174629652612495</v>
          </cell>
          <cell r="E601">
            <v>49.251593388469658</v>
          </cell>
          <cell r="F601">
            <v>8.1590000000000007</v>
          </cell>
          <cell r="G601">
            <v>22.163217024811345</v>
          </cell>
          <cell r="H601">
            <v>14.004217024811345</v>
          </cell>
          <cell r="I601">
            <v>0.63186752217125619</v>
          </cell>
          <cell r="J601">
            <v>19.700637355387865</v>
          </cell>
          <cell r="K601">
            <v>11.541637355387865</v>
          </cell>
          <cell r="L601">
            <v>0.58585096244266321</v>
          </cell>
        </row>
        <row r="602">
          <cell r="A602" t="str">
            <v>X3PD20</v>
          </cell>
          <cell r="B602" t="str">
            <v>X Series 10kA 3-pole 20A D type MCB</v>
          </cell>
          <cell r="C602">
            <v>48.763953849969958</v>
          </cell>
          <cell r="D602">
            <v>77.027195921906241</v>
          </cell>
          <cell r="E602">
            <v>49.251593388469658</v>
          </cell>
          <cell r="F602">
            <v>8.1590000000000007</v>
          </cell>
          <cell r="G602">
            <v>22.163217024811345</v>
          </cell>
          <cell r="H602">
            <v>14.004217024811345</v>
          </cell>
          <cell r="I602">
            <v>0.63186752217125619</v>
          </cell>
          <cell r="J602">
            <v>19.700637355387865</v>
          </cell>
          <cell r="K602">
            <v>11.541637355387865</v>
          </cell>
          <cell r="L602">
            <v>0.58585096244266321</v>
          </cell>
        </row>
        <row r="603">
          <cell r="A603" t="str">
            <v>X3PD25</v>
          </cell>
          <cell r="B603" t="str">
            <v>X Series 10kA 3-pole 25A D type MCB</v>
          </cell>
          <cell r="C603">
            <v>48.763953849969958</v>
          </cell>
          <cell r="D603">
            <v>72.681077058806252</v>
          </cell>
          <cell r="E603">
            <v>49.251593388469658</v>
          </cell>
          <cell r="F603">
            <v>8.1590000000000007</v>
          </cell>
          <cell r="G603">
            <v>22.163217024811345</v>
          </cell>
          <cell r="H603">
            <v>14.004217024811345</v>
          </cell>
          <cell r="I603">
            <v>0.63186752217125619</v>
          </cell>
          <cell r="J603">
            <v>19.700637355387865</v>
          </cell>
          <cell r="K603">
            <v>11.541637355387865</v>
          </cell>
          <cell r="L603">
            <v>0.58585096244266321</v>
          </cell>
        </row>
        <row r="604">
          <cell r="A604" t="str">
            <v>X3PD32</v>
          </cell>
          <cell r="B604" t="str">
            <v>X Series 10kA 3-pole 32A D type MCB</v>
          </cell>
          <cell r="C604">
            <v>48.763953849969958</v>
          </cell>
          <cell r="D604">
            <v>72.681077058806252</v>
          </cell>
          <cell r="E604">
            <v>49.251593388469658</v>
          </cell>
          <cell r="F604">
            <v>8.1590000000000007</v>
          </cell>
          <cell r="G604">
            <v>22.163217024811345</v>
          </cell>
          <cell r="H604">
            <v>14.004217024811345</v>
          </cell>
          <cell r="I604">
            <v>0.63186752217125619</v>
          </cell>
          <cell r="J604">
            <v>19.700637355387865</v>
          </cell>
          <cell r="K604">
            <v>11.541637355387865</v>
          </cell>
          <cell r="L604">
            <v>0.58585096244266321</v>
          </cell>
        </row>
        <row r="605">
          <cell r="A605" t="str">
            <v>X3PD40</v>
          </cell>
          <cell r="B605" t="str">
            <v>X Series 10kA 3-pole 40A D type MCB</v>
          </cell>
          <cell r="C605">
            <v>48.763953849969958</v>
          </cell>
          <cell r="D605">
            <v>72.681077058806252</v>
          </cell>
          <cell r="E605">
            <v>49.251593388469658</v>
          </cell>
          <cell r="F605" t="e">
            <v>#N/A</v>
          </cell>
          <cell r="G605">
            <v>22.163217024811345</v>
          </cell>
          <cell r="H605" t="e">
            <v>#N/A</v>
          </cell>
          <cell r="I605" t="e">
            <v>#N/A</v>
          </cell>
          <cell r="J605">
            <v>19.700637355387865</v>
          </cell>
          <cell r="K605" t="e">
            <v>#N/A</v>
          </cell>
          <cell r="L605" t="e">
            <v>#N/A</v>
          </cell>
        </row>
        <row r="606">
          <cell r="A606" t="str">
            <v>X3PD50</v>
          </cell>
          <cell r="B606" t="str">
            <v>X Series 10kA 3-pole 50A D type MCB</v>
          </cell>
          <cell r="C606">
            <v>51.658263776412248</v>
          </cell>
          <cell r="D606">
            <v>72.681077058806252</v>
          </cell>
          <cell r="E606">
            <v>52.174846414176372</v>
          </cell>
          <cell r="F606" t="e">
            <v>#N/A</v>
          </cell>
          <cell r="G606">
            <v>23.478680886379369</v>
          </cell>
          <cell r="H606" t="e">
            <v>#N/A</v>
          </cell>
          <cell r="I606" t="e">
            <v>#N/A</v>
          </cell>
          <cell r="J606">
            <v>20.869938565670552</v>
          </cell>
          <cell r="K606" t="e">
            <v>#N/A</v>
          </cell>
          <cell r="L606" t="e">
            <v>#N/A</v>
          </cell>
        </row>
        <row r="607">
          <cell r="A607" t="str">
            <v>X3PD63</v>
          </cell>
          <cell r="B607" t="str">
            <v>X Series 10kA 3-pole 63A D type MCB</v>
          </cell>
          <cell r="C607">
            <v>51.658263776412248</v>
          </cell>
          <cell r="D607">
            <v>72.681077058806252</v>
          </cell>
          <cell r="E607">
            <v>52.174846414176372</v>
          </cell>
          <cell r="F607" t="e">
            <v>#N/A</v>
          </cell>
          <cell r="G607">
            <v>23.478680886379369</v>
          </cell>
          <cell r="H607" t="e">
            <v>#N/A</v>
          </cell>
          <cell r="I607" t="e">
            <v>#N/A</v>
          </cell>
          <cell r="J607">
            <v>20.869938565670552</v>
          </cell>
          <cell r="K607" t="e">
            <v>#N/A</v>
          </cell>
          <cell r="L607" t="e">
            <v>#N/A</v>
          </cell>
        </row>
        <row r="608">
          <cell r="A608" t="str">
            <v>X4PB06</v>
          </cell>
          <cell r="B608" t="str">
            <v>X Series 10kA 4-pole 6A B type MCB</v>
          </cell>
          <cell r="C608">
            <v>77.243541124499998</v>
          </cell>
          <cell r="D608">
            <v>77.027195921906241</v>
          </cell>
          <cell r="E608">
            <v>78.015976535744997</v>
          </cell>
          <cell r="F608" t="e">
            <v>#N/A</v>
          </cell>
          <cell r="G608">
            <v>35.107189441085247</v>
          </cell>
          <cell r="H608" t="e">
            <v>#N/A</v>
          </cell>
          <cell r="I608" t="e">
            <v>#N/A</v>
          </cell>
          <cell r="J608">
            <v>31.206390614298002</v>
          </cell>
          <cell r="K608" t="e">
            <v>#N/A</v>
          </cell>
          <cell r="L608" t="e">
            <v>#N/A</v>
          </cell>
        </row>
        <row r="609">
          <cell r="A609" t="str">
            <v>X4PB10</v>
          </cell>
          <cell r="B609" t="str">
            <v>X Series 10kA 4-pole 10A B type MCB</v>
          </cell>
          <cell r="C609">
            <v>75.148483826250001</v>
          </cell>
          <cell r="D609">
            <v>77.027195921906241</v>
          </cell>
          <cell r="E609">
            <v>75.8999686645125</v>
          </cell>
          <cell r="F609" t="e">
            <v>#N/A</v>
          </cell>
          <cell r="G609">
            <v>34.154985899030628</v>
          </cell>
          <cell r="H609" t="e">
            <v>#N/A</v>
          </cell>
          <cell r="I609" t="e">
            <v>#N/A</v>
          </cell>
          <cell r="J609">
            <v>30.359987465805002</v>
          </cell>
          <cell r="K609" t="e">
            <v>#N/A</v>
          </cell>
          <cell r="L609" t="e">
            <v>#N/A</v>
          </cell>
        </row>
        <row r="610">
          <cell r="A610" t="str">
            <v>X4PB13</v>
          </cell>
          <cell r="B610" t="str">
            <v>X Series 10kA 4-pole 13A B type MCB</v>
          </cell>
          <cell r="C610">
            <v>70.908367862250003</v>
          </cell>
          <cell r="D610">
            <v>77.027195921906241</v>
          </cell>
          <cell r="E610">
            <v>71.617451540872509</v>
          </cell>
          <cell r="F610" t="e">
            <v>#N/A</v>
          </cell>
          <cell r="G610">
            <v>32.227853193392633</v>
          </cell>
          <cell r="H610" t="e">
            <v>#N/A</v>
          </cell>
          <cell r="I610" t="e">
            <v>#N/A</v>
          </cell>
          <cell r="J610">
            <v>28.646980616349005</v>
          </cell>
          <cell r="K610" t="e">
            <v>#N/A</v>
          </cell>
          <cell r="L610" t="e">
            <v>#N/A</v>
          </cell>
        </row>
        <row r="611">
          <cell r="A611" t="str">
            <v>X4PB16</v>
          </cell>
          <cell r="B611" t="str">
            <v>X Series 10kA 4-pole 16A B type MCB</v>
          </cell>
          <cell r="C611">
            <v>70.908367862250003</v>
          </cell>
          <cell r="D611">
            <v>139.30619087249997</v>
          </cell>
          <cell r="E611">
            <v>71.617451540872509</v>
          </cell>
          <cell r="F611" t="e">
            <v>#N/A</v>
          </cell>
          <cell r="G611">
            <v>32.227853193392633</v>
          </cell>
          <cell r="H611" t="e">
            <v>#N/A</v>
          </cell>
          <cell r="I611" t="e">
            <v>#N/A</v>
          </cell>
          <cell r="J611">
            <v>28.646980616349005</v>
          </cell>
          <cell r="K611" t="e">
            <v>#N/A</v>
          </cell>
          <cell r="L611" t="e">
            <v>#N/A</v>
          </cell>
        </row>
        <row r="612">
          <cell r="A612" t="str">
            <v>X4PB20</v>
          </cell>
          <cell r="B612" t="str">
            <v>X Series 10kA 4-pole 20A B type MCB</v>
          </cell>
          <cell r="C612">
            <v>70.908367862250003</v>
          </cell>
          <cell r="D612">
            <v>151.33806755437499</v>
          </cell>
          <cell r="E612">
            <v>71.617451540872509</v>
          </cell>
          <cell r="F612" t="e">
            <v>#N/A</v>
          </cell>
          <cell r="G612">
            <v>32.227853193392633</v>
          </cell>
          <cell r="H612" t="e">
            <v>#N/A</v>
          </cell>
          <cell r="I612" t="e">
            <v>#N/A</v>
          </cell>
          <cell r="J612">
            <v>28.646980616349005</v>
          </cell>
          <cell r="K612" t="e">
            <v>#N/A</v>
          </cell>
          <cell r="L612" t="e">
            <v>#N/A</v>
          </cell>
        </row>
        <row r="613">
          <cell r="A613" t="str">
            <v>X4PB25</v>
          </cell>
          <cell r="B613" t="str">
            <v>X Series 10kA 4-pole 25A B type MCB</v>
          </cell>
          <cell r="C613">
            <v>70.908367862250003</v>
          </cell>
          <cell r="D613">
            <v>164.199728835</v>
          </cell>
          <cell r="E613">
            <v>71.617451540872509</v>
          </cell>
          <cell r="F613" t="e">
            <v>#N/A</v>
          </cell>
          <cell r="G613">
            <v>32.227853193392633</v>
          </cell>
          <cell r="H613" t="e">
            <v>#N/A</v>
          </cell>
          <cell r="I613" t="e">
            <v>#N/A</v>
          </cell>
          <cell r="J613">
            <v>28.646980616349005</v>
          </cell>
          <cell r="K613" t="e">
            <v>#N/A</v>
          </cell>
          <cell r="L613" t="e">
            <v>#N/A</v>
          </cell>
        </row>
        <row r="614">
          <cell r="A614" t="str">
            <v>X4PB32</v>
          </cell>
          <cell r="B614" t="str">
            <v>X Series 10kA 4-pole 32A B type MCB</v>
          </cell>
          <cell r="C614">
            <v>70.908367862250003</v>
          </cell>
          <cell r="D614">
            <v>79.174629652612495</v>
          </cell>
          <cell r="E614">
            <v>71.617451540872509</v>
          </cell>
          <cell r="F614" t="e">
            <v>#N/A</v>
          </cell>
          <cell r="G614">
            <v>32.227853193392633</v>
          </cell>
          <cell r="H614" t="e">
            <v>#N/A</v>
          </cell>
          <cell r="I614" t="e">
            <v>#N/A</v>
          </cell>
          <cell r="J614">
            <v>28.646980616349005</v>
          </cell>
          <cell r="K614" t="e">
            <v>#N/A</v>
          </cell>
          <cell r="L614" t="e">
            <v>#N/A</v>
          </cell>
        </row>
        <row r="615">
          <cell r="A615" t="str">
            <v>X4PB40</v>
          </cell>
          <cell r="B615" t="str">
            <v>X Series 10kA 4-pole 40A B type MCB</v>
          </cell>
          <cell r="C615">
            <v>75.148483826250001</v>
          </cell>
          <cell r="D615">
            <v>77.027195921906241</v>
          </cell>
          <cell r="E615">
            <v>75.8999686645125</v>
          </cell>
          <cell r="F615" t="e">
            <v>#N/A</v>
          </cell>
          <cell r="G615">
            <v>34.154985899030628</v>
          </cell>
          <cell r="H615" t="e">
            <v>#N/A</v>
          </cell>
          <cell r="I615" t="e">
            <v>#N/A</v>
          </cell>
          <cell r="J615">
            <v>30.359987465805002</v>
          </cell>
          <cell r="K615" t="e">
            <v>#N/A</v>
          </cell>
          <cell r="L615" t="e">
            <v>#N/A</v>
          </cell>
        </row>
        <row r="616">
          <cell r="A616" t="str">
            <v>X4PB50</v>
          </cell>
          <cell r="B616" t="str">
            <v>X Series 10kA 4-pole 50A B type MCB</v>
          </cell>
          <cell r="C616">
            <v>75.148483826250001</v>
          </cell>
          <cell r="D616">
            <v>72.681077058806252</v>
          </cell>
          <cell r="E616">
            <v>75.8999686645125</v>
          </cell>
          <cell r="F616" t="e">
            <v>#N/A</v>
          </cell>
          <cell r="G616">
            <v>34.154985899030628</v>
          </cell>
          <cell r="H616" t="e">
            <v>#N/A</v>
          </cell>
          <cell r="I616" t="e">
            <v>#N/A</v>
          </cell>
          <cell r="J616">
            <v>30.359987465805002</v>
          </cell>
          <cell r="K616" t="e">
            <v>#N/A</v>
          </cell>
          <cell r="L616" t="e">
            <v>#N/A</v>
          </cell>
        </row>
        <row r="617">
          <cell r="A617" t="str">
            <v>X4PB63</v>
          </cell>
          <cell r="B617" t="str">
            <v>X Series 10kA 4-pole 63A B type MCB</v>
          </cell>
          <cell r="C617">
            <v>75.148483826250001</v>
          </cell>
          <cell r="D617">
            <v>72.681077058806252</v>
          </cell>
          <cell r="E617">
            <v>75.8999686645125</v>
          </cell>
          <cell r="F617" t="e">
            <v>#N/A</v>
          </cell>
          <cell r="G617">
            <v>34.154985899030628</v>
          </cell>
          <cell r="H617" t="e">
            <v>#N/A</v>
          </cell>
          <cell r="I617" t="e">
            <v>#N/A</v>
          </cell>
          <cell r="J617">
            <v>30.359987465805002</v>
          </cell>
          <cell r="K617" t="e">
            <v>#N/A</v>
          </cell>
          <cell r="L617" t="e">
            <v>#N/A</v>
          </cell>
        </row>
        <row r="618">
          <cell r="A618" t="str">
            <v>X4PB80</v>
          </cell>
          <cell r="B618" t="str">
            <v>X Series 10kA 4-pole 80A B type MCB</v>
          </cell>
          <cell r="C618">
            <v>135.90847889999998</v>
          </cell>
          <cell r="D618">
            <v>72.681077058806252</v>
          </cell>
          <cell r="E618">
            <v>137.26756368899999</v>
          </cell>
          <cell r="F618" t="e">
            <v>#N/A</v>
          </cell>
          <cell r="G618">
            <v>61.770403660049993</v>
          </cell>
          <cell r="H618" t="e">
            <v>#N/A</v>
          </cell>
          <cell r="I618" t="e">
            <v>#N/A</v>
          </cell>
          <cell r="J618">
            <v>54.907025475599994</v>
          </cell>
          <cell r="K618" t="e">
            <v>#N/A</v>
          </cell>
          <cell r="L618" t="e">
            <v>#N/A</v>
          </cell>
        </row>
        <row r="619">
          <cell r="A619" t="str">
            <v>X4PB100</v>
          </cell>
          <cell r="B619" t="str">
            <v>X Series 10kA 4-pole 100A B type MCB</v>
          </cell>
          <cell r="C619">
            <v>147.646895175</v>
          </cell>
          <cell r="D619">
            <v>72.681077058806252</v>
          </cell>
          <cell r="E619">
            <v>149.12336412675</v>
          </cell>
          <cell r="F619" t="e">
            <v>#N/A</v>
          </cell>
          <cell r="G619">
            <v>67.105513857037508</v>
          </cell>
          <cell r="H619" t="e">
            <v>#N/A</v>
          </cell>
          <cell r="I619" t="e">
            <v>#N/A</v>
          </cell>
          <cell r="J619">
            <v>59.649345650700006</v>
          </cell>
          <cell r="K619" t="e">
            <v>#N/A</v>
          </cell>
          <cell r="L619" t="e">
            <v>#N/A</v>
          </cell>
        </row>
        <row r="620">
          <cell r="A620" t="str">
            <v>X4PB125</v>
          </cell>
          <cell r="B620" t="str">
            <v>X Series 10kA 4-pole 125A B type MCB</v>
          </cell>
          <cell r="C620">
            <v>160.19485740000002</v>
          </cell>
          <cell r="D620">
            <v>72.681077058806252</v>
          </cell>
          <cell r="E620">
            <v>161.79680597400002</v>
          </cell>
          <cell r="F620" t="e">
            <v>#N/A</v>
          </cell>
          <cell r="G620">
            <v>72.808562688300015</v>
          </cell>
          <cell r="H620" t="e">
            <v>#N/A</v>
          </cell>
          <cell r="I620" t="e">
            <v>#N/A</v>
          </cell>
          <cell r="J620">
            <v>64.718722389600018</v>
          </cell>
          <cell r="K620" t="e">
            <v>#N/A</v>
          </cell>
          <cell r="L620" t="e">
            <v>#N/A</v>
          </cell>
        </row>
        <row r="621">
          <cell r="A621" t="str">
            <v>X4PC06</v>
          </cell>
          <cell r="B621" t="str">
            <v>X Series 10kA 4-pole 6A C type MCB</v>
          </cell>
          <cell r="C621">
            <v>77.243541124499998</v>
          </cell>
          <cell r="D621">
            <v>77.027195921906241</v>
          </cell>
          <cell r="E621">
            <v>78.015976535744997</v>
          </cell>
          <cell r="F621" t="e">
            <v>#N/A</v>
          </cell>
          <cell r="G621">
            <v>35.107189441085247</v>
          </cell>
          <cell r="H621" t="e">
            <v>#N/A</v>
          </cell>
          <cell r="I621" t="e">
            <v>#N/A</v>
          </cell>
          <cell r="J621">
            <v>31.206390614298002</v>
          </cell>
          <cell r="K621" t="e">
            <v>#N/A</v>
          </cell>
          <cell r="L621" t="e">
            <v>#N/A</v>
          </cell>
        </row>
        <row r="622">
          <cell r="A622" t="str">
            <v>X4PC10</v>
          </cell>
          <cell r="B622" t="str">
            <v>X Series 10kA 4-pole 10A C type MCB</v>
          </cell>
          <cell r="C622">
            <v>75.148483826250001</v>
          </cell>
          <cell r="D622">
            <v>77.027195921906241</v>
          </cell>
          <cell r="E622">
            <v>75.8999686645125</v>
          </cell>
          <cell r="F622" t="e">
            <v>#N/A</v>
          </cell>
          <cell r="G622">
            <v>34.154985899030628</v>
          </cell>
          <cell r="H622" t="e">
            <v>#N/A</v>
          </cell>
          <cell r="I622" t="e">
            <v>#N/A</v>
          </cell>
          <cell r="J622">
            <v>30.359987465805002</v>
          </cell>
          <cell r="K622" t="e">
            <v>#N/A</v>
          </cell>
          <cell r="L622" t="e">
            <v>#N/A</v>
          </cell>
        </row>
        <row r="623">
          <cell r="A623" t="str">
            <v>X4PC13</v>
          </cell>
          <cell r="B623" t="str">
            <v>X Series 10kA 4-pole 13A C type MCB</v>
          </cell>
          <cell r="C623">
            <v>70.908367862250003</v>
          </cell>
          <cell r="D623">
            <v>77.027195921906241</v>
          </cell>
          <cell r="E623">
            <v>71.617451540872509</v>
          </cell>
          <cell r="F623" t="e">
            <v>#N/A</v>
          </cell>
          <cell r="G623">
            <v>32.227853193392633</v>
          </cell>
          <cell r="H623" t="e">
            <v>#N/A</v>
          </cell>
          <cell r="I623" t="e">
            <v>#N/A</v>
          </cell>
          <cell r="J623">
            <v>28.646980616349005</v>
          </cell>
          <cell r="K623" t="e">
            <v>#N/A</v>
          </cell>
          <cell r="L623" t="e">
            <v>#N/A</v>
          </cell>
        </row>
        <row r="624">
          <cell r="A624" t="str">
            <v>X4PC16</v>
          </cell>
          <cell r="B624" t="str">
            <v>X Series 10kA 4-pole 16A C type MCB</v>
          </cell>
          <cell r="C624">
            <v>70.908367862250003</v>
          </cell>
          <cell r="D624">
            <v>139.30619087249997</v>
          </cell>
          <cell r="E624">
            <v>71.617451540872509</v>
          </cell>
          <cell r="F624" t="e">
            <v>#N/A</v>
          </cell>
          <cell r="G624">
            <v>32.227853193392633</v>
          </cell>
          <cell r="H624" t="e">
            <v>#N/A</v>
          </cell>
          <cell r="I624" t="e">
            <v>#N/A</v>
          </cell>
          <cell r="J624">
            <v>28.646980616349005</v>
          </cell>
          <cell r="K624" t="e">
            <v>#N/A</v>
          </cell>
          <cell r="L624" t="e">
            <v>#N/A</v>
          </cell>
        </row>
        <row r="625">
          <cell r="A625" t="str">
            <v>X4PC20</v>
          </cell>
          <cell r="B625" t="str">
            <v>X Series 10kA 4-pole 20A C type MCB</v>
          </cell>
          <cell r="C625">
            <v>70.908367862250003</v>
          </cell>
          <cell r="D625">
            <v>151.33806755437499</v>
          </cell>
          <cell r="E625">
            <v>71.617451540872509</v>
          </cell>
          <cell r="F625" t="e">
            <v>#N/A</v>
          </cell>
          <cell r="G625">
            <v>32.227853193392633</v>
          </cell>
          <cell r="H625" t="e">
            <v>#N/A</v>
          </cell>
          <cell r="I625" t="e">
            <v>#N/A</v>
          </cell>
          <cell r="J625">
            <v>28.646980616349005</v>
          </cell>
          <cell r="K625" t="e">
            <v>#N/A</v>
          </cell>
          <cell r="L625" t="e">
            <v>#N/A</v>
          </cell>
        </row>
        <row r="626">
          <cell r="A626" t="str">
            <v>X4PC25</v>
          </cell>
          <cell r="B626" t="str">
            <v>X Series 10kA 4-pole 25A C type MCB</v>
          </cell>
          <cell r="C626">
            <v>70.908367862250003</v>
          </cell>
          <cell r="D626">
            <v>164.199728835</v>
          </cell>
          <cell r="E626">
            <v>71.617451540872509</v>
          </cell>
          <cell r="F626" t="e">
            <v>#N/A</v>
          </cell>
          <cell r="G626">
            <v>32.227853193392633</v>
          </cell>
          <cell r="H626" t="e">
            <v>#N/A</v>
          </cell>
          <cell r="I626" t="e">
            <v>#N/A</v>
          </cell>
          <cell r="J626">
            <v>28.646980616349005</v>
          </cell>
          <cell r="K626" t="e">
            <v>#N/A</v>
          </cell>
          <cell r="L626" t="e">
            <v>#N/A</v>
          </cell>
        </row>
        <row r="627">
          <cell r="A627" t="str">
            <v>X4PC32</v>
          </cell>
          <cell r="B627" t="str">
            <v>X Series 10kA 4-pole 32A C type MCB</v>
          </cell>
          <cell r="C627">
            <v>70.908367862250003</v>
          </cell>
          <cell r="D627">
            <v>79.174629652612495</v>
          </cell>
          <cell r="E627">
            <v>71.617451540872509</v>
          </cell>
          <cell r="F627" t="e">
            <v>#N/A</v>
          </cell>
          <cell r="G627">
            <v>32.227853193392633</v>
          </cell>
          <cell r="H627" t="e">
            <v>#N/A</v>
          </cell>
          <cell r="I627" t="e">
            <v>#N/A</v>
          </cell>
          <cell r="J627">
            <v>28.646980616349005</v>
          </cell>
          <cell r="K627" t="e">
            <v>#N/A</v>
          </cell>
          <cell r="L627" t="e">
            <v>#N/A</v>
          </cell>
        </row>
        <row r="628">
          <cell r="A628" t="str">
            <v>X4PC40</v>
          </cell>
          <cell r="B628" t="str">
            <v>X Series 10kA 4-pole 40A C type MCB</v>
          </cell>
          <cell r="C628">
            <v>75.148483826250001</v>
          </cell>
          <cell r="D628">
            <v>77.027195921906241</v>
          </cell>
          <cell r="E628">
            <v>75.8999686645125</v>
          </cell>
          <cell r="F628" t="e">
            <v>#N/A</v>
          </cell>
          <cell r="G628">
            <v>34.154985899030628</v>
          </cell>
          <cell r="H628" t="e">
            <v>#N/A</v>
          </cell>
          <cell r="I628" t="e">
            <v>#N/A</v>
          </cell>
          <cell r="J628">
            <v>30.359987465805002</v>
          </cell>
          <cell r="K628" t="e">
            <v>#N/A</v>
          </cell>
          <cell r="L628" t="e">
            <v>#N/A</v>
          </cell>
        </row>
        <row r="629">
          <cell r="A629" t="str">
            <v>X4PC50</v>
          </cell>
          <cell r="B629" t="str">
            <v>X Series 10kA 4-pole 50A C type MCB</v>
          </cell>
          <cell r="C629">
            <v>75.148483826250001</v>
          </cell>
          <cell r="D629">
            <v>72.681077058806252</v>
          </cell>
          <cell r="E629">
            <v>75.8999686645125</v>
          </cell>
          <cell r="F629" t="e">
            <v>#N/A</v>
          </cell>
          <cell r="G629">
            <v>34.154985899030628</v>
          </cell>
          <cell r="H629" t="e">
            <v>#N/A</v>
          </cell>
          <cell r="I629" t="e">
            <v>#N/A</v>
          </cell>
          <cell r="J629">
            <v>30.359987465805002</v>
          </cell>
          <cell r="K629" t="e">
            <v>#N/A</v>
          </cell>
          <cell r="L629" t="e">
            <v>#N/A</v>
          </cell>
        </row>
        <row r="630">
          <cell r="A630" t="str">
            <v>X4PC63</v>
          </cell>
          <cell r="B630" t="str">
            <v>X Series 10kA 4-pole 63A C type MCB</v>
          </cell>
          <cell r="C630">
            <v>75.148483826250001</v>
          </cell>
          <cell r="D630">
            <v>72.681077058806252</v>
          </cell>
          <cell r="E630">
            <v>75.8999686645125</v>
          </cell>
          <cell r="F630" t="e">
            <v>#N/A</v>
          </cell>
          <cell r="G630">
            <v>34.154985899030628</v>
          </cell>
          <cell r="H630" t="e">
            <v>#N/A</v>
          </cell>
          <cell r="I630" t="e">
            <v>#N/A</v>
          </cell>
          <cell r="J630">
            <v>30.359987465805002</v>
          </cell>
          <cell r="K630" t="e">
            <v>#N/A</v>
          </cell>
          <cell r="L630" t="e">
            <v>#N/A</v>
          </cell>
        </row>
        <row r="631">
          <cell r="A631" t="str">
            <v>X4PC80</v>
          </cell>
          <cell r="B631" t="str">
            <v>X Series 10kA 4-pole 80A C type MCB</v>
          </cell>
          <cell r="C631">
            <v>135.90847889999998</v>
          </cell>
          <cell r="D631">
            <v>72.681077058806252</v>
          </cell>
          <cell r="E631">
            <v>137.26756368899999</v>
          </cell>
          <cell r="F631" t="e">
            <v>#N/A</v>
          </cell>
          <cell r="G631">
            <v>61.770403660049993</v>
          </cell>
          <cell r="H631" t="e">
            <v>#N/A</v>
          </cell>
          <cell r="I631" t="e">
            <v>#N/A</v>
          </cell>
          <cell r="J631">
            <v>54.907025475599994</v>
          </cell>
          <cell r="K631" t="e">
            <v>#N/A</v>
          </cell>
          <cell r="L631" t="e">
            <v>#N/A</v>
          </cell>
        </row>
        <row r="632">
          <cell r="A632" t="str">
            <v>X4PC100</v>
          </cell>
          <cell r="B632" t="str">
            <v>X Series 10kA 4-pole 100A C type MCB</v>
          </cell>
          <cell r="C632">
            <v>147.646895175</v>
          </cell>
          <cell r="D632">
            <v>72.681077058806252</v>
          </cell>
          <cell r="E632">
            <v>149.12336412675</v>
          </cell>
          <cell r="F632" t="e">
            <v>#N/A</v>
          </cell>
          <cell r="G632">
            <v>67.105513857037508</v>
          </cell>
          <cell r="H632" t="e">
            <v>#N/A</v>
          </cell>
          <cell r="I632" t="e">
            <v>#N/A</v>
          </cell>
          <cell r="J632">
            <v>59.649345650700006</v>
          </cell>
          <cell r="K632" t="e">
            <v>#N/A</v>
          </cell>
          <cell r="L632" t="e">
            <v>#N/A</v>
          </cell>
        </row>
        <row r="633">
          <cell r="A633" t="str">
            <v>X4PC125</v>
          </cell>
          <cell r="B633" t="str">
            <v>X Series 10kA 4-pole 125A C type MCB</v>
          </cell>
          <cell r="C633">
            <v>160.19485740000002</v>
          </cell>
          <cell r="D633">
            <v>72.681077058806252</v>
          </cell>
          <cell r="E633">
            <v>161.79680597400002</v>
          </cell>
          <cell r="F633" t="e">
            <v>#N/A</v>
          </cell>
          <cell r="G633">
            <v>72.808562688300015</v>
          </cell>
          <cell r="H633" t="e">
            <v>#N/A</v>
          </cell>
          <cell r="I633" t="e">
            <v>#N/A</v>
          </cell>
          <cell r="J633">
            <v>64.718722389600018</v>
          </cell>
          <cell r="K633" t="e">
            <v>#N/A</v>
          </cell>
          <cell r="L633" t="e">
            <v>#N/A</v>
          </cell>
        </row>
        <row r="634">
          <cell r="A634" t="str">
            <v>X4PD06</v>
          </cell>
          <cell r="B634" t="str">
            <v>X Series 10kA 4-pole 6A D type MCB</v>
          </cell>
          <cell r="C634">
            <v>77.243541124499998</v>
          </cell>
          <cell r="D634">
            <v>77.027195921906241</v>
          </cell>
          <cell r="E634">
            <v>78.015976535744997</v>
          </cell>
          <cell r="F634" t="e">
            <v>#N/A</v>
          </cell>
          <cell r="G634">
            <v>35.107189441085247</v>
          </cell>
          <cell r="H634" t="e">
            <v>#N/A</v>
          </cell>
          <cell r="I634" t="e">
            <v>#N/A</v>
          </cell>
          <cell r="J634">
            <v>31.206390614298002</v>
          </cell>
          <cell r="K634" t="e">
            <v>#N/A</v>
          </cell>
          <cell r="L634" t="e">
            <v>#N/A</v>
          </cell>
        </row>
        <row r="635">
          <cell r="A635" t="str">
            <v>X4PD10</v>
          </cell>
          <cell r="B635" t="str">
            <v>X Series 10kA 4-pole 10A D type MCB</v>
          </cell>
          <cell r="C635">
            <v>75.148483826250001</v>
          </cell>
          <cell r="D635">
            <v>77.027195921906241</v>
          </cell>
          <cell r="E635">
            <v>75.8999686645125</v>
          </cell>
          <cell r="F635" t="e">
            <v>#N/A</v>
          </cell>
          <cell r="G635">
            <v>34.154985899030628</v>
          </cell>
          <cell r="H635" t="e">
            <v>#N/A</v>
          </cell>
          <cell r="I635" t="e">
            <v>#N/A</v>
          </cell>
          <cell r="J635">
            <v>30.359987465805002</v>
          </cell>
          <cell r="K635" t="e">
            <v>#N/A</v>
          </cell>
          <cell r="L635" t="e">
            <v>#N/A</v>
          </cell>
        </row>
        <row r="636">
          <cell r="A636" t="str">
            <v>X4PD13</v>
          </cell>
          <cell r="B636" t="str">
            <v>X Series 10kA 4-pole 13A D type MCB</v>
          </cell>
          <cell r="C636">
            <v>70.908367862250003</v>
          </cell>
          <cell r="D636">
            <v>77.027195921906241</v>
          </cell>
          <cell r="E636">
            <v>71.617451540872509</v>
          </cell>
          <cell r="F636" t="e">
            <v>#N/A</v>
          </cell>
          <cell r="G636">
            <v>32.227853193392633</v>
          </cell>
          <cell r="H636" t="e">
            <v>#N/A</v>
          </cell>
          <cell r="I636" t="e">
            <v>#N/A</v>
          </cell>
          <cell r="J636">
            <v>28.646980616349005</v>
          </cell>
          <cell r="K636" t="e">
            <v>#N/A</v>
          </cell>
          <cell r="L636" t="e">
            <v>#N/A</v>
          </cell>
        </row>
        <row r="637">
          <cell r="A637" t="str">
            <v>X4PD16</v>
          </cell>
          <cell r="B637" t="str">
            <v>X Series 10kA 4-pole 16A D type MCB</v>
          </cell>
          <cell r="C637">
            <v>70.908367862250003</v>
          </cell>
          <cell r="D637">
            <v>12.965015833485186</v>
          </cell>
          <cell r="E637">
            <v>71.617451540872509</v>
          </cell>
          <cell r="F637" t="e">
            <v>#N/A</v>
          </cell>
          <cell r="G637">
            <v>32.227853193392633</v>
          </cell>
          <cell r="H637" t="e">
            <v>#N/A</v>
          </cell>
          <cell r="I637" t="e">
            <v>#N/A</v>
          </cell>
          <cell r="J637">
            <v>28.646980616349005</v>
          </cell>
          <cell r="K637" t="e">
            <v>#N/A</v>
          </cell>
          <cell r="L637" t="e">
            <v>#N/A</v>
          </cell>
        </row>
        <row r="638">
          <cell r="A638" t="str">
            <v>X4PD20</v>
          </cell>
          <cell r="B638" t="str">
            <v>X Series 10kA 4-pole 20A D type MCB</v>
          </cell>
          <cell r="C638">
            <v>70.908367862250003</v>
          </cell>
          <cell r="D638">
            <v>21.608359722475303</v>
          </cell>
          <cell r="E638">
            <v>71.617451540872509</v>
          </cell>
          <cell r="F638" t="e">
            <v>#N/A</v>
          </cell>
          <cell r="G638">
            <v>32.227853193392633</v>
          </cell>
          <cell r="H638" t="e">
            <v>#N/A</v>
          </cell>
          <cell r="I638" t="e">
            <v>#N/A</v>
          </cell>
          <cell r="J638">
            <v>28.646980616349005</v>
          </cell>
          <cell r="K638" t="e">
            <v>#N/A</v>
          </cell>
          <cell r="L638" t="e">
            <v>#N/A</v>
          </cell>
        </row>
        <row r="639">
          <cell r="A639" t="str">
            <v>X4PD25</v>
          </cell>
          <cell r="B639" t="str">
            <v>X Series 10kA 4-pole 25A D type MCB</v>
          </cell>
          <cell r="C639">
            <v>70.908367862250003</v>
          </cell>
          <cell r="D639">
            <v>9.3194686124999997</v>
          </cell>
          <cell r="E639">
            <v>71.617451540872509</v>
          </cell>
          <cell r="F639" t="e">
            <v>#N/A</v>
          </cell>
          <cell r="G639">
            <v>32.227853193392633</v>
          </cell>
          <cell r="H639" t="e">
            <v>#N/A</v>
          </cell>
          <cell r="I639" t="e">
            <v>#N/A</v>
          </cell>
          <cell r="J639">
            <v>28.646980616349005</v>
          </cell>
          <cell r="K639" t="e">
            <v>#N/A</v>
          </cell>
          <cell r="L639" t="e">
            <v>#N/A</v>
          </cell>
        </row>
        <row r="640">
          <cell r="A640" t="str">
            <v>X4PD32</v>
          </cell>
          <cell r="B640" t="str">
            <v>X Series 10kA 4-pole 32A D type MCB</v>
          </cell>
          <cell r="C640">
            <v>70.908367862250003</v>
          </cell>
          <cell r="D640">
            <v>9.8095093343300608</v>
          </cell>
          <cell r="E640">
            <v>71.617451540872509</v>
          </cell>
          <cell r="F640" t="e">
            <v>#N/A</v>
          </cell>
          <cell r="G640">
            <v>32.227853193392633</v>
          </cell>
          <cell r="H640" t="e">
            <v>#N/A</v>
          </cell>
          <cell r="I640" t="e">
            <v>#N/A</v>
          </cell>
          <cell r="J640">
            <v>28.646980616349005</v>
          </cell>
          <cell r="K640" t="e">
            <v>#N/A</v>
          </cell>
          <cell r="L640" t="e">
            <v>#N/A</v>
          </cell>
        </row>
        <row r="641">
          <cell r="A641" t="str">
            <v>X4PD40</v>
          </cell>
          <cell r="B641" t="str">
            <v>X Series 10kA 4-pole 40A D type MCB</v>
          </cell>
          <cell r="C641">
            <v>75.148483826250001</v>
          </cell>
          <cell r="D641">
            <v>37.042902381386241</v>
          </cell>
          <cell r="E641">
            <v>75.8999686645125</v>
          </cell>
          <cell r="F641" t="e">
            <v>#N/A</v>
          </cell>
          <cell r="G641">
            <v>34.154985899030628</v>
          </cell>
          <cell r="H641" t="e">
            <v>#N/A</v>
          </cell>
          <cell r="I641" t="e">
            <v>#N/A</v>
          </cell>
          <cell r="J641">
            <v>30.359987465805002</v>
          </cell>
          <cell r="K641" t="e">
            <v>#N/A</v>
          </cell>
          <cell r="L641" t="e">
            <v>#N/A</v>
          </cell>
        </row>
        <row r="642">
          <cell r="A642" t="str">
            <v>X4PD50</v>
          </cell>
          <cell r="B642" t="str">
            <v>X Series 10kA 4-pole 50A D type MCB</v>
          </cell>
          <cell r="C642">
            <v>75.148483826250001</v>
          </cell>
          <cell r="D642">
            <v>37.042902381386241</v>
          </cell>
          <cell r="E642">
            <v>75.8999686645125</v>
          </cell>
          <cell r="F642" t="e">
            <v>#N/A</v>
          </cell>
          <cell r="G642">
            <v>34.154985899030628</v>
          </cell>
          <cell r="H642" t="e">
            <v>#N/A</v>
          </cell>
          <cell r="I642" t="e">
            <v>#N/A</v>
          </cell>
          <cell r="J642">
            <v>30.359987465805002</v>
          </cell>
          <cell r="K642" t="e">
            <v>#N/A</v>
          </cell>
          <cell r="L642" t="e">
            <v>#N/A</v>
          </cell>
        </row>
        <row r="643">
          <cell r="A643" t="str">
            <v>X4PD63</v>
          </cell>
          <cell r="B643" t="str">
            <v>X Series 10kA 4-pole 63A D type MCB</v>
          </cell>
          <cell r="C643">
            <v>75.148483826250001</v>
          </cell>
          <cell r="D643">
            <v>37.042902381386241</v>
          </cell>
          <cell r="E643">
            <v>75.8999686645125</v>
          </cell>
          <cell r="F643" t="e">
            <v>#N/A</v>
          </cell>
          <cell r="G643">
            <v>34.154985899030628</v>
          </cell>
          <cell r="H643" t="e">
            <v>#N/A</v>
          </cell>
          <cell r="I643" t="e">
            <v>#N/A</v>
          </cell>
          <cell r="J643">
            <v>30.359987465805002</v>
          </cell>
          <cell r="K643" t="e">
            <v>#N/A</v>
          </cell>
          <cell r="L643" t="e">
            <v>#N/A</v>
          </cell>
        </row>
        <row r="644">
          <cell r="A644" t="str">
            <v>XAC2</v>
          </cell>
          <cell r="B644" t="str">
            <v>X Series auxiliary 1NO 1NC MCB</v>
          </cell>
          <cell r="C644">
            <v>12.648795935107499</v>
          </cell>
          <cell r="D644">
            <v>551.90060706625002</v>
          </cell>
          <cell r="E644">
            <v>13.281235731862873</v>
          </cell>
          <cell r="F644" t="e">
            <v>#N/A</v>
          </cell>
          <cell r="G644">
            <v>5.9765560793382928</v>
          </cell>
          <cell r="H644" t="e">
            <v>#N/A</v>
          </cell>
          <cell r="I644" t="e">
            <v>#N/A</v>
          </cell>
          <cell r="J644">
            <v>5.3124942927451499</v>
          </cell>
          <cell r="K644" t="e">
            <v>#N/A</v>
          </cell>
          <cell r="L644" t="e">
            <v>#N/A</v>
          </cell>
        </row>
        <row r="645">
          <cell r="A645" t="str">
            <v>XCS2</v>
          </cell>
          <cell r="B645" t="str">
            <v>X Series auxiliary trip</v>
          </cell>
          <cell r="C645">
            <v>21.081326558512494</v>
          </cell>
          <cell r="D645">
            <v>16.766600720999996</v>
          </cell>
          <cell r="E645">
            <v>22.135392886438119</v>
          </cell>
          <cell r="F645" t="e">
            <v>#N/A</v>
          </cell>
          <cell r="G645">
            <v>9.9609267988971535</v>
          </cell>
          <cell r="H645" t="e">
            <v>#N/A</v>
          </cell>
          <cell r="I645" t="e">
            <v>#N/A</v>
          </cell>
          <cell r="J645">
            <v>8.8541571545752475</v>
          </cell>
          <cell r="K645" t="e">
            <v>#N/A</v>
          </cell>
          <cell r="L645" t="e">
            <v>#N/A</v>
          </cell>
        </row>
        <row r="646">
          <cell r="A646" t="str">
            <v>XDL</v>
          </cell>
          <cell r="B646" t="str">
            <v>X Series locking device</v>
          </cell>
          <cell r="C646">
            <v>9.0921645000000009</v>
          </cell>
          <cell r="D646">
            <v>5.6114634039285702</v>
          </cell>
          <cell r="E646">
            <v>9.5467727250000003</v>
          </cell>
          <cell r="F646" t="e">
            <v>#N/A</v>
          </cell>
          <cell r="G646">
            <v>4.2960477262500003</v>
          </cell>
          <cell r="H646" t="e">
            <v>#N/A</v>
          </cell>
          <cell r="I646" t="e">
            <v>#N/A</v>
          </cell>
          <cell r="J646">
            <v>3.8187090900000005</v>
          </cell>
          <cell r="K646" t="e">
            <v>#N/A</v>
          </cell>
          <cell r="L646" t="e">
            <v>#N/A</v>
          </cell>
        </row>
        <row r="647">
          <cell r="A647" t="str">
            <v>XPL</v>
          </cell>
          <cell r="B647" t="str">
            <v>X Series padlock</v>
          </cell>
          <cell r="C647">
            <v>9.5702530091024993</v>
          </cell>
          <cell r="D647">
            <v>7.7204697839285714</v>
          </cell>
          <cell r="E647">
            <v>10.048765659557624</v>
          </cell>
          <cell r="F647" t="e">
            <v>#N/A</v>
          </cell>
          <cell r="G647">
            <v>4.5219445468009312</v>
          </cell>
          <cell r="H647" t="e">
            <v>#N/A</v>
          </cell>
          <cell r="I647" t="e">
            <v>#N/A</v>
          </cell>
          <cell r="J647">
            <v>4.0195062638230494</v>
          </cell>
          <cell r="K647" t="e">
            <v>#N/A</v>
          </cell>
          <cell r="L647" t="e">
            <v>#N/A</v>
          </cell>
        </row>
        <row r="648">
          <cell r="A648" t="str">
            <v>XST415</v>
          </cell>
          <cell r="B648" t="str">
            <v>X Series shunt trip 110-415V ac, 110-125V dc</v>
          </cell>
          <cell r="C648">
            <v>36.139416957449995</v>
          </cell>
          <cell r="D648">
            <v>26.436149739999998</v>
          </cell>
          <cell r="E648">
            <v>37.946387805322495</v>
          </cell>
          <cell r="F648" t="e">
            <v>#N/A</v>
          </cell>
          <cell r="G648">
            <v>17.075874512395124</v>
          </cell>
          <cell r="H648" t="e">
            <v>#N/A</v>
          </cell>
          <cell r="I648" t="e">
            <v>#N/A</v>
          </cell>
          <cell r="J648">
            <v>15.178555122128998</v>
          </cell>
          <cell r="K648" t="e">
            <v>#N/A</v>
          </cell>
          <cell r="L648" t="e">
            <v>#N/A</v>
          </cell>
        </row>
        <row r="649">
          <cell r="A649" t="str">
            <v>XST48</v>
          </cell>
          <cell r="B649" t="str">
            <v>X Series shunt trip 48V ac/dc</v>
          </cell>
          <cell r="C649">
            <v>36.139416957449995</v>
          </cell>
          <cell r="D649">
            <v>56.796032279999991</v>
          </cell>
          <cell r="E649">
            <v>37.946387805322495</v>
          </cell>
          <cell r="F649" t="e">
            <v>#N/A</v>
          </cell>
          <cell r="G649">
            <v>17.075874512395124</v>
          </cell>
          <cell r="H649" t="e">
            <v>#N/A</v>
          </cell>
          <cell r="I649" t="e">
            <v>#N/A</v>
          </cell>
          <cell r="J649">
            <v>15.178555122128998</v>
          </cell>
          <cell r="K649" t="e">
            <v>#N/A</v>
          </cell>
          <cell r="L649" t="e">
            <v>#N/A</v>
          </cell>
        </row>
        <row r="650">
          <cell r="A650" t="str">
            <v>XUVR240</v>
          </cell>
          <cell r="B650" t="str">
            <v>X Series under voltage release 240V ac</v>
          </cell>
          <cell r="C650">
            <v>36.139416957449995</v>
          </cell>
          <cell r="D650">
            <v>75.321656428571416</v>
          </cell>
          <cell r="E650">
            <v>37.946387805322495</v>
          </cell>
          <cell r="F650" t="e">
            <v>#N/A</v>
          </cell>
          <cell r="G650">
            <v>17.075874512395124</v>
          </cell>
          <cell r="H650" t="e">
            <v>#N/A</v>
          </cell>
          <cell r="I650" t="e">
            <v>#N/A</v>
          </cell>
          <cell r="J650">
            <v>15.178555122128998</v>
          </cell>
          <cell r="K650" t="e">
            <v>#N/A</v>
          </cell>
          <cell r="L650" t="e">
            <v>#N/A</v>
          </cell>
        </row>
        <row r="651">
          <cell r="A651" t="str">
            <v>Y5DCL</v>
          </cell>
          <cell r="B651" t="str">
            <v>Y5 Castell lock (DS1) door mounted</v>
          </cell>
          <cell r="C651">
            <v>538.43961665000006</v>
          </cell>
          <cell r="D651">
            <v>448.16385574999998</v>
          </cell>
          <cell r="E651">
            <v>565.36159748250009</v>
          </cell>
          <cell r="F651" t="e">
            <v>#N/A</v>
          </cell>
          <cell r="G651">
            <v>254.41271886712505</v>
          </cell>
          <cell r="H651" t="e">
            <v>#N/A</v>
          </cell>
          <cell r="I651" t="e">
            <v>#N/A</v>
          </cell>
          <cell r="J651">
            <v>226.14463899300006</v>
          </cell>
          <cell r="K651" t="e">
            <v>#N/A</v>
          </cell>
          <cell r="L651" t="e">
            <v>#N/A</v>
          </cell>
        </row>
        <row r="652">
          <cell r="A652" t="str">
            <v>Y5DCLCAM</v>
          </cell>
          <cell r="B652" t="str">
            <v>Y5 Castell door mounted cam for shaft</v>
          </cell>
          <cell r="C652">
            <v>16.357659239999997</v>
          </cell>
          <cell r="D652">
            <v>623.31834204212839</v>
          </cell>
          <cell r="E652">
            <v>17.175542201999995</v>
          </cell>
          <cell r="F652" t="e">
            <v>#N/A</v>
          </cell>
          <cell r="G652">
            <v>7.7289939908999985</v>
          </cell>
          <cell r="H652" t="e">
            <v>#N/A</v>
          </cell>
          <cell r="I652" t="e">
            <v>#N/A</v>
          </cell>
          <cell r="J652">
            <v>6.8702168807999984</v>
          </cell>
          <cell r="K652" t="e">
            <v>#N/A</v>
          </cell>
          <cell r="L652" t="e">
            <v>#N/A</v>
          </cell>
        </row>
        <row r="653">
          <cell r="A653" t="str">
            <v>Y5TB3P</v>
          </cell>
          <cell r="B653" t="str">
            <v>Y5 interphase barrier 3-pole frame (set of 2)</v>
          </cell>
          <cell r="C653">
            <v>5.4745984428571424</v>
          </cell>
          <cell r="D653">
            <v>908.19087238749978</v>
          </cell>
          <cell r="E653">
            <v>5.7483283649999999</v>
          </cell>
          <cell r="F653" t="e">
            <v>#N/A</v>
          </cell>
          <cell r="G653">
            <v>2.5867477642500001</v>
          </cell>
          <cell r="H653" t="e">
            <v>#N/A</v>
          </cell>
          <cell r="I653" t="e">
            <v>#N/A</v>
          </cell>
          <cell r="J653">
            <v>2.2993313460000002</v>
          </cell>
          <cell r="K653" t="e">
            <v>#N/A</v>
          </cell>
          <cell r="L653" t="e">
            <v>#N/A</v>
          </cell>
        </row>
        <row r="654">
          <cell r="A654" t="str">
            <v>Y5TB4P</v>
          </cell>
          <cell r="B654" t="str">
            <v>Y5 interphase barrier 4-pole frame (set of 3)</v>
          </cell>
          <cell r="C654">
            <v>7.5321656428571435</v>
          </cell>
          <cell r="D654">
            <v>571.27097234999997</v>
          </cell>
          <cell r="E654">
            <v>7.9087739250000002</v>
          </cell>
          <cell r="F654" t="e">
            <v>#N/A</v>
          </cell>
          <cell r="G654">
            <v>3.5589482662500003</v>
          </cell>
          <cell r="H654" t="e">
            <v>#N/A</v>
          </cell>
          <cell r="I654" t="e">
            <v>#N/A</v>
          </cell>
          <cell r="J654">
            <v>3.1635095700000004</v>
          </cell>
          <cell r="K654" t="e">
            <v>#N/A</v>
          </cell>
          <cell r="L654" t="e">
            <v>#N/A</v>
          </cell>
        </row>
        <row r="655">
          <cell r="A655" t="str">
            <v>Y6AUX1</v>
          </cell>
          <cell r="B655" t="str">
            <v>Y6 auxiliary</v>
          </cell>
          <cell r="C655">
            <v>25.791365599999999</v>
          </cell>
          <cell r="D655">
            <v>794.59049908974032</v>
          </cell>
          <cell r="E655">
            <v>27.08093388</v>
          </cell>
          <cell r="F655" t="e">
            <v>#N/A</v>
          </cell>
          <cell r="G655">
            <v>12.186420246000001</v>
          </cell>
          <cell r="H655" t="e">
            <v>#N/A</v>
          </cell>
          <cell r="I655" t="e">
            <v>#N/A</v>
          </cell>
          <cell r="J655">
            <v>10.832373552</v>
          </cell>
          <cell r="K655" t="e">
            <v>#N/A</v>
          </cell>
          <cell r="L655" t="e">
            <v>#N/A</v>
          </cell>
        </row>
        <row r="656">
          <cell r="A656" t="str">
            <v>Y6AUX2</v>
          </cell>
          <cell r="B656" t="str">
            <v>Y6 auxiliary</v>
          </cell>
          <cell r="C656">
            <v>55.410763199999998</v>
          </cell>
          <cell r="D656">
            <v>1159.6898832024999</v>
          </cell>
          <cell r="E656">
            <v>58.181301359999999</v>
          </cell>
          <cell r="F656" t="e">
            <v>#N/A</v>
          </cell>
          <cell r="G656">
            <v>26.181585611999999</v>
          </cell>
          <cell r="H656" t="e">
            <v>#N/A</v>
          </cell>
          <cell r="I656" t="e">
            <v>#N/A</v>
          </cell>
          <cell r="J656">
            <v>23.272520544000002</v>
          </cell>
          <cell r="K656" t="e">
            <v>#N/A</v>
          </cell>
          <cell r="L656" t="e">
            <v>#N/A</v>
          </cell>
        </row>
        <row r="657">
          <cell r="A657" t="str">
            <v>Y6AUXAL</v>
          </cell>
          <cell r="B657" t="str">
            <v>Y6 alarm switch c/w 1 auxiliary frame</v>
          </cell>
          <cell r="C657">
            <v>73.484542857142856</v>
          </cell>
          <cell r="D657">
            <v>84.234719105952365</v>
          </cell>
          <cell r="E657">
            <v>77.158770000000004</v>
          </cell>
          <cell r="F657">
            <v>18.966000000000001</v>
          </cell>
          <cell r="G657">
            <v>34.721446500000006</v>
          </cell>
          <cell r="H657">
            <v>15.755446500000005</v>
          </cell>
          <cell r="I657">
            <v>0.45376699671772036</v>
          </cell>
          <cell r="J657">
            <v>30.863508000000003</v>
          </cell>
          <cell r="K657">
            <v>11.897508000000002</v>
          </cell>
          <cell r="L657">
            <v>0.38548787130743534</v>
          </cell>
        </row>
        <row r="658">
          <cell r="A658" t="str">
            <v>Y6B3P400D</v>
          </cell>
          <cell r="B658" t="str">
            <v>Y6 400A 3-pole switch disconnector</v>
          </cell>
          <cell r="C658">
            <v>437.23303000000004</v>
          </cell>
          <cell r="D658">
            <v>140.38701397345235</v>
          </cell>
          <cell r="E658">
            <v>459.09468150000004</v>
          </cell>
          <cell r="F658">
            <v>143.31399999999999</v>
          </cell>
          <cell r="G658">
            <v>206.59260667500001</v>
          </cell>
          <cell r="H658">
            <v>63.27860667500002</v>
          </cell>
          <cell r="I658">
            <v>0.30629656933728711</v>
          </cell>
          <cell r="J658">
            <v>183.63787260000004</v>
          </cell>
          <cell r="K658">
            <v>40.323872600000044</v>
          </cell>
          <cell r="L658">
            <v>0.21958364050444809</v>
          </cell>
        </row>
        <row r="659">
          <cell r="A659" t="str">
            <v>Y6B3P630D</v>
          </cell>
          <cell r="B659" t="str">
            <v>Y6 630A 3-pole switch disconnector</v>
          </cell>
          <cell r="C659">
            <v>608.11545565085703</v>
          </cell>
          <cell r="D659">
            <v>428.17850957761897</v>
          </cell>
          <cell r="E659">
            <v>638.52122843339987</v>
          </cell>
          <cell r="F659">
            <v>136.36500000000001</v>
          </cell>
          <cell r="G659">
            <v>287.33455279502994</v>
          </cell>
          <cell r="H659">
            <v>150.96955279502993</v>
          </cell>
          <cell r="I659">
            <v>0.52541384712170014</v>
          </cell>
          <cell r="J659">
            <v>255.40849137335996</v>
          </cell>
          <cell r="K659">
            <v>119.04349137335996</v>
          </cell>
          <cell r="L659">
            <v>0.46609057801191267</v>
          </cell>
        </row>
        <row r="660">
          <cell r="A660" t="str">
            <v>Y6B3P800D</v>
          </cell>
          <cell r="B660" t="str">
            <v>Y6 800A 3-pole switch disconnector</v>
          </cell>
          <cell r="C660">
            <v>886.03987549999988</v>
          </cell>
          <cell r="D660">
            <v>38.479745911904757</v>
          </cell>
          <cell r="E660">
            <v>930.34186927499991</v>
          </cell>
          <cell r="F660">
            <v>157.07</v>
          </cell>
          <cell r="G660">
            <v>418.65384117374998</v>
          </cell>
          <cell r="H660">
            <v>261.58384117374999</v>
          </cell>
          <cell r="I660">
            <v>0.62482130927155954</v>
          </cell>
          <cell r="J660">
            <v>372.13674771000001</v>
          </cell>
          <cell r="K660">
            <v>215.06674771000002</v>
          </cell>
          <cell r="L660">
            <v>0.57792397293050446</v>
          </cell>
        </row>
        <row r="661">
          <cell r="A661" t="str">
            <v>Y6B4P400D</v>
          </cell>
          <cell r="B661" t="str">
            <v>Y6 400A 4-pole switch disconnector</v>
          </cell>
          <cell r="C661">
            <v>557.33753400000001</v>
          </cell>
          <cell r="D661">
            <v>903.93713434858194</v>
          </cell>
          <cell r="E661">
            <v>585.20441070000004</v>
          </cell>
          <cell r="F661">
            <v>195.06299999999999</v>
          </cell>
          <cell r="G661">
            <v>263.34198481500005</v>
          </cell>
          <cell r="H661">
            <v>68.278984815000058</v>
          </cell>
          <cell r="I661">
            <v>0.25927876583358561</v>
          </cell>
          <cell r="J661">
            <v>234.08176428000002</v>
          </cell>
          <cell r="K661">
            <v>39.018764280000028</v>
          </cell>
          <cell r="L661">
            <v>0.16668861156278372</v>
          </cell>
        </row>
        <row r="662">
          <cell r="A662" t="str">
            <v>Y6B4P630D</v>
          </cell>
          <cell r="B662" t="str">
            <v>Y6 630A 4-pole switch disconnector</v>
          </cell>
          <cell r="C662">
            <v>775.21024301438092</v>
          </cell>
          <cell r="D662">
            <v>1193.2896187743449</v>
          </cell>
          <cell r="E662">
            <v>813.97075516509994</v>
          </cell>
          <cell r="F662">
            <v>171.62100000000001</v>
          </cell>
          <cell r="G662">
            <v>366.28683982429499</v>
          </cell>
          <cell r="H662">
            <v>194.66583982429498</v>
          </cell>
          <cell r="I662">
            <v>0.53145736799518839</v>
          </cell>
          <cell r="J662">
            <v>325.58830206604</v>
          </cell>
          <cell r="K662">
            <v>153.96730206603999</v>
          </cell>
          <cell r="L662">
            <v>0.47288953899458697</v>
          </cell>
        </row>
        <row r="663">
          <cell r="A663" t="str">
            <v>Y6B4P800D</v>
          </cell>
          <cell r="B663" t="str">
            <v>Y6 800A 4-pole switch disconnector</v>
          </cell>
          <cell r="C663">
            <v>1131.4047641</v>
          </cell>
          <cell r="D663">
            <v>908.30398040823695</v>
          </cell>
          <cell r="E663">
            <v>1187.9750023049999</v>
          </cell>
          <cell r="F663">
            <v>213.68799999999999</v>
          </cell>
          <cell r="G663">
            <v>534.58875103724995</v>
          </cell>
          <cell r="H663">
            <v>320.90075103724996</v>
          </cell>
          <cell r="I663">
            <v>0.60027591380217749</v>
          </cell>
          <cell r="J663">
            <v>475.19000092199997</v>
          </cell>
          <cell r="K663">
            <v>261.50200092199998</v>
          </cell>
          <cell r="L663">
            <v>0.55031040302744971</v>
          </cell>
        </row>
        <row r="664">
          <cell r="A664" t="str">
            <v>Y6CC3P</v>
          </cell>
          <cell r="B664" t="str">
            <v>Y6 clamp cable 3-pole frame</v>
          </cell>
          <cell r="C664">
            <v>82.180213761904753</v>
          </cell>
          <cell r="D664">
            <v>1257.4950540749999</v>
          </cell>
          <cell r="E664">
            <v>86.289224449999992</v>
          </cell>
          <cell r="F664" t="e">
            <v>#N/A</v>
          </cell>
          <cell r="G664">
            <v>38.830151002499996</v>
          </cell>
          <cell r="H664" t="e">
            <v>#N/A</v>
          </cell>
          <cell r="I664" t="e">
            <v>#N/A</v>
          </cell>
          <cell r="J664">
            <v>34.515689779999995</v>
          </cell>
          <cell r="K664" t="e">
            <v>#N/A</v>
          </cell>
          <cell r="L664" t="e">
            <v>#N/A</v>
          </cell>
        </row>
        <row r="665">
          <cell r="A665" t="str">
            <v>Y6CC4P</v>
          </cell>
          <cell r="B665" t="str">
            <v>Y6 clamp cable 4-pole frame</v>
          </cell>
          <cell r="C665">
            <v>136.96294046190474</v>
          </cell>
          <cell r="D665">
            <v>1073.0624461439998</v>
          </cell>
          <cell r="E665">
            <v>143.81108748499997</v>
          </cell>
          <cell r="F665" t="e">
            <v>#N/A</v>
          </cell>
          <cell r="G665">
            <v>64.714989368249988</v>
          </cell>
          <cell r="H665" t="e">
            <v>#N/A</v>
          </cell>
          <cell r="I665" t="e">
            <v>#N/A</v>
          </cell>
          <cell r="J665">
            <v>57.524434993999989</v>
          </cell>
          <cell r="K665" t="e">
            <v>#N/A</v>
          </cell>
          <cell r="L665" t="e">
            <v>#N/A</v>
          </cell>
        </row>
        <row r="666">
          <cell r="A666" t="str">
            <v>Y6CLDS1</v>
          </cell>
          <cell r="B666" t="str">
            <v>Y6 lock Castell (DS1) direct mounting</v>
          </cell>
          <cell r="C666">
            <v>417.73513129523803</v>
          </cell>
          <cell r="D666">
            <v>1182.058657656469</v>
          </cell>
          <cell r="E666">
            <v>438.62188785999996</v>
          </cell>
          <cell r="F666">
            <v>155.67599999999999</v>
          </cell>
          <cell r="G666">
            <v>197.37984953699998</v>
          </cell>
          <cell r="H666">
            <v>41.703849536999996</v>
          </cell>
          <cell r="I666">
            <v>0.2112872698749442</v>
          </cell>
          <cell r="J666">
            <v>175.44875514399999</v>
          </cell>
          <cell r="K666">
            <v>19.772755144000001</v>
          </cell>
          <cell r="L666">
            <v>0.11269817860931225</v>
          </cell>
        </row>
        <row r="667">
          <cell r="A667" t="str">
            <v>Y6DL</v>
          </cell>
          <cell r="B667" t="str">
            <v>Y6 locking dolly device frame</v>
          </cell>
          <cell r="C667">
            <v>37.54121552380952</v>
          </cell>
          <cell r="D667">
            <v>1474.0636467212501</v>
          </cell>
          <cell r="E667">
            <v>39.418276299999995</v>
          </cell>
          <cell r="F667">
            <v>12.888999999999999</v>
          </cell>
          <cell r="G667">
            <v>17.738224334999998</v>
          </cell>
          <cell r="H667">
            <v>4.8492243349999988</v>
          </cell>
          <cell r="I667">
            <v>0.27337710040298685</v>
          </cell>
          <cell r="J667">
            <v>15.767310519999999</v>
          </cell>
          <cell r="K667">
            <v>2.8783105199999994</v>
          </cell>
          <cell r="L667">
            <v>0.1825492379533602</v>
          </cell>
        </row>
        <row r="668">
          <cell r="A668" t="str">
            <v>Y6H3P400T5</v>
          </cell>
          <cell r="B668" t="str">
            <v>Y6 50kA 3-pole 400A MCCB</v>
          </cell>
          <cell r="C668">
            <v>881.8898871693483</v>
          </cell>
          <cell r="D668">
            <v>1182.058657656469</v>
          </cell>
          <cell r="E668">
            <v>925.98438152781569</v>
          </cell>
          <cell r="F668">
            <v>148.54</v>
          </cell>
          <cell r="G668">
            <v>416.69297168751706</v>
          </cell>
          <cell r="H668">
            <v>268.15297168751704</v>
          </cell>
          <cell r="I668">
            <v>0.64352650490253072</v>
          </cell>
          <cell r="J668">
            <v>370.39375261112627</v>
          </cell>
          <cell r="K668">
            <v>221.85375261112628</v>
          </cell>
          <cell r="L668">
            <v>0.59896731801534708</v>
          </cell>
        </row>
        <row r="669">
          <cell r="A669" t="str">
            <v>Y6H3P630E</v>
          </cell>
          <cell r="B669" t="str">
            <v>Y6 50kA 3-pole 630A electronic MCCB</v>
          </cell>
          <cell r="C669">
            <v>1164.1849939261904</v>
          </cell>
          <cell r="D669">
            <v>1564.88273396</v>
          </cell>
          <cell r="E669">
            <v>1222.3942436225</v>
          </cell>
          <cell r="F669">
            <v>287.65899999999999</v>
          </cell>
          <cell r="G669">
            <v>550.07740963012498</v>
          </cell>
          <cell r="H669">
            <v>262.41840963012498</v>
          </cell>
          <cell r="I669">
            <v>0.47705723782872039</v>
          </cell>
          <cell r="J669">
            <v>488.95769744900002</v>
          </cell>
          <cell r="K669">
            <v>201.29869744900003</v>
          </cell>
          <cell r="L669">
            <v>0.41168939255731052</v>
          </cell>
        </row>
        <row r="670">
          <cell r="A670" t="str">
            <v>Y6H3P630T5</v>
          </cell>
          <cell r="B670" t="str">
            <v>Y6 50kA 3-pole 630A MCCB</v>
          </cell>
          <cell r="C670">
            <v>886.15022478852393</v>
          </cell>
          <cell r="D670">
            <v>1395.8195100232497</v>
          </cell>
          <cell r="E670">
            <v>930.45773602795009</v>
          </cell>
          <cell r="F670">
            <v>148.54</v>
          </cell>
          <cell r="G670">
            <v>418.70598121257757</v>
          </cell>
          <cell r="H670">
            <v>270.16598121257755</v>
          </cell>
          <cell r="I670">
            <v>0.64524031978280705</v>
          </cell>
          <cell r="J670">
            <v>372.18309441118004</v>
          </cell>
          <cell r="K670">
            <v>223.64309441118004</v>
          </cell>
          <cell r="L670">
            <v>0.600895359755658</v>
          </cell>
        </row>
        <row r="671">
          <cell r="A671" t="str">
            <v>Y6H3P800E</v>
          </cell>
          <cell r="B671" t="str">
            <v>Y6 50kA 3-pole 800A electronic MCCB</v>
          </cell>
          <cell r="C671">
            <v>1226.824443</v>
          </cell>
          <cell r="D671">
            <v>1288.2338220634997</v>
          </cell>
          <cell r="E671">
            <v>1288.16566515</v>
          </cell>
          <cell r="F671">
            <v>353.596</v>
          </cell>
          <cell r="G671">
            <v>579.67454931750001</v>
          </cell>
          <cell r="H671">
            <v>226.07854931750001</v>
          </cell>
          <cell r="I671">
            <v>0.39000944509929142</v>
          </cell>
          <cell r="J671">
            <v>515.26626606000002</v>
          </cell>
          <cell r="K671">
            <v>161.67026606000002</v>
          </cell>
          <cell r="L671">
            <v>0.31376062573670283</v>
          </cell>
        </row>
        <row r="672">
          <cell r="A672" t="str">
            <v>Y6H3P800T5</v>
          </cell>
          <cell r="B672" t="str">
            <v>Y6 50kA 3-pole 800A MCCB</v>
          </cell>
          <cell r="C672">
            <v>1046.8901913599998</v>
          </cell>
          <cell r="D672">
            <v>1359.4918751277501</v>
          </cell>
          <cell r="E672">
            <v>1099.2347009279997</v>
          </cell>
          <cell r="F672">
            <v>176.54900000000001</v>
          </cell>
          <cell r="G672">
            <v>494.6556154175999</v>
          </cell>
          <cell r="H672">
            <v>318.10661541759987</v>
          </cell>
          <cell r="I672">
            <v>0.64308703975602655</v>
          </cell>
          <cell r="J672">
            <v>439.6938803711999</v>
          </cell>
          <cell r="K672">
            <v>263.14488037119986</v>
          </cell>
          <cell r="L672">
            <v>0.59847291972552985</v>
          </cell>
        </row>
        <row r="673">
          <cell r="A673" t="str">
            <v>Y6H4P400T5</v>
          </cell>
          <cell r="B673" t="str">
            <v>Y6 50kA 4-pole 400A MCCB</v>
          </cell>
          <cell r="C673">
            <v>1153.2279586892382</v>
          </cell>
          <cell r="D673">
            <v>1675.2628553732495</v>
          </cell>
          <cell r="E673">
            <v>1210.8893566237002</v>
          </cell>
          <cell r="F673">
            <v>205.773</v>
          </cell>
          <cell r="G673">
            <v>544.90021048066512</v>
          </cell>
          <cell r="H673">
            <v>339.1272104806651</v>
          </cell>
          <cell r="I673">
            <v>0.62236571753480441</v>
          </cell>
          <cell r="J673">
            <v>484.35574264948013</v>
          </cell>
          <cell r="K673">
            <v>278.58274264948011</v>
          </cell>
          <cell r="L673">
            <v>0.57516143222665495</v>
          </cell>
        </row>
        <row r="674">
          <cell r="A674" t="str">
            <v>Y6H4P630E</v>
          </cell>
          <cell r="B674" t="str">
            <v>Y6 50kA 4-pole 630A electronic MCCB</v>
          </cell>
          <cell r="C674">
            <v>1438.1108748500001</v>
          </cell>
          <cell r="D674">
            <v>1767.4791593387497</v>
          </cell>
          <cell r="E674">
            <v>1510.0164185925</v>
          </cell>
          <cell r="F674">
            <v>372.06799999999998</v>
          </cell>
          <cell r="G674">
            <v>679.50738836662504</v>
          </cell>
          <cell r="H674">
            <v>307.43938836662505</v>
          </cell>
          <cell r="I674">
            <v>0.45244451146533754</v>
          </cell>
          <cell r="J674">
            <v>604.00656743700006</v>
          </cell>
          <cell r="K674">
            <v>231.93856743700007</v>
          </cell>
          <cell r="L674">
            <v>0.38400007539850478</v>
          </cell>
        </row>
        <row r="675">
          <cell r="A675" t="str">
            <v>Y6H4P630T5</v>
          </cell>
          <cell r="B675" t="str">
            <v>Y6 50kA 4-pole 630A MCCB</v>
          </cell>
          <cell r="C675">
            <v>1153.2279586892382</v>
          </cell>
          <cell r="D675">
            <v>950.10737418999997</v>
          </cell>
          <cell r="E675">
            <v>1210.8893566237002</v>
          </cell>
          <cell r="F675">
            <v>205.773</v>
          </cell>
          <cell r="G675">
            <v>544.90021048066512</v>
          </cell>
          <cell r="H675">
            <v>339.1272104806651</v>
          </cell>
          <cell r="I675">
            <v>0.62236571753480441</v>
          </cell>
          <cell r="J675">
            <v>484.35574264948013</v>
          </cell>
          <cell r="K675">
            <v>278.58274264948011</v>
          </cell>
          <cell r="L675">
            <v>0.57516143222665495</v>
          </cell>
        </row>
        <row r="676">
          <cell r="A676" t="str">
            <v>Y6H4P800E</v>
          </cell>
          <cell r="B676" t="str">
            <v>Y6 50kA 4-pole 800A electronic MCCB</v>
          </cell>
          <cell r="C676">
            <v>1526.7148624000001</v>
          </cell>
          <cell r="D676">
            <v>950.10737418999997</v>
          </cell>
          <cell r="E676">
            <v>1603.0506055200001</v>
          </cell>
          <cell r="F676">
            <v>434.84699999999998</v>
          </cell>
          <cell r="G676">
            <v>721.37277248400005</v>
          </cell>
          <cell r="H676">
            <v>286.52577248400007</v>
          </cell>
          <cell r="I676">
            <v>0.39719515819451751</v>
          </cell>
          <cell r="J676">
            <v>641.22024220800006</v>
          </cell>
          <cell r="K676">
            <v>206.37324220800008</v>
          </cell>
          <cell r="L676">
            <v>0.32184455296883219</v>
          </cell>
        </row>
        <row r="677">
          <cell r="A677" t="str">
            <v>Y6H4P800T5</v>
          </cell>
          <cell r="B677" t="str">
            <v>Y6 50kA 4-pole 800A MCCB</v>
          </cell>
          <cell r="C677">
            <v>1361.7751317299999</v>
          </cell>
          <cell r="D677">
            <v>1126.1566817604999</v>
          </cell>
          <cell r="E677">
            <v>1429.8638883164999</v>
          </cell>
          <cell r="F677">
            <v>225.25200000000001</v>
          </cell>
          <cell r="G677">
            <v>643.43874974242499</v>
          </cell>
          <cell r="H677">
            <v>418.18674974242498</v>
          </cell>
          <cell r="I677">
            <v>0.64992472074432783</v>
          </cell>
          <cell r="J677">
            <v>571.94555532660002</v>
          </cell>
          <cell r="K677">
            <v>346.69355532660001</v>
          </cell>
          <cell r="L677">
            <v>0.6061653108373688</v>
          </cell>
        </row>
        <row r="678">
          <cell r="A678" t="str">
            <v>Y6J3P630E</v>
          </cell>
          <cell r="B678" t="str">
            <v>Y6 65kA 3-pole 630A electronic MCCB</v>
          </cell>
          <cell r="C678">
            <v>1256.8134849399999</v>
          </cell>
          <cell r="D678">
            <v>1235.1395864470001</v>
          </cell>
          <cell r="E678">
            <v>1319.6541591869998</v>
          </cell>
          <cell r="F678">
            <v>327.09399999999999</v>
          </cell>
          <cell r="G678">
            <v>593.84437163414987</v>
          </cell>
          <cell r="H678">
            <v>266.75037163414987</v>
          </cell>
          <cell r="I678">
            <v>0.44919238840321446</v>
          </cell>
          <cell r="J678">
            <v>527.86166367479996</v>
          </cell>
          <cell r="K678">
            <v>200.76766367479996</v>
          </cell>
          <cell r="L678">
            <v>0.38034143695361633</v>
          </cell>
        </row>
        <row r="679">
          <cell r="A679" t="str">
            <v>Y6J3P800E</v>
          </cell>
          <cell r="B679" t="str">
            <v>Y6 65kA 3-pole 800A electronic MCCB</v>
          </cell>
          <cell r="C679">
            <v>1326.3335367100001</v>
          </cell>
          <cell r="D679">
            <v>1235.1395864470001</v>
          </cell>
          <cell r="E679">
            <v>1392.6502135455</v>
          </cell>
          <cell r="F679">
            <v>397.79599999999999</v>
          </cell>
          <cell r="G679">
            <v>626.69259609547498</v>
          </cell>
          <cell r="H679">
            <v>228.89659609547499</v>
          </cell>
          <cell r="I679">
            <v>0.36524541301682012</v>
          </cell>
          <cell r="J679">
            <v>557.06008541820006</v>
          </cell>
          <cell r="K679">
            <v>159.26408541820007</v>
          </cell>
          <cell r="L679">
            <v>0.28590108964392275</v>
          </cell>
        </row>
        <row r="680">
          <cell r="A680" t="str">
            <v>Y6J4P630E</v>
          </cell>
          <cell r="B680" t="str">
            <v>Y6 65kA 4-pole 630A electronic MCCB</v>
          </cell>
          <cell r="C680">
            <v>1634.4027857299998</v>
          </cell>
          <cell r="D680">
            <v>1465.6803463607498</v>
          </cell>
          <cell r="E680">
            <v>1716.1229250164997</v>
          </cell>
          <cell r="F680">
            <v>415.10300000000001</v>
          </cell>
          <cell r="G680">
            <v>772.25531625742485</v>
          </cell>
          <cell r="H680">
            <v>357.15231625742484</v>
          </cell>
          <cell r="I680">
            <v>0.46247958251461374</v>
          </cell>
          <cell r="J680">
            <v>686.44917000659996</v>
          </cell>
          <cell r="K680">
            <v>271.34617000659995</v>
          </cell>
          <cell r="L680">
            <v>0.39528953032894054</v>
          </cell>
        </row>
        <row r="681">
          <cell r="A681" t="str">
            <v>Y6J4P800E</v>
          </cell>
          <cell r="B681" t="str">
            <v>Y6 65kA 4-pole 800A electronic MCCB</v>
          </cell>
          <cell r="C681">
            <v>1724.3699115499999</v>
          </cell>
          <cell r="D681">
            <v>761.48311607874996</v>
          </cell>
          <cell r="E681">
            <v>1810.5884071275</v>
          </cell>
          <cell r="F681">
            <v>489.20600000000002</v>
          </cell>
          <cell r="G681">
            <v>814.76478320737499</v>
          </cell>
          <cell r="H681">
            <v>325.55878320737497</v>
          </cell>
          <cell r="I681">
            <v>0.3995739505649612</v>
          </cell>
          <cell r="J681">
            <v>724.23536285099999</v>
          </cell>
          <cell r="K681">
            <v>235.02936285099997</v>
          </cell>
          <cell r="L681">
            <v>0.32452069438558134</v>
          </cell>
        </row>
        <row r="682">
          <cell r="A682" t="str">
            <v>Y6K3P400T5</v>
          </cell>
          <cell r="B682" t="str">
            <v>Y6 85kA 3-pole 400A MCCB</v>
          </cell>
          <cell r="C682">
            <v>926.93402360000005</v>
          </cell>
          <cell r="D682">
            <v>761.48311607874996</v>
          </cell>
          <cell r="E682">
            <v>973.28072478000001</v>
          </cell>
          <cell r="F682">
            <v>184.06299999999999</v>
          </cell>
          <cell r="G682">
            <v>437.97632615100002</v>
          </cell>
          <cell r="H682">
            <v>253.91332615100004</v>
          </cell>
          <cell r="I682">
            <v>0.5797421252934547</v>
          </cell>
          <cell r="J682">
            <v>389.31228991200004</v>
          </cell>
          <cell r="K682">
            <v>205.24928991200005</v>
          </cell>
          <cell r="L682">
            <v>0.5272098909551366</v>
          </cell>
        </row>
        <row r="683">
          <cell r="A683" t="str">
            <v>Y6K3P630T5</v>
          </cell>
          <cell r="B683" t="str">
            <v>Y6 85kA 3-pole 630A MCCB</v>
          </cell>
          <cell r="C683">
            <v>926.93402360000005</v>
          </cell>
          <cell r="D683">
            <v>98.269654420476172</v>
          </cell>
          <cell r="E683">
            <v>973.28072478000001</v>
          </cell>
          <cell r="F683">
            <v>184.06299999999999</v>
          </cell>
          <cell r="G683">
            <v>437.97632615100002</v>
          </cell>
          <cell r="H683">
            <v>253.91332615100004</v>
          </cell>
          <cell r="I683">
            <v>0.5797421252934547</v>
          </cell>
          <cell r="J683">
            <v>389.31228991200004</v>
          </cell>
          <cell r="K683">
            <v>205.24928991200005</v>
          </cell>
          <cell r="L683">
            <v>0.5272098909551366</v>
          </cell>
        </row>
        <row r="684">
          <cell r="A684" t="str">
            <v>Y6K3P800T5</v>
          </cell>
          <cell r="B684" t="str">
            <v>Y6 85kA 3-pole 800A MCCB</v>
          </cell>
          <cell r="C684">
            <v>1098.68944562</v>
          </cell>
          <cell r="D684">
            <v>98.269654420476172</v>
          </cell>
          <cell r="E684">
            <v>1153.6239179009999</v>
          </cell>
          <cell r="F684">
            <v>184.95599999999999</v>
          </cell>
          <cell r="G684">
            <v>519.13076305544996</v>
          </cell>
          <cell r="H684">
            <v>334.17476305544994</v>
          </cell>
          <cell r="I684">
            <v>0.64371982328420729</v>
          </cell>
          <cell r="J684">
            <v>461.44956716039997</v>
          </cell>
          <cell r="K684">
            <v>276.49356716039995</v>
          </cell>
          <cell r="L684">
            <v>0.59918480119473327</v>
          </cell>
        </row>
        <row r="685">
          <cell r="A685" t="str">
            <v>Y6K4P400T5</v>
          </cell>
          <cell r="B685" t="str">
            <v>Y6 85kA 4-pole 400A MCCB</v>
          </cell>
          <cell r="C685">
            <v>1205.0142306800001</v>
          </cell>
          <cell r="D685">
            <v>98.269654420476172</v>
          </cell>
          <cell r="E685">
            <v>1265.264942214</v>
          </cell>
          <cell r="F685">
            <v>247.738</v>
          </cell>
          <cell r="G685">
            <v>569.36922399629998</v>
          </cell>
          <cell r="H685">
            <v>321.63122399629998</v>
          </cell>
          <cell r="I685">
            <v>0.56489042688122193</v>
          </cell>
          <cell r="J685">
            <v>506.10597688560006</v>
          </cell>
          <cell r="K685">
            <v>258.36797688560006</v>
          </cell>
          <cell r="L685">
            <v>0.5105017302413748</v>
          </cell>
        </row>
        <row r="686">
          <cell r="A686" t="str">
            <v>Y6K4P630T5</v>
          </cell>
          <cell r="B686" t="str">
            <v>Y6 85kA 4-pole 630A MCCB</v>
          </cell>
          <cell r="C686">
            <v>1205.0142306800001</v>
          </cell>
          <cell r="D686">
            <v>48.959076678571421</v>
          </cell>
          <cell r="E686">
            <v>1265.264942214</v>
          </cell>
          <cell r="F686">
            <v>247.738</v>
          </cell>
          <cell r="G686">
            <v>569.36922399629998</v>
          </cell>
          <cell r="H686">
            <v>321.63122399629998</v>
          </cell>
          <cell r="I686">
            <v>0.56489042688122193</v>
          </cell>
          <cell r="J686">
            <v>506.10597688560006</v>
          </cell>
          <cell r="K686">
            <v>258.36797688560006</v>
          </cell>
          <cell r="L686">
            <v>0.5105017302413748</v>
          </cell>
        </row>
        <row r="687">
          <cell r="A687" t="str">
            <v>Y6K4P800T5</v>
          </cell>
          <cell r="B687" t="str">
            <v>Y6 85kA 4-pole 800A MCCB</v>
          </cell>
          <cell r="C687">
            <v>1429.9320452299999</v>
          </cell>
          <cell r="D687">
            <v>60.257325142857127</v>
          </cell>
          <cell r="E687">
            <v>1501.4286474914998</v>
          </cell>
          <cell r="F687">
            <v>255.66</v>
          </cell>
          <cell r="G687">
            <v>675.64289137117487</v>
          </cell>
          <cell r="H687">
            <v>419.9828913711749</v>
          </cell>
          <cell r="I687">
            <v>0.6216048399752212</v>
          </cell>
          <cell r="J687">
            <v>600.57145899659997</v>
          </cell>
          <cell r="K687">
            <v>344.9114589966</v>
          </cell>
          <cell r="L687">
            <v>0.57430544497212388</v>
          </cell>
        </row>
        <row r="688">
          <cell r="A688" t="str">
            <v>Y6MA110</v>
          </cell>
          <cell r="B688" t="str">
            <v>Y6 motor operator 110V</v>
          </cell>
          <cell r="C688">
            <v>742.91035714999998</v>
          </cell>
          <cell r="D688">
            <v>105.28712207773808</v>
          </cell>
          <cell r="E688">
            <v>780.05587500749994</v>
          </cell>
          <cell r="F688">
            <v>188.55799999999999</v>
          </cell>
          <cell r="G688">
            <v>351.025143753375</v>
          </cell>
          <cell r="H688">
            <v>162.46714375337501</v>
          </cell>
          <cell r="I688">
            <v>0.46283620032507411</v>
          </cell>
          <cell r="J688">
            <v>312.02235000299999</v>
          </cell>
          <cell r="K688">
            <v>123.46435000299999</v>
          </cell>
          <cell r="L688">
            <v>0.39569072536570832</v>
          </cell>
        </row>
        <row r="689">
          <cell r="A689" t="str">
            <v>Y6MA240</v>
          </cell>
          <cell r="B689" t="str">
            <v>Y6 motor operator 240V</v>
          </cell>
          <cell r="C689">
            <v>742.91035714999998</v>
          </cell>
          <cell r="D689">
            <v>105.28712207773808</v>
          </cell>
          <cell r="E689">
            <v>780.05587500749994</v>
          </cell>
          <cell r="F689">
            <v>188.55799999999999</v>
          </cell>
          <cell r="G689">
            <v>351.025143753375</v>
          </cell>
          <cell r="H689">
            <v>162.46714375337501</v>
          </cell>
          <cell r="I689">
            <v>0.46283620032507411</v>
          </cell>
          <cell r="J689">
            <v>312.02235000299999</v>
          </cell>
          <cell r="K689">
            <v>123.46435000299999</v>
          </cell>
          <cell r="L689">
            <v>0.39569072536570832</v>
          </cell>
        </row>
        <row r="690">
          <cell r="A690" t="str">
            <v>Y6ST115AC</v>
          </cell>
          <cell r="B690" t="str">
            <v>Y6 shunt trip 100-115V ac</v>
          </cell>
          <cell r="C690">
            <v>95.872833580952374</v>
          </cell>
          <cell r="D690">
            <v>119.33461100166666</v>
          </cell>
          <cell r="E690">
            <v>100.66647526</v>
          </cell>
          <cell r="F690">
            <v>17.138000000000002</v>
          </cell>
          <cell r="G690">
            <v>45.299913867000001</v>
          </cell>
          <cell r="H690">
            <v>28.161913866999999</v>
          </cell>
          <cell r="I690">
            <v>0.62167698485438705</v>
          </cell>
          <cell r="J690">
            <v>40.266590104000002</v>
          </cell>
          <cell r="K690">
            <v>23.128590104000001</v>
          </cell>
          <cell r="L690">
            <v>0.57438660796118546</v>
          </cell>
        </row>
        <row r="691">
          <cell r="A691" t="str">
            <v>Y6ST24DC</v>
          </cell>
          <cell r="B691" t="str">
            <v>Y6 shunt trip 24V dc</v>
          </cell>
          <cell r="C691">
            <v>95.872833580952374</v>
          </cell>
          <cell r="D691">
            <v>105.28712207773808</v>
          </cell>
          <cell r="E691">
            <v>100.66647526</v>
          </cell>
          <cell r="F691">
            <v>17.138000000000002</v>
          </cell>
          <cell r="G691">
            <v>45.299913867000001</v>
          </cell>
          <cell r="H691">
            <v>28.161913866999999</v>
          </cell>
          <cell r="I691">
            <v>0.62167698485438705</v>
          </cell>
          <cell r="J691">
            <v>40.266590104000002</v>
          </cell>
          <cell r="K691">
            <v>23.128590104000001</v>
          </cell>
          <cell r="L691">
            <v>0.57438660796118546</v>
          </cell>
        </row>
        <row r="692">
          <cell r="A692" t="str">
            <v>Y6ST480AC</v>
          </cell>
          <cell r="B692" t="str">
            <v>Y6 shunt trip 200-480V ac</v>
          </cell>
          <cell r="C692">
            <v>95.872833580952374</v>
          </cell>
          <cell r="D692">
            <v>70.199783791428572</v>
          </cell>
          <cell r="E692">
            <v>100.66647526</v>
          </cell>
          <cell r="F692">
            <v>17.138000000000002</v>
          </cell>
          <cell r="G692">
            <v>45.299913867000001</v>
          </cell>
          <cell r="H692">
            <v>28.161913866999999</v>
          </cell>
          <cell r="I692">
            <v>0.62167698485438705</v>
          </cell>
          <cell r="J692">
            <v>40.266590104000002</v>
          </cell>
          <cell r="K692">
            <v>23.128590104000001</v>
          </cell>
          <cell r="L692">
            <v>0.57438660796118546</v>
          </cell>
        </row>
        <row r="693">
          <cell r="A693" t="str">
            <v>Y6TS3P</v>
          </cell>
          <cell r="B693" t="str">
            <v>Y6 shroud terminal 3-pole frame</v>
          </cell>
          <cell r="C693">
            <v>47.764952857142852</v>
          </cell>
          <cell r="D693">
            <v>77.217251448690462</v>
          </cell>
          <cell r="E693">
            <v>50.153200499999997</v>
          </cell>
          <cell r="F693">
            <v>9.3659999999999997</v>
          </cell>
          <cell r="G693">
            <v>22.568940224999999</v>
          </cell>
          <cell r="H693">
            <v>13.202940224999999</v>
          </cell>
          <cell r="I693">
            <v>0.58500488252323335</v>
          </cell>
          <cell r="J693">
            <v>20.061280199999999</v>
          </cell>
          <cell r="K693">
            <v>10.695280199999999</v>
          </cell>
          <cell r="L693">
            <v>0.53313049283863745</v>
          </cell>
        </row>
        <row r="694">
          <cell r="A694" t="str">
            <v>Y6TS4P</v>
          </cell>
          <cell r="B694" t="str">
            <v>Y6 shroud terminal 4-pole frame</v>
          </cell>
          <cell r="C694">
            <v>58.787634285714276</v>
          </cell>
          <cell r="D694">
            <v>84.234719105952365</v>
          </cell>
          <cell r="E694">
            <v>61.727015999999992</v>
          </cell>
          <cell r="F694">
            <v>13.757</v>
          </cell>
          <cell r="G694">
            <v>27.777157199999998</v>
          </cell>
          <cell r="H694">
            <v>14.020157199999998</v>
          </cell>
          <cell r="I694">
            <v>0.50473693542692699</v>
          </cell>
          <cell r="J694">
            <v>24.6908064</v>
          </cell>
          <cell r="K694">
            <v>10.9338064</v>
          </cell>
          <cell r="L694">
            <v>0.44282905235529285</v>
          </cell>
        </row>
        <row r="695">
          <cell r="A695" t="str">
            <v>Y6UVR120AC</v>
          </cell>
          <cell r="B695" t="str">
            <v>Y6 under voltage release 100-120V ac</v>
          </cell>
          <cell r="C695">
            <v>102.71914349047618</v>
          </cell>
          <cell r="D695">
            <v>70.199783791428572</v>
          </cell>
          <cell r="E695">
            <v>107.85510066499999</v>
          </cell>
          <cell r="F695">
            <v>27.117000000000001</v>
          </cell>
          <cell r="G695">
            <v>48.53479529925</v>
          </cell>
          <cell r="H695">
            <v>21.417795299249999</v>
          </cell>
          <cell r="I695">
            <v>0.44128743445181406</v>
          </cell>
          <cell r="J695">
            <v>43.142040266000002</v>
          </cell>
          <cell r="K695">
            <v>16.025040266000001</v>
          </cell>
          <cell r="L695">
            <v>0.37144836375829088</v>
          </cell>
        </row>
        <row r="696">
          <cell r="A696" t="str">
            <v>Y6UVR240AC</v>
          </cell>
          <cell r="B696" t="str">
            <v>Y6 under voltage release 200-240V ac</v>
          </cell>
          <cell r="C696">
            <v>102.71914349047618</v>
          </cell>
          <cell r="D696">
            <v>77.217251448690462</v>
          </cell>
          <cell r="E696">
            <v>107.85510066499999</v>
          </cell>
          <cell r="F696">
            <v>27.117000000000001</v>
          </cell>
          <cell r="G696">
            <v>48.53479529925</v>
          </cell>
          <cell r="H696">
            <v>21.417795299249999</v>
          </cell>
          <cell r="I696">
            <v>0.44128743445181406</v>
          </cell>
          <cell r="J696">
            <v>43.142040266000002</v>
          </cell>
          <cell r="K696">
            <v>16.025040266000001</v>
          </cell>
          <cell r="L696">
            <v>0.37144836375829088</v>
          </cell>
        </row>
        <row r="697">
          <cell r="A697" t="str">
            <v>Y6UVR24DC</v>
          </cell>
          <cell r="B697" t="str">
            <v>Y6 under voltage release 24V dc</v>
          </cell>
          <cell r="C697">
            <v>116.42401073333333</v>
          </cell>
          <cell r="D697">
            <v>84.234719105952365</v>
          </cell>
          <cell r="E697">
            <v>122.24521127</v>
          </cell>
          <cell r="F697">
            <v>27.117000000000001</v>
          </cell>
          <cell r="G697">
            <v>55.010345071499998</v>
          </cell>
          <cell r="H697">
            <v>27.893345071499997</v>
          </cell>
          <cell r="I697">
            <v>0.50705635522273984</v>
          </cell>
          <cell r="J697">
            <v>48.898084508000004</v>
          </cell>
          <cell r="K697">
            <v>21.781084508000003</v>
          </cell>
          <cell r="L697">
            <v>0.44543839962558235</v>
          </cell>
        </row>
        <row r="698">
          <cell r="A698" t="str">
            <v>Y6UVR450AC</v>
          </cell>
          <cell r="B698" t="str">
            <v>Y6 under voltage release 380-450V ac</v>
          </cell>
          <cell r="C698">
            <v>102.71914349047618</v>
          </cell>
          <cell r="D698">
            <v>1059.4078559999998</v>
          </cell>
          <cell r="E698">
            <v>107.85510066499999</v>
          </cell>
          <cell r="F698">
            <v>27.117000000000001</v>
          </cell>
          <cell r="G698">
            <v>48.53479529925</v>
          </cell>
          <cell r="H698">
            <v>21.417795299249999</v>
          </cell>
          <cell r="I698">
            <v>0.44128743445181406</v>
          </cell>
          <cell r="J698">
            <v>43.142040266000002</v>
          </cell>
          <cell r="K698">
            <v>16.025040266000001</v>
          </cell>
          <cell r="L698">
            <v>0.37144836375829088</v>
          </cell>
        </row>
        <row r="699">
          <cell r="A699" t="str">
            <v>Y7AUX3P1</v>
          </cell>
          <cell r="B699" t="str">
            <v>Y7 switch auxiliary 3-pole 1AB frame</v>
          </cell>
          <cell r="C699">
            <v>68.487593942857146</v>
          </cell>
          <cell r="D699">
            <v>1433.5443616454995</v>
          </cell>
          <cell r="E699">
            <v>71.911973639999999</v>
          </cell>
          <cell r="F699">
            <v>10.241</v>
          </cell>
          <cell r="G699">
            <v>32.360388137999998</v>
          </cell>
          <cell r="H699">
            <v>22.119388137999998</v>
          </cell>
          <cell r="I699">
            <v>0.68353284403365211</v>
          </cell>
          <cell r="J699">
            <v>28.764789456000003</v>
          </cell>
          <cell r="K699">
            <v>18.523789456000003</v>
          </cell>
          <cell r="L699">
            <v>0.64397444953785865</v>
          </cell>
        </row>
        <row r="700">
          <cell r="A700" t="str">
            <v>Y7AUX3P2</v>
          </cell>
          <cell r="B700" t="str">
            <v>Y7 switch auxiliary 3-pole 2AB frame</v>
          </cell>
          <cell r="C700">
            <v>75.333903852380942</v>
          </cell>
          <cell r="D700">
            <v>1499.6016294999997</v>
          </cell>
          <cell r="E700">
            <v>79.100599044999996</v>
          </cell>
          <cell r="F700">
            <v>10.241</v>
          </cell>
          <cell r="G700">
            <v>35.595269570249997</v>
          </cell>
          <cell r="H700">
            <v>25.354269570249997</v>
          </cell>
          <cell r="I700">
            <v>0.7122932309927138</v>
          </cell>
          <cell r="J700">
            <v>31.640239617999999</v>
          </cell>
          <cell r="K700">
            <v>21.399239617999999</v>
          </cell>
          <cell r="L700">
            <v>0.67632988486680301</v>
          </cell>
        </row>
        <row r="701">
          <cell r="A701" t="str">
            <v>Y7AUX3PAL</v>
          </cell>
          <cell r="B701" t="str">
            <v>Y7 alarm switch 3-pole c/w 1 auxiliary frame</v>
          </cell>
          <cell r="C701">
            <v>82.180213761904753</v>
          </cell>
          <cell r="D701">
            <v>1865.2843302112497</v>
          </cell>
          <cell r="E701">
            <v>86.289224449999992</v>
          </cell>
          <cell r="F701">
            <v>22.58</v>
          </cell>
          <cell r="G701">
            <v>38.830151002499996</v>
          </cell>
          <cell r="H701">
            <v>16.250151002499997</v>
          </cell>
          <cell r="I701">
            <v>0.41849311895423136</v>
          </cell>
          <cell r="J701">
            <v>34.515689779999995</v>
          </cell>
          <cell r="K701">
            <v>11.935689779999997</v>
          </cell>
          <cell r="L701">
            <v>0.34580475882351031</v>
          </cell>
        </row>
        <row r="702">
          <cell r="A702" t="str">
            <v>Y7AUX4P1</v>
          </cell>
          <cell r="B702" t="str">
            <v>Y7 switch auxiliary 4-pole 1AB frame</v>
          </cell>
          <cell r="C702">
            <v>68.487593942857146</v>
          </cell>
          <cell r="D702">
            <v>428.17850957761897</v>
          </cell>
          <cell r="E702">
            <v>71.911973639999999</v>
          </cell>
          <cell r="F702" t="e">
            <v>#N/A</v>
          </cell>
          <cell r="G702">
            <v>32.360388137999998</v>
          </cell>
          <cell r="H702" t="e">
            <v>#N/A</v>
          </cell>
          <cell r="I702" t="e">
            <v>#N/A</v>
          </cell>
          <cell r="J702">
            <v>28.764789456000003</v>
          </cell>
          <cell r="K702" t="e">
            <v>#N/A</v>
          </cell>
          <cell r="L702" t="e">
            <v>#N/A</v>
          </cell>
        </row>
        <row r="703">
          <cell r="A703" t="str">
            <v>Y7AUX4P2</v>
          </cell>
          <cell r="B703" t="str">
            <v>Y7 switch auxiliary 4-pole 2AB frame</v>
          </cell>
          <cell r="C703">
            <v>75.333903852380942</v>
          </cell>
          <cell r="D703">
            <v>35.558828499999997</v>
          </cell>
          <cell r="E703">
            <v>79.100599044999996</v>
          </cell>
          <cell r="F703" t="e">
            <v>#N/A</v>
          </cell>
          <cell r="G703">
            <v>35.595269570249997</v>
          </cell>
          <cell r="H703" t="e">
            <v>#N/A</v>
          </cell>
          <cell r="I703" t="e">
            <v>#N/A</v>
          </cell>
          <cell r="J703">
            <v>31.640239617999999</v>
          </cell>
          <cell r="K703" t="e">
            <v>#N/A</v>
          </cell>
          <cell r="L703" t="e">
            <v>#N/A</v>
          </cell>
        </row>
        <row r="704">
          <cell r="A704" t="str">
            <v>Y7AUX4PAL</v>
          </cell>
          <cell r="B704" t="str">
            <v>Y7 alarm switch 4-pole c/w 1 auxiliary frame</v>
          </cell>
          <cell r="C704">
            <v>82.180213761904753</v>
          </cell>
          <cell r="D704">
            <v>1483.8907376993914</v>
          </cell>
          <cell r="E704">
            <v>86.289224449999992</v>
          </cell>
          <cell r="F704" t="e">
            <v>#N/A</v>
          </cell>
          <cell r="G704">
            <v>38.830151002499996</v>
          </cell>
          <cell r="H704" t="e">
            <v>#N/A</v>
          </cell>
          <cell r="I704" t="e">
            <v>#N/A</v>
          </cell>
          <cell r="J704">
            <v>34.515689779999995</v>
          </cell>
          <cell r="K704" t="e">
            <v>#N/A</v>
          </cell>
          <cell r="L704" t="e">
            <v>#N/A</v>
          </cell>
        </row>
        <row r="705">
          <cell r="A705" t="str">
            <v>Y7B3P800D</v>
          </cell>
          <cell r="B705" t="str">
            <v>Y7 800A 3-pole switch disconnector</v>
          </cell>
          <cell r="C705">
            <v>1033.56864</v>
          </cell>
          <cell r="D705">
            <v>1785.6429767864997</v>
          </cell>
          <cell r="E705">
            <v>1085.2470719999999</v>
          </cell>
          <cell r="F705">
            <v>313.09199999999998</v>
          </cell>
          <cell r="G705">
            <v>488.36118239999996</v>
          </cell>
          <cell r="H705">
            <v>175.26918239999998</v>
          </cell>
          <cell r="I705">
            <v>0.35889253428918716</v>
          </cell>
          <cell r="J705">
            <v>434.09882879999998</v>
          </cell>
          <cell r="K705">
            <v>121.00682879999999</v>
          </cell>
          <cell r="L705">
            <v>0.2787541010753356</v>
          </cell>
        </row>
        <row r="706">
          <cell r="A706" t="str">
            <v>Y7B3P1250D</v>
          </cell>
          <cell r="B706" t="str">
            <v>Y7 1250A 3-pole switch disconnector</v>
          </cell>
          <cell r="C706">
            <v>1398.5798650199997</v>
          </cell>
          <cell r="D706">
            <v>2035.6117026150591</v>
          </cell>
          <cell r="E706">
            <v>1468.5088582709998</v>
          </cell>
          <cell r="F706">
            <v>328.74700000000001</v>
          </cell>
          <cell r="G706">
            <v>660.82898622194989</v>
          </cell>
          <cell r="H706">
            <v>332.08198622194988</v>
          </cell>
          <cell r="I706">
            <v>0.50252333530420357</v>
          </cell>
          <cell r="J706">
            <v>587.40354330839989</v>
          </cell>
          <cell r="K706">
            <v>258.65654330839988</v>
          </cell>
          <cell r="L706">
            <v>0.44033875221722907</v>
          </cell>
        </row>
        <row r="707">
          <cell r="A707" t="str">
            <v>Y7B4P800D</v>
          </cell>
          <cell r="B707" t="str">
            <v>Y7 800A 4-pole switch disconnector</v>
          </cell>
          <cell r="C707">
            <v>1463.0259799999999</v>
          </cell>
          <cell r="D707">
            <v>2320.7769831317496</v>
          </cell>
          <cell r="E707">
            <v>1536.177279</v>
          </cell>
          <cell r="F707">
            <v>570.74599999999998</v>
          </cell>
          <cell r="G707">
            <v>691.27977555000007</v>
          </cell>
          <cell r="H707">
            <v>120.53377555000009</v>
          </cell>
          <cell r="I707">
            <v>0.17436323152098626</v>
          </cell>
          <cell r="J707">
            <v>614.47091160000002</v>
          </cell>
          <cell r="K707">
            <v>43.724911600000041</v>
          </cell>
          <cell r="L707">
            <v>7.1158635461109496E-2</v>
          </cell>
        </row>
        <row r="708">
          <cell r="A708" t="str">
            <v>Y7B4P1250D</v>
          </cell>
          <cell r="B708" t="str">
            <v>Y7 1250A 4-pole switch disconnector</v>
          </cell>
          <cell r="C708">
            <v>1819.7895904499999</v>
          </cell>
          <cell r="D708">
            <v>821.56343532899984</v>
          </cell>
          <cell r="E708">
            <v>1910.7790699724999</v>
          </cell>
          <cell r="F708">
            <v>570.74599999999998</v>
          </cell>
          <cell r="G708">
            <v>859.85058148762494</v>
          </cell>
          <cell r="H708">
            <v>289.10458148762496</v>
          </cell>
          <cell r="I708">
            <v>0.33622653483288456</v>
          </cell>
          <cell r="J708">
            <v>764.31162798900004</v>
          </cell>
          <cell r="K708">
            <v>193.56562798900006</v>
          </cell>
          <cell r="L708">
            <v>0.25325485168699519</v>
          </cell>
        </row>
        <row r="709">
          <cell r="A709" t="str">
            <v>Y7CLDS1</v>
          </cell>
          <cell r="B709" t="str">
            <v>Y7 lock Castell (DS1) direct mounting</v>
          </cell>
          <cell r="C709">
            <v>417.73513129523803</v>
          </cell>
          <cell r="D709">
            <v>821.56343532899984</v>
          </cell>
          <cell r="E709">
            <v>438.62188785999996</v>
          </cell>
          <cell r="F709">
            <v>155.67599999999999</v>
          </cell>
          <cell r="G709">
            <v>197.37984953699998</v>
          </cell>
          <cell r="H709">
            <v>41.703849536999996</v>
          </cell>
          <cell r="I709">
            <v>0.2112872698749442</v>
          </cell>
          <cell r="J709">
            <v>175.44875514399999</v>
          </cell>
          <cell r="K709">
            <v>19.772755144000001</v>
          </cell>
          <cell r="L709">
            <v>0.11269817860931225</v>
          </cell>
        </row>
        <row r="710">
          <cell r="A710" t="str">
            <v>Y7DL</v>
          </cell>
          <cell r="B710" t="str">
            <v>Y7 dolly locking device frame</v>
          </cell>
          <cell r="C710">
            <v>34.691540000000003</v>
          </cell>
          <cell r="D710">
            <v>105.28712207773808</v>
          </cell>
          <cell r="E710">
            <v>36.426117000000005</v>
          </cell>
          <cell r="F710">
            <v>12.888999999999999</v>
          </cell>
          <cell r="G710">
            <v>16.391752650000004</v>
          </cell>
          <cell r="H710">
            <v>3.502752650000005</v>
          </cell>
          <cell r="I710">
            <v>0.21368994059338761</v>
          </cell>
          <cell r="J710">
            <v>14.570446800000003</v>
          </cell>
          <cell r="K710">
            <v>1.6814468000000033</v>
          </cell>
          <cell r="L710">
            <v>0.115401183167561</v>
          </cell>
        </row>
        <row r="711">
          <cell r="A711" t="str">
            <v>Y7J3P1000E</v>
          </cell>
          <cell r="B711" t="str">
            <v>Y7 65kA 3-pole 1000A electronic MCCB</v>
          </cell>
          <cell r="C711">
            <v>1447.6982806823332</v>
          </cell>
          <cell r="D711">
            <v>105.28712207773808</v>
          </cell>
          <cell r="E711">
            <v>1520.08319471645</v>
          </cell>
          <cell r="F711">
            <v>444.88499999999999</v>
          </cell>
          <cell r="G711">
            <v>684.03743762240254</v>
          </cell>
          <cell r="H711">
            <v>239.15243762240254</v>
          </cell>
          <cell r="I711">
            <v>0.34961893087848472</v>
          </cell>
          <cell r="J711">
            <v>608.03327788657998</v>
          </cell>
          <cell r="K711">
            <v>163.14827788657999</v>
          </cell>
          <cell r="L711">
            <v>0.26832129723829523</v>
          </cell>
        </row>
        <row r="712">
          <cell r="A712" t="str">
            <v>Y7J3P1250E</v>
          </cell>
          <cell r="B712" t="str">
            <v>Y7 65kA 3-pole 1250A electronic MCCB</v>
          </cell>
          <cell r="C712">
            <v>1742.0907090599999</v>
          </cell>
          <cell r="D712">
            <v>105.28712207773808</v>
          </cell>
          <cell r="E712">
            <v>1829.1952445129998</v>
          </cell>
          <cell r="F712">
            <v>444.88499999999999</v>
          </cell>
          <cell r="G712">
            <v>823.13786003084988</v>
          </cell>
          <cell r="H712">
            <v>378.25286003084989</v>
          </cell>
          <cell r="I712">
            <v>0.45952552834427224</v>
          </cell>
          <cell r="J712">
            <v>731.67809780519997</v>
          </cell>
          <cell r="K712">
            <v>286.79309780519998</v>
          </cell>
          <cell r="L712">
            <v>0.3919662193873063</v>
          </cell>
        </row>
        <row r="713">
          <cell r="A713" t="str">
            <v>Y7J4P1000E</v>
          </cell>
          <cell r="B713" t="str">
            <v>Y7 65kA 4-pole 1000A electronic MCCB</v>
          </cell>
          <cell r="C713">
            <v>1985.9626366976188</v>
          </cell>
          <cell r="D713">
            <v>61.776311880833326</v>
          </cell>
          <cell r="E713">
            <v>2085.2607685324997</v>
          </cell>
          <cell r="F713">
            <v>745.56399999999996</v>
          </cell>
          <cell r="G713">
            <v>938.36734583962493</v>
          </cell>
          <cell r="H713">
            <v>192.80334583962497</v>
          </cell>
          <cell r="I713">
            <v>0.20546681072657097</v>
          </cell>
          <cell r="J713">
            <v>834.1043074129999</v>
          </cell>
          <cell r="K713">
            <v>88.540307412999937</v>
          </cell>
          <cell r="L713">
            <v>0.10615016206739229</v>
          </cell>
        </row>
        <row r="714">
          <cell r="A714" t="str">
            <v>Y7J4P1250E</v>
          </cell>
          <cell r="B714" t="str">
            <v>Y7 65kA 4-pole 1250A electronic MCCB</v>
          </cell>
          <cell r="C714">
            <v>2264.17266647</v>
          </cell>
          <cell r="D714">
            <v>82.828714852619029</v>
          </cell>
          <cell r="E714">
            <v>2377.3812997935001</v>
          </cell>
          <cell r="F714">
            <v>709.44100000000003</v>
          </cell>
          <cell r="G714">
            <v>1069.821584907075</v>
          </cell>
          <cell r="H714">
            <v>360.38058490707499</v>
          </cell>
          <cell r="I714">
            <v>0.33686045410868931</v>
          </cell>
          <cell r="J714">
            <v>950.95251991740008</v>
          </cell>
          <cell r="K714">
            <v>241.51151991740005</v>
          </cell>
          <cell r="L714">
            <v>0.2539680108722755</v>
          </cell>
        </row>
        <row r="715">
          <cell r="A715" t="str">
            <v>Y7MA110</v>
          </cell>
          <cell r="B715" t="str">
            <v>Y7 motor operator 110V</v>
          </cell>
          <cell r="C715">
            <v>801.52530275999993</v>
          </cell>
          <cell r="D715">
            <v>105.28712207773808</v>
          </cell>
          <cell r="E715">
            <v>841.60156789799998</v>
          </cell>
          <cell r="F715">
            <v>207.93600000000001</v>
          </cell>
          <cell r="G715">
            <v>378.72070555409999</v>
          </cell>
          <cell r="H715">
            <v>170.78470555409999</v>
          </cell>
          <cell r="I715">
            <v>0.45095159321756045</v>
          </cell>
          <cell r="J715">
            <v>336.64062715919999</v>
          </cell>
          <cell r="K715">
            <v>128.70462715919999</v>
          </cell>
          <cell r="L715">
            <v>0.38232054236975549</v>
          </cell>
        </row>
        <row r="716">
          <cell r="A716" t="str">
            <v>Y7MA240</v>
          </cell>
          <cell r="B716" t="str">
            <v>Y7 motor operator 240V</v>
          </cell>
          <cell r="C716">
            <v>801.52530275999993</v>
          </cell>
          <cell r="D716">
            <v>112.30458973499998</v>
          </cell>
          <cell r="E716">
            <v>841.60156789799998</v>
          </cell>
          <cell r="F716">
            <v>207.93600000000001</v>
          </cell>
          <cell r="G716">
            <v>378.72070555409999</v>
          </cell>
          <cell r="H716">
            <v>170.78470555409999</v>
          </cell>
          <cell r="I716">
            <v>0.45095159321756045</v>
          </cell>
          <cell r="J716">
            <v>336.64062715919999</v>
          </cell>
          <cell r="K716">
            <v>128.70462715919999</v>
          </cell>
          <cell r="L716">
            <v>0.38232054236975549</v>
          </cell>
        </row>
        <row r="717">
          <cell r="A717" t="str">
            <v>Y7ST115AC</v>
          </cell>
          <cell r="B717" t="str">
            <v>Y7 shunt trip 100-115V ac</v>
          </cell>
          <cell r="C717">
            <v>102.71914349047618</v>
          </cell>
          <cell r="D717">
            <v>119.33461100166666</v>
          </cell>
          <cell r="E717">
            <v>107.85510066499999</v>
          </cell>
          <cell r="F717">
            <v>22.545000000000002</v>
          </cell>
          <cell r="G717">
            <v>48.53479529925</v>
          </cell>
          <cell r="H717">
            <v>25.989795299249998</v>
          </cell>
          <cell r="I717">
            <v>0.53548789356183013</v>
          </cell>
          <cell r="J717">
            <v>43.142040266000002</v>
          </cell>
          <cell r="K717">
            <v>20.597040266</v>
          </cell>
          <cell r="L717">
            <v>0.47742388025705895</v>
          </cell>
        </row>
        <row r="718">
          <cell r="A718" t="str">
            <v>Y7ST24DC</v>
          </cell>
          <cell r="B718" t="str">
            <v>Y7 shunt trip 24V dc</v>
          </cell>
          <cell r="C718">
            <v>102.71914349047618</v>
          </cell>
          <cell r="D718">
            <v>112.30458973499998</v>
          </cell>
          <cell r="E718">
            <v>107.85510066499999</v>
          </cell>
          <cell r="F718">
            <v>22.545000000000002</v>
          </cell>
          <cell r="G718">
            <v>48.53479529925</v>
          </cell>
          <cell r="H718">
            <v>25.989795299249998</v>
          </cell>
          <cell r="I718">
            <v>0.53548789356183013</v>
          </cell>
          <cell r="J718">
            <v>43.142040266000002</v>
          </cell>
          <cell r="K718">
            <v>20.597040266</v>
          </cell>
          <cell r="L718">
            <v>0.47742388025705895</v>
          </cell>
        </row>
        <row r="719">
          <cell r="A719" t="str">
            <v>Y7ST480AC</v>
          </cell>
          <cell r="B719" t="str">
            <v>Y7 shunt trip 200-480V ac</v>
          </cell>
          <cell r="C719">
            <v>102.71914349047618</v>
          </cell>
          <cell r="D719">
            <v>2737.5467724823206</v>
          </cell>
          <cell r="E719">
            <v>107.85510066499999</v>
          </cell>
          <cell r="F719">
            <v>22.545000000000002</v>
          </cell>
          <cell r="G719">
            <v>48.53479529925</v>
          </cell>
          <cell r="H719">
            <v>25.989795299249998</v>
          </cell>
          <cell r="I719">
            <v>0.53548789356183013</v>
          </cell>
          <cell r="J719">
            <v>43.142040266000002</v>
          </cell>
          <cell r="K719">
            <v>20.597040266</v>
          </cell>
          <cell r="L719">
            <v>0.47742388025705895</v>
          </cell>
        </row>
        <row r="720">
          <cell r="A720" t="str">
            <v>Y7TS3P</v>
          </cell>
          <cell r="B720" t="str">
            <v>Y7 shroud terminal 3-pole frame</v>
          </cell>
          <cell r="C720">
            <v>60.269572566666668</v>
          </cell>
          <cell r="D720">
            <v>5826.0610798982725</v>
          </cell>
          <cell r="E720">
            <v>63.283051194999999</v>
          </cell>
          <cell r="F720">
            <v>9.3659999999999997</v>
          </cell>
          <cell r="G720">
            <v>28.477373037749999</v>
          </cell>
          <cell r="H720">
            <v>19.111373037749999</v>
          </cell>
          <cell r="I720">
            <v>0.67110730376765082</v>
          </cell>
          <cell r="J720">
            <v>25.313220478000002</v>
          </cell>
          <cell r="K720">
            <v>15.947220478000002</v>
          </cell>
          <cell r="L720">
            <v>0.62999571673860733</v>
          </cell>
        </row>
        <row r="721">
          <cell r="A721" t="str">
            <v>Y7TS4P</v>
          </cell>
          <cell r="B721" t="str">
            <v>Y7 shroud terminal 4-pole frame</v>
          </cell>
          <cell r="C721">
            <v>80.808502295238085</v>
          </cell>
          <cell r="D721">
            <v>2842.8370329624104</v>
          </cell>
          <cell r="E721">
            <v>84.848927409999988</v>
          </cell>
          <cell r="F721">
            <v>13.102</v>
          </cell>
          <cell r="G721">
            <v>38.182017334499996</v>
          </cell>
          <cell r="H721">
            <v>25.080017334499995</v>
          </cell>
          <cell r="I721">
            <v>0.65685417076793717</v>
          </cell>
          <cell r="J721">
            <v>33.939570963999998</v>
          </cell>
          <cell r="K721">
            <v>20.837570963999998</v>
          </cell>
          <cell r="L721">
            <v>0.61396094211392926</v>
          </cell>
        </row>
        <row r="722">
          <cell r="A722" t="str">
            <v>Y7UVR120AC</v>
          </cell>
          <cell r="B722" t="str">
            <v>Y7 under voltage release 100-120V ac</v>
          </cell>
          <cell r="C722">
            <v>102.71914349047618</v>
          </cell>
          <cell r="D722">
            <v>3439.4818423495826</v>
          </cell>
          <cell r="E722">
            <v>107.85510066499999</v>
          </cell>
          <cell r="F722">
            <v>27.117000000000001</v>
          </cell>
          <cell r="G722">
            <v>48.53479529925</v>
          </cell>
          <cell r="H722">
            <v>21.417795299249999</v>
          </cell>
          <cell r="I722">
            <v>0.44128743445181406</v>
          </cell>
          <cell r="J722">
            <v>43.142040266000002</v>
          </cell>
          <cell r="K722">
            <v>16.025040266000001</v>
          </cell>
          <cell r="L722">
            <v>0.37144836375829088</v>
          </cell>
        </row>
        <row r="723">
          <cell r="A723" t="str">
            <v>Y7UVR240AC</v>
          </cell>
          <cell r="B723" t="str">
            <v>Y7 under voltage release 200-240V ac</v>
          </cell>
          <cell r="C723">
            <v>109.5654534</v>
          </cell>
          <cell r="D723">
            <v>9616.5104571814863</v>
          </cell>
          <cell r="E723">
            <v>115.04372606999999</v>
          </cell>
          <cell r="F723">
            <v>27.117000000000001</v>
          </cell>
          <cell r="G723">
            <v>51.769676731499999</v>
          </cell>
          <cell r="H723">
            <v>24.652676731499998</v>
          </cell>
          <cell r="I723">
            <v>0.47619916306140897</v>
          </cell>
          <cell r="J723">
            <v>46.017490428000002</v>
          </cell>
          <cell r="K723">
            <v>18.900490428000001</v>
          </cell>
          <cell r="L723">
            <v>0.41072405844408516</v>
          </cell>
        </row>
        <row r="724">
          <cell r="A724" t="str">
            <v>Y7UVR24DC</v>
          </cell>
          <cell r="B724" t="str">
            <v>Y7 under voltage release 24V dc</v>
          </cell>
          <cell r="C724">
            <v>116.42401073333333</v>
          </cell>
          <cell r="D724">
            <v>3544.7721028296723</v>
          </cell>
          <cell r="E724">
            <v>122.24521127</v>
          </cell>
          <cell r="F724">
            <v>27.117000000000001</v>
          </cell>
          <cell r="G724">
            <v>55.010345071499998</v>
          </cell>
          <cell r="H724">
            <v>27.893345071499997</v>
          </cell>
          <cell r="I724">
            <v>0.50705635522273984</v>
          </cell>
          <cell r="J724">
            <v>48.898084508000004</v>
          </cell>
          <cell r="K724">
            <v>21.781084508000003</v>
          </cell>
          <cell r="L724">
            <v>0.44543839962558235</v>
          </cell>
        </row>
        <row r="725">
          <cell r="A725" t="str">
            <v>Y7UVR450AC</v>
          </cell>
          <cell r="B725" t="str">
            <v>Y7 under voltage release 380-450V ac</v>
          </cell>
          <cell r="C725">
            <v>109.5654534</v>
          </cell>
          <cell r="D725">
            <v>3169.9387755205544</v>
          </cell>
          <cell r="E725">
            <v>115.04372606999999</v>
          </cell>
          <cell r="F725">
            <v>27.117000000000001</v>
          </cell>
          <cell r="G725">
            <v>51.769676731499999</v>
          </cell>
          <cell r="H725">
            <v>24.652676731499998</v>
          </cell>
          <cell r="I725">
            <v>0.47619916306140897</v>
          </cell>
          <cell r="J725">
            <v>46.017490428000002</v>
          </cell>
          <cell r="K725">
            <v>18.900490428000001</v>
          </cell>
          <cell r="L725">
            <v>0.41072405844408516</v>
          </cell>
        </row>
        <row r="726">
          <cell r="A726" t="str">
            <v>Y8B3P1600D</v>
          </cell>
          <cell r="B726" t="str">
            <v>Y8 3-pole1600A front terminals switch disconnector</v>
          </cell>
          <cell r="C726">
            <v>2670.7773390071425</v>
          </cell>
          <cell r="D726">
            <v>3334.1915818694943</v>
          </cell>
          <cell r="E726">
            <v>2804.3162059574997</v>
          </cell>
          <cell r="F726">
            <v>638.19799999999998</v>
          </cell>
          <cell r="G726">
            <v>1261.942292680875</v>
          </cell>
          <cell r="H726">
            <v>623.74429268087499</v>
          </cell>
          <cell r="I726">
            <v>0.49427322968611365</v>
          </cell>
          <cell r="J726">
            <v>1121.7264823829998</v>
          </cell>
          <cell r="K726">
            <v>483.52848238299987</v>
          </cell>
          <cell r="L726">
            <v>0.43105738339687782</v>
          </cell>
        </row>
        <row r="727">
          <cell r="A727" t="str">
            <v>Y8B3P1600DDO</v>
          </cell>
          <cell r="B727" t="str">
            <v>Y8 3-pole 1600A drawout switch disconnector</v>
          </cell>
          <cell r="C727">
            <v>5683.9620291690471</v>
          </cell>
          <cell r="D727">
            <v>3228.901321389405</v>
          </cell>
          <cell r="E727">
            <v>5968.1601306274997</v>
          </cell>
          <cell r="F727" t="e">
            <v>#N/A</v>
          </cell>
          <cell r="G727">
            <v>2685.6720587823747</v>
          </cell>
          <cell r="H727" t="e">
            <v>#N/A</v>
          </cell>
          <cell r="I727" t="e">
            <v>#N/A</v>
          </cell>
          <cell r="J727">
            <v>2387.2640522510001</v>
          </cell>
          <cell r="K727" t="e">
            <v>#N/A</v>
          </cell>
          <cell r="L727" t="e">
            <v>#N/A</v>
          </cell>
        </row>
        <row r="728">
          <cell r="A728" t="str">
            <v>Y8B3P1600DR</v>
          </cell>
          <cell r="B728" t="str">
            <v>Y8 3-pole 1600A rear terminals switch disconnector</v>
          </cell>
          <cell r="C728">
            <v>2773.4995443535713</v>
          </cell>
          <cell r="D728">
            <v>4001.0298982433919</v>
          </cell>
          <cell r="E728">
            <v>2912.1745215712499</v>
          </cell>
          <cell r="F728" t="e">
            <v>#N/A</v>
          </cell>
          <cell r="G728">
            <v>1310.4785347070624</v>
          </cell>
          <cell r="H728" t="e">
            <v>#N/A</v>
          </cell>
          <cell r="I728" t="e">
            <v>#N/A</v>
          </cell>
          <cell r="J728">
            <v>1164.8698086285001</v>
          </cell>
          <cell r="K728" t="e">
            <v>#N/A</v>
          </cell>
          <cell r="L728" t="e">
            <v>#N/A</v>
          </cell>
        </row>
        <row r="729">
          <cell r="A729" t="str">
            <v>Y8B4P1600D</v>
          </cell>
          <cell r="B729" t="str">
            <v>Y8 4-pole 1600A front terminals switch disconnector</v>
          </cell>
          <cell r="C729">
            <v>3355.5920413166664</v>
          </cell>
          <cell r="D729">
            <v>6598.1896567522608</v>
          </cell>
          <cell r="E729">
            <v>3523.3716433824998</v>
          </cell>
          <cell r="F729" t="e">
            <v>#N/A</v>
          </cell>
          <cell r="G729">
            <v>1585.517239522125</v>
          </cell>
          <cell r="H729" t="e">
            <v>#N/A</v>
          </cell>
          <cell r="I729" t="e">
            <v>#N/A</v>
          </cell>
          <cell r="J729">
            <v>1409.3486573529999</v>
          </cell>
          <cell r="K729" t="e">
            <v>#N/A</v>
          </cell>
          <cell r="L729" t="e">
            <v>#N/A</v>
          </cell>
        </row>
        <row r="730">
          <cell r="A730" t="str">
            <v>Y8B4P1600DDO</v>
          </cell>
          <cell r="B730" t="str">
            <v>Y8 4-pole 1600A drawout switch disconnector</v>
          </cell>
          <cell r="C730">
            <v>9381.9614216404752</v>
          </cell>
          <cell r="D730">
            <v>4562.5779541372012</v>
          </cell>
          <cell r="E730">
            <v>9851.0594927224993</v>
          </cell>
          <cell r="F730" t="e">
            <v>#N/A</v>
          </cell>
          <cell r="G730">
            <v>4432.9767717251252</v>
          </cell>
          <cell r="H730" t="e">
            <v>#N/A</v>
          </cell>
          <cell r="I730" t="e">
            <v>#N/A</v>
          </cell>
          <cell r="J730">
            <v>3940.4237970889999</v>
          </cell>
          <cell r="K730" t="e">
            <v>#N/A</v>
          </cell>
          <cell r="L730" t="e">
            <v>#N/A</v>
          </cell>
        </row>
        <row r="731">
          <cell r="A731" t="str">
            <v>Y8B4P1600DR</v>
          </cell>
          <cell r="B731" t="str">
            <v>Y8 4-pole 1600A rear terminals switch disconnector</v>
          </cell>
          <cell r="C731">
            <v>3458.3142466630952</v>
          </cell>
          <cell r="D731">
            <v>4176.5136657102075</v>
          </cell>
          <cell r="E731">
            <v>3631.2299589962499</v>
          </cell>
          <cell r="F731" t="e">
            <v>#N/A</v>
          </cell>
          <cell r="G731">
            <v>1634.0534815483124</v>
          </cell>
          <cell r="H731" t="e">
            <v>#N/A</v>
          </cell>
          <cell r="I731" t="e">
            <v>#N/A</v>
          </cell>
          <cell r="J731">
            <v>1452.4919835985002</v>
          </cell>
          <cell r="K731" t="e">
            <v>#N/A</v>
          </cell>
          <cell r="L731" t="e">
            <v>#N/A</v>
          </cell>
        </row>
        <row r="732">
          <cell r="A732" t="str">
            <v>Y8K3P1600E</v>
          </cell>
          <cell r="B732" t="str">
            <v>Y8 85kA 3-pole 1600A electronic front terminals MCCB</v>
          </cell>
          <cell r="C732">
            <v>3092.6231956298093</v>
          </cell>
          <cell r="D732">
            <v>15.369383994250001</v>
          </cell>
          <cell r="E732">
            <v>3247.2543554112999</v>
          </cell>
          <cell r="F732">
            <v>702.45</v>
          </cell>
          <cell r="G732">
            <v>1461.2644599350849</v>
          </cell>
          <cell r="H732">
            <v>758.81445993508487</v>
          </cell>
          <cell r="I732">
            <v>0.51928619407386012</v>
          </cell>
          <cell r="J732">
            <v>1298.9017421645201</v>
          </cell>
          <cell r="K732">
            <v>596.45174216452006</v>
          </cell>
          <cell r="L732">
            <v>0.4591969683330927</v>
          </cell>
        </row>
        <row r="733">
          <cell r="A733" t="str">
            <v>Y8K3P1600EG</v>
          </cell>
          <cell r="B733" t="str">
            <v>Y8 85kA 3-pole 1600A electronic ground fault front terminals MCCB</v>
          </cell>
          <cell r="C733">
            <v>3252.8698359702385</v>
          </cell>
          <cell r="D733">
            <v>250.87366589999996</v>
          </cell>
          <cell r="E733">
            <v>3415.5133277687505</v>
          </cell>
          <cell r="F733" t="e">
            <v>#N/A</v>
          </cell>
          <cell r="G733">
            <v>1536.9809974959378</v>
          </cell>
          <cell r="H733" t="e">
            <v>#N/A</v>
          </cell>
          <cell r="I733" t="e">
            <v>#N/A</v>
          </cell>
          <cell r="J733">
            <v>1366.2053311075003</v>
          </cell>
          <cell r="K733" t="e">
            <v>#N/A</v>
          </cell>
          <cell r="L733" t="e">
            <v>#N/A</v>
          </cell>
        </row>
        <row r="734">
          <cell r="A734" t="str">
            <v>Y8K3P1600ER</v>
          </cell>
          <cell r="B734" t="str">
            <v>Y8 85kA 3-pole 1600A electronic rear terminals MCCB</v>
          </cell>
          <cell r="C734">
            <v>3150.1476306238101</v>
          </cell>
          <cell r="D734">
            <v>250.87366589999996</v>
          </cell>
          <cell r="E734">
            <v>3307.6550121550008</v>
          </cell>
          <cell r="F734" t="e">
            <v>#N/A</v>
          </cell>
          <cell r="G734">
            <v>1488.4447554697504</v>
          </cell>
          <cell r="H734" t="e">
            <v>#N/A</v>
          </cell>
          <cell r="I734" t="e">
            <v>#N/A</v>
          </cell>
          <cell r="J734">
            <v>1323.0620048620003</v>
          </cell>
          <cell r="K734" t="e">
            <v>#N/A</v>
          </cell>
          <cell r="L734" t="e">
            <v>#N/A</v>
          </cell>
        </row>
        <row r="735">
          <cell r="A735" t="str">
            <v>Y8K4P1600E</v>
          </cell>
          <cell r="B735" t="str">
            <v>Y8 85kA 4-pole 1600A electronic front terminals MCCB</v>
          </cell>
          <cell r="C735">
            <v>3903.4438031642853</v>
          </cell>
          <cell r="D735">
            <v>74.665231712499988</v>
          </cell>
          <cell r="E735">
            <v>4098.6159933224999</v>
          </cell>
          <cell r="F735">
            <v>942.81100000000004</v>
          </cell>
          <cell r="G735">
            <v>1844.3771969951249</v>
          </cell>
          <cell r="H735">
            <v>901.56619699512487</v>
          </cell>
          <cell r="I735">
            <v>0.48881877224678566</v>
          </cell>
          <cell r="J735">
            <v>1639.4463973290001</v>
          </cell>
          <cell r="K735">
            <v>696.63539732900006</v>
          </cell>
          <cell r="L735">
            <v>0.42492111877763394</v>
          </cell>
        </row>
        <row r="736">
          <cell r="A736" t="str">
            <v>Y8K4P1600EDO</v>
          </cell>
          <cell r="B736" t="str">
            <v>Y8 85kA 4-pole 1600A electronic drawout MCCB</v>
          </cell>
          <cell r="C736">
            <v>6437.2582017095237</v>
          </cell>
          <cell r="D736">
            <v>74.665231712499988</v>
          </cell>
          <cell r="E736">
            <v>6759.1211117949997</v>
          </cell>
          <cell r="F736" t="e">
            <v>#N/A</v>
          </cell>
          <cell r="G736">
            <v>3041.6045003077497</v>
          </cell>
          <cell r="H736" t="e">
            <v>#N/A</v>
          </cell>
          <cell r="I736" t="e">
            <v>#N/A</v>
          </cell>
          <cell r="J736">
            <v>2703.6484447180001</v>
          </cell>
          <cell r="K736" t="e">
            <v>#N/A</v>
          </cell>
          <cell r="L736" t="e">
            <v>#N/A</v>
          </cell>
        </row>
        <row r="737">
          <cell r="A737" t="str">
            <v>Y8K4P1600EG</v>
          </cell>
          <cell r="B737" t="str">
            <v>Y8 85kA 4-pole 1600A electronic ground fault front terminals MCCB</v>
          </cell>
          <cell r="C737">
            <v>4451.2955650119038</v>
          </cell>
          <cell r="D737">
            <v>74.665231712499988</v>
          </cell>
          <cell r="E737">
            <v>4673.8603432624986</v>
          </cell>
          <cell r="F737" t="e">
            <v>#N/A</v>
          </cell>
          <cell r="G737">
            <v>2103.2371544681246</v>
          </cell>
          <cell r="H737" t="e">
            <v>#N/A</v>
          </cell>
          <cell r="I737" t="e">
            <v>#N/A</v>
          </cell>
          <cell r="J737">
            <v>1869.5441373049996</v>
          </cell>
          <cell r="K737" t="e">
            <v>#N/A</v>
          </cell>
          <cell r="L737" t="e">
            <v>#N/A</v>
          </cell>
        </row>
        <row r="738">
          <cell r="A738" t="str">
            <v>Y8K4P1600ER</v>
          </cell>
          <cell r="B738" t="str">
            <v>Y8 85kA 4-pole 1600A electronic rear terminals MCCB</v>
          </cell>
          <cell r="C738">
            <v>4074.6474787416664</v>
          </cell>
          <cell r="D738">
            <v>74.662639999999996</v>
          </cell>
          <cell r="E738">
            <v>4278.3798526787496</v>
          </cell>
          <cell r="F738">
            <v>942.81</v>
          </cell>
          <cell r="G738">
            <v>1925.2709337054373</v>
          </cell>
          <cell r="H738">
            <v>982.46093370543736</v>
          </cell>
          <cell r="I738">
            <v>0.51029749450097495</v>
          </cell>
          <cell r="J738">
            <v>1711.3519410714998</v>
          </cell>
          <cell r="K738">
            <v>768.54194107149988</v>
          </cell>
          <cell r="L738">
            <v>0.44908468131359686</v>
          </cell>
        </row>
        <row r="739">
          <cell r="A739" t="str">
            <v>YA2CC3P</v>
          </cell>
          <cell r="B739" t="str">
            <v>YA2 cable clamps</v>
          </cell>
          <cell r="C739">
            <v>14.994520970000002</v>
          </cell>
          <cell r="D739">
            <v>74.665231712499988</v>
          </cell>
          <cell r="E739">
            <v>15.744247018500001</v>
          </cell>
          <cell r="F739">
            <v>6.0880000000000001</v>
          </cell>
          <cell r="G739">
            <v>7.0849111583250011</v>
          </cell>
          <cell r="H739">
            <v>0.99691115832500099</v>
          </cell>
          <cell r="I739">
            <v>0.14070905563206645</v>
          </cell>
          <cell r="J739">
            <v>6.2976988074000007</v>
          </cell>
          <cell r="K739">
            <v>0.20969880740000058</v>
          </cell>
          <cell r="L739">
            <v>3.3297687586074723E-2</v>
          </cell>
        </row>
        <row r="740">
          <cell r="A740" t="str">
            <v>YA2MA110</v>
          </cell>
          <cell r="B740" t="str">
            <v>YA2 motor operator 110V</v>
          </cell>
          <cell r="C740">
            <v>244.754796</v>
          </cell>
          <cell r="D740">
            <v>79.814558037499992</v>
          </cell>
          <cell r="E740">
            <v>256.99253579999998</v>
          </cell>
          <cell r="F740">
            <v>80.781999999999996</v>
          </cell>
          <cell r="G740">
            <v>115.64664110999999</v>
          </cell>
          <cell r="H740">
            <v>34.864641109999994</v>
          </cell>
          <cell r="I740">
            <v>0.30147560513095817</v>
          </cell>
          <cell r="J740">
            <v>102.79701432</v>
          </cell>
          <cell r="K740">
            <v>22.015014320000006</v>
          </cell>
          <cell r="L740">
            <v>0.21416005577232805</v>
          </cell>
        </row>
        <row r="741">
          <cell r="A741" t="str">
            <v>YA2MA240</v>
          </cell>
          <cell r="B741" t="str">
            <v>YA2 motor operator 240V</v>
          </cell>
          <cell r="C741">
            <v>244.754796</v>
          </cell>
          <cell r="D741">
            <v>79.814558037499992</v>
          </cell>
          <cell r="E741">
            <v>256.99253579999998</v>
          </cell>
          <cell r="F741">
            <v>80.781999999999996</v>
          </cell>
          <cell r="G741">
            <v>115.64664110999999</v>
          </cell>
          <cell r="H741">
            <v>34.864641109999994</v>
          </cell>
          <cell r="I741">
            <v>0.30147560513095817</v>
          </cell>
          <cell r="J741">
            <v>102.79701432</v>
          </cell>
          <cell r="K741">
            <v>22.015014320000006</v>
          </cell>
          <cell r="L741">
            <v>0.21416005577232805</v>
          </cell>
        </row>
        <row r="742">
          <cell r="A742" t="str">
            <v>YA2N1P16T</v>
          </cell>
          <cell r="B742" t="str">
            <v>YA2 25kA 1-pole 16A MCCB</v>
          </cell>
          <cell r="C742">
            <v>72.844128499999997</v>
          </cell>
          <cell r="D742">
            <v>79.814558037499992</v>
          </cell>
          <cell r="E742">
            <v>72.844128499999997</v>
          </cell>
          <cell r="F742">
            <v>19.791</v>
          </cell>
          <cell r="G742">
            <v>32.779857825000001</v>
          </cell>
          <cell r="H742">
            <v>12.988857825</v>
          </cell>
          <cell r="I742">
            <v>0.39624509338456837</v>
          </cell>
          <cell r="J742">
            <v>29.137651399999999</v>
          </cell>
          <cell r="K742">
            <v>9.3466513999999989</v>
          </cell>
          <cell r="L742">
            <v>0.32077573005763943</v>
          </cell>
        </row>
        <row r="743">
          <cell r="A743" t="str">
            <v>YA2N1P20T</v>
          </cell>
          <cell r="B743" t="str">
            <v>YA2 25kA 1-pole 20A MCCB</v>
          </cell>
          <cell r="C743">
            <v>72.844128499999997</v>
          </cell>
          <cell r="D743">
            <v>79.814558037499992</v>
          </cell>
          <cell r="E743">
            <v>72.844128499999997</v>
          </cell>
          <cell r="F743">
            <v>19.791</v>
          </cell>
          <cell r="G743">
            <v>32.779857825000001</v>
          </cell>
          <cell r="H743">
            <v>12.988857825</v>
          </cell>
          <cell r="I743">
            <v>0.39624509338456837</v>
          </cell>
          <cell r="J743">
            <v>29.137651399999999</v>
          </cell>
          <cell r="K743">
            <v>9.3466513999999989</v>
          </cell>
          <cell r="L743">
            <v>0.32077573005763943</v>
          </cell>
        </row>
        <row r="744">
          <cell r="A744" t="str">
            <v>YA2N1P32T</v>
          </cell>
          <cell r="B744" t="str">
            <v>YA2 25kA 1-pole 32A MCCB</v>
          </cell>
          <cell r="C744">
            <v>72.844128499999997</v>
          </cell>
          <cell r="D744">
            <v>139.03181077499997</v>
          </cell>
          <cell r="E744">
            <v>72.844128499999997</v>
          </cell>
          <cell r="F744">
            <v>19.791</v>
          </cell>
          <cell r="G744">
            <v>32.779857825000001</v>
          </cell>
          <cell r="H744">
            <v>12.988857825</v>
          </cell>
          <cell r="I744">
            <v>0.39624509338456837</v>
          </cell>
          <cell r="J744">
            <v>29.137651399999999</v>
          </cell>
          <cell r="K744">
            <v>9.3466513999999989</v>
          </cell>
          <cell r="L744">
            <v>0.32077573005763943</v>
          </cell>
        </row>
        <row r="745">
          <cell r="A745" t="str">
            <v>YA2N1P40T</v>
          </cell>
          <cell r="B745" t="str">
            <v>YA2 25kA 1-pole 40A MCCB</v>
          </cell>
          <cell r="C745">
            <v>72.8416</v>
          </cell>
          <cell r="D745">
            <v>139.03181077499997</v>
          </cell>
          <cell r="E745">
            <v>72.8416</v>
          </cell>
          <cell r="F745">
            <v>19.791</v>
          </cell>
          <cell r="G745">
            <v>32.77872</v>
          </cell>
          <cell r="H745">
            <v>12.987719999999999</v>
          </cell>
          <cell r="I745">
            <v>0.39622413565874443</v>
          </cell>
          <cell r="J745">
            <v>29.13664</v>
          </cell>
          <cell r="K745">
            <v>9.3456399999999995</v>
          </cell>
          <cell r="L745">
            <v>0.32075215261608747</v>
          </cell>
        </row>
        <row r="746">
          <cell r="A746" t="str">
            <v>YA2N1P50T</v>
          </cell>
          <cell r="B746" t="str">
            <v>YA2 25kA 1-pole 50A MCCB</v>
          </cell>
          <cell r="C746">
            <v>72.844128499999997</v>
          </cell>
          <cell r="D746">
            <v>139.03181077499997</v>
          </cell>
          <cell r="E746">
            <v>72.844128499999997</v>
          </cell>
          <cell r="F746">
            <v>19.791</v>
          </cell>
          <cell r="G746">
            <v>32.779857825000001</v>
          </cell>
          <cell r="H746">
            <v>12.988857825</v>
          </cell>
          <cell r="I746">
            <v>0.39624509338456837</v>
          </cell>
          <cell r="J746">
            <v>29.137651399999999</v>
          </cell>
          <cell r="K746">
            <v>9.3466513999999989</v>
          </cell>
          <cell r="L746">
            <v>0.32077573005763943</v>
          </cell>
        </row>
        <row r="747">
          <cell r="A747" t="str">
            <v>YA2N1P63T</v>
          </cell>
          <cell r="B747" t="str">
            <v>YA2 25kA 1-pole 63A MCCB</v>
          </cell>
          <cell r="C747">
            <v>77.867861500000004</v>
          </cell>
          <cell r="D747">
            <v>139.03181077499997</v>
          </cell>
          <cell r="E747">
            <v>77.867861500000004</v>
          </cell>
          <cell r="F747">
            <v>19.021999999999998</v>
          </cell>
          <cell r="G747">
            <v>35.040537675000003</v>
          </cell>
          <cell r="H747">
            <v>16.018537675000005</v>
          </cell>
          <cell r="I747">
            <v>0.45714303312270743</v>
          </cell>
          <cell r="J747">
            <v>31.147144600000004</v>
          </cell>
          <cell r="K747">
            <v>12.125144600000006</v>
          </cell>
          <cell r="L747">
            <v>0.38928591226304593</v>
          </cell>
        </row>
        <row r="748">
          <cell r="A748" t="str">
            <v>YA2N1P80T</v>
          </cell>
          <cell r="B748" t="str">
            <v>YA2 25kA 1-pole 80A MCCB</v>
          </cell>
          <cell r="C748">
            <v>77.867861500000004</v>
          </cell>
          <cell r="D748">
            <v>139.03181077499997</v>
          </cell>
          <cell r="E748">
            <v>77.867861500000004</v>
          </cell>
          <cell r="F748">
            <v>18.119</v>
          </cell>
          <cell r="G748">
            <v>35.040537675000003</v>
          </cell>
          <cell r="H748">
            <v>16.921537675000003</v>
          </cell>
          <cell r="I748">
            <v>0.4829131856350718</v>
          </cell>
          <cell r="J748">
            <v>31.147144600000004</v>
          </cell>
          <cell r="K748">
            <v>13.028144600000005</v>
          </cell>
          <cell r="L748">
            <v>0.41827733383945581</v>
          </cell>
        </row>
        <row r="749">
          <cell r="A749" t="str">
            <v>YA2N1P100T</v>
          </cell>
          <cell r="B749" t="str">
            <v>YA2 25kA 1-pole 100A MCCB</v>
          </cell>
          <cell r="C749">
            <v>77.867861500000004</v>
          </cell>
          <cell r="D749">
            <v>139.03181077499997</v>
          </cell>
          <cell r="E749">
            <v>77.867861500000004</v>
          </cell>
          <cell r="F749">
            <v>19.021999999999998</v>
          </cell>
          <cell r="G749">
            <v>35.040537675000003</v>
          </cell>
          <cell r="H749">
            <v>16.018537675000005</v>
          </cell>
          <cell r="I749">
            <v>0.45714303312270743</v>
          </cell>
          <cell r="J749">
            <v>31.147144600000004</v>
          </cell>
          <cell r="K749">
            <v>12.125144600000006</v>
          </cell>
          <cell r="L749">
            <v>0.38928591226304593</v>
          </cell>
        </row>
        <row r="750">
          <cell r="A750" t="str">
            <v>YA2N1P125T</v>
          </cell>
          <cell r="B750" t="str">
            <v>YA2 25kA 1-pole 125A MCCB</v>
          </cell>
          <cell r="C750">
            <v>77.867861500000004</v>
          </cell>
          <cell r="D750">
            <v>226.34346019999998</v>
          </cell>
          <cell r="E750">
            <v>77.867861500000004</v>
          </cell>
          <cell r="F750">
            <v>19.021999999999998</v>
          </cell>
          <cell r="G750">
            <v>35.040537675000003</v>
          </cell>
          <cell r="H750">
            <v>16.018537675000005</v>
          </cell>
          <cell r="I750">
            <v>0.45714303312270743</v>
          </cell>
          <cell r="J750">
            <v>31.147144600000004</v>
          </cell>
          <cell r="K750">
            <v>12.125144600000006</v>
          </cell>
          <cell r="L750">
            <v>0.38928591226304593</v>
          </cell>
        </row>
        <row r="751">
          <cell r="A751" t="str">
            <v>YA2N3P20T</v>
          </cell>
          <cell r="B751" t="str">
            <v>YA2 25kA 3-pole 20A MCCB</v>
          </cell>
          <cell r="C751">
            <v>135.64079099999998</v>
          </cell>
          <cell r="D751">
            <v>226.34346019999998</v>
          </cell>
          <cell r="E751">
            <v>135.64079099999998</v>
          </cell>
          <cell r="F751">
            <v>32.447000000000003</v>
          </cell>
          <cell r="G751">
            <v>61.038355949999989</v>
          </cell>
          <cell r="H751">
            <v>28.591355949999986</v>
          </cell>
          <cell r="I751">
            <v>0.46841621968686054</v>
          </cell>
          <cell r="J751">
            <v>54.256316399999996</v>
          </cell>
          <cell r="K751">
            <v>21.809316399999993</v>
          </cell>
          <cell r="L751">
            <v>0.40196824714771817</v>
          </cell>
        </row>
        <row r="752">
          <cell r="A752" t="str">
            <v>YA2N3P32T</v>
          </cell>
          <cell r="B752" t="str">
            <v>YA2 25kA 3-pole 32A  MCCB</v>
          </cell>
          <cell r="C752">
            <v>135.64079099999998</v>
          </cell>
          <cell r="D752">
            <v>226.34346019999998</v>
          </cell>
          <cell r="E752">
            <v>135.64079099999998</v>
          </cell>
          <cell r="F752">
            <v>32.447000000000003</v>
          </cell>
          <cell r="G752">
            <v>61.038355949999989</v>
          </cell>
          <cell r="H752">
            <v>28.591355949999986</v>
          </cell>
          <cell r="I752">
            <v>0.46841621968686054</v>
          </cell>
          <cell r="J752">
            <v>54.256316399999996</v>
          </cell>
          <cell r="K752">
            <v>21.809316399999993</v>
          </cell>
          <cell r="L752">
            <v>0.40196824714771817</v>
          </cell>
        </row>
        <row r="753">
          <cell r="A753" t="str">
            <v>YA2N3P50T</v>
          </cell>
          <cell r="B753" t="str">
            <v>YA2 25kA 3-pole 50A MCCB</v>
          </cell>
          <cell r="C753">
            <v>135.64079099999998</v>
          </cell>
          <cell r="D753">
            <v>226.34346019999998</v>
          </cell>
          <cell r="E753">
            <v>135.64079099999998</v>
          </cell>
          <cell r="F753">
            <v>32.447000000000003</v>
          </cell>
          <cell r="G753">
            <v>61.038355949999989</v>
          </cell>
          <cell r="H753">
            <v>28.591355949999986</v>
          </cell>
          <cell r="I753">
            <v>0.46841621968686054</v>
          </cell>
          <cell r="J753">
            <v>54.256316399999996</v>
          </cell>
          <cell r="K753">
            <v>21.809316399999993</v>
          </cell>
          <cell r="L753">
            <v>0.40196824714771817</v>
          </cell>
        </row>
        <row r="754">
          <cell r="A754" t="str">
            <v>YA2N3P63T</v>
          </cell>
          <cell r="B754" t="str">
            <v>YA2 25kA 3-pole 63A  MCCB</v>
          </cell>
          <cell r="C754">
            <v>135.64079099999998</v>
          </cell>
          <cell r="D754">
            <v>231.36042929999996</v>
          </cell>
          <cell r="E754">
            <v>135.64079099999998</v>
          </cell>
          <cell r="F754">
            <v>34.073999999999998</v>
          </cell>
          <cell r="G754">
            <v>61.038355949999989</v>
          </cell>
          <cell r="H754">
            <v>26.964355949999991</v>
          </cell>
          <cell r="I754">
            <v>0.4417608490649394</v>
          </cell>
          <cell r="J754">
            <v>54.256316399999996</v>
          </cell>
          <cell r="K754">
            <v>20.182316399999998</v>
          </cell>
          <cell r="L754">
            <v>0.37198095519805691</v>
          </cell>
        </row>
        <row r="755">
          <cell r="A755" t="str">
            <v>YA2N3P100T</v>
          </cell>
          <cell r="B755" t="str">
            <v>YA2 25kA 3-pole 100A MCCB</v>
          </cell>
          <cell r="C755">
            <v>135.64079099999998</v>
          </cell>
          <cell r="D755">
            <v>231.36042929999996</v>
          </cell>
          <cell r="E755">
            <v>135.64079099999998</v>
          </cell>
          <cell r="F755">
            <v>33.216000000000001</v>
          </cell>
          <cell r="G755">
            <v>61.038355949999989</v>
          </cell>
          <cell r="H755">
            <v>27.822355949999988</v>
          </cell>
          <cell r="I755">
            <v>0.45581758415627827</v>
          </cell>
          <cell r="J755">
            <v>54.256316399999996</v>
          </cell>
          <cell r="K755">
            <v>21.040316399999995</v>
          </cell>
          <cell r="L755">
            <v>0.38779478217581309</v>
          </cell>
        </row>
        <row r="756">
          <cell r="A756" t="str">
            <v>YA2N3P125T</v>
          </cell>
          <cell r="B756" t="str">
            <v>YA2 25kA 3-pole 125A  MCCB</v>
          </cell>
          <cell r="C756">
            <v>135.64079099999998</v>
          </cell>
          <cell r="D756">
            <v>5.588866906999999</v>
          </cell>
          <cell r="E756">
            <v>135.64079099999998</v>
          </cell>
          <cell r="F756">
            <v>33.216000000000001</v>
          </cell>
          <cell r="G756">
            <v>61.038355949999989</v>
          </cell>
          <cell r="H756">
            <v>27.822355949999988</v>
          </cell>
          <cell r="I756">
            <v>0.45581758415627827</v>
          </cell>
          <cell r="J756">
            <v>54.256316399999996</v>
          </cell>
          <cell r="K756">
            <v>21.040316399999995</v>
          </cell>
          <cell r="L756">
            <v>0.38779478217581309</v>
          </cell>
        </row>
        <row r="757">
          <cell r="A757" t="str">
            <v>YA2N4P20T</v>
          </cell>
          <cell r="B757" t="str">
            <v>YA2 25kA 4-pole 20A MCCB</v>
          </cell>
          <cell r="C757">
            <v>220.82288800000001</v>
          </cell>
          <cell r="D757">
            <v>5.588866906999999</v>
          </cell>
          <cell r="E757">
            <v>220.82288800000001</v>
          </cell>
          <cell r="F757">
            <v>41.905000000000001</v>
          </cell>
          <cell r="G757">
            <v>99.37029960000001</v>
          </cell>
          <cell r="H757">
            <v>57.465299600000009</v>
          </cell>
          <cell r="I757">
            <v>0.57829451889868311</v>
          </cell>
          <cell r="J757">
            <v>88.329155200000002</v>
          </cell>
          <cell r="K757">
            <v>46.424155200000001</v>
          </cell>
          <cell r="L757">
            <v>0.52558133376101845</v>
          </cell>
        </row>
        <row r="758">
          <cell r="A758" t="str">
            <v>YA2N4P32T</v>
          </cell>
          <cell r="B758" t="str">
            <v>YA2 25kA 4-pole 32A MCCB</v>
          </cell>
          <cell r="C758">
            <v>220.82288800000001</v>
          </cell>
          <cell r="D758">
            <v>8.383300360499998</v>
          </cell>
          <cell r="E758">
            <v>220.82288800000001</v>
          </cell>
          <cell r="F758">
            <v>48.179000000000002</v>
          </cell>
          <cell r="G758">
            <v>99.37029960000001</v>
          </cell>
          <cell r="H758">
            <v>51.191299600000008</v>
          </cell>
          <cell r="I758">
            <v>0.51515694132012058</v>
          </cell>
          <cell r="J758">
            <v>88.329155200000002</v>
          </cell>
          <cell r="K758">
            <v>40.1501552</v>
          </cell>
          <cell r="L758">
            <v>0.45455155898513561</v>
          </cell>
        </row>
        <row r="759">
          <cell r="A759" t="str">
            <v>YA2N4P50T</v>
          </cell>
          <cell r="B759" t="str">
            <v>YA2 25kA 4-pole 50A MCCB</v>
          </cell>
          <cell r="C759">
            <v>220.82288800000001</v>
          </cell>
          <cell r="D759">
            <v>8.383300360499998</v>
          </cell>
          <cell r="E759">
            <v>220.82288800000001</v>
          </cell>
          <cell r="F759">
            <v>46.328000000000003</v>
          </cell>
          <cell r="G759">
            <v>99.37029960000001</v>
          </cell>
          <cell r="H759">
            <v>53.042299600000007</v>
          </cell>
          <cell r="I759">
            <v>0.53378423747853931</v>
          </cell>
          <cell r="J759">
            <v>88.329155200000002</v>
          </cell>
          <cell r="K759">
            <v>42.001155199999999</v>
          </cell>
          <cell r="L759">
            <v>0.47550726716335673</v>
          </cell>
        </row>
        <row r="760">
          <cell r="A760" t="str">
            <v>YA2N4P63T</v>
          </cell>
          <cell r="B760" t="str">
            <v>YA2 25kA 4-pole 63A MCCB</v>
          </cell>
          <cell r="C760">
            <v>220.82288800000001</v>
          </cell>
          <cell r="D760">
            <v>245.67727445354163</v>
          </cell>
          <cell r="E760">
            <v>220.82288800000001</v>
          </cell>
          <cell r="F760">
            <v>46.328000000000003</v>
          </cell>
          <cell r="G760">
            <v>99.37029960000001</v>
          </cell>
          <cell r="H760">
            <v>53.042299600000007</v>
          </cell>
          <cell r="I760">
            <v>0.53378423747853931</v>
          </cell>
          <cell r="J760">
            <v>88.329155200000002</v>
          </cell>
          <cell r="K760">
            <v>42.001155199999999</v>
          </cell>
          <cell r="L760">
            <v>0.47550726716335673</v>
          </cell>
        </row>
        <row r="761">
          <cell r="A761" t="str">
            <v>YA2N4P100T</v>
          </cell>
          <cell r="B761" t="str">
            <v>YA2 25kA 4-pole 100A MCCB</v>
          </cell>
          <cell r="C761">
            <v>225.71749199999999</v>
          </cell>
          <cell r="D761">
            <v>315.87078144026782</v>
          </cell>
          <cell r="E761">
            <v>225.71749199999999</v>
          </cell>
          <cell r="F761">
            <v>47.432000000000002</v>
          </cell>
          <cell r="G761">
            <v>101.5728714</v>
          </cell>
          <cell r="H761">
            <v>54.140871399999995</v>
          </cell>
          <cell r="I761">
            <v>0.5330249175174937</v>
          </cell>
          <cell r="J761">
            <v>90.286996799999997</v>
          </cell>
          <cell r="K761">
            <v>42.854996799999995</v>
          </cell>
          <cell r="L761">
            <v>0.47465303220718041</v>
          </cell>
        </row>
        <row r="762">
          <cell r="A762" t="str">
            <v>YA2N4P125T</v>
          </cell>
          <cell r="B762" t="str">
            <v>YA2 25kA 4-pole 125A MCCB</v>
          </cell>
          <cell r="C762">
            <v>225.71749199999999</v>
          </cell>
          <cell r="D762">
            <v>16.925906024346425</v>
          </cell>
          <cell r="E762">
            <v>225.71749199999999</v>
          </cell>
          <cell r="F762">
            <v>47.432000000000002</v>
          </cell>
          <cell r="G762">
            <v>101.5728714</v>
          </cell>
          <cell r="H762">
            <v>54.140871399999995</v>
          </cell>
          <cell r="I762">
            <v>0.5330249175174937</v>
          </cell>
          <cell r="J762">
            <v>90.286996799999997</v>
          </cell>
          <cell r="K762">
            <v>42.854996799999995</v>
          </cell>
          <cell r="L762">
            <v>0.47465303220718041</v>
          </cell>
        </row>
        <row r="763">
          <cell r="A763" t="str">
            <v>YA2TS1P</v>
          </cell>
          <cell r="B763" t="str">
            <v>YA2 1-pole shroud</v>
          </cell>
          <cell r="C763">
            <v>5.4525530799999995</v>
          </cell>
          <cell r="D763">
            <v>20.349400845119042</v>
          </cell>
          <cell r="E763">
            <v>5.7251807339999994</v>
          </cell>
          <cell r="F763">
            <v>1.2150000000000001</v>
          </cell>
          <cell r="G763">
            <v>2.5763313302999999</v>
          </cell>
          <cell r="H763">
            <v>1.3613313302999999</v>
          </cell>
          <cell r="I763">
            <v>0.52839916756416583</v>
          </cell>
          <cell r="J763">
            <v>2.2900722935999998</v>
          </cell>
          <cell r="K763">
            <v>1.0750722935999997</v>
          </cell>
          <cell r="L763">
            <v>0.46944906350968646</v>
          </cell>
        </row>
        <row r="764">
          <cell r="A764" t="str">
            <v>YA2TS1P</v>
          </cell>
          <cell r="B764" t="str">
            <v>YA2 1-pole shroud</v>
          </cell>
          <cell r="C764">
            <v>5.4525530799999995</v>
          </cell>
          <cell r="D764">
            <v>3.9237327999999994</v>
          </cell>
          <cell r="E764">
            <v>5.7251807339999994</v>
          </cell>
          <cell r="F764">
            <v>1.2150000000000001</v>
          </cell>
          <cell r="G764">
            <v>2.5763313302999999</v>
          </cell>
          <cell r="H764">
            <v>1.3613313302999999</v>
          </cell>
          <cell r="I764">
            <v>0.52839916756416583</v>
          </cell>
          <cell r="J764">
            <v>2.2900722935999998</v>
          </cell>
          <cell r="K764">
            <v>1.0750722935999997</v>
          </cell>
          <cell r="L764">
            <v>0.46944906350968646</v>
          </cell>
        </row>
        <row r="765">
          <cell r="A765" t="str">
            <v>YA2TS3P</v>
          </cell>
          <cell r="B765" t="str">
            <v>YA2 3-pole shroud</v>
          </cell>
          <cell r="C765">
            <v>8.1788296199999984</v>
          </cell>
          <cell r="D765">
            <v>236.53109124951428</v>
          </cell>
          <cell r="E765">
            <v>8.5877711009999977</v>
          </cell>
          <cell r="F765">
            <v>1.3380000000000001</v>
          </cell>
          <cell r="G765">
            <v>3.8644969954499993</v>
          </cell>
          <cell r="H765">
            <v>2.5264969954499992</v>
          </cell>
          <cell r="I765">
            <v>0.65377124071377435</v>
          </cell>
          <cell r="J765">
            <v>3.4351084403999992</v>
          </cell>
          <cell r="K765">
            <v>2.0971084403999991</v>
          </cell>
          <cell r="L765">
            <v>0.61049264580299611</v>
          </cell>
        </row>
        <row r="766">
          <cell r="A766" t="str">
            <v>YA2TS3P</v>
          </cell>
          <cell r="B766" t="str">
            <v>YA2 3-pole shroud</v>
          </cell>
          <cell r="C766">
            <v>8.1788296199999984</v>
          </cell>
          <cell r="D766">
            <v>236.53109124951428</v>
          </cell>
          <cell r="E766">
            <v>8.5877711009999977</v>
          </cell>
          <cell r="F766">
            <v>1.3380000000000001</v>
          </cell>
          <cell r="G766">
            <v>3.8644969954499993</v>
          </cell>
          <cell r="H766">
            <v>2.5264969954499992</v>
          </cell>
          <cell r="I766">
            <v>0.65377124071377435</v>
          </cell>
          <cell r="J766">
            <v>3.4351084403999992</v>
          </cell>
          <cell r="K766">
            <v>2.0971084403999991</v>
          </cell>
          <cell r="L766">
            <v>0.61049264580299611</v>
          </cell>
        </row>
        <row r="767">
          <cell r="A767" t="str">
            <v>YA3B3P250D</v>
          </cell>
          <cell r="B767" t="str">
            <v>YA3 250A 3-pole switch disconnector</v>
          </cell>
          <cell r="C767">
            <v>239.68514580833332</v>
          </cell>
          <cell r="D767">
            <v>239.68514580833332</v>
          </cell>
          <cell r="E767">
            <v>239.68514580833332</v>
          </cell>
          <cell r="F767">
            <v>66.475999999999999</v>
          </cell>
          <cell r="G767">
            <v>107.85831561374999</v>
          </cell>
          <cell r="H767">
            <v>41.382315613749995</v>
          </cell>
          <cell r="I767">
            <v>0.38367292663779085</v>
          </cell>
          <cell r="J767">
            <v>95.87405832333333</v>
          </cell>
          <cell r="K767">
            <v>29.398058323333331</v>
          </cell>
          <cell r="L767">
            <v>0.30663204246751474</v>
          </cell>
        </row>
        <row r="768">
          <cell r="A768" t="str">
            <v>YA3B4P250D</v>
          </cell>
          <cell r="B768" t="str">
            <v>YA3 250A 4-pole switch disconnector</v>
          </cell>
          <cell r="C768">
            <v>308.16661603928571</v>
          </cell>
          <cell r="D768">
            <v>308.16661603928571</v>
          </cell>
          <cell r="E768">
            <v>308.16661603928571</v>
          </cell>
          <cell r="F768">
            <v>62.88</v>
          </cell>
          <cell r="G768">
            <v>138.67497721767859</v>
          </cell>
          <cell r="H768">
            <v>75.794977217678593</v>
          </cell>
          <cell r="I768">
            <v>0.54656563670245251</v>
          </cell>
          <cell r="J768">
            <v>123.26664641571429</v>
          </cell>
          <cell r="K768">
            <v>60.386646415714289</v>
          </cell>
          <cell r="L768">
            <v>0.48988634129025899</v>
          </cell>
        </row>
        <row r="769">
          <cell r="A769" t="str">
            <v>YA3CC3P</v>
          </cell>
          <cell r="B769" t="str">
            <v>YA3 cable clamps (set of 3)</v>
          </cell>
          <cell r="C769">
            <v>16.513079048142856</v>
          </cell>
          <cell r="D769">
            <v>329.00499528</v>
          </cell>
          <cell r="E769">
            <v>17.33873300055</v>
          </cell>
          <cell r="F769">
            <v>6.0880000000000001</v>
          </cell>
          <cell r="G769">
            <v>7.8024298502475</v>
          </cell>
          <cell r="H769">
            <v>1.7144298502474999</v>
          </cell>
          <cell r="I769">
            <v>0.21973024854470388</v>
          </cell>
          <cell r="J769">
            <v>6.9354932002200007</v>
          </cell>
          <cell r="K769">
            <v>0.84749320022000063</v>
          </cell>
          <cell r="L769">
            <v>0.12219652961279197</v>
          </cell>
        </row>
        <row r="770">
          <cell r="A770" t="str">
            <v>YA3CC4P</v>
          </cell>
          <cell r="B770" t="str">
            <v>YA3 cable clamps (set of 4)</v>
          </cell>
          <cell r="C770">
            <v>19.853073995238091</v>
          </cell>
          <cell r="D770">
            <v>348.58862595142847</v>
          </cell>
          <cell r="E770">
            <v>20.845727694999997</v>
          </cell>
          <cell r="F770">
            <v>8.1620000000000008</v>
          </cell>
          <cell r="G770">
            <v>9.3805774627499989</v>
          </cell>
          <cell r="H770">
            <v>1.2185774627499981</v>
          </cell>
          <cell r="I770">
            <v>0.12990431213738535</v>
          </cell>
          <cell r="J770">
            <v>8.3382910779999992</v>
          </cell>
          <cell r="K770">
            <v>0.17629107799999844</v>
          </cell>
          <cell r="L770">
            <v>2.1142351154558536E-2</v>
          </cell>
        </row>
        <row r="771">
          <cell r="A771" t="str">
            <v>YA3F4BP</v>
          </cell>
          <cell r="B771" t="str">
            <v>YA3 blanking kit</v>
          </cell>
          <cell r="C771">
            <v>3.8280319999999999</v>
          </cell>
          <cell r="D771">
            <v>366.21389355571426</v>
          </cell>
          <cell r="E771">
            <v>4.0194336000000002</v>
          </cell>
          <cell r="F771">
            <v>0.65</v>
          </cell>
          <cell r="G771">
            <v>1.8087451200000002</v>
          </cell>
          <cell r="H771">
            <v>1.1587451200000003</v>
          </cell>
          <cell r="I771">
            <v>0.64063482863743682</v>
          </cell>
          <cell r="J771">
            <v>1.6077734400000001</v>
          </cell>
          <cell r="K771">
            <v>0.95777344000000009</v>
          </cell>
          <cell r="L771">
            <v>0.59571418221711636</v>
          </cell>
        </row>
        <row r="772">
          <cell r="A772" t="str">
            <v>YA3J3P50T</v>
          </cell>
          <cell r="B772" t="str">
            <v>YA3 65kA 3-pole 50A MCCB</v>
          </cell>
          <cell r="C772">
            <v>230.76204024342857</v>
          </cell>
          <cell r="D772">
            <v>387.63662298349658</v>
          </cell>
          <cell r="E772">
            <v>242.30014225560001</v>
          </cell>
          <cell r="F772">
            <v>80.001000000000005</v>
          </cell>
          <cell r="G772">
            <v>109.03506401502001</v>
          </cell>
          <cell r="H772">
            <v>29.034064015020007</v>
          </cell>
          <cell r="I772">
            <v>0.26628190002273444</v>
          </cell>
          <cell r="J772">
            <v>96.920056902240006</v>
          </cell>
          <cell r="K772">
            <v>16.919056902240001</v>
          </cell>
          <cell r="L772">
            <v>0.1745671375255762</v>
          </cell>
        </row>
        <row r="773">
          <cell r="A773" t="str">
            <v>YA3J3P63T</v>
          </cell>
          <cell r="B773" t="str">
            <v>YA3 65kA 3-pole 63A MCCB</v>
          </cell>
          <cell r="C773">
            <v>230.76204024342857</v>
          </cell>
          <cell r="D773">
            <v>387.63662298349658</v>
          </cell>
          <cell r="E773">
            <v>242.30014225560001</v>
          </cell>
          <cell r="F773">
            <v>76.188000000000002</v>
          </cell>
          <cell r="G773">
            <v>109.03506401502001</v>
          </cell>
          <cell r="H773">
            <v>32.84706401502001</v>
          </cell>
          <cell r="I773">
            <v>0.30125230183287827</v>
          </cell>
          <cell r="J773">
            <v>96.920056902240006</v>
          </cell>
          <cell r="K773">
            <v>20.732056902240004</v>
          </cell>
          <cell r="L773">
            <v>0.21390883956198797</v>
          </cell>
        </row>
        <row r="774">
          <cell r="A774" t="str">
            <v>YA3J3P100T</v>
          </cell>
          <cell r="B774" t="str">
            <v>YA3 65kA 3-pole 100A MCCB</v>
          </cell>
          <cell r="C774">
            <v>260.66786828709706</v>
          </cell>
          <cell r="D774">
            <v>418.29714683529863</v>
          </cell>
          <cell r="E774">
            <v>273.70126170145193</v>
          </cell>
          <cell r="F774">
            <v>80.001000000000005</v>
          </cell>
          <cell r="G774">
            <v>123.16556776565336</v>
          </cell>
          <cell r="H774">
            <v>43.164567765653359</v>
          </cell>
          <cell r="I774">
            <v>0.3504596986698621</v>
          </cell>
          <cell r="J774">
            <v>109.48050468058078</v>
          </cell>
          <cell r="K774">
            <v>29.479504680580774</v>
          </cell>
          <cell r="L774">
            <v>0.26926716100359493</v>
          </cell>
        </row>
        <row r="775">
          <cell r="A775" t="str">
            <v>YA3J3P125T</v>
          </cell>
          <cell r="B775" t="str">
            <v>YA3 65kA 3-pole 125A MCCB</v>
          </cell>
          <cell r="C775">
            <v>277.03672657142857</v>
          </cell>
          <cell r="D775">
            <v>458.25695771142853</v>
          </cell>
          <cell r="E775">
            <v>290.88856290000001</v>
          </cell>
          <cell r="F775">
            <v>80.001000000000005</v>
          </cell>
          <cell r="G775">
            <v>130.89985330500002</v>
          </cell>
          <cell r="H775">
            <v>50.898853305000017</v>
          </cell>
          <cell r="I775">
            <v>0.38883812334307494</v>
          </cell>
          <cell r="J775">
            <v>116.35542516000001</v>
          </cell>
          <cell r="K775">
            <v>36.354425160000005</v>
          </cell>
          <cell r="L775">
            <v>0.31244288876095927</v>
          </cell>
        </row>
        <row r="776">
          <cell r="A776" t="str">
            <v>YA3J3P160T</v>
          </cell>
          <cell r="B776" t="str">
            <v>YA3 65kA 3-pole 160A MCCB</v>
          </cell>
          <cell r="C776">
            <v>320.98048320000004</v>
          </cell>
          <cell r="D776">
            <v>497.42421905428563</v>
          </cell>
          <cell r="E776">
            <v>337.02950736000003</v>
          </cell>
          <cell r="F776">
            <v>103.416</v>
          </cell>
          <cell r="G776">
            <v>151.66327831200002</v>
          </cell>
          <cell r="H776">
            <v>48.24727831200002</v>
          </cell>
          <cell r="I776">
            <v>0.3181210300145712</v>
          </cell>
          <cell r="J776">
            <v>134.81180294400002</v>
          </cell>
          <cell r="K776">
            <v>31.395802944000025</v>
          </cell>
          <cell r="L776">
            <v>0.23288615876639263</v>
          </cell>
        </row>
        <row r="777">
          <cell r="A777" t="str">
            <v>YA3J3P200T</v>
          </cell>
          <cell r="B777" t="str">
            <v>YA3 65kA 3-pole 200A MCCB</v>
          </cell>
          <cell r="C777">
            <v>340.08646434285708</v>
          </cell>
          <cell r="D777">
            <v>536.59148039714273</v>
          </cell>
          <cell r="E777">
            <v>357.09078755999997</v>
          </cell>
          <cell r="F777">
            <v>103.416</v>
          </cell>
          <cell r="G777">
            <v>160.69085440199999</v>
          </cell>
          <cell r="H777">
            <v>57.274854401999988</v>
          </cell>
          <cell r="I777">
            <v>0.35642883731712321</v>
          </cell>
          <cell r="J777">
            <v>142.83631502399999</v>
          </cell>
          <cell r="K777">
            <v>39.42031502399999</v>
          </cell>
          <cell r="L777">
            <v>0.27598244198176364</v>
          </cell>
        </row>
        <row r="778">
          <cell r="A778" t="str">
            <v>YA3J3P250T</v>
          </cell>
          <cell r="B778" t="str">
            <v>YA3 65kA 3-pole 250A MCCB</v>
          </cell>
          <cell r="C778">
            <v>357.28184737142857</v>
          </cell>
          <cell r="D778">
            <v>556.17511106857148</v>
          </cell>
          <cell r="E778">
            <v>375.14593974000002</v>
          </cell>
          <cell r="F778">
            <v>103.416</v>
          </cell>
          <cell r="G778">
            <v>168.81567288300002</v>
          </cell>
          <cell r="H778">
            <v>65.399672883000022</v>
          </cell>
          <cell r="I778">
            <v>0.38740285049437412</v>
          </cell>
          <cell r="J778">
            <v>150.058375896</v>
          </cell>
          <cell r="K778">
            <v>46.642375896000004</v>
          </cell>
          <cell r="L778">
            <v>0.31082820680617079</v>
          </cell>
        </row>
        <row r="779">
          <cell r="A779" t="str">
            <v>YA3J4P50T</v>
          </cell>
          <cell r="B779" t="str">
            <v>YA3 65kA 4-pole 50A MCCB</v>
          </cell>
          <cell r="C779">
            <v>378.18207120341134</v>
          </cell>
          <cell r="D779">
            <v>385.19683401712496</v>
          </cell>
          <cell r="E779">
            <v>397.09117476358188</v>
          </cell>
          <cell r="F779" t="e">
            <v>#N/A</v>
          </cell>
          <cell r="G779">
            <v>178.69102864361184</v>
          </cell>
          <cell r="H779" t="e">
            <v>#N/A</v>
          </cell>
          <cell r="I779" t="e">
            <v>#N/A</v>
          </cell>
          <cell r="J779">
            <v>158.83646990543275</v>
          </cell>
          <cell r="K779" t="e">
            <v>#N/A</v>
          </cell>
          <cell r="L779" t="e">
            <v>#N/A</v>
          </cell>
        </row>
        <row r="780">
          <cell r="A780" t="str">
            <v>YA3J4P63T</v>
          </cell>
          <cell r="B780" t="str">
            <v>YA3 65kA 4-pole 63A MCCB</v>
          </cell>
          <cell r="C780">
            <v>378.18207120341134</v>
          </cell>
          <cell r="D780">
            <v>385.19683401712496</v>
          </cell>
          <cell r="E780">
            <v>397.09117476358188</v>
          </cell>
          <cell r="F780" t="e">
            <v>#N/A</v>
          </cell>
          <cell r="G780">
            <v>178.69102864361184</v>
          </cell>
          <cell r="H780" t="e">
            <v>#N/A</v>
          </cell>
          <cell r="I780" t="e">
            <v>#N/A</v>
          </cell>
          <cell r="J780">
            <v>158.83646990543275</v>
          </cell>
          <cell r="K780" t="e">
            <v>#N/A</v>
          </cell>
          <cell r="L780" t="e">
            <v>#N/A</v>
          </cell>
        </row>
        <row r="781">
          <cell r="A781" t="str">
            <v>YA3J4P100T</v>
          </cell>
          <cell r="B781" t="str">
            <v>YA3 65kA 4-pole 100A MCCB</v>
          </cell>
          <cell r="C781">
            <v>408.09477740029138</v>
          </cell>
          <cell r="D781">
            <v>111.92999999999999</v>
          </cell>
          <cell r="E781">
            <v>428.49951627030595</v>
          </cell>
          <cell r="F781" t="e">
            <v>#N/A</v>
          </cell>
          <cell r="G781">
            <v>192.82478232163768</v>
          </cell>
          <cell r="H781" t="e">
            <v>#N/A</v>
          </cell>
          <cell r="I781" t="e">
            <v>#N/A</v>
          </cell>
          <cell r="J781">
            <v>171.3998065081224</v>
          </cell>
          <cell r="K781" t="e">
            <v>#N/A</v>
          </cell>
          <cell r="L781" t="e">
            <v>#N/A</v>
          </cell>
        </row>
        <row r="782">
          <cell r="A782" t="str">
            <v>YA3J4P125T</v>
          </cell>
          <cell r="B782" t="str">
            <v>YA3 65kA 4-pole 125A MCCB</v>
          </cell>
          <cell r="C782">
            <v>447.07995874285712</v>
          </cell>
          <cell r="E782">
            <v>469.43395667999999</v>
          </cell>
          <cell r="F782" t="e">
            <v>#N/A</v>
          </cell>
          <cell r="G782">
            <v>211.245280506</v>
          </cell>
          <cell r="H782" t="e">
            <v>#N/A</v>
          </cell>
          <cell r="I782" t="e">
            <v>#N/A</v>
          </cell>
          <cell r="J782">
            <v>187.773582672</v>
          </cell>
          <cell r="K782" t="e">
            <v>#N/A</v>
          </cell>
          <cell r="L782" t="e">
            <v>#N/A</v>
          </cell>
        </row>
        <row r="783">
          <cell r="A783" t="str">
            <v>YA3J4P160T</v>
          </cell>
          <cell r="B783" t="str">
            <v>YA3 65kA 4-pole 160A MCCB</v>
          </cell>
          <cell r="C783">
            <v>485.29192102857138</v>
          </cell>
          <cell r="E783">
            <v>509.55651707999994</v>
          </cell>
          <cell r="F783">
            <v>127.79</v>
          </cell>
          <cell r="G783">
            <v>229.30043268599997</v>
          </cell>
          <cell r="H783">
            <v>101.51043268599996</v>
          </cell>
          <cell r="I783">
            <v>0.44269621080482907</v>
          </cell>
          <cell r="J783">
            <v>203.82260683199999</v>
          </cell>
          <cell r="K783">
            <v>76.032606831999985</v>
          </cell>
          <cell r="L783">
            <v>0.3730332371554328</v>
          </cell>
        </row>
        <row r="784">
          <cell r="A784" t="str">
            <v>YA3J4P200T</v>
          </cell>
          <cell r="B784" t="str">
            <v>YA3 65kA 4-pole 200A MCCB</v>
          </cell>
          <cell r="C784">
            <v>523.50388331428564</v>
          </cell>
          <cell r="D784">
            <v>81.038570151499982</v>
          </cell>
          <cell r="E784">
            <v>549.67907747999993</v>
          </cell>
          <cell r="F784">
            <v>98.566000000000003</v>
          </cell>
          <cell r="G784">
            <v>247.35558486599999</v>
          </cell>
          <cell r="H784">
            <v>148.78958486599998</v>
          </cell>
          <cell r="I784">
            <v>0.60152102466820712</v>
          </cell>
          <cell r="J784">
            <v>219.87163099199998</v>
          </cell>
          <cell r="K784">
            <v>121.30563099199998</v>
          </cell>
          <cell r="L784">
            <v>0.55171115275173299</v>
          </cell>
        </row>
        <row r="785">
          <cell r="A785" t="str">
            <v>YA3J4P250T</v>
          </cell>
          <cell r="B785" t="str">
            <v>YA3 65kA 4-pole 250A MCCB</v>
          </cell>
          <cell r="C785">
            <v>542.60986445714298</v>
          </cell>
          <cell r="D785">
            <v>81.424468104602369</v>
          </cell>
          <cell r="E785">
            <v>569.7403576800001</v>
          </cell>
          <cell r="F785" t="e">
            <v>#N/A</v>
          </cell>
          <cell r="G785">
            <v>256.38316095600004</v>
          </cell>
          <cell r="H785" t="e">
            <v>#N/A</v>
          </cell>
          <cell r="I785" t="e">
            <v>#N/A</v>
          </cell>
          <cell r="J785">
            <v>227.89614307200006</v>
          </cell>
          <cell r="K785" t="e">
            <v>#N/A</v>
          </cell>
          <cell r="L785" t="e">
            <v>#N/A</v>
          </cell>
        </row>
        <row r="786">
          <cell r="A786" t="str">
            <v>YA3MA110</v>
          </cell>
          <cell r="B786" t="str">
            <v>YA3 motor operator 110V</v>
          </cell>
          <cell r="C786">
            <v>375.80178928499998</v>
          </cell>
          <cell r="D786">
            <v>81.424468104602369</v>
          </cell>
          <cell r="E786">
            <v>394.59187874924999</v>
          </cell>
          <cell r="F786">
            <v>118.402</v>
          </cell>
          <cell r="G786">
            <v>177.56634543716251</v>
          </cell>
          <cell r="H786">
            <v>59.16434543716251</v>
          </cell>
          <cell r="I786">
            <v>0.33319571505231937</v>
          </cell>
          <cell r="J786">
            <v>157.8367514997</v>
          </cell>
          <cell r="K786">
            <v>39.434751499699999</v>
          </cell>
          <cell r="L786">
            <v>0.24984517943385925</v>
          </cell>
        </row>
        <row r="787">
          <cell r="A787" t="str">
            <v>YA3MA240</v>
          </cell>
          <cell r="B787" t="str">
            <v>YA3 motor operator 240V</v>
          </cell>
          <cell r="C787">
            <v>375.80178928499998</v>
          </cell>
          <cell r="D787">
            <v>82.827547074999984</v>
          </cell>
          <cell r="E787">
            <v>394.59187874924999</v>
          </cell>
          <cell r="F787">
            <v>124.32299999999999</v>
          </cell>
          <cell r="G787">
            <v>177.56634543716251</v>
          </cell>
          <cell r="H787">
            <v>53.243345437162517</v>
          </cell>
          <cell r="I787">
            <v>0.29985043227689995</v>
          </cell>
          <cell r="J787">
            <v>157.8367514997</v>
          </cell>
          <cell r="K787">
            <v>33.513751499700007</v>
          </cell>
          <cell r="L787">
            <v>0.21233173631151239</v>
          </cell>
        </row>
        <row r="788">
          <cell r="A788" t="str">
            <v>YA3ML3PL</v>
          </cell>
          <cell r="B788" t="str">
            <v>YA3 left hand mechanical interlock 3P</v>
          </cell>
          <cell r="C788">
            <v>109.2</v>
          </cell>
          <cell r="D788">
            <v>82.828338244336862</v>
          </cell>
          <cell r="E788">
            <v>114.66</v>
          </cell>
          <cell r="F788">
            <v>31.004999999999999</v>
          </cell>
          <cell r="G788">
            <v>51.597000000000001</v>
          </cell>
          <cell r="H788">
            <v>20.592000000000002</v>
          </cell>
          <cell r="I788">
            <v>0.39909297052154197</v>
          </cell>
          <cell r="J788">
            <v>45.864000000000004</v>
          </cell>
          <cell r="K788">
            <v>14.859000000000005</v>
          </cell>
          <cell r="L788">
            <v>0.3239795918367348</v>
          </cell>
        </row>
        <row r="789">
          <cell r="A789" t="str">
            <v>YA3ML4PL</v>
          </cell>
          <cell r="B789" t="str">
            <v>YA3 left hand  mechanical interlock 4P</v>
          </cell>
          <cell r="C789">
            <v>109.2</v>
          </cell>
          <cell r="D789">
            <v>82.828338244336862</v>
          </cell>
          <cell r="E789">
            <v>114.66</v>
          </cell>
          <cell r="F789">
            <v>31.004999999999999</v>
          </cell>
          <cell r="G789">
            <v>51.597000000000001</v>
          </cell>
          <cell r="H789">
            <v>20.592000000000002</v>
          </cell>
          <cell r="I789">
            <v>0.39909297052154197</v>
          </cell>
          <cell r="J789">
            <v>45.864000000000004</v>
          </cell>
          <cell r="K789">
            <v>14.859000000000005</v>
          </cell>
          <cell r="L789">
            <v>0.3239795918367348</v>
          </cell>
        </row>
        <row r="790">
          <cell r="A790" t="str">
            <v>YA3MLR</v>
          </cell>
          <cell r="B790" t="str">
            <v>YA3 right hand mechanical interlock 3P</v>
          </cell>
          <cell r="C790">
            <v>109.2</v>
          </cell>
          <cell r="D790">
            <v>103.75820923000001</v>
          </cell>
          <cell r="E790">
            <v>114.66</v>
          </cell>
          <cell r="F790">
            <v>31.004999999999999</v>
          </cell>
          <cell r="G790">
            <v>51.597000000000001</v>
          </cell>
          <cell r="H790">
            <v>20.592000000000002</v>
          </cell>
          <cell r="I790">
            <v>0.39909297052154197</v>
          </cell>
          <cell r="J790">
            <v>45.864000000000004</v>
          </cell>
          <cell r="K790">
            <v>14.859000000000005</v>
          </cell>
          <cell r="L790">
            <v>0.3239795918367348</v>
          </cell>
        </row>
        <row r="791">
          <cell r="A791" t="str">
            <v>YA3N1P16T</v>
          </cell>
          <cell r="B791" t="str">
            <v>YA3 25kA 1-pole 16A MCCB</v>
          </cell>
          <cell r="C791">
            <v>79.06201965999999</v>
          </cell>
          <cell r="D791">
            <v>90.637059902380955</v>
          </cell>
          <cell r="E791">
            <v>83.015120642999989</v>
          </cell>
          <cell r="F791">
            <v>21.920999999999999</v>
          </cell>
          <cell r="G791">
            <v>37.356804289349995</v>
          </cell>
          <cell r="H791">
            <v>15.435804289349996</v>
          </cell>
          <cell r="I791">
            <v>0.41319927073501228</v>
          </cell>
          <cell r="J791">
            <v>33.206048257199996</v>
          </cell>
          <cell r="K791">
            <v>11.285048257199996</v>
          </cell>
          <cell r="L791">
            <v>0.33984917957688876</v>
          </cell>
        </row>
        <row r="792">
          <cell r="A792" t="str">
            <v>YA3N1P20T</v>
          </cell>
          <cell r="B792" t="str">
            <v>YA3 25kA 1-pole 20A MCCB</v>
          </cell>
          <cell r="C792">
            <v>79.438505467904761</v>
          </cell>
          <cell r="D792">
            <v>103.69281368333331</v>
          </cell>
          <cell r="E792">
            <v>83.410430741300004</v>
          </cell>
          <cell r="F792">
            <v>21.920999999999999</v>
          </cell>
          <cell r="G792">
            <v>37.534693833585003</v>
          </cell>
          <cell r="H792">
            <v>15.613693833585003</v>
          </cell>
          <cell r="I792">
            <v>0.41598031684527298</v>
          </cell>
          <cell r="J792">
            <v>33.364172296520003</v>
          </cell>
          <cell r="K792">
            <v>11.443172296520004</v>
          </cell>
          <cell r="L792">
            <v>0.34297785645093209</v>
          </cell>
        </row>
        <row r="793">
          <cell r="A793" t="str">
            <v>YA3N1P32T</v>
          </cell>
          <cell r="B793" t="str">
            <v>YA3 25kA 1-pole 32A MCCB</v>
          </cell>
          <cell r="C793">
            <v>79.438505467904761</v>
          </cell>
          <cell r="D793">
            <v>171.27215704761181</v>
          </cell>
          <cell r="E793">
            <v>83.410430741300004</v>
          </cell>
          <cell r="F793">
            <v>21.920999999999999</v>
          </cell>
          <cell r="G793">
            <v>37.534693833585003</v>
          </cell>
          <cell r="H793">
            <v>15.613693833585003</v>
          </cell>
          <cell r="I793">
            <v>0.41598031684527298</v>
          </cell>
          <cell r="J793">
            <v>33.364172296520003</v>
          </cell>
          <cell r="K793">
            <v>11.443172296520004</v>
          </cell>
          <cell r="L793">
            <v>0.34297785645093209</v>
          </cell>
        </row>
        <row r="794">
          <cell r="A794" t="str">
            <v>YA3N1P40T</v>
          </cell>
          <cell r="B794" t="str">
            <v>YA3 25kA 1-pole 40A MCCB</v>
          </cell>
          <cell r="C794">
            <v>80.807362999999995</v>
          </cell>
          <cell r="D794">
            <v>151.61797509132856</v>
          </cell>
          <cell r="E794">
            <v>84.847731150000001</v>
          </cell>
          <cell r="F794">
            <v>21.920999999999999</v>
          </cell>
          <cell r="G794">
            <v>38.181479017500003</v>
          </cell>
          <cell r="H794">
            <v>16.260479017500003</v>
          </cell>
          <cell r="I794">
            <v>0.42587347153438493</v>
          </cell>
          <cell r="J794">
            <v>33.939092460000005</v>
          </cell>
          <cell r="K794">
            <v>12.018092460000005</v>
          </cell>
          <cell r="L794">
            <v>0.35410765547618311</v>
          </cell>
        </row>
        <row r="795">
          <cell r="A795" t="str">
            <v>YA3N1P50T</v>
          </cell>
          <cell r="B795" t="str">
            <v>YA3 25kA 1-pole 50A MCCB</v>
          </cell>
          <cell r="C795">
            <v>80.80813487252378</v>
          </cell>
          <cell r="D795">
            <v>151.61797509132856</v>
          </cell>
          <cell r="E795">
            <v>84.848541616149973</v>
          </cell>
          <cell r="F795">
            <v>21.920999999999999</v>
          </cell>
          <cell r="G795">
            <v>38.181843727267491</v>
          </cell>
          <cell r="H795">
            <v>16.260843727267492</v>
          </cell>
          <cell r="I795">
            <v>0.42587895554281058</v>
          </cell>
          <cell r="J795">
            <v>33.939416646459989</v>
          </cell>
          <cell r="K795">
            <v>12.01841664645999</v>
          </cell>
          <cell r="L795">
            <v>0.3541138249856618</v>
          </cell>
        </row>
        <row r="796">
          <cell r="A796" t="str">
            <v>YA3N1P63T</v>
          </cell>
          <cell r="B796" t="str">
            <v>YA3 25kA 1-pole 63A MCCB</v>
          </cell>
          <cell r="C796">
            <v>80.80813487252378</v>
          </cell>
          <cell r="D796">
            <v>151.62249439071425</v>
          </cell>
          <cell r="E796">
            <v>84.848541616149973</v>
          </cell>
          <cell r="F796">
            <v>23.135999999999999</v>
          </cell>
          <cell r="G796">
            <v>38.181843727267491</v>
          </cell>
          <cell r="H796">
            <v>15.045843727267492</v>
          </cell>
          <cell r="I796">
            <v>0.39405754826141443</v>
          </cell>
          <cell r="J796">
            <v>33.939416646459989</v>
          </cell>
          <cell r="K796">
            <v>10.80341664645999</v>
          </cell>
          <cell r="L796">
            <v>0.31831474179409114</v>
          </cell>
        </row>
        <row r="797">
          <cell r="A797" t="str">
            <v>YA3N1P80T</v>
          </cell>
          <cell r="B797" t="str">
            <v>YA3 25kA 1-pole 80A MCCB</v>
          </cell>
          <cell r="C797">
            <v>101.22752120000001</v>
          </cell>
          <cell r="D797">
            <v>151.62249439071425</v>
          </cell>
          <cell r="E797">
            <v>106.28889726000001</v>
          </cell>
          <cell r="F797">
            <v>23.135999999999999</v>
          </cell>
          <cell r="G797">
            <v>47.830003767000008</v>
          </cell>
          <cell r="H797">
            <v>24.694003767000009</v>
          </cell>
          <cell r="I797">
            <v>0.51628688735411454</v>
          </cell>
          <cell r="J797">
            <v>42.515558904000009</v>
          </cell>
          <cell r="K797">
            <v>19.37955890400001</v>
          </cell>
          <cell r="L797">
            <v>0.45582274827337893</v>
          </cell>
        </row>
        <row r="798">
          <cell r="A798" t="str">
            <v>YA3N1P100T</v>
          </cell>
          <cell r="B798" t="str">
            <v>YA3 25kA 1-pole 100A MCCB</v>
          </cell>
          <cell r="C798">
            <v>88.426399904761908</v>
          </cell>
          <cell r="D798">
            <v>171.27215704761181</v>
          </cell>
          <cell r="E798">
            <v>92.847719900000001</v>
          </cell>
          <cell r="F798">
            <v>23.135999999999999</v>
          </cell>
          <cell r="G798">
            <v>41.781473955000003</v>
          </cell>
          <cell r="H798">
            <v>18.645473955000003</v>
          </cell>
          <cell r="I798">
            <v>0.44626175646847166</v>
          </cell>
          <cell r="J798">
            <v>37.139087960000005</v>
          </cell>
          <cell r="K798">
            <v>14.003087960000006</v>
          </cell>
          <cell r="L798">
            <v>0.37704447602703067</v>
          </cell>
        </row>
        <row r="799">
          <cell r="A799" t="str">
            <v>YA3N1P125T</v>
          </cell>
          <cell r="B799" t="str">
            <v>YA3 25kA 1-pole 125A MCCB</v>
          </cell>
          <cell r="C799">
            <v>101.16372066666665</v>
          </cell>
          <cell r="D799">
            <v>182.02733636904762</v>
          </cell>
          <cell r="E799">
            <v>106.22190669999998</v>
          </cell>
          <cell r="F799">
            <v>22.611999999999998</v>
          </cell>
          <cell r="G799">
            <v>47.799858014999991</v>
          </cell>
          <cell r="H799">
            <v>25.187858014999993</v>
          </cell>
          <cell r="I799">
            <v>0.52694420153080446</v>
          </cell>
          <cell r="J799">
            <v>42.488762679999994</v>
          </cell>
          <cell r="K799">
            <v>19.876762679999995</v>
          </cell>
          <cell r="L799">
            <v>0.467812226722155</v>
          </cell>
        </row>
        <row r="800">
          <cell r="A800" t="str">
            <v>YA3N1P160T</v>
          </cell>
          <cell r="B800" t="str">
            <v>YA3 25kA 1-pole 160A MCCB</v>
          </cell>
          <cell r="C800">
            <v>167.09478736352372</v>
          </cell>
          <cell r="D800">
            <v>210.90063800000001</v>
          </cell>
          <cell r="E800">
            <v>175.4495267316999</v>
          </cell>
          <cell r="F800">
            <v>25.567</v>
          </cell>
          <cell r="G800">
            <v>78.952287029264966</v>
          </cell>
          <cell r="H800">
            <v>53.385287029264965</v>
          </cell>
          <cell r="I800">
            <v>0.67617150861604336</v>
          </cell>
          <cell r="J800">
            <v>70.179810692679965</v>
          </cell>
          <cell r="K800">
            <v>44.612810692679965</v>
          </cell>
          <cell r="L800">
            <v>0.63569294719304881</v>
          </cell>
        </row>
        <row r="801">
          <cell r="A801" t="str">
            <v>YA3N3P20T</v>
          </cell>
          <cell r="B801" t="str">
            <v>YA3 25kA 3-pole 20A MCCB</v>
          </cell>
          <cell r="C801">
            <v>147.91997569885714</v>
          </cell>
          <cell r="D801">
            <v>223.45424740476184</v>
          </cell>
          <cell r="E801">
            <v>155.31597448380001</v>
          </cell>
          <cell r="F801">
            <v>42.002000000000002</v>
          </cell>
          <cell r="G801">
            <v>69.892188517710011</v>
          </cell>
          <cell r="H801">
            <v>27.890188517710008</v>
          </cell>
          <cell r="I801">
            <v>0.39904586062064579</v>
          </cell>
          <cell r="J801">
            <v>62.126389793520005</v>
          </cell>
          <cell r="K801">
            <v>20.124389793520002</v>
          </cell>
          <cell r="L801">
            <v>0.32392659319822648</v>
          </cell>
        </row>
        <row r="802">
          <cell r="A802" t="str">
            <v>YA3N3P32T</v>
          </cell>
          <cell r="B802" t="str">
            <v>YA3 25kA 3-pole 32A MCCB</v>
          </cell>
          <cell r="C802">
            <v>147.91997569885714</v>
          </cell>
          <cell r="D802">
            <v>234.75249586904758</v>
          </cell>
          <cell r="E802">
            <v>155.31597448380001</v>
          </cell>
          <cell r="F802">
            <v>42.002000000000002</v>
          </cell>
          <cell r="G802">
            <v>69.892188517710011</v>
          </cell>
          <cell r="H802">
            <v>27.890188517710008</v>
          </cell>
          <cell r="I802">
            <v>0.39904586062064579</v>
          </cell>
          <cell r="J802">
            <v>62.126389793520005</v>
          </cell>
          <cell r="K802">
            <v>20.124389793520002</v>
          </cell>
          <cell r="L802">
            <v>0.32392659319822648</v>
          </cell>
        </row>
        <row r="803">
          <cell r="A803" t="str">
            <v>YA3N3P50T</v>
          </cell>
          <cell r="B803" t="str">
            <v>YA3 25kA 3-pole 50A MCCB</v>
          </cell>
          <cell r="C803">
            <v>147.92438477142855</v>
          </cell>
          <cell r="D803">
            <v>248.48501473301064</v>
          </cell>
          <cell r="E803">
            <v>155.32060400999998</v>
          </cell>
          <cell r="F803">
            <v>42.002000000000002</v>
          </cell>
          <cell r="G803">
            <v>69.894271804499994</v>
          </cell>
          <cell r="H803">
            <v>27.892271804499991</v>
          </cell>
          <cell r="I803">
            <v>0.39906377281556005</v>
          </cell>
          <cell r="J803">
            <v>62.128241603999996</v>
          </cell>
          <cell r="K803">
            <v>20.126241603999993</v>
          </cell>
          <cell r="L803">
            <v>0.32394674441750509</v>
          </cell>
        </row>
        <row r="804">
          <cell r="A804" t="str">
            <v>YA3N3P63T</v>
          </cell>
          <cell r="B804" t="str">
            <v>YA3 25kA 3-pole 63A MCCB</v>
          </cell>
          <cell r="C804">
            <v>147.92438477142855</v>
          </cell>
          <cell r="D804">
            <v>248.48501473301064</v>
          </cell>
          <cell r="E804">
            <v>155.32060400999998</v>
          </cell>
          <cell r="F804">
            <v>44.097999999999999</v>
          </cell>
          <cell r="G804">
            <v>69.894271804499994</v>
          </cell>
          <cell r="H804">
            <v>25.796271804499995</v>
          </cell>
          <cell r="I804">
            <v>0.36907562148518097</v>
          </cell>
          <cell r="J804">
            <v>62.128241603999996</v>
          </cell>
          <cell r="K804">
            <v>18.030241603999997</v>
          </cell>
          <cell r="L804">
            <v>0.29021007417082856</v>
          </cell>
        </row>
        <row r="805">
          <cell r="A805" t="str">
            <v>YA3N3P100T</v>
          </cell>
          <cell r="B805" t="str">
            <v>YA3 25kA 3-pole 100A MCCB</v>
          </cell>
          <cell r="C805">
            <v>167.09478736352372</v>
          </cell>
          <cell r="D805">
            <v>248.48501473301064</v>
          </cell>
          <cell r="E805">
            <v>175.4495267316999</v>
          </cell>
          <cell r="F805">
            <v>44.097999999999999</v>
          </cell>
          <cell r="G805">
            <v>78.952287029264966</v>
          </cell>
          <cell r="H805">
            <v>34.854287029264967</v>
          </cell>
          <cell r="I805">
            <v>0.44146013169125364</v>
          </cell>
          <cell r="J805">
            <v>70.179810692679965</v>
          </cell>
          <cell r="K805">
            <v>26.081810692679966</v>
          </cell>
          <cell r="L805">
            <v>0.37164264815266029</v>
          </cell>
        </row>
        <row r="806">
          <cell r="A806" t="str">
            <v>YA3N3P125T</v>
          </cell>
          <cell r="B806" t="str">
            <v>YA3 25kA 3-pole 125A MCCB</v>
          </cell>
          <cell r="C806">
            <v>177.58764523809526</v>
          </cell>
          <cell r="D806">
            <v>248.48501473301064</v>
          </cell>
          <cell r="E806">
            <v>186.46702750000003</v>
          </cell>
          <cell r="F806">
            <v>49.216000000000001</v>
          </cell>
          <cell r="G806">
            <v>83.910162375000013</v>
          </cell>
          <cell r="H806">
            <v>34.694162375000012</v>
          </cell>
          <cell r="I806">
            <v>0.41346794468052067</v>
          </cell>
          <cell r="J806">
            <v>74.586811000000012</v>
          </cell>
          <cell r="K806">
            <v>25.37081100000001</v>
          </cell>
          <cell r="L806">
            <v>0.34015143776558576</v>
          </cell>
        </row>
        <row r="807">
          <cell r="A807" t="str">
            <v>YA3N3P160T</v>
          </cell>
          <cell r="B807" t="str">
            <v>YA3 25kA 3-pole 160A MCCB</v>
          </cell>
          <cell r="C807">
            <v>205.75672000000003</v>
          </cell>
          <cell r="D807">
            <v>268.13919668929395</v>
          </cell>
          <cell r="E807">
            <v>216.04455600000003</v>
          </cell>
          <cell r="F807">
            <v>55.649000000000001</v>
          </cell>
          <cell r="G807">
            <v>97.220050200000017</v>
          </cell>
          <cell r="H807">
            <v>41.571050200000016</v>
          </cell>
          <cell r="I807">
            <v>0.42759749778446432</v>
          </cell>
          <cell r="J807">
            <v>86.41782240000002</v>
          </cell>
          <cell r="K807">
            <v>30.768822400000019</v>
          </cell>
          <cell r="L807">
            <v>0.35604718500752236</v>
          </cell>
        </row>
        <row r="808">
          <cell r="A808" t="str">
            <v>YA3N3P200T</v>
          </cell>
          <cell r="B808" t="str">
            <v>YA3 25kA 3-pole 200A MCCB</v>
          </cell>
          <cell r="C808">
            <v>218.00414380952378</v>
          </cell>
          <cell r="D808">
            <v>293.75446007142853</v>
          </cell>
          <cell r="E808">
            <v>228.90435099999996</v>
          </cell>
          <cell r="F808">
            <v>55.649000000000001</v>
          </cell>
          <cell r="G808">
            <v>103.00695794999999</v>
          </cell>
          <cell r="H808">
            <v>47.357957949999985</v>
          </cell>
          <cell r="I808">
            <v>0.45975494172915715</v>
          </cell>
          <cell r="J808">
            <v>91.561740399999991</v>
          </cell>
          <cell r="K808">
            <v>35.91274039999999</v>
          </cell>
          <cell r="L808">
            <v>0.39222430944530184</v>
          </cell>
        </row>
        <row r="809">
          <cell r="A809" t="str">
            <v>YA3N3P250T</v>
          </cell>
          <cell r="B809" t="str">
            <v>YA3 25kA 3-pole 250A MCCB</v>
          </cell>
          <cell r="C809">
            <v>229.02682523809523</v>
          </cell>
          <cell r="D809">
            <v>318.86167888095235</v>
          </cell>
          <cell r="E809">
            <v>240.47816649999999</v>
          </cell>
          <cell r="F809">
            <v>55.649000000000001</v>
          </cell>
          <cell r="G809">
            <v>108.215174925</v>
          </cell>
          <cell r="H809">
            <v>52.566174924999999</v>
          </cell>
          <cell r="I809">
            <v>0.48575604079032081</v>
          </cell>
          <cell r="J809">
            <v>96.191266600000006</v>
          </cell>
          <cell r="K809">
            <v>40.542266600000005</v>
          </cell>
          <cell r="L809">
            <v>0.4214755458891109</v>
          </cell>
        </row>
        <row r="810">
          <cell r="A810" t="str">
            <v>YA3N4P20T</v>
          </cell>
          <cell r="B810" t="str">
            <v>YA3 25kA 4-pole 20A MCCB</v>
          </cell>
          <cell r="C810">
            <v>242.42440461757138</v>
          </cell>
          <cell r="D810">
            <v>343.96889769047613</v>
          </cell>
          <cell r="E810">
            <v>254.54562484844996</v>
          </cell>
          <cell r="F810">
            <v>61.8</v>
          </cell>
          <cell r="G810">
            <v>114.54553118180249</v>
          </cell>
          <cell r="H810">
            <v>52.745531181802491</v>
          </cell>
          <cell r="I810">
            <v>0.46047655144299526</v>
          </cell>
          <cell r="J810">
            <v>101.81824993938</v>
          </cell>
          <cell r="K810">
            <v>40.018249939379999</v>
          </cell>
          <cell r="L810">
            <v>0.39303612037336971</v>
          </cell>
        </row>
        <row r="811">
          <cell r="A811" t="str">
            <v>YA3N4P32T</v>
          </cell>
          <cell r="B811" t="str">
            <v>YA3 25kA 4-pole 32A MCCB</v>
          </cell>
          <cell r="C811">
            <v>242.42440461757138</v>
          </cell>
          <cell r="D811">
            <v>356.5225070952381</v>
          </cell>
          <cell r="E811">
            <v>254.54562484844996</v>
          </cell>
          <cell r="F811">
            <v>61.8</v>
          </cell>
          <cell r="G811">
            <v>114.54553118180249</v>
          </cell>
          <cell r="H811">
            <v>52.745531181802491</v>
          </cell>
          <cell r="I811">
            <v>0.46047655144299526</v>
          </cell>
          <cell r="J811">
            <v>101.81824993938</v>
          </cell>
          <cell r="K811">
            <v>40.018249939379999</v>
          </cell>
          <cell r="L811">
            <v>0.39303612037336971</v>
          </cell>
        </row>
        <row r="812">
          <cell r="A812" t="str">
            <v>YA3N4P50T</v>
          </cell>
          <cell r="B812" t="str">
            <v>YA3 25kA 4-pole 50A MCCB</v>
          </cell>
          <cell r="C812">
            <v>242.42440461757138</v>
          </cell>
          <cell r="D812">
            <v>45.844815883928554</v>
          </cell>
          <cell r="E812">
            <v>254.54562484844996</v>
          </cell>
          <cell r="F812">
            <v>61.8</v>
          </cell>
          <cell r="G812">
            <v>114.54553118180249</v>
          </cell>
          <cell r="H812">
            <v>52.745531181802491</v>
          </cell>
          <cell r="I812">
            <v>0.46047655144299526</v>
          </cell>
          <cell r="J812">
            <v>101.81824993938</v>
          </cell>
          <cell r="K812">
            <v>40.018249939379999</v>
          </cell>
          <cell r="L812">
            <v>0.39303612037336971</v>
          </cell>
        </row>
        <row r="813">
          <cell r="A813" t="str">
            <v>YA3N4P63T</v>
          </cell>
          <cell r="B813" t="str">
            <v>YA3 25kA 4-pole 63A MCCB</v>
          </cell>
          <cell r="C813">
            <v>242.42440461757138</v>
          </cell>
          <cell r="D813">
            <v>197.10924270792856</v>
          </cell>
          <cell r="E813">
            <v>254.54562484844996</v>
          </cell>
          <cell r="F813">
            <v>61.8</v>
          </cell>
          <cell r="G813">
            <v>114.54553118180249</v>
          </cell>
          <cell r="H813">
            <v>52.745531181802491</v>
          </cell>
          <cell r="I813">
            <v>0.46047655144299526</v>
          </cell>
          <cell r="J813">
            <v>101.81824993938</v>
          </cell>
          <cell r="K813">
            <v>40.018249939379999</v>
          </cell>
          <cell r="L813">
            <v>0.39303612037336971</v>
          </cell>
        </row>
        <row r="814">
          <cell r="A814" t="str">
            <v>YA3N4P100T</v>
          </cell>
          <cell r="B814" t="str">
            <v>YA3 25kA 4-pole 100A MCCB</v>
          </cell>
          <cell r="C814">
            <v>261.59921628223805</v>
          </cell>
          <cell r="D814">
            <v>197.10924270792856</v>
          </cell>
          <cell r="E814">
            <v>274.67917709634997</v>
          </cell>
          <cell r="F814">
            <v>53.341999999999999</v>
          </cell>
          <cell r="G814">
            <v>123.60562969335749</v>
          </cell>
          <cell r="H814">
            <v>70.263629693357487</v>
          </cell>
          <cell r="I814">
            <v>0.56845007681016191</v>
          </cell>
          <cell r="J814">
            <v>109.87167083854</v>
          </cell>
          <cell r="K814">
            <v>56.52967083854</v>
          </cell>
          <cell r="L814">
            <v>0.51450633641143217</v>
          </cell>
        </row>
        <row r="815">
          <cell r="A815" t="str">
            <v>YA3N4P125T</v>
          </cell>
          <cell r="B815" t="str">
            <v>YA3 25kA 4-pole 125A MCCB</v>
          </cell>
          <cell r="C815">
            <v>286.58971714285713</v>
          </cell>
          <cell r="D815">
            <v>222.65380416189538</v>
          </cell>
          <cell r="E815">
            <v>300.91920299999998</v>
          </cell>
          <cell r="F815">
            <v>62.094000000000001</v>
          </cell>
          <cell r="G815">
            <v>135.41364135000001</v>
          </cell>
          <cell r="H815">
            <v>73.319641350000012</v>
          </cell>
          <cell r="I815">
            <v>0.5414494479215185</v>
          </cell>
          <cell r="J815">
            <v>120.36768119999999</v>
          </cell>
          <cell r="K815">
            <v>58.273681199999992</v>
          </cell>
          <cell r="L815">
            <v>0.48413062891170822</v>
          </cell>
        </row>
        <row r="816">
          <cell r="A816" t="str">
            <v>YA3N4P160T</v>
          </cell>
          <cell r="B816" t="str">
            <v>YA3 25kA 4-pole 160A MCCB</v>
          </cell>
          <cell r="C816">
            <v>311.08456476190474</v>
          </cell>
          <cell r="D816">
            <v>236.63553727976191</v>
          </cell>
          <cell r="E816">
            <v>326.63879299999996</v>
          </cell>
          <cell r="F816">
            <v>71.838999999999999</v>
          </cell>
          <cell r="G816">
            <v>146.98745685</v>
          </cell>
          <cell r="H816">
            <v>75.148456850000002</v>
          </cell>
          <cell r="I816">
            <v>0.51125761653723045</v>
          </cell>
          <cell r="J816">
            <v>130.65551719999999</v>
          </cell>
          <cell r="K816">
            <v>58.816517199999993</v>
          </cell>
          <cell r="L816">
            <v>0.45016481860438418</v>
          </cell>
        </row>
        <row r="817">
          <cell r="A817" t="str">
            <v>YA3N4P200T</v>
          </cell>
          <cell r="B817" t="str">
            <v>YA3 25kA 4-pole 200A MCCB</v>
          </cell>
          <cell r="C817">
            <v>335.57941238095236</v>
          </cell>
          <cell r="D817">
            <v>274.1708294</v>
          </cell>
          <cell r="E817">
            <v>352.358383</v>
          </cell>
          <cell r="F817">
            <v>79.271000000000001</v>
          </cell>
          <cell r="G817">
            <v>158.56127235</v>
          </cell>
          <cell r="H817">
            <v>79.290272349999995</v>
          </cell>
          <cell r="I817">
            <v>0.50006077256354708</v>
          </cell>
          <cell r="J817">
            <v>140.94335320000002</v>
          </cell>
          <cell r="K817">
            <v>61.672353200000018</v>
          </cell>
          <cell r="L817">
            <v>0.43756836913399055</v>
          </cell>
        </row>
        <row r="818">
          <cell r="A818" t="str">
            <v>YA3N4P250T</v>
          </cell>
          <cell r="B818" t="str">
            <v>YA3 25kA 4-pole 250A MCCB</v>
          </cell>
          <cell r="C818">
            <v>347.82683619047623</v>
          </cell>
          <cell r="D818">
            <v>290.4905216261904</v>
          </cell>
          <cell r="E818">
            <v>365.21817800000002</v>
          </cell>
          <cell r="F818">
            <v>55.649000000000001</v>
          </cell>
          <cell r="G818">
            <v>164.34818010000001</v>
          </cell>
          <cell r="H818">
            <v>108.69918010000001</v>
          </cell>
          <cell r="I818">
            <v>0.66139570291475347</v>
          </cell>
          <cell r="J818">
            <v>146.0872712</v>
          </cell>
          <cell r="K818">
            <v>90.438271200000003</v>
          </cell>
          <cell r="L818">
            <v>0.61907016577909768</v>
          </cell>
        </row>
        <row r="819">
          <cell r="A819" t="str">
            <v>YA3NL</v>
          </cell>
          <cell r="B819" t="str">
            <v>YA3 neutral link</v>
          </cell>
          <cell r="C819">
            <v>44.726649642857133</v>
          </cell>
          <cell r="D819">
            <v>305.17824462976182</v>
          </cell>
          <cell r="E819">
            <v>46.962982124999989</v>
          </cell>
          <cell r="F819">
            <v>10.38</v>
          </cell>
          <cell r="G819">
            <v>21.133341956249996</v>
          </cell>
          <cell r="H819">
            <v>10.753341956249995</v>
          </cell>
          <cell r="I819">
            <v>0.50883300797911857</v>
          </cell>
          <cell r="J819">
            <v>18.785192849999998</v>
          </cell>
          <cell r="K819">
            <v>8.4051928499999971</v>
          </cell>
          <cell r="L819">
            <v>0.44743713397650842</v>
          </cell>
        </row>
        <row r="820">
          <cell r="A820" t="str">
            <v>YA3S3P50T</v>
          </cell>
          <cell r="B820" t="str">
            <v>YA3 36kA 3-pole 50A MCCB</v>
          </cell>
          <cell r="C820">
            <v>192.30170020285715</v>
          </cell>
          <cell r="D820">
            <v>323.03051915291383</v>
          </cell>
          <cell r="E820">
            <v>201.916785213</v>
          </cell>
          <cell r="F820">
            <v>60.11</v>
          </cell>
          <cell r="G820">
            <v>90.862553345850003</v>
          </cell>
          <cell r="H820">
            <v>30.752553345850004</v>
          </cell>
          <cell r="I820">
            <v>0.33845134451369208</v>
          </cell>
          <cell r="J820">
            <v>80.766714085200007</v>
          </cell>
          <cell r="K820">
            <v>20.656714085200008</v>
          </cell>
          <cell r="L820">
            <v>0.25575776257790361</v>
          </cell>
        </row>
        <row r="821">
          <cell r="A821" t="str">
            <v>YA3S3P63T</v>
          </cell>
          <cell r="B821" t="str">
            <v>YA3 36kA 3-pole 63A MCCB</v>
          </cell>
          <cell r="C821">
            <v>192.30170020285715</v>
          </cell>
          <cell r="D821">
            <v>323.03051915291383</v>
          </cell>
          <cell r="E821">
            <v>201.916785213</v>
          </cell>
          <cell r="F821">
            <v>60.11</v>
          </cell>
          <cell r="G821">
            <v>90.862553345850003</v>
          </cell>
          <cell r="H821">
            <v>30.752553345850004</v>
          </cell>
          <cell r="I821">
            <v>0.33845134451369208</v>
          </cell>
          <cell r="J821">
            <v>80.766714085200007</v>
          </cell>
          <cell r="K821">
            <v>20.656714085200008</v>
          </cell>
          <cell r="L821">
            <v>0.25575776257790361</v>
          </cell>
        </row>
        <row r="822">
          <cell r="A822" t="str">
            <v>YA3S3P100T</v>
          </cell>
          <cell r="B822" t="str">
            <v>YA3 36kA 3-pole 100A MCCB</v>
          </cell>
          <cell r="C822">
            <v>217.22322357258088</v>
          </cell>
          <cell r="D822">
            <v>323.03051915291383</v>
          </cell>
          <cell r="E822">
            <v>228.08438475120991</v>
          </cell>
          <cell r="F822">
            <v>60.11</v>
          </cell>
          <cell r="G822">
            <v>102.63797313804446</v>
          </cell>
          <cell r="H822">
            <v>42.527973138044459</v>
          </cell>
          <cell r="I822">
            <v>0.41434930793933189</v>
          </cell>
          <cell r="J822">
            <v>91.233753900483975</v>
          </cell>
          <cell r="K822">
            <v>31.123753900483976</v>
          </cell>
          <cell r="L822">
            <v>0.34114297143174849</v>
          </cell>
        </row>
        <row r="823">
          <cell r="A823" t="str">
            <v>YA3S3P125T</v>
          </cell>
          <cell r="B823" t="str">
            <v>YA3 36kA 3-pole 125A MCCB</v>
          </cell>
          <cell r="C823">
            <v>230.86393880952383</v>
          </cell>
          <cell r="D823">
            <v>348.58095569608224</v>
          </cell>
          <cell r="E823">
            <v>242.40713575000001</v>
          </cell>
          <cell r="F823">
            <v>60.11</v>
          </cell>
          <cell r="G823">
            <v>109.0832110875</v>
          </cell>
          <cell r="H823">
            <v>48.973211087500005</v>
          </cell>
          <cell r="I823">
            <v>0.44895278200250849</v>
          </cell>
          <cell r="J823">
            <v>96.962854300000004</v>
          </cell>
          <cell r="K823">
            <v>36.852854300000004</v>
          </cell>
          <cell r="L823">
            <v>0.38007187975282203</v>
          </cell>
        </row>
        <row r="824">
          <cell r="A824" t="str">
            <v>YA3S3P160T</v>
          </cell>
          <cell r="B824" t="str">
            <v>YA3 36kA 3-pole 160A MCCB</v>
          </cell>
          <cell r="C824">
            <v>267.48373600000002</v>
          </cell>
          <cell r="D824">
            <v>381.88079809285711</v>
          </cell>
          <cell r="E824">
            <v>280.85792280000004</v>
          </cell>
          <cell r="F824">
            <v>77.335999999999999</v>
          </cell>
          <cell r="G824">
            <v>126.38606526000002</v>
          </cell>
          <cell r="H824">
            <v>49.050065260000025</v>
          </cell>
          <cell r="I824">
            <v>0.38809709883043492</v>
          </cell>
          <cell r="J824">
            <v>112.34316912000003</v>
          </cell>
          <cell r="K824">
            <v>35.007169120000029</v>
          </cell>
          <cell r="L824">
            <v>0.3116092361842393</v>
          </cell>
        </row>
        <row r="825">
          <cell r="A825" t="str">
            <v>YA3S3P200T</v>
          </cell>
          <cell r="B825" t="str">
            <v>YA3 36kA 3-pole 200A MCCB</v>
          </cell>
          <cell r="C825">
            <v>283.40538695238092</v>
          </cell>
          <cell r="D825">
            <v>414.52018254523807</v>
          </cell>
          <cell r="E825">
            <v>297.57565629999999</v>
          </cell>
          <cell r="F825">
            <v>73.656999999999996</v>
          </cell>
          <cell r="G825">
            <v>133.909045335</v>
          </cell>
          <cell r="H825">
            <v>60.252045335000005</v>
          </cell>
          <cell r="I825">
            <v>0.44994753852712172</v>
          </cell>
          <cell r="J825">
            <v>119.03026252000001</v>
          </cell>
          <cell r="K825">
            <v>45.373262520000011</v>
          </cell>
          <cell r="L825">
            <v>0.38119098084301201</v>
          </cell>
        </row>
        <row r="826">
          <cell r="A826" t="str">
            <v>YA3S3P250T</v>
          </cell>
          <cell r="B826" t="str">
            <v>YA3 36kA 3-pole 250A MCCB</v>
          </cell>
          <cell r="C826">
            <v>297.73487280952378</v>
          </cell>
          <cell r="D826">
            <v>447.15956699761898</v>
          </cell>
          <cell r="E826">
            <v>312.62161644999998</v>
          </cell>
          <cell r="F826">
            <v>77.335999999999999</v>
          </cell>
          <cell r="G826">
            <v>140.67972740249999</v>
          </cell>
          <cell r="H826">
            <v>63.343727402499994</v>
          </cell>
          <cell r="I826">
            <v>0.45026905135568468</v>
          </cell>
          <cell r="J826">
            <v>125.04864658</v>
          </cell>
          <cell r="K826">
            <v>47.712646579999998</v>
          </cell>
          <cell r="L826">
            <v>0.38155268277514531</v>
          </cell>
        </row>
        <row r="827">
          <cell r="A827" t="str">
            <v>YA3S4P32T</v>
          </cell>
          <cell r="B827" t="str">
            <v>YA3 36kA 4-pole 32A MCCB</v>
          </cell>
          <cell r="C827">
            <v>315.15172600284279</v>
          </cell>
          <cell r="D827">
            <v>463.47925922380949</v>
          </cell>
          <cell r="E827">
            <v>330.90931230298492</v>
          </cell>
          <cell r="F827">
            <v>81.263000000000005</v>
          </cell>
          <cell r="G827">
            <v>148.9091905363432</v>
          </cell>
          <cell r="H827">
            <v>67.646190536343198</v>
          </cell>
          <cell r="I827">
            <v>0.454278142891612</v>
          </cell>
          <cell r="J827">
            <v>132.36372492119398</v>
          </cell>
          <cell r="K827">
            <v>51.100724921193972</v>
          </cell>
          <cell r="L827">
            <v>0.38606291075306359</v>
          </cell>
        </row>
        <row r="828">
          <cell r="A828" t="str">
            <v>YA3S4P50T</v>
          </cell>
          <cell r="B828" t="str">
            <v>YA3 36kA 4-pole 50A MCCB</v>
          </cell>
          <cell r="C828">
            <v>315.15172600284279</v>
          </cell>
          <cell r="D828">
            <v>3.4254431409522375</v>
          </cell>
          <cell r="E828">
            <v>330.90931230298492</v>
          </cell>
          <cell r="F828">
            <v>73.646000000000001</v>
          </cell>
          <cell r="G828">
            <v>148.9091905363432</v>
          </cell>
          <cell r="H828">
            <v>75.263190536343203</v>
          </cell>
          <cell r="I828">
            <v>0.50543012332052295</v>
          </cell>
          <cell r="J828">
            <v>132.36372492119398</v>
          </cell>
          <cell r="K828">
            <v>58.717724921193977</v>
          </cell>
          <cell r="L828">
            <v>0.44360888873558846</v>
          </cell>
        </row>
        <row r="829">
          <cell r="A829" t="str">
            <v>YA3S4P63T</v>
          </cell>
          <cell r="B829" t="str">
            <v>YA3 36kA 4-pole 63A MCCB</v>
          </cell>
          <cell r="C829">
            <v>315.15172600284279</v>
          </cell>
          <cell r="D829">
            <v>4.2513425929696425</v>
          </cell>
          <cell r="E829">
            <v>330.90931230298492</v>
          </cell>
          <cell r="F829">
            <v>73.646000000000001</v>
          </cell>
          <cell r="G829">
            <v>148.9091905363432</v>
          </cell>
          <cell r="H829">
            <v>75.263190536343203</v>
          </cell>
          <cell r="I829">
            <v>0.50543012332052295</v>
          </cell>
          <cell r="J829">
            <v>132.36372492119398</v>
          </cell>
          <cell r="K829">
            <v>58.717724921193977</v>
          </cell>
          <cell r="L829">
            <v>0.44360888873558846</v>
          </cell>
        </row>
        <row r="830">
          <cell r="A830" t="str">
            <v>YA3S4P100T</v>
          </cell>
          <cell r="B830" t="str">
            <v>YA3 36kA 4-pole 100A MCCB</v>
          </cell>
          <cell r="C830">
            <v>340.07898116690956</v>
          </cell>
          <cell r="D830">
            <v>35.29329531292592</v>
          </cell>
          <cell r="E830">
            <v>357.08293022525504</v>
          </cell>
          <cell r="F830">
            <v>73.646000000000001</v>
          </cell>
          <cell r="G830">
            <v>160.68731860136478</v>
          </cell>
          <cell r="H830">
            <v>87.041318601364779</v>
          </cell>
          <cell r="I830">
            <v>0.54168131846980427</v>
          </cell>
          <cell r="J830">
            <v>142.83317209010201</v>
          </cell>
          <cell r="K830">
            <v>69.18717209010201</v>
          </cell>
          <cell r="L830">
            <v>0.48439148327852977</v>
          </cell>
        </row>
        <row r="831">
          <cell r="A831" t="str">
            <v>YA3S4P125T</v>
          </cell>
          <cell r="B831" t="str">
            <v>YA3 36kA 4-pole 125A MCCB</v>
          </cell>
          <cell r="C831">
            <v>372.56663228571426</v>
          </cell>
          <cell r="D831">
            <v>47.113881889490621</v>
          </cell>
          <cell r="E831">
            <v>391.19496389999995</v>
          </cell>
          <cell r="F831">
            <v>73.646000000000001</v>
          </cell>
          <cell r="G831">
            <v>176.03773375499998</v>
          </cell>
          <cell r="H831">
            <v>102.39173375499998</v>
          </cell>
          <cell r="I831">
            <v>0.58164651163655279</v>
          </cell>
          <cell r="J831">
            <v>156.47798555999998</v>
          </cell>
          <cell r="K831">
            <v>82.831985559999978</v>
          </cell>
          <cell r="L831">
            <v>0.52935232559112189</v>
          </cell>
        </row>
        <row r="832">
          <cell r="A832" t="str">
            <v>YA3S4P160T</v>
          </cell>
          <cell r="B832" t="str">
            <v>YA3 36kA 4-pole 160A MCCB</v>
          </cell>
          <cell r="C832">
            <v>404.40993419047618</v>
          </cell>
          <cell r="D832">
            <v>4.0150685996407374</v>
          </cell>
          <cell r="E832">
            <v>424.63043089999996</v>
          </cell>
          <cell r="F832">
            <v>95.844999999999999</v>
          </cell>
          <cell r="G832">
            <v>191.08369390499999</v>
          </cell>
          <cell r="H832">
            <v>95.238693904999991</v>
          </cell>
          <cell r="I832">
            <v>0.49841350645204335</v>
          </cell>
          <cell r="J832">
            <v>169.85217236</v>
          </cell>
          <cell r="K832">
            <v>74.007172359999998</v>
          </cell>
          <cell r="L832">
            <v>0.43571519475854881</v>
          </cell>
        </row>
        <row r="833">
          <cell r="A833" t="str">
            <v>YA3S4P200T</v>
          </cell>
          <cell r="B833" t="str">
            <v>YA3 36kA 4-pole 200A MCCB</v>
          </cell>
          <cell r="C833">
            <v>436.25323609523809</v>
          </cell>
          <cell r="D833">
            <v>8.6086376493154741</v>
          </cell>
          <cell r="E833">
            <v>458.06589789999998</v>
          </cell>
          <cell r="F833">
            <v>92.043000000000006</v>
          </cell>
          <cell r="G833">
            <v>206.129654055</v>
          </cell>
          <cell r="H833">
            <v>114.086654055</v>
          </cell>
          <cell r="I833">
            <v>0.55347036106003034</v>
          </cell>
          <cell r="J833">
            <v>183.22635916000002</v>
          </cell>
          <cell r="K833">
            <v>91.183359160000009</v>
          </cell>
          <cell r="L833">
            <v>0.49765415619253417</v>
          </cell>
        </row>
        <row r="834">
          <cell r="A834" t="str">
            <v>YA3S4P250T</v>
          </cell>
          <cell r="B834" t="str">
            <v>YA3 36kA 4-pole 250A MCCB</v>
          </cell>
          <cell r="C834">
            <v>452.17488704761905</v>
          </cell>
          <cell r="D834">
            <v>8.61</v>
          </cell>
          <cell r="E834">
            <v>474.78363139999999</v>
          </cell>
          <cell r="F834">
            <v>95.844999999999999</v>
          </cell>
          <cell r="G834">
            <v>213.65263413</v>
          </cell>
          <cell r="H834">
            <v>117.80763413</v>
          </cell>
          <cell r="I834">
            <v>0.55139799520710919</v>
          </cell>
          <cell r="J834">
            <v>189.91345256</v>
          </cell>
          <cell r="K834">
            <v>94.068452559999997</v>
          </cell>
          <cell r="L834">
            <v>0.49532274460799786</v>
          </cell>
        </row>
        <row r="835">
          <cell r="A835" t="str">
            <v>YA3TB3P</v>
          </cell>
          <cell r="B835" t="str">
            <v xml:space="preserve">YA3 interphase barriers (set of 3) </v>
          </cell>
          <cell r="C835">
            <v>3.3418957472704758</v>
          </cell>
          <cell r="D835">
            <v>10.128135289999999</v>
          </cell>
          <cell r="E835">
            <v>3.5089905346339996</v>
          </cell>
          <cell r="F835">
            <v>1.0589999999999999</v>
          </cell>
          <cell r="G835">
            <v>1.5790457405852998</v>
          </cell>
          <cell r="H835">
            <v>0.52004574058529984</v>
          </cell>
          <cell r="I835">
            <v>0.3293417835968046</v>
          </cell>
          <cell r="J835">
            <v>1.4035962138536</v>
          </cell>
          <cell r="K835">
            <v>0.34459621385360006</v>
          </cell>
          <cell r="L835">
            <v>0.24550950654640527</v>
          </cell>
        </row>
        <row r="836">
          <cell r="A836" t="str">
            <v>YA3TB4P</v>
          </cell>
          <cell r="B836" t="str">
            <v>YA3 interphase barriers (set of 3)</v>
          </cell>
          <cell r="C836">
            <v>4.147651310214286</v>
          </cell>
          <cell r="D836">
            <v>10.127000000000001</v>
          </cell>
          <cell r="E836">
            <v>4.3550338757250007</v>
          </cell>
          <cell r="F836">
            <v>1.0169999999999999</v>
          </cell>
          <cell r="G836">
            <v>1.9597652440762503</v>
          </cell>
          <cell r="H836">
            <v>0.9427652440762504</v>
          </cell>
          <cell r="I836">
            <v>0.48106029379076459</v>
          </cell>
          <cell r="J836">
            <v>1.7420135502900003</v>
          </cell>
          <cell r="K836">
            <v>0.72501355029000036</v>
          </cell>
          <cell r="L836">
            <v>0.41619283051461015</v>
          </cell>
        </row>
        <row r="837">
          <cell r="A837" t="str">
            <v>YA3TC3P</v>
          </cell>
          <cell r="B837" t="str">
            <v>YA3 3-pole terminal cover</v>
          </cell>
          <cell r="C837">
            <v>34.432483232122856</v>
          </cell>
          <cell r="D837">
            <v>447.10935255999993</v>
          </cell>
          <cell r="E837">
            <v>36.154107393728999</v>
          </cell>
          <cell r="F837">
            <v>4.3819999999999997</v>
          </cell>
          <cell r="G837">
            <v>16.269348327178051</v>
          </cell>
          <cell r="H837">
            <v>11.887348327178051</v>
          </cell>
          <cell r="I837">
            <v>0.7306591566006464</v>
          </cell>
          <cell r="J837">
            <v>14.4616429574916</v>
          </cell>
          <cell r="K837">
            <v>10.0796429574916</v>
          </cell>
          <cell r="L837">
            <v>0.69699155117572709</v>
          </cell>
        </row>
        <row r="838">
          <cell r="A838" t="str">
            <v>YA3TC4P</v>
          </cell>
          <cell r="B838" t="str">
            <v>YA3 4-pole terminal cover</v>
          </cell>
          <cell r="C838">
            <v>45.964762819015242</v>
          </cell>
          <cell r="D838">
            <v>574.66745355499984</v>
          </cell>
          <cell r="E838">
            <v>48.263000959966007</v>
          </cell>
          <cell r="F838">
            <v>14.551</v>
          </cell>
          <cell r="G838">
            <v>21.718350431984703</v>
          </cell>
          <cell r="H838">
            <v>7.167350431984703</v>
          </cell>
          <cell r="I838">
            <v>0.33001357328820502</v>
          </cell>
          <cell r="J838">
            <v>19.305200383986403</v>
          </cell>
          <cell r="K838">
            <v>4.7542003839864027</v>
          </cell>
          <cell r="L838">
            <v>0.24626526994923065</v>
          </cell>
        </row>
        <row r="839">
          <cell r="A839" t="str">
            <v>YA3TS1P</v>
          </cell>
          <cell r="B839" t="str">
            <v>YA3 long terminal shroud (set of 1)</v>
          </cell>
          <cell r="C839">
            <v>3.9171400972104755</v>
          </cell>
          <cell r="D839">
            <v>56.415920664999994</v>
          </cell>
          <cell r="E839">
            <v>4.5047111117920471</v>
          </cell>
          <cell r="F839">
            <v>1.7390000000000001</v>
          </cell>
          <cell r="G839">
            <v>2.0271200003064211</v>
          </cell>
          <cell r="H839">
            <v>0.28812000030642104</v>
          </cell>
          <cell r="I839">
            <v>0.14213268097738099</v>
          </cell>
          <cell r="J839">
            <v>1.801884444716819</v>
          </cell>
          <cell r="K839">
            <v>6.2884444716818866E-2</v>
          </cell>
          <cell r="L839">
            <v>3.4899266099553725E-2</v>
          </cell>
        </row>
        <row r="840">
          <cell r="A840" t="str">
            <v>YA3TS3P</v>
          </cell>
          <cell r="B840" t="str">
            <v>YA3 long terminal shroud (set of 3)</v>
          </cell>
          <cell r="C840">
            <v>8.3986708773809511</v>
          </cell>
          <cell r="D840">
            <v>632.17466240499982</v>
          </cell>
          <cell r="E840">
            <v>8.818604421249999</v>
          </cell>
          <cell r="F840">
            <v>2.319</v>
          </cell>
          <cell r="G840">
            <v>3.9683719895624998</v>
          </cell>
          <cell r="H840">
            <v>1.6493719895624999</v>
          </cell>
          <cell r="I840">
            <v>0.41562937998268096</v>
          </cell>
          <cell r="J840">
            <v>3.5274417684999997</v>
          </cell>
          <cell r="K840">
            <v>1.2084417684999997</v>
          </cell>
          <cell r="L840">
            <v>0.34258305248051607</v>
          </cell>
        </row>
        <row r="841">
          <cell r="A841" t="str">
            <v>YA3TS3PS</v>
          </cell>
          <cell r="B841" t="str">
            <v>YA3 short terminal shroud (set of 3)</v>
          </cell>
          <cell r="C841">
            <v>8.4</v>
          </cell>
          <cell r="D841">
            <v>668.42320956124991</v>
          </cell>
          <cell r="E841">
            <v>8.82</v>
          </cell>
          <cell r="F841">
            <v>1.36</v>
          </cell>
          <cell r="G841">
            <v>3.9690000000000003</v>
          </cell>
          <cell r="H841">
            <v>2.609</v>
          </cell>
          <cell r="I841">
            <v>0.65734441924918108</v>
          </cell>
          <cell r="J841">
            <v>3.5280000000000005</v>
          </cell>
          <cell r="K841">
            <v>2.1680000000000001</v>
          </cell>
          <cell r="L841">
            <v>0.61451247165532874</v>
          </cell>
        </row>
        <row r="842">
          <cell r="A842" t="str">
            <v>YA3TS4P</v>
          </cell>
          <cell r="B842" t="str">
            <v>YA3 long terminal shroud (set of 4)</v>
          </cell>
          <cell r="C842">
            <v>9.8811076</v>
          </cell>
          <cell r="D842">
            <v>763.23592109050003</v>
          </cell>
          <cell r="E842">
            <v>10.375162980000001</v>
          </cell>
          <cell r="F842">
            <v>3.492</v>
          </cell>
          <cell r="G842">
            <v>4.6688233410000004</v>
          </cell>
          <cell r="H842">
            <v>1.1768233410000004</v>
          </cell>
          <cell r="I842">
            <v>0.25205994209837468</v>
          </cell>
          <cell r="J842">
            <v>4.1500651920000005</v>
          </cell>
          <cell r="K842">
            <v>0.65806519200000047</v>
          </cell>
          <cell r="L842">
            <v>0.15856743486067157</v>
          </cell>
        </row>
        <row r="843">
          <cell r="A843" t="str">
            <v>YA3TS4PS</v>
          </cell>
          <cell r="B843" t="str">
            <v>YA3 short terminal shroud (set of 4)</v>
          </cell>
          <cell r="C843">
            <v>9.8800000000000008</v>
          </cell>
          <cell r="D843">
            <v>801.0018492905001</v>
          </cell>
          <cell r="E843">
            <v>10.374000000000001</v>
          </cell>
          <cell r="F843">
            <v>1.8169999999999999</v>
          </cell>
          <cell r="G843">
            <v>4.6683000000000003</v>
          </cell>
          <cell r="H843">
            <v>2.8513000000000002</v>
          </cell>
          <cell r="I843">
            <v>0.61077908446329499</v>
          </cell>
          <cell r="J843">
            <v>4.1496000000000004</v>
          </cell>
          <cell r="K843">
            <v>2.3326000000000002</v>
          </cell>
          <cell r="L843">
            <v>0.56212647002120686</v>
          </cell>
        </row>
        <row r="844">
          <cell r="A844" t="str">
            <v>YA5B3P400D</v>
          </cell>
          <cell r="B844" t="str">
            <v>YA5 400A switch disconnector</v>
          </cell>
          <cell r="C844">
            <v>436.20424639999999</v>
          </cell>
          <cell r="D844">
            <v>609.05651921399999</v>
          </cell>
          <cell r="E844">
            <v>458.01445871999999</v>
          </cell>
          <cell r="F844">
            <v>86.412999999999997</v>
          </cell>
          <cell r="G844">
            <v>206.106506424</v>
          </cell>
          <cell r="H844">
            <v>119.69350642400001</v>
          </cell>
          <cell r="I844">
            <v>0.58073618587162823</v>
          </cell>
          <cell r="J844">
            <v>183.20578348800001</v>
          </cell>
          <cell r="K844">
            <v>96.792783488000012</v>
          </cell>
          <cell r="L844">
            <v>0.52832820910558176</v>
          </cell>
        </row>
        <row r="845">
          <cell r="A845" t="str">
            <v>YA5B4P400D</v>
          </cell>
          <cell r="B845" t="str">
            <v>YA5 400A 4-pole switch disconnector</v>
          </cell>
          <cell r="C845">
            <v>560.6511741999999</v>
          </cell>
          <cell r="D845">
            <v>609.05651921399999</v>
          </cell>
          <cell r="E845">
            <v>588.68373290999989</v>
          </cell>
          <cell r="F845">
            <v>118.48</v>
          </cell>
          <cell r="G845">
            <v>264.90767980949994</v>
          </cell>
          <cell r="H845">
            <v>146.42767980949992</v>
          </cell>
          <cell r="I845">
            <v>0.55274984822938622</v>
          </cell>
          <cell r="J845">
            <v>235.47349316399996</v>
          </cell>
          <cell r="K845">
            <v>116.99349316399996</v>
          </cell>
          <cell r="L845">
            <v>0.49684357925805955</v>
          </cell>
        </row>
        <row r="846">
          <cell r="A846" t="str">
            <v>YA5CC3P</v>
          </cell>
          <cell r="B846" t="str">
            <v>YA5 cable clamps</v>
          </cell>
          <cell r="C846">
            <v>55.039922599999997</v>
          </cell>
          <cell r="D846">
            <v>574.7042385499999</v>
          </cell>
          <cell r="E846">
            <v>57.791918729999999</v>
          </cell>
          <cell r="F846">
            <v>7.3920000000000003</v>
          </cell>
          <cell r="G846">
            <v>26.006363428499998</v>
          </cell>
          <cell r="H846">
            <v>18.614363428499999</v>
          </cell>
          <cell r="I846">
            <v>0.71576187419194437</v>
          </cell>
          <cell r="J846">
            <v>23.116767492000001</v>
          </cell>
          <cell r="K846">
            <v>15.724767492000002</v>
          </cell>
          <cell r="L846">
            <v>0.6802321084659374</v>
          </cell>
        </row>
        <row r="847">
          <cell r="A847" t="str">
            <v>YA5H3P250T</v>
          </cell>
          <cell r="B847" t="str">
            <v>YA5 50kA 3-pole 250A MCCB</v>
          </cell>
          <cell r="C847">
            <v>616.75576819999992</v>
          </cell>
          <cell r="D847">
            <v>607.65746323749988</v>
          </cell>
          <cell r="E847">
            <v>647.59355660999995</v>
          </cell>
          <cell r="F847">
            <v>115.982</v>
          </cell>
          <cell r="G847">
            <v>291.41710047449999</v>
          </cell>
          <cell r="H847">
            <v>175.43510047449999</v>
          </cell>
          <cell r="I847">
            <v>0.60200688356602183</v>
          </cell>
          <cell r="J847">
            <v>259.037422644</v>
          </cell>
          <cell r="K847">
            <v>143.055422644</v>
          </cell>
          <cell r="L847">
            <v>0.55225774401177452</v>
          </cell>
        </row>
        <row r="848">
          <cell r="A848" t="str">
            <v>YA5H3P400T</v>
          </cell>
          <cell r="B848" t="str">
            <v>YA5 50kA 3-pole 400A MCCB</v>
          </cell>
          <cell r="C848">
            <v>652.12020444999996</v>
          </cell>
          <cell r="D848">
            <v>693.85083735499984</v>
          </cell>
          <cell r="E848">
            <v>684.72621467249996</v>
          </cell>
          <cell r="F848">
            <v>120.621</v>
          </cell>
          <cell r="G848">
            <v>308.12679660262501</v>
          </cell>
          <cell r="H848">
            <v>187.50579660262503</v>
          </cell>
          <cell r="I848">
            <v>0.60853453406209723</v>
          </cell>
          <cell r="J848">
            <v>273.89048586899997</v>
          </cell>
          <cell r="K848">
            <v>153.26948586899999</v>
          </cell>
          <cell r="L848">
            <v>0.5596013508198594</v>
          </cell>
        </row>
        <row r="849">
          <cell r="A849" t="str">
            <v>YA5H4P250T</v>
          </cell>
          <cell r="B849" t="str">
            <v>YA5 50kA 4-pole 250A MCCB</v>
          </cell>
          <cell r="C849">
            <v>744.62041082000007</v>
          </cell>
          <cell r="D849">
            <v>728.18349935500009</v>
          </cell>
          <cell r="E849">
            <v>781.8514313610001</v>
          </cell>
          <cell r="F849">
            <v>170.27199999999999</v>
          </cell>
          <cell r="G849">
            <v>351.83314411245004</v>
          </cell>
          <cell r="H849">
            <v>181.56114411245005</v>
          </cell>
          <cell r="I849">
            <v>0.51604332096245309</v>
          </cell>
          <cell r="J849">
            <v>312.74057254440004</v>
          </cell>
          <cell r="K849">
            <v>142.46857254440005</v>
          </cell>
          <cell r="L849">
            <v>0.45554873608275964</v>
          </cell>
        </row>
        <row r="850">
          <cell r="A850" t="str">
            <v>YA5H4P400T</v>
          </cell>
          <cell r="B850" t="str">
            <v>YA5 50kA 4-pole 400A MCCB</v>
          </cell>
          <cell r="C850">
            <v>781.46521882000013</v>
          </cell>
          <cell r="D850">
            <v>51.891366279999993</v>
          </cell>
          <cell r="E850">
            <v>820.53847976100019</v>
          </cell>
          <cell r="F850">
            <v>170.27199999999999</v>
          </cell>
          <cell r="G850">
            <v>369.24231589245011</v>
          </cell>
          <cell r="H850">
            <v>198.97031589245012</v>
          </cell>
          <cell r="I850">
            <v>0.53886108749898687</v>
          </cell>
          <cell r="J850">
            <v>328.21539190440012</v>
          </cell>
          <cell r="K850">
            <v>157.94339190440013</v>
          </cell>
          <cell r="L850">
            <v>0.4812187234363603</v>
          </cell>
        </row>
        <row r="851">
          <cell r="A851" t="str">
            <v>YA5MA110</v>
          </cell>
          <cell r="B851" t="str">
            <v>YA5 motor operator 110V</v>
          </cell>
          <cell r="C851">
            <v>594.20148216000007</v>
          </cell>
          <cell r="D851">
            <v>21.090063799999996</v>
          </cell>
          <cell r="E851">
            <v>623.91155626800003</v>
          </cell>
          <cell r="F851">
            <v>155.53100000000001</v>
          </cell>
          <cell r="G851">
            <v>280.76020032060001</v>
          </cell>
          <cell r="H851">
            <v>125.2292003206</v>
          </cell>
          <cell r="I851">
            <v>0.4460361553297113</v>
          </cell>
          <cell r="J851">
            <v>249.56462250720003</v>
          </cell>
          <cell r="K851">
            <v>94.033622507200022</v>
          </cell>
          <cell r="L851">
            <v>0.37679067474592526</v>
          </cell>
        </row>
        <row r="852">
          <cell r="A852" t="str">
            <v>YA5MA240</v>
          </cell>
          <cell r="B852" t="str">
            <v>YA5 motor operator 240V</v>
          </cell>
          <cell r="C852">
            <v>594.20148216000007</v>
          </cell>
          <cell r="D852">
            <v>23.240571200000002</v>
          </cell>
          <cell r="E852">
            <v>623.91155626800003</v>
          </cell>
          <cell r="F852">
            <v>155.53100000000001</v>
          </cell>
          <cell r="G852">
            <v>280.76020032060001</v>
          </cell>
          <cell r="H852">
            <v>125.2292003206</v>
          </cell>
          <cell r="I852">
            <v>0.4460361553297113</v>
          </cell>
          <cell r="J852">
            <v>249.56462250720003</v>
          </cell>
          <cell r="K852">
            <v>94.033622507200022</v>
          </cell>
          <cell r="L852">
            <v>0.37679067474592526</v>
          </cell>
        </row>
        <row r="853">
          <cell r="A853" t="str">
            <v>YA5N3P250T</v>
          </cell>
          <cell r="B853" t="str">
            <v>YA5 25kA 3-pole 250A MCCB</v>
          </cell>
          <cell r="C853">
            <v>560.68706199999997</v>
          </cell>
          <cell r="D853">
            <v>33.110144805059512</v>
          </cell>
          <cell r="E853">
            <v>588.72141509999994</v>
          </cell>
          <cell r="F853">
            <v>104.899</v>
          </cell>
          <cell r="G853">
            <v>264.92463679499997</v>
          </cell>
          <cell r="H853">
            <v>160.02563679499997</v>
          </cell>
          <cell r="I853">
            <v>0.60404211073365977</v>
          </cell>
          <cell r="J853">
            <v>235.48856603999999</v>
          </cell>
          <cell r="K853">
            <v>130.58956603999999</v>
          </cell>
          <cell r="L853">
            <v>0.55454737457536729</v>
          </cell>
        </row>
        <row r="854">
          <cell r="A854" t="str">
            <v>YA5N3P400T</v>
          </cell>
          <cell r="B854" t="str">
            <v>YA5 25kA 3-pole 400A MCCB</v>
          </cell>
          <cell r="C854">
            <v>592.83654949999993</v>
          </cell>
          <cell r="D854">
            <v>52.725159500000004</v>
          </cell>
          <cell r="E854">
            <v>622.47837697499995</v>
          </cell>
          <cell r="F854">
            <v>104.899</v>
          </cell>
          <cell r="G854">
            <v>280.11526963874996</v>
          </cell>
          <cell r="H854">
            <v>175.21626963874996</v>
          </cell>
          <cell r="I854">
            <v>0.62551488130124877</v>
          </cell>
          <cell r="J854">
            <v>248.99135078999998</v>
          </cell>
          <cell r="K854">
            <v>144.09235078999998</v>
          </cell>
          <cell r="L854">
            <v>0.57870424146390487</v>
          </cell>
        </row>
        <row r="855">
          <cell r="A855" t="str">
            <v>YA5N4P250T</v>
          </cell>
          <cell r="B855" t="str">
            <v>YA5 25kA 4-pole 250A MCCB</v>
          </cell>
          <cell r="C855">
            <v>676.92764619999991</v>
          </cell>
          <cell r="D855">
            <v>73.020999999999987</v>
          </cell>
          <cell r="E855">
            <v>710.77402850999988</v>
          </cell>
          <cell r="F855">
            <v>140.625</v>
          </cell>
          <cell r="G855">
            <v>319.84831282949995</v>
          </cell>
          <cell r="H855">
            <v>179.22331282949995</v>
          </cell>
          <cell r="I855">
            <v>0.560338465580832</v>
          </cell>
          <cell r="J855">
            <v>284.30961140399995</v>
          </cell>
          <cell r="K855">
            <v>143.68461140399995</v>
          </cell>
          <cell r="L855">
            <v>0.50538077377843604</v>
          </cell>
        </row>
        <row r="856">
          <cell r="A856" t="str">
            <v>YA5N4P400T</v>
          </cell>
          <cell r="B856" t="str">
            <v>YA5 25kA 4-pole 400A MCCB</v>
          </cell>
          <cell r="C856">
            <v>710.42292620000012</v>
          </cell>
          <cell r="D856">
            <v>29.186460205080746</v>
          </cell>
          <cell r="E856">
            <v>745.94407251000007</v>
          </cell>
          <cell r="F856">
            <v>153.99299999999999</v>
          </cell>
          <cell r="G856">
            <v>335.67483262950003</v>
          </cell>
          <cell r="H856">
            <v>181.68183262950004</v>
          </cell>
          <cell r="I856">
            <v>0.54124353382796131</v>
          </cell>
          <cell r="J856">
            <v>298.37762900400003</v>
          </cell>
          <cell r="K856">
            <v>144.38462900400003</v>
          </cell>
          <cell r="L856">
            <v>0.48389897555645645</v>
          </cell>
        </row>
        <row r="857">
          <cell r="A857" t="str">
            <v>YA5NL</v>
          </cell>
          <cell r="B857" t="str">
            <v>YA5 neutral link</v>
          </cell>
          <cell r="C857">
            <v>50.625723199999996</v>
          </cell>
          <cell r="D857">
            <v>35.096753493363089</v>
          </cell>
          <cell r="E857">
            <v>53.157009359999996</v>
          </cell>
          <cell r="F857">
            <v>13.25</v>
          </cell>
          <cell r="G857">
            <v>23.920654211999999</v>
          </cell>
          <cell r="H857">
            <v>10.670654211999999</v>
          </cell>
          <cell r="I857">
            <v>0.44608538367846873</v>
          </cell>
          <cell r="J857">
            <v>21.262803743999999</v>
          </cell>
          <cell r="K857">
            <v>8.0128037439999993</v>
          </cell>
          <cell r="L857">
            <v>0.37684605663827736</v>
          </cell>
        </row>
        <row r="858">
          <cell r="A858" t="str">
            <v>YA5TA3P</v>
          </cell>
          <cell r="B858" t="str">
            <v>YA5 terminal adaptors</v>
          </cell>
          <cell r="C858">
            <v>20.575671999999997</v>
          </cell>
          <cell r="D858">
            <v>122.17999999999999</v>
          </cell>
          <cell r="E858">
            <v>33.949858799999994</v>
          </cell>
          <cell r="F858">
            <v>13.255000000000001</v>
          </cell>
          <cell r="G858">
            <v>15.277436459999997</v>
          </cell>
          <cell r="H858">
            <v>2.0224364599999962</v>
          </cell>
          <cell r="I858">
            <v>0.1323806166888811</v>
          </cell>
          <cell r="J858">
            <v>13.579943519999999</v>
          </cell>
          <cell r="K858">
            <v>0.32494351999999793</v>
          </cell>
          <cell r="L858">
            <v>2.3928193774991339E-2</v>
          </cell>
        </row>
        <row r="859">
          <cell r="A859" t="str">
            <v>YA5TS3P</v>
          </cell>
          <cell r="B859" t="str">
            <v>YA5 3-pole shroud</v>
          </cell>
          <cell r="C859">
            <v>22.673728000000004</v>
          </cell>
          <cell r="D859">
            <v>11.932896187743451</v>
          </cell>
          <cell r="E859">
            <v>23.807414400000006</v>
          </cell>
          <cell r="F859">
            <v>6.2110000000000003</v>
          </cell>
          <cell r="G859">
            <v>10.713336480000002</v>
          </cell>
          <cell r="H859">
            <v>4.5023364800000021</v>
          </cell>
          <cell r="I859">
            <v>0.42025530406938183</v>
          </cell>
          <cell r="J859">
            <v>9.5229657600000035</v>
          </cell>
          <cell r="K859">
            <v>3.3119657600000032</v>
          </cell>
          <cell r="L859">
            <v>0.34778721707805466</v>
          </cell>
        </row>
        <row r="860">
          <cell r="A860" t="str">
            <v>YAA1PLB</v>
          </cell>
          <cell r="B860" t="str">
            <v>YA3 1-pole AA - adaptor kit</v>
          </cell>
          <cell r="C860">
            <v>32.302580297619038</v>
          </cell>
          <cell r="D860">
            <v>70.193506986726177</v>
          </cell>
          <cell r="E860">
            <v>33.917709312499987</v>
          </cell>
          <cell r="F860">
            <v>8.1189999999999998</v>
          </cell>
          <cell r="G860">
            <v>15.262969190624995</v>
          </cell>
          <cell r="H860">
            <v>7.1439691906249951</v>
          </cell>
          <cell r="I860">
            <v>0.468058940655731</v>
          </cell>
          <cell r="J860">
            <v>13.567083724999996</v>
          </cell>
          <cell r="K860">
            <v>5.4480837249999965</v>
          </cell>
          <cell r="L860">
            <v>0.4015663082376974</v>
          </cell>
        </row>
        <row r="861">
          <cell r="A861" t="str">
            <v>YAA3PLB</v>
          </cell>
          <cell r="B861" t="str">
            <v>YA3 3-pole AA - adaptor kit</v>
          </cell>
          <cell r="C861">
            <v>51.439180000000007</v>
          </cell>
          <cell r="D861">
            <v>70.193506986726177</v>
          </cell>
          <cell r="E861">
            <v>54.011139000000007</v>
          </cell>
          <cell r="F861">
            <v>11.013999999999999</v>
          </cell>
          <cell r="G861">
            <v>24.305012550000004</v>
          </cell>
          <cell r="H861">
            <v>13.291012550000005</v>
          </cell>
          <cell r="I861">
            <v>0.54684244752632327</v>
          </cell>
          <cell r="J861">
            <v>21.604455600000005</v>
          </cell>
          <cell r="K861">
            <v>10.590455600000006</v>
          </cell>
          <cell r="L861">
            <v>0.49019775346711364</v>
          </cell>
        </row>
        <row r="862">
          <cell r="A862" t="str">
            <v>YAA3PLFT2</v>
          </cell>
          <cell r="B862" t="str">
            <v>YA3 3-pole AA - loadframe adaptor kit</v>
          </cell>
          <cell r="C862">
            <v>71.239999999999995</v>
          </cell>
          <cell r="D862">
            <v>70.193506986726177</v>
          </cell>
          <cell r="E862">
            <v>74.801999999999992</v>
          </cell>
          <cell r="F862">
            <v>17.806000000000001</v>
          </cell>
          <cell r="G862">
            <v>33.660899999999998</v>
          </cell>
          <cell r="H862">
            <v>15.854899999999997</v>
          </cell>
          <cell r="I862">
            <v>0.47101830313509141</v>
          </cell>
          <cell r="J862">
            <v>29.9208</v>
          </cell>
          <cell r="K862">
            <v>12.114799999999999</v>
          </cell>
          <cell r="L862">
            <v>0.40489559102697786</v>
          </cell>
        </row>
        <row r="863">
          <cell r="A863" t="str">
            <v>YAAL</v>
          </cell>
          <cell r="B863" t="str">
            <v>YA 1AB auxiliary switch</v>
          </cell>
          <cell r="C863">
            <v>28.474595322029998</v>
          </cell>
          <cell r="D863">
            <v>70.193506986726177</v>
          </cell>
          <cell r="E863">
            <v>29.898325088131497</v>
          </cell>
          <cell r="F863">
            <v>4.3929999999999998</v>
          </cell>
          <cell r="G863">
            <v>13.454246289659174</v>
          </cell>
          <cell r="H863">
            <v>9.0612462896591737</v>
          </cell>
          <cell r="I863">
            <v>0.67348598312962171</v>
          </cell>
          <cell r="J863">
            <v>11.959330035252599</v>
          </cell>
          <cell r="K863">
            <v>7.5663300352525988</v>
          </cell>
          <cell r="L863">
            <v>0.63267173102082441</v>
          </cell>
        </row>
        <row r="864">
          <cell r="A864" t="str">
            <v>YAAUX1</v>
          </cell>
          <cell r="B864" t="str">
            <v>YA 1AB auxiliary switch</v>
          </cell>
          <cell r="C864">
            <v>34.240735115476184</v>
          </cell>
          <cell r="D864">
            <v>74.405117405929758</v>
          </cell>
          <cell r="E864">
            <v>35.952771871249993</v>
          </cell>
          <cell r="F864">
            <v>4.3929999999999998</v>
          </cell>
          <cell r="G864">
            <v>16.178747342062497</v>
          </cell>
          <cell r="H864">
            <v>11.785747342062496</v>
          </cell>
          <cell r="I864">
            <v>0.72847094357059339</v>
          </cell>
          <cell r="J864">
            <v>14.381108748499997</v>
          </cell>
          <cell r="K864">
            <v>9.9881087484999966</v>
          </cell>
          <cell r="L864">
            <v>0.69452981151691751</v>
          </cell>
        </row>
        <row r="865">
          <cell r="A865" t="str">
            <v>YACL</v>
          </cell>
          <cell r="B865" t="str">
            <v>YA Castell lock</v>
          </cell>
          <cell r="C865">
            <v>119.2</v>
          </cell>
          <cell r="D865">
            <v>80.020597964867818</v>
          </cell>
          <cell r="E865">
            <v>125.16</v>
          </cell>
          <cell r="F865">
            <v>27.216999999999999</v>
          </cell>
          <cell r="G865">
            <v>56.322000000000003</v>
          </cell>
          <cell r="H865">
            <v>29.105000000000004</v>
          </cell>
          <cell r="I865">
            <v>0.51676076843862084</v>
          </cell>
          <cell r="J865">
            <v>50.064</v>
          </cell>
          <cell r="K865">
            <v>22.847000000000001</v>
          </cell>
          <cell r="L865">
            <v>0.45635586449344839</v>
          </cell>
        </row>
        <row r="866">
          <cell r="A866" t="str">
            <v>YADL1</v>
          </cell>
          <cell r="B866" t="str">
            <v>YA dolly lock device</v>
          </cell>
          <cell r="C866">
            <v>11.641849939261904</v>
          </cell>
          <cell r="D866">
            <v>98.270909781416663</v>
          </cell>
          <cell r="E866">
            <v>12.223942436225</v>
          </cell>
          <cell r="F866">
            <v>4.2370000000000001</v>
          </cell>
          <cell r="G866">
            <v>5.5007740963012504</v>
          </cell>
          <cell r="H866">
            <v>1.2637740963012503</v>
          </cell>
          <cell r="I866">
            <v>0.22974477304040147</v>
          </cell>
          <cell r="J866">
            <v>4.8895769744900006</v>
          </cell>
          <cell r="K866">
            <v>0.65257697449000052</v>
          </cell>
          <cell r="L866">
            <v>0.13346286967045171</v>
          </cell>
        </row>
        <row r="867">
          <cell r="A867" t="str">
            <v>YAST115AC</v>
          </cell>
          <cell r="B867" t="str">
            <v>YA shunt trip 100-115V ac</v>
          </cell>
          <cell r="C867">
            <v>68.481470230952368</v>
          </cell>
          <cell r="D867">
            <v>98.270909781416663</v>
          </cell>
          <cell r="E867">
            <v>71.905543742499987</v>
          </cell>
          <cell r="F867">
            <v>10.436</v>
          </cell>
          <cell r="G867">
            <v>32.357494684124994</v>
          </cell>
          <cell r="H867">
            <v>21.921494684124994</v>
          </cell>
          <cell r="I867">
            <v>0.67747812054435608</v>
          </cell>
          <cell r="J867">
            <v>28.762217496999995</v>
          </cell>
          <cell r="K867">
            <v>18.326217496999995</v>
          </cell>
          <cell r="L867">
            <v>0.63716288561240064</v>
          </cell>
        </row>
        <row r="868">
          <cell r="A868" t="str">
            <v>YAST240AC</v>
          </cell>
          <cell r="B868" t="str">
            <v>YA shunt trip 200-240V ac</v>
          </cell>
          <cell r="C868">
            <v>68.481470230952368</v>
          </cell>
          <cell r="D868">
            <v>115.11735145823096</v>
          </cell>
          <cell r="E868">
            <v>71.905543742499987</v>
          </cell>
          <cell r="F868">
            <v>10.436</v>
          </cell>
          <cell r="G868">
            <v>32.357494684124994</v>
          </cell>
          <cell r="H868">
            <v>21.921494684124994</v>
          </cell>
          <cell r="I868">
            <v>0.67747812054435608</v>
          </cell>
          <cell r="J868">
            <v>28.762217496999995</v>
          </cell>
          <cell r="K868">
            <v>18.326217496999995</v>
          </cell>
          <cell r="L868">
            <v>0.63716288561240064</v>
          </cell>
        </row>
        <row r="869">
          <cell r="A869" t="str">
            <v>YAST24DC</v>
          </cell>
          <cell r="B869" t="str">
            <v>YA shunt trip 24V dc</v>
          </cell>
          <cell r="C869">
            <v>68.481470230952368</v>
          </cell>
          <cell r="D869">
            <v>0</v>
          </cell>
          <cell r="E869">
            <v>71.905543742499987</v>
          </cell>
          <cell r="F869">
            <v>10.436</v>
          </cell>
          <cell r="G869">
            <v>32.357494684124994</v>
          </cell>
          <cell r="H869">
            <v>21.921494684124994</v>
          </cell>
          <cell r="I869">
            <v>0.67747812054435608</v>
          </cell>
          <cell r="J869">
            <v>28.762217496999995</v>
          </cell>
          <cell r="K869">
            <v>18.326217496999995</v>
          </cell>
          <cell r="L869">
            <v>0.63716288561240064</v>
          </cell>
        </row>
        <row r="870">
          <cell r="A870" t="str">
            <v>YAST450AC</v>
          </cell>
          <cell r="B870" t="str">
            <v>YA shunt trip 400-480V ac</v>
          </cell>
          <cell r="C870">
            <v>68.481470230952368</v>
          </cell>
          <cell r="D870">
            <v>0</v>
          </cell>
          <cell r="E870">
            <v>71.905543742499987</v>
          </cell>
          <cell r="F870">
            <v>10.436</v>
          </cell>
          <cell r="G870">
            <v>32.357494684124994</v>
          </cell>
          <cell r="H870">
            <v>21.921494684124994</v>
          </cell>
          <cell r="I870">
            <v>0.67747812054435608</v>
          </cell>
          <cell r="J870">
            <v>28.762217496999995</v>
          </cell>
          <cell r="K870">
            <v>18.326217496999995</v>
          </cell>
          <cell r="L870">
            <v>0.63716288561240064</v>
          </cell>
        </row>
        <row r="871">
          <cell r="A871" t="str">
            <v>YAUVR120AC</v>
          </cell>
          <cell r="B871" t="str">
            <v>YA under voltage release 120V ac</v>
          </cell>
          <cell r="C871">
            <v>72.590358444809524</v>
          </cell>
          <cell r="D871">
            <v>201.92499999999998</v>
          </cell>
          <cell r="E871">
            <v>76.219876367050006</v>
          </cell>
          <cell r="F871">
            <v>20.6</v>
          </cell>
          <cell r="G871">
            <v>34.298944365172503</v>
          </cell>
          <cell r="H871">
            <v>13.698944365172501</v>
          </cell>
          <cell r="I871">
            <v>0.3993984251912589</v>
          </cell>
          <cell r="J871">
            <v>30.487950546820002</v>
          </cell>
          <cell r="K871">
            <v>9.8879505468200009</v>
          </cell>
          <cell r="L871">
            <v>0.3243232283401663</v>
          </cell>
        </row>
        <row r="872">
          <cell r="A872" t="str">
            <v>YAUVR240AC</v>
          </cell>
          <cell r="B872" t="str">
            <v>YA under voltage release 200-240V ac</v>
          </cell>
          <cell r="C872">
            <v>78.068876063285686</v>
          </cell>
          <cell r="D872">
            <v>256.86981749999995</v>
          </cell>
          <cell r="E872">
            <v>81.972319866449965</v>
          </cell>
          <cell r="F872">
            <v>20.6</v>
          </cell>
          <cell r="G872">
            <v>36.887543939902486</v>
          </cell>
          <cell r="H872">
            <v>16.287543939902484</v>
          </cell>
          <cell r="I872">
            <v>0.44154590412520539</v>
          </cell>
          <cell r="J872">
            <v>32.788927946579989</v>
          </cell>
          <cell r="K872">
            <v>12.188927946579987</v>
          </cell>
          <cell r="L872">
            <v>0.37173914214085613</v>
          </cell>
        </row>
        <row r="873">
          <cell r="A873" t="str">
            <v>YAUVR24DC</v>
          </cell>
          <cell r="B873" t="str">
            <v>YA under voltage release 24V dc</v>
          </cell>
          <cell r="C873">
            <v>95.874058323333344</v>
          </cell>
          <cell r="D873">
            <v>532.3684821249999</v>
          </cell>
          <cell r="E873">
            <v>100.66776123950001</v>
          </cell>
          <cell r="F873">
            <v>20.6</v>
          </cell>
          <cell r="G873">
            <v>45.300492557775009</v>
          </cell>
          <cell r="H873">
            <v>24.700492557775007</v>
          </cell>
          <cell r="I873">
            <v>0.54525880764481038</v>
          </cell>
          <cell r="J873">
            <v>40.267104495800005</v>
          </cell>
          <cell r="K873">
            <v>19.667104495800004</v>
          </cell>
          <cell r="L873">
            <v>0.48841615860041165</v>
          </cell>
        </row>
        <row r="874">
          <cell r="A874" t="str">
            <v>YAUVR24DC</v>
          </cell>
          <cell r="B874" t="str">
            <v>YA under voltage release 24V dc</v>
          </cell>
          <cell r="C874">
            <v>95.874058323333344</v>
          </cell>
          <cell r="D874">
            <v>286.08586656249997</v>
          </cell>
          <cell r="E874">
            <v>100.66776123950001</v>
          </cell>
          <cell r="F874">
            <v>20.6</v>
          </cell>
          <cell r="G874">
            <v>45.300492557775009</v>
          </cell>
          <cell r="H874">
            <v>24.700492557775007</v>
          </cell>
          <cell r="I874">
            <v>0.54525880764481038</v>
          </cell>
          <cell r="J874">
            <v>40.267104495800005</v>
          </cell>
          <cell r="K874">
            <v>19.667104495800004</v>
          </cell>
          <cell r="L874">
            <v>0.48841615860041165</v>
          </cell>
        </row>
        <row r="875">
          <cell r="A875" t="str">
            <v>YAUVR450AC</v>
          </cell>
          <cell r="B875" t="str">
            <v>YA under voltage release 380-450V ac</v>
          </cell>
          <cell r="C875">
            <v>112.30961117876191</v>
          </cell>
          <cell r="D875">
            <v>73.200666292187492</v>
          </cell>
          <cell r="E875">
            <v>117.9250917377</v>
          </cell>
          <cell r="F875">
            <v>20.6</v>
          </cell>
          <cell r="G875">
            <v>53.066291281965</v>
          </cell>
          <cell r="H875">
            <v>32.466291281964999</v>
          </cell>
          <cell r="I875">
            <v>0.61180629920898444</v>
          </cell>
          <cell r="J875">
            <v>47.17003669508</v>
          </cell>
          <cell r="K875">
            <v>26.570036695079999</v>
          </cell>
          <cell r="L875">
            <v>0.56328208661010748</v>
          </cell>
        </row>
        <row r="876">
          <cell r="I876" t="e">
            <v>#DIV/0!</v>
          </cell>
          <cell r="J876">
            <v>0</v>
          </cell>
          <cell r="K876">
            <v>0</v>
          </cell>
          <cell r="L876" t="e">
            <v>#DIV/0!</v>
          </cell>
        </row>
        <row r="877">
          <cell r="I877" t="e">
            <v>#DIV/0!</v>
          </cell>
          <cell r="J877">
            <v>0</v>
          </cell>
          <cell r="K877">
            <v>0</v>
          </cell>
          <cell r="L877" t="e">
            <v>#DIV/0!</v>
          </cell>
        </row>
        <row r="878">
          <cell r="A878" t="str">
            <v>MBCL1</v>
          </cell>
          <cell r="B878" t="str">
            <v>1 mod Low current cableway busbar assembly 400A 4-pole</v>
          </cell>
          <cell r="C878">
            <v>197</v>
          </cell>
          <cell r="D878">
            <v>24.946456149999999</v>
          </cell>
          <cell r="E878">
            <v>206.85</v>
          </cell>
          <cell r="F878">
            <v>42.552956399999999</v>
          </cell>
          <cell r="G878">
            <v>93.082499999999996</v>
          </cell>
          <cell r="H878">
            <v>50.529543599999997</v>
          </cell>
          <cell r="I878">
            <v>0.54284686810087823</v>
          </cell>
          <cell r="J878">
            <v>82.740000000000009</v>
          </cell>
          <cell r="K878">
            <v>40.18704360000001</v>
          </cell>
          <cell r="L878">
            <v>0.48570272661348812</v>
          </cell>
        </row>
        <row r="879">
          <cell r="A879" t="str">
            <v>MBCH2</v>
          </cell>
          <cell r="B879" t="str">
            <v>2 mod high-current cableway busbar assembly 1250A 4-pole</v>
          </cell>
          <cell r="C879">
            <v>250.60469999999998</v>
          </cell>
          <cell r="D879">
            <v>30.037569649999998</v>
          </cell>
          <cell r="E879">
            <v>263.13493499999998</v>
          </cell>
          <cell r="F879">
            <v>88.969526400000007</v>
          </cell>
          <cell r="G879">
            <v>118.41072075</v>
          </cell>
          <cell r="H879">
            <v>29.441194349999989</v>
          </cell>
          <cell r="I879">
            <v>0.24863622283119993</v>
          </cell>
          <cell r="J879">
            <v>105.253974</v>
          </cell>
          <cell r="K879">
            <v>16.284447599999993</v>
          </cell>
          <cell r="L879">
            <v>0.15471575068509996</v>
          </cell>
        </row>
        <row r="880">
          <cell r="A880" t="str">
            <v>MBH02</v>
          </cell>
          <cell r="B880" t="str">
            <v>2 mod high-current busbar assembly 1250A 4-pole</v>
          </cell>
          <cell r="C880">
            <v>519.38388499999996</v>
          </cell>
          <cell r="D880">
            <v>73.200666292187492</v>
          </cell>
          <cell r="E880">
            <v>545.35307924999995</v>
          </cell>
          <cell r="F880">
            <v>169.60206840000001</v>
          </cell>
          <cell r="G880">
            <v>245.40888566249998</v>
          </cell>
          <cell r="H880">
            <v>75.806817262499976</v>
          </cell>
          <cell r="I880">
            <v>0.30890005085942057</v>
          </cell>
          <cell r="J880">
            <v>218.14123169999999</v>
          </cell>
          <cell r="K880">
            <v>48.539163299999984</v>
          </cell>
          <cell r="L880">
            <v>0.22251255721684818</v>
          </cell>
        </row>
        <row r="881">
          <cell r="A881" t="str">
            <v>MBL01</v>
          </cell>
          <cell r="B881" t="str">
            <v>1 mod low-current busbar assembly 400A 4-pole</v>
          </cell>
          <cell r="C881">
            <v>279.10816249999999</v>
          </cell>
          <cell r="D881">
            <v>230.84598743749999</v>
          </cell>
          <cell r="E881">
            <v>293.06357062500001</v>
          </cell>
          <cell r="F881">
            <v>94.100043599999992</v>
          </cell>
          <cell r="G881">
            <v>131.87860678125</v>
          </cell>
          <cell r="H881">
            <v>37.778563181250007</v>
          </cell>
          <cell r="I881">
            <v>0.28646468220515975</v>
          </cell>
          <cell r="J881">
            <v>117.22542825000001</v>
          </cell>
          <cell r="K881">
            <v>23.125384650000015</v>
          </cell>
          <cell r="L881">
            <v>0.19727276748080477</v>
          </cell>
        </row>
        <row r="882">
          <cell r="A882" t="str">
            <v>MCFF4A</v>
          </cell>
          <cell r="B882" t="str">
            <v>Form 4 panelboard to L frame fuse switch (400A)</v>
          </cell>
          <cell r="C882">
            <v>71.415284187499992</v>
          </cell>
          <cell r="D882">
            <v>107.90846477499998</v>
          </cell>
          <cell r="E882">
            <v>74.986048396874992</v>
          </cell>
          <cell r="F882" t="e">
            <v>#N/A</v>
          </cell>
          <cell r="G882">
            <v>33.743721778593745</v>
          </cell>
          <cell r="I882">
            <v>0</v>
          </cell>
          <cell r="J882">
            <v>29.994419358749997</v>
          </cell>
          <cell r="K882" t="e">
            <v>#N/A</v>
          </cell>
          <cell r="L882" t="e">
            <v>#N/A</v>
          </cell>
        </row>
        <row r="883">
          <cell r="A883" t="str">
            <v>MCFMY6</v>
          </cell>
          <cell r="B883" t="str">
            <v>Links from MMS15Y to Y6 MCCB</v>
          </cell>
          <cell r="C883">
            <v>162.44889999999998</v>
          </cell>
          <cell r="D883">
            <v>39.927636159374998</v>
          </cell>
          <cell r="E883">
            <v>170.57134499999998</v>
          </cell>
          <cell r="F883" t="e">
            <v>#N/A</v>
          </cell>
          <cell r="G883">
            <v>76.757105249999995</v>
          </cell>
          <cell r="H883" t="e">
            <v>#N/A</v>
          </cell>
          <cell r="I883" t="e">
            <v>#N/A</v>
          </cell>
          <cell r="J883">
            <v>68.228538</v>
          </cell>
          <cell r="K883" t="e">
            <v>#N/A</v>
          </cell>
          <cell r="L883" t="e">
            <v>#N/A</v>
          </cell>
        </row>
        <row r="884">
          <cell r="A884" t="str">
            <v>MCHBL</v>
          </cell>
          <cell r="B884" t="str">
            <v>High-current busbar links 1250A 4-pole</v>
          </cell>
          <cell r="C884">
            <v>58.430687062499992</v>
          </cell>
          <cell r="D884">
            <v>53.2368482125</v>
          </cell>
          <cell r="E884">
            <v>64.273755768749993</v>
          </cell>
          <cell r="F884">
            <v>24.3838644</v>
          </cell>
          <cell r="G884">
            <v>28.923190095937496</v>
          </cell>
          <cell r="H884">
            <v>4.5393256959374959</v>
          </cell>
          <cell r="I884">
            <v>0.15694415729664213</v>
          </cell>
          <cell r="J884">
            <v>25.709502307499999</v>
          </cell>
          <cell r="K884">
            <v>1.3256379074999991</v>
          </cell>
          <cell r="L884">
            <v>5.1562176958722485E-2</v>
          </cell>
        </row>
        <row r="885">
          <cell r="A885" t="str">
            <v>MCHF1A</v>
          </cell>
          <cell r="B885" t="str">
            <v>High-current busbar to F frame fuse switch (max 125A)</v>
          </cell>
          <cell r="C885">
            <v>24.338006</v>
          </cell>
          <cell r="D885">
            <v>129.59074999999999</v>
          </cell>
          <cell r="E885">
            <v>25.554906299999999</v>
          </cell>
          <cell r="F885" t="e">
            <v>#N/A</v>
          </cell>
          <cell r="G885">
            <v>11.499707835000001</v>
          </cell>
          <cell r="H885" t="e">
            <v>#N/A</v>
          </cell>
          <cell r="I885" t="e">
            <v>#N/A</v>
          </cell>
          <cell r="J885">
            <v>10.22196252</v>
          </cell>
          <cell r="K885" t="e">
            <v>#N/A</v>
          </cell>
          <cell r="L885" t="e">
            <v>#N/A</v>
          </cell>
        </row>
        <row r="886">
          <cell r="A886" t="str">
            <v>MCHF2A</v>
          </cell>
          <cell r="B886" t="str">
            <v>High-current busbar to F frame fuse switch (max 200A)</v>
          </cell>
          <cell r="C886">
            <v>29.304946000000001</v>
          </cell>
          <cell r="D886">
            <v>59.891454239062483</v>
          </cell>
          <cell r="E886">
            <v>30.770193300000003</v>
          </cell>
          <cell r="F886">
            <v>8.6485895999999993</v>
          </cell>
          <cell r="G886">
            <v>13.846586985000002</v>
          </cell>
          <cell r="H886">
            <v>5.1979973850000025</v>
          </cell>
          <cell r="I886">
            <v>0.3753991789190354</v>
          </cell>
          <cell r="J886">
            <v>12.308077320000002</v>
          </cell>
          <cell r="K886">
            <v>3.6594877200000031</v>
          </cell>
          <cell r="L886">
            <v>0.29732407628391488</v>
          </cell>
        </row>
        <row r="887">
          <cell r="A887" t="str">
            <v>MCHF4A</v>
          </cell>
          <cell r="B887" t="str">
            <v>High-current busbar to L frame fuse switch (400A)</v>
          </cell>
          <cell r="C887">
            <v>71.415284187499992</v>
          </cell>
          <cell r="D887">
            <v>129.59198000000001</v>
          </cell>
          <cell r="E887">
            <v>74.986048396874992</v>
          </cell>
          <cell r="F887">
            <v>27.383443199999999</v>
          </cell>
          <cell r="G887">
            <v>33.743721778593745</v>
          </cell>
          <cell r="H887">
            <v>6.3602785785937463</v>
          </cell>
          <cell r="I887">
            <v>0.18848776137754203</v>
          </cell>
          <cell r="J887">
            <v>29.994419358749997</v>
          </cell>
          <cell r="K887">
            <v>2.6109761587499989</v>
          </cell>
          <cell r="L887">
            <v>8.7048731549734859E-2</v>
          </cell>
        </row>
        <row r="888">
          <cell r="A888" t="str">
            <v>MCHF8A</v>
          </cell>
          <cell r="B888" t="str">
            <v>High-current busbar to N frame fuse switch (630/800A)</v>
          </cell>
          <cell r="C888">
            <v>225.2155975</v>
          </cell>
          <cell r="D888">
            <v>28.070548525</v>
          </cell>
          <cell r="E888">
            <v>258.99793712500002</v>
          </cell>
          <cell r="F888">
            <v>93.668208000000007</v>
          </cell>
          <cell r="G888">
            <v>116.54907170625002</v>
          </cell>
          <cell r="H888">
            <v>22.880863706250011</v>
          </cell>
          <cell r="I888">
            <v>0.19631957055753205</v>
          </cell>
          <cell r="J888">
            <v>103.59917485000001</v>
          </cell>
          <cell r="K888">
            <v>9.9309668500000043</v>
          </cell>
          <cell r="L888">
            <v>9.5859516877223494E-2</v>
          </cell>
        </row>
        <row r="889">
          <cell r="A889" t="str">
            <v>MCHFC</v>
          </cell>
          <cell r="B889" t="str">
            <v>Form 4 panelboard to high current busbars</v>
          </cell>
          <cell r="C889">
            <v>105.276551</v>
          </cell>
          <cell r="D889">
            <v>54.068749999999994</v>
          </cell>
          <cell r="E889">
            <v>110.54037855</v>
          </cell>
          <cell r="F889">
            <v>34.017446399999997</v>
          </cell>
          <cell r="G889">
            <v>49.743170347499998</v>
          </cell>
          <cell r="H889">
            <v>15.725723947500001</v>
          </cell>
          <cell r="I889">
            <v>0.31613835301694532</v>
          </cell>
          <cell r="J889">
            <v>44.216151420000003</v>
          </cell>
          <cell r="K889">
            <v>10.198705020000006</v>
          </cell>
          <cell r="L889">
            <v>0.23065564714406356</v>
          </cell>
        </row>
        <row r="890">
          <cell r="A890" t="str">
            <v>MCHL4</v>
          </cell>
          <cell r="B890" t="str">
            <v xml:space="preserve">Form 2 (400A) Loadbank panelboard to high current busbars </v>
          </cell>
          <cell r="C890">
            <v>38.953791375000002</v>
          </cell>
          <cell r="D890">
            <v>42.912879984374996</v>
          </cell>
          <cell r="E890">
            <v>40.901480943750002</v>
          </cell>
          <cell r="F890">
            <v>13.195286400000001</v>
          </cell>
          <cell r="G890">
            <v>18.405666424687503</v>
          </cell>
          <cell r="H890">
            <v>5.2103800246875025</v>
          </cell>
          <cell r="I890">
            <v>0.28308564897703592</v>
          </cell>
          <cell r="J890">
            <v>16.360592377500002</v>
          </cell>
          <cell r="K890">
            <v>3.165305977500001</v>
          </cell>
          <cell r="L890">
            <v>0.19347135509916538</v>
          </cell>
        </row>
        <row r="891">
          <cell r="A891" t="str">
            <v>MCHL8</v>
          </cell>
          <cell r="B891" t="str">
            <v xml:space="preserve">Form 2 (800A) Loadbank panelboard to high current busbars </v>
          </cell>
          <cell r="C891">
            <v>51.938388500000002</v>
          </cell>
          <cell r="D891">
            <v>24.946456149999999</v>
          </cell>
          <cell r="E891">
            <v>54.535307925000005</v>
          </cell>
          <cell r="F891">
            <v>21.4579752</v>
          </cell>
          <cell r="G891">
            <v>24.540888566250004</v>
          </cell>
          <cell r="H891">
            <v>3.0829133662500041</v>
          </cell>
          <cell r="I891">
            <v>0.12562354284472804</v>
          </cell>
          <cell r="J891">
            <v>21.814123170000002</v>
          </cell>
          <cell r="K891">
            <v>0.35614797000000209</v>
          </cell>
          <cell r="L891">
            <v>1.6326485700318985E-2</v>
          </cell>
        </row>
        <row r="892">
          <cell r="A892" t="str">
            <v>MCHM12Y</v>
          </cell>
          <cell r="B892" t="str">
            <v>High-current busbar to Y7 MCCB (max 1250A)</v>
          </cell>
          <cell r="C892">
            <v>126.43</v>
          </cell>
          <cell r="D892">
            <v>26.103527399999997</v>
          </cell>
          <cell r="E892">
            <v>132.75150000000002</v>
          </cell>
          <cell r="F892">
            <v>48.000169200000002</v>
          </cell>
          <cell r="G892">
            <v>59.738175000000012</v>
          </cell>
          <cell r="H892">
            <v>11.73800580000001</v>
          </cell>
          <cell r="I892">
            <v>0.19649086702096286</v>
          </cell>
          <cell r="J892">
            <v>53.100600000000014</v>
          </cell>
          <cell r="K892">
            <v>5.1004308000000123</v>
          </cell>
          <cell r="L892">
            <v>9.6052225398583269E-2</v>
          </cell>
        </row>
        <row r="893">
          <cell r="A893" t="str">
            <v>MCHM4Y</v>
          </cell>
          <cell r="B893" t="str">
            <v>High-current busbar to Y6 MCCB (max 400A)</v>
          </cell>
          <cell r="C893">
            <v>58.430687062499992</v>
          </cell>
          <cell r="D893">
            <v>66.546060265624988</v>
          </cell>
          <cell r="E893">
            <v>61.352221415624989</v>
          </cell>
          <cell r="F893">
            <v>19.335884399999998</v>
          </cell>
          <cell r="G893">
            <v>27.608499637031244</v>
          </cell>
          <cell r="H893">
            <v>8.2726152370312462</v>
          </cell>
          <cell r="I893">
            <v>0.2996401595809719</v>
          </cell>
          <cell r="J893">
            <v>24.540888566249997</v>
          </cell>
          <cell r="K893">
            <v>5.2050041662499993</v>
          </cell>
          <cell r="L893">
            <v>0.21209517952859344</v>
          </cell>
        </row>
        <row r="894">
          <cell r="A894" t="str">
            <v>MCHM8Y</v>
          </cell>
          <cell r="B894" t="str">
            <v>High-current busbar to Y6 (max 800A)</v>
          </cell>
          <cell r="C894">
            <v>126.4312</v>
          </cell>
          <cell r="D894">
            <v>66.546060265624988</v>
          </cell>
          <cell r="E894">
            <v>132.75275999999999</v>
          </cell>
          <cell r="F894">
            <v>42.446906399999996</v>
          </cell>
          <cell r="G894">
            <v>59.738742000000002</v>
          </cell>
          <cell r="H894">
            <v>17.291835600000006</v>
          </cell>
          <cell r="I894">
            <v>0.28945764542547625</v>
          </cell>
          <cell r="J894">
            <v>53.101103999999999</v>
          </cell>
          <cell r="K894">
            <v>10.654197600000003</v>
          </cell>
          <cell r="L894">
            <v>0.20063985110366073</v>
          </cell>
        </row>
        <row r="895">
          <cell r="A895" t="str">
            <v>MCHMYA3</v>
          </cell>
          <cell r="B895" t="str">
            <v>High-current busbar to YA MCCB (max 250A)</v>
          </cell>
          <cell r="C895">
            <v>27.385901</v>
          </cell>
          <cell r="D895">
            <v>39.927636159374998</v>
          </cell>
          <cell r="E895">
            <v>28.755196050000002</v>
          </cell>
          <cell r="F895">
            <v>8.9877072000000009</v>
          </cell>
          <cell r="G895">
            <v>12.939838222500001</v>
          </cell>
          <cell r="H895">
            <v>3.9521310224999997</v>
          </cell>
          <cell r="I895">
            <v>0.30542352651889959</v>
          </cell>
          <cell r="J895">
            <v>11.502078420000002</v>
          </cell>
          <cell r="K895">
            <v>2.514371220000001</v>
          </cell>
          <cell r="L895">
            <v>0.21860146733376215</v>
          </cell>
        </row>
        <row r="896">
          <cell r="A896" t="str">
            <v>MCHPB4</v>
          </cell>
          <cell r="B896" t="str">
            <v>1250A busbar interconnection kit</v>
          </cell>
          <cell r="C896">
            <v>52.75</v>
          </cell>
          <cell r="D896">
            <v>39.927636159374998</v>
          </cell>
          <cell r="E896">
            <v>55.387500000000003</v>
          </cell>
          <cell r="F896">
            <v>19.436359199999998</v>
          </cell>
          <cell r="G896">
            <v>24.924375000000001</v>
          </cell>
          <cell r="H896">
            <v>5.488015800000003</v>
          </cell>
          <cell r="I896">
            <v>0.22018669675769212</v>
          </cell>
          <cell r="J896">
            <v>22.155000000000001</v>
          </cell>
          <cell r="K896">
            <v>2.7186408000000029</v>
          </cell>
          <cell r="L896">
            <v>0.12271003385240364</v>
          </cell>
        </row>
        <row r="897">
          <cell r="A897" t="str">
            <v>MCLBL</v>
          </cell>
          <cell r="B897" t="str">
            <v>Low-current busbar links 400A 4-pole</v>
          </cell>
          <cell r="C897">
            <v>41.866224375000002</v>
          </cell>
          <cell r="D897">
            <v>59.891454239062483</v>
          </cell>
          <cell r="E897">
            <v>43.959535593750005</v>
          </cell>
          <cell r="F897">
            <v>14.766159599999998</v>
          </cell>
          <cell r="G897">
            <v>19.781791017187501</v>
          </cell>
          <cell r="H897">
            <v>5.0156314171875032</v>
          </cell>
          <cell r="I897">
            <v>0.25354789224239849</v>
          </cell>
          <cell r="J897">
            <v>17.583814237500004</v>
          </cell>
          <cell r="K897">
            <v>2.8176546375000058</v>
          </cell>
          <cell r="L897">
            <v>0.16024137877269845</v>
          </cell>
        </row>
        <row r="898">
          <cell r="A898" t="str">
            <v>MCLF1A</v>
          </cell>
          <cell r="B898" t="str">
            <v>Low-current busbar to F frame fuse switch (max 125A)</v>
          </cell>
          <cell r="C898">
            <v>24.338006</v>
          </cell>
          <cell r="D898">
            <v>59.891454239062483</v>
          </cell>
          <cell r="E898">
            <v>25.554906299999999</v>
          </cell>
          <cell r="F898">
            <v>7.2894528000000003</v>
          </cell>
          <cell r="G898">
            <v>11.499707835000001</v>
          </cell>
          <cell r="H898">
            <v>4.2102550350000003</v>
          </cell>
          <cell r="I898">
            <v>0.36611843495587382</v>
          </cell>
          <cell r="J898">
            <v>10.22196252</v>
          </cell>
          <cell r="K898">
            <v>2.9325097199999997</v>
          </cell>
          <cell r="L898">
            <v>0.28688323932535803</v>
          </cell>
        </row>
        <row r="899">
          <cell r="A899" t="str">
            <v>MCLF2A</v>
          </cell>
          <cell r="B899" t="str">
            <v>Low-current busbar to F frame fuse switch (max 200A)</v>
          </cell>
          <cell r="C899">
            <v>25.466856</v>
          </cell>
          <cell r="D899">
            <v>32.28336925</v>
          </cell>
          <cell r="E899">
            <v>26.740198800000002</v>
          </cell>
          <cell r="F899">
            <v>7.9966548</v>
          </cell>
          <cell r="G899">
            <v>12.033089460000001</v>
          </cell>
          <cell r="H899">
            <v>4.0364346600000012</v>
          </cell>
          <cell r="I899">
            <v>0.33544458166107582</v>
          </cell>
          <cell r="J899">
            <v>10.696079520000001</v>
          </cell>
          <cell r="K899">
            <v>2.6994247200000014</v>
          </cell>
          <cell r="L899">
            <v>0.25237515436871033</v>
          </cell>
        </row>
        <row r="900">
          <cell r="A900" t="str">
            <v>MCLF4BA</v>
          </cell>
          <cell r="B900" t="str">
            <v>Low-current busbar to bottom entry L frame fuse switch (400A)</v>
          </cell>
          <cell r="C900">
            <v>64.922985624999995</v>
          </cell>
          <cell r="D900">
            <v>48.661874999999995</v>
          </cell>
          <cell r="E900">
            <v>68.169134906249994</v>
          </cell>
          <cell r="F900">
            <v>21.4371288</v>
          </cell>
          <cell r="G900">
            <v>30.676110707812498</v>
          </cell>
          <cell r="H900">
            <v>9.238981907812498</v>
          </cell>
          <cell r="I900">
            <v>0.30117839891155246</v>
          </cell>
          <cell r="J900">
            <v>27.267653962499999</v>
          </cell>
          <cell r="K900">
            <v>5.830525162499999</v>
          </cell>
          <cell r="L900">
            <v>0.21382569877549654</v>
          </cell>
        </row>
        <row r="901">
          <cell r="A901" t="str">
            <v>MCLF4TA</v>
          </cell>
          <cell r="B901" t="str">
            <v>Low-current busbar to top entry L frame fuse switch (400A)</v>
          </cell>
          <cell r="C901">
            <v>64.922985624999995</v>
          </cell>
          <cell r="D901">
            <v>206.29769356249994</v>
          </cell>
          <cell r="E901">
            <v>68.169134906249994</v>
          </cell>
          <cell r="F901">
            <v>21.4371288</v>
          </cell>
          <cell r="G901">
            <v>30.676110707812498</v>
          </cell>
          <cell r="H901">
            <v>9.238981907812498</v>
          </cell>
          <cell r="I901">
            <v>0.30117839891155246</v>
          </cell>
          <cell r="J901">
            <v>27.267653962499999</v>
          </cell>
          <cell r="K901">
            <v>5.830525162499999</v>
          </cell>
          <cell r="L901">
            <v>0.21382569877549654</v>
          </cell>
        </row>
        <row r="902">
          <cell r="A902" t="str">
            <v>MCLFC</v>
          </cell>
          <cell r="B902" t="str">
            <v>Form 4 panelboard to low current busbars</v>
          </cell>
          <cell r="C902">
            <v>38.953791375000002</v>
          </cell>
          <cell r="D902">
            <v>275.52786175</v>
          </cell>
          <cell r="E902">
            <v>40.901480943750002</v>
          </cell>
          <cell r="F902">
            <v>9.5123819999999988</v>
          </cell>
          <cell r="G902">
            <v>18.405666424687503</v>
          </cell>
          <cell r="H902">
            <v>8.8932844246875042</v>
          </cell>
          <cell r="I902">
            <v>0.48318187559668851</v>
          </cell>
          <cell r="J902">
            <v>16.360592377500002</v>
          </cell>
          <cell r="K902">
            <v>6.8482103775000027</v>
          </cell>
          <cell r="L902">
            <v>0.41857961004627459</v>
          </cell>
        </row>
        <row r="903">
          <cell r="A903" t="str">
            <v>MCLL4</v>
          </cell>
          <cell r="B903" t="str">
            <v xml:space="preserve">Form 2 (400A) Loadbank panelboard to low current busbars </v>
          </cell>
          <cell r="C903">
            <v>38.953791375000002</v>
          </cell>
          <cell r="D903">
            <v>293.23801322656249</v>
          </cell>
          <cell r="E903">
            <v>40.901480943750002</v>
          </cell>
          <cell r="F903">
            <v>10.881699600000001</v>
          </cell>
          <cell r="G903">
            <v>18.405666424687503</v>
          </cell>
          <cell r="H903">
            <v>7.523966824687502</v>
          </cell>
          <cell r="I903">
            <v>0.40878535180859371</v>
          </cell>
          <cell r="J903">
            <v>16.360592377500002</v>
          </cell>
          <cell r="K903">
            <v>5.4788927775000005</v>
          </cell>
          <cell r="L903">
            <v>0.33488352078466788</v>
          </cell>
        </row>
        <row r="904">
          <cell r="A904" t="str">
            <v>MCLM4BY</v>
          </cell>
          <cell r="B904" t="str">
            <v>Low-current busbar to bottom entry Y6 MCCB (400A)</v>
          </cell>
          <cell r="C904">
            <v>58.430687062499992</v>
          </cell>
          <cell r="D904">
            <v>334.52335625000001</v>
          </cell>
          <cell r="E904">
            <v>61.352221415624989</v>
          </cell>
          <cell r="F904">
            <v>22.662339599999999</v>
          </cell>
          <cell r="G904">
            <v>27.608499637031244</v>
          </cell>
          <cell r="H904">
            <v>4.9461600370312446</v>
          </cell>
          <cell r="I904">
            <v>0.17915352525701783</v>
          </cell>
          <cell r="J904">
            <v>24.540888566249997</v>
          </cell>
          <cell r="K904">
            <v>1.8785489662499977</v>
          </cell>
          <cell r="L904">
            <v>7.6547715914145151E-2</v>
          </cell>
        </row>
        <row r="905">
          <cell r="A905" t="str">
            <v>MCLM4TY</v>
          </cell>
          <cell r="B905" t="str">
            <v>Low-current busbar to top entry Y6 MCCB (400A)</v>
          </cell>
          <cell r="C905">
            <v>58.430687062499992</v>
          </cell>
          <cell r="D905">
            <v>304.67740624999993</v>
          </cell>
          <cell r="E905">
            <v>61.352221415624989</v>
          </cell>
          <cell r="F905">
            <v>21.2612676</v>
          </cell>
          <cell r="G905">
            <v>27.608499637031244</v>
          </cell>
          <cell r="H905">
            <v>6.3472320370312438</v>
          </cell>
          <cell r="I905">
            <v>0.22990137531840774</v>
          </cell>
          <cell r="J905">
            <v>24.540888566249997</v>
          </cell>
          <cell r="K905">
            <v>3.2796209662499969</v>
          </cell>
          <cell r="L905">
            <v>0.1336390472332088</v>
          </cell>
        </row>
        <row r="906">
          <cell r="A906" t="str">
            <v>MCLMYA3</v>
          </cell>
          <cell r="B906" t="str">
            <v>Low-current busbar to YA MCCB (max 250A)</v>
          </cell>
          <cell r="C906">
            <v>31.49597</v>
          </cell>
          <cell r="D906">
            <v>205.19090624999998</v>
          </cell>
          <cell r="E906">
            <v>33.0707685</v>
          </cell>
          <cell r="F906">
            <v>7.1660712000000002</v>
          </cell>
          <cell r="G906">
            <v>14.881845825000001</v>
          </cell>
          <cell r="H906">
            <v>7.7157746250000008</v>
          </cell>
          <cell r="I906">
            <v>0.51846892621601259</v>
          </cell>
          <cell r="J906">
            <v>13.2283074</v>
          </cell>
          <cell r="K906">
            <v>6.0622362000000001</v>
          </cell>
          <cell r="L906">
            <v>0.45827754199301418</v>
          </cell>
        </row>
        <row r="907">
          <cell r="A907" t="str">
            <v>MCLPB4</v>
          </cell>
          <cell r="B907" t="str">
            <v>400A busbar interconnection kit</v>
          </cell>
          <cell r="C907">
            <v>47.475000000000001</v>
          </cell>
          <cell r="D907">
            <v>292.24159374999994</v>
          </cell>
          <cell r="E907">
            <v>49.848750000000003</v>
          </cell>
          <cell r="F907">
            <v>17.2042188</v>
          </cell>
          <cell r="G907">
            <v>22.4319375</v>
          </cell>
          <cell r="H907">
            <v>5.2277187000000005</v>
          </cell>
          <cell r="I907">
            <v>0.2330480236047377</v>
          </cell>
          <cell r="J907">
            <v>19.939500000000002</v>
          </cell>
          <cell r="K907">
            <v>2.7352812000000029</v>
          </cell>
          <cell r="L907">
            <v>0.13717902655532999</v>
          </cell>
        </row>
        <row r="908">
          <cell r="A908" t="str">
            <v>MFS12A</v>
          </cell>
          <cell r="B908" t="str">
            <v>2 mod shielded assembly 1 - F frame fuse switch (max 125A)</v>
          </cell>
          <cell r="C908">
            <v>201.26604249999997</v>
          </cell>
          <cell r="D908">
            <v>335.76693749999998</v>
          </cell>
          <cell r="E908">
            <v>211.32934462499998</v>
          </cell>
          <cell r="F908">
            <v>49.692</v>
          </cell>
          <cell r="G908">
            <v>95.098205081249986</v>
          </cell>
          <cell r="H908">
            <v>45.406205081249986</v>
          </cell>
          <cell r="I908">
            <v>0.47746647838890166</v>
          </cell>
          <cell r="J908">
            <v>84.531737849999999</v>
          </cell>
          <cell r="K908">
            <v>34.839737849999999</v>
          </cell>
          <cell r="L908">
            <v>0.41214978818751447</v>
          </cell>
        </row>
        <row r="909">
          <cell r="A909" t="str">
            <v>MFS15A</v>
          </cell>
          <cell r="B909" t="str">
            <v>5 mod shielded assembly 1 - L frame fuse switch</v>
          </cell>
          <cell r="C909">
            <v>268.80767000000003</v>
          </cell>
          <cell r="D909">
            <v>105.59626874999999</v>
          </cell>
          <cell r="E909">
            <v>282.24805350000003</v>
          </cell>
          <cell r="F909">
            <v>89.4605076</v>
          </cell>
          <cell r="G909">
            <v>127.01162407500001</v>
          </cell>
          <cell r="H909">
            <v>37.551116475000015</v>
          </cell>
          <cell r="I909">
            <v>0.29565102208933397</v>
          </cell>
          <cell r="J909">
            <v>112.89922140000002</v>
          </cell>
          <cell r="K909">
            <v>23.438713800000016</v>
          </cell>
          <cell r="L909">
            <v>0.20760739985050078</v>
          </cell>
        </row>
        <row r="910">
          <cell r="A910" t="str">
            <v>MFS16A</v>
          </cell>
          <cell r="B910" t="str">
            <v>6 mod shielded assembly 1 - N frame fuse switch</v>
          </cell>
          <cell r="C910">
            <v>286.08586656250003</v>
          </cell>
          <cell r="D910">
            <v>105.59626874999999</v>
          </cell>
          <cell r="E910">
            <v>314.69445321875003</v>
          </cell>
          <cell r="F910">
            <v>120.0439944</v>
          </cell>
          <cell r="G910">
            <v>141.61250394843751</v>
          </cell>
          <cell r="H910">
            <v>21.568509548437504</v>
          </cell>
          <cell r="I910">
            <v>0.15230653330083627</v>
          </cell>
          <cell r="J910">
            <v>125.87778128750001</v>
          </cell>
          <cell r="K910">
            <v>5.8337868875000112</v>
          </cell>
          <cell r="L910">
            <v>4.6344849963440855E-2</v>
          </cell>
        </row>
        <row r="911">
          <cell r="A911" t="str">
            <v>MFS25A</v>
          </cell>
          <cell r="B911" t="str">
            <v>5 mod shielded assembly 2 - L frame fuse switches</v>
          </cell>
          <cell r="C911">
            <v>326.36425000000003</v>
          </cell>
          <cell r="D911">
            <v>340.7412625</v>
          </cell>
          <cell r="E911">
            <v>342.68246250000004</v>
          </cell>
          <cell r="F911">
            <v>114.1434936</v>
          </cell>
          <cell r="G911">
            <v>154.20710812500002</v>
          </cell>
          <cell r="H911">
            <v>40.06361452500002</v>
          </cell>
          <cell r="I911">
            <v>0.25980394167384635</v>
          </cell>
          <cell r="J911">
            <v>137.07298500000002</v>
          </cell>
          <cell r="K911">
            <v>22.929491400000018</v>
          </cell>
          <cell r="L911">
            <v>0.16727943438307713</v>
          </cell>
        </row>
        <row r="912">
          <cell r="A912" t="str">
            <v>MFS32A</v>
          </cell>
          <cell r="B912" t="str">
            <v>2 mod shielded assembly 3 - F frame fuse switches (max 125A)</v>
          </cell>
          <cell r="C912">
            <v>297.24624999999997</v>
          </cell>
          <cell r="D912">
            <v>354.42065624999998</v>
          </cell>
          <cell r="E912">
            <v>312.10856249999995</v>
          </cell>
          <cell r="F912">
            <v>78.78</v>
          </cell>
          <cell r="G912">
            <v>140.44885312499997</v>
          </cell>
          <cell r="H912">
            <v>61.66885312499997</v>
          </cell>
          <cell r="I912">
            <v>0.43908406336443684</v>
          </cell>
          <cell r="J912">
            <v>124.84342499999998</v>
          </cell>
          <cell r="K912">
            <v>46.063424999999981</v>
          </cell>
          <cell r="L912">
            <v>0.36896957128499147</v>
          </cell>
        </row>
        <row r="913">
          <cell r="A913" t="str">
            <v>MMS12YA23</v>
          </cell>
          <cell r="B913" t="str">
            <v>2 mod shielded assembly 1 - YA (excluding neutral link)</v>
          </cell>
          <cell r="C913">
            <v>200.18625</v>
          </cell>
          <cell r="D913">
            <v>105.59626874999999</v>
          </cell>
          <cell r="E913">
            <v>210.19556249999999</v>
          </cell>
          <cell r="F913">
            <v>48.958255199999996</v>
          </cell>
          <cell r="G913">
            <v>94.588003125</v>
          </cell>
          <cell r="H913">
            <v>45.629747925000004</v>
          </cell>
          <cell r="I913">
            <v>0.48240523552124626</v>
          </cell>
          <cell r="J913">
            <v>84.078225000000003</v>
          </cell>
          <cell r="K913">
            <v>35.119969800000007</v>
          </cell>
          <cell r="L913">
            <v>0.41770588996140207</v>
          </cell>
        </row>
        <row r="914">
          <cell r="A914" t="str">
            <v>MMS13YA23</v>
          </cell>
          <cell r="B914" t="str">
            <v>3 mod shielded assembly 1 - YA (excluding neutral link)</v>
          </cell>
          <cell r="C914">
            <v>285.11374999999998</v>
          </cell>
          <cell r="D914">
            <v>105.59626874999999</v>
          </cell>
          <cell r="E914">
            <v>299.3694375</v>
          </cell>
          <cell r="F914" t="e">
            <v>#N/A</v>
          </cell>
          <cell r="G914">
            <v>134.716246875</v>
          </cell>
          <cell r="H914" t="e">
            <v>#N/A</v>
          </cell>
          <cell r="I914" t="e">
            <v>#N/A</v>
          </cell>
          <cell r="J914">
            <v>119.747775</v>
          </cell>
          <cell r="K914" t="e">
            <v>#N/A</v>
          </cell>
          <cell r="L914" t="e">
            <v>#N/A</v>
          </cell>
        </row>
        <row r="915">
          <cell r="A915" t="str">
            <v>MMS15Y</v>
          </cell>
          <cell r="B915" t="str">
            <v>5 mod shielded assembly 1 - Y6</v>
          </cell>
          <cell r="C915">
            <v>327.57749999999999</v>
          </cell>
          <cell r="D915">
            <v>286.02368749999999</v>
          </cell>
          <cell r="E915">
            <v>343.95637499999998</v>
          </cell>
          <cell r="F915">
            <v>123.6115164</v>
          </cell>
          <cell r="G915">
            <v>154.78036875000001</v>
          </cell>
          <cell r="H915">
            <v>31.168852350000009</v>
          </cell>
          <cell r="I915">
            <v>0.20137471309648891</v>
          </cell>
          <cell r="J915">
            <v>137.58255</v>
          </cell>
          <cell r="K915">
            <v>13.971033599999998</v>
          </cell>
          <cell r="L915">
            <v>0.10154655223354996</v>
          </cell>
        </row>
        <row r="916">
          <cell r="A916" t="str">
            <v>MMS15Y1C</v>
          </cell>
          <cell r="B916" t="str">
            <v>MMS15Y front plate for 1 C lock</v>
          </cell>
          <cell r="C916">
            <v>103.02075000000001</v>
          </cell>
          <cell r="D916">
            <v>329.54903124999998</v>
          </cell>
          <cell r="E916">
            <v>108.17178750000001</v>
          </cell>
          <cell r="F916" t="e">
            <v>#N/A</v>
          </cell>
          <cell r="G916">
            <v>48.677304375000006</v>
          </cell>
          <cell r="H916" t="e">
            <v>#N/A</v>
          </cell>
          <cell r="I916" t="e">
            <v>#N/A</v>
          </cell>
          <cell r="J916">
            <v>43.268715000000007</v>
          </cell>
          <cell r="K916" t="e">
            <v>#N/A</v>
          </cell>
          <cell r="L916" t="e">
            <v>#N/A</v>
          </cell>
        </row>
        <row r="917">
          <cell r="A917" t="str">
            <v>MMS15YRC</v>
          </cell>
          <cell r="B917" t="str">
            <v>MMS25Y front plate for RC lock</v>
          </cell>
          <cell r="C917">
            <v>103.02075000000001</v>
          </cell>
          <cell r="D917">
            <v>449.60328374999995</v>
          </cell>
          <cell r="E917">
            <v>108.17178750000001</v>
          </cell>
          <cell r="F917" t="e">
            <v>#N/A</v>
          </cell>
          <cell r="G917">
            <v>48.677304375000006</v>
          </cell>
          <cell r="H917" t="e">
            <v>#N/A</v>
          </cell>
          <cell r="I917" t="e">
            <v>#N/A</v>
          </cell>
          <cell r="J917">
            <v>43.268715000000007</v>
          </cell>
          <cell r="K917" t="e">
            <v>#N/A</v>
          </cell>
          <cell r="L917" t="e">
            <v>#N/A</v>
          </cell>
        </row>
        <row r="918">
          <cell r="A918" t="str">
            <v>MMS16Y</v>
          </cell>
          <cell r="B918" t="str">
            <v>6 mod shielded assembly 1 - Y7</v>
          </cell>
          <cell r="C918">
            <v>332.43050000000005</v>
          </cell>
          <cell r="D918">
            <v>570.86867624999991</v>
          </cell>
          <cell r="E918">
            <v>349.05202500000007</v>
          </cell>
          <cell r="F918">
            <v>114.5953272</v>
          </cell>
          <cell r="G918">
            <v>157.07341125000005</v>
          </cell>
          <cell r="H918">
            <v>42.478084050000049</v>
          </cell>
          <cell r="I918">
            <v>0.27043459304765072</v>
          </cell>
          <cell r="J918">
            <v>139.62081000000003</v>
          </cell>
          <cell r="K918">
            <v>25.025482800000034</v>
          </cell>
          <cell r="L918">
            <v>0.17923891717860704</v>
          </cell>
        </row>
        <row r="919">
          <cell r="A919" t="str">
            <v>MMS25Y</v>
          </cell>
          <cell r="B919" t="str">
            <v>5 mod shielded assembly 2 - Y6</v>
          </cell>
          <cell r="C919">
            <v>345.77625</v>
          </cell>
          <cell r="D919">
            <v>47.5250119453125</v>
          </cell>
          <cell r="E919">
            <v>371.70946874999998</v>
          </cell>
          <cell r="F919">
            <v>138.82005599999999</v>
          </cell>
          <cell r="G919">
            <v>167.26926093750001</v>
          </cell>
          <cell r="H919">
            <v>28.449204937500014</v>
          </cell>
          <cell r="I919">
            <v>0.17008029316354803</v>
          </cell>
          <cell r="J919">
            <v>148.68378749999999</v>
          </cell>
          <cell r="K919">
            <v>9.8637315000000001</v>
          </cell>
          <cell r="L919">
            <v>6.6340329808991447E-2</v>
          </cell>
        </row>
        <row r="920">
          <cell r="A920" t="str">
            <v>MMS25Y2C</v>
          </cell>
          <cell r="B920" t="str">
            <v>MMS25Y front plate for 2 Castell locks</v>
          </cell>
          <cell r="C920">
            <v>103.02075000000001</v>
          </cell>
          <cell r="D920">
            <v>61.027195367187495</v>
          </cell>
          <cell r="E920">
            <v>108.17178750000001</v>
          </cell>
          <cell r="F920" t="e">
            <v>#N/A</v>
          </cell>
          <cell r="G920">
            <v>48.677304375000006</v>
          </cell>
          <cell r="H920" t="e">
            <v>#N/A</v>
          </cell>
          <cell r="I920" t="e">
            <v>#N/A</v>
          </cell>
          <cell r="J920">
            <v>43.268715000000007</v>
          </cell>
          <cell r="K920" t="e">
            <v>#N/A</v>
          </cell>
          <cell r="L920" t="e">
            <v>#N/A</v>
          </cell>
        </row>
        <row r="921">
          <cell r="A921" t="str">
            <v>MMS25YLC</v>
          </cell>
          <cell r="B921" t="str">
            <v>MMS25Y front plate for LC Castell locks</v>
          </cell>
          <cell r="C921">
            <v>103.02075000000001</v>
          </cell>
          <cell r="D921">
            <v>15.592357656249998</v>
          </cell>
          <cell r="E921">
            <v>108.17178750000001</v>
          </cell>
          <cell r="F921" t="e">
            <v>#N/A</v>
          </cell>
          <cell r="G921">
            <v>48.677304375000006</v>
          </cell>
          <cell r="H921" t="e">
            <v>#N/A</v>
          </cell>
          <cell r="I921" t="e">
            <v>#N/A</v>
          </cell>
          <cell r="J921">
            <v>43.268715000000007</v>
          </cell>
          <cell r="K921" t="e">
            <v>#N/A</v>
          </cell>
          <cell r="L921" t="e">
            <v>#N/A</v>
          </cell>
        </row>
        <row r="922">
          <cell r="A922" t="str">
            <v>MMS32YA23</v>
          </cell>
          <cell r="B922" t="str">
            <v>2 mod shielded assembly 3 - YA (excluding neutral links)</v>
          </cell>
          <cell r="C922">
            <v>279.04750000000001</v>
          </cell>
          <cell r="D922">
            <v>40.070427499999994</v>
          </cell>
          <cell r="E922">
            <v>292.99987500000003</v>
          </cell>
          <cell r="F922">
            <v>78.78</v>
          </cell>
          <cell r="G922">
            <v>131.84994375000002</v>
          </cell>
          <cell r="H922">
            <v>53.069943750000022</v>
          </cell>
          <cell r="I922">
            <v>0.40250258923603077</v>
          </cell>
          <cell r="J922">
            <v>117.19995000000002</v>
          </cell>
          <cell r="K922">
            <v>38.419950000000014</v>
          </cell>
          <cell r="L922">
            <v>0.32781541289053456</v>
          </cell>
        </row>
        <row r="923">
          <cell r="A923" t="str">
            <v>MMS33YA23</v>
          </cell>
          <cell r="B923" t="str">
            <v>3 mod shielded assembly 3 - YA (excluding neutral links)</v>
          </cell>
          <cell r="C923">
            <v>321.51125000000002</v>
          </cell>
          <cell r="D923">
            <v>43.540667499999991</v>
          </cell>
          <cell r="E923">
            <v>337.58681250000001</v>
          </cell>
          <cell r="F923">
            <v>106.785078</v>
          </cell>
          <cell r="G923">
            <v>151.91406562500001</v>
          </cell>
          <cell r="H923">
            <v>45.128987625000008</v>
          </cell>
          <cell r="I923">
            <v>0.29706918473501293</v>
          </cell>
          <cell r="J923">
            <v>135.03472500000001</v>
          </cell>
          <cell r="K923">
            <v>28.24964700000001</v>
          </cell>
          <cell r="L923">
            <v>0.20920283282688959</v>
          </cell>
        </row>
        <row r="924">
          <cell r="A924" t="str">
            <v>MPB4084</v>
          </cell>
          <cell r="B924" t="str">
            <v>400A 8 way Loadbank 125- Modis panelboard</v>
          </cell>
          <cell r="C924">
            <v>438.63734999999997</v>
          </cell>
          <cell r="D924">
            <v>48.285136249999987</v>
          </cell>
          <cell r="E924">
            <v>460.56921749999998</v>
          </cell>
          <cell r="F924">
            <v>120.614604</v>
          </cell>
          <cell r="G924">
            <v>207.25614787499998</v>
          </cell>
          <cell r="H924">
            <v>86.641543874999982</v>
          </cell>
          <cell r="I924">
            <v>0.41804088690896207</v>
          </cell>
          <cell r="J924">
            <v>184.227687</v>
          </cell>
          <cell r="K924">
            <v>63.613083000000003</v>
          </cell>
          <cell r="L924">
            <v>0.34529599777258235</v>
          </cell>
        </row>
        <row r="925">
          <cell r="A925" t="str">
            <v>MPB4125</v>
          </cell>
          <cell r="B925" t="str">
            <v>400A 12 way Loadbank 125 - Modis panelboard</v>
          </cell>
          <cell r="C925">
            <v>556.94504999999992</v>
          </cell>
          <cell r="D925">
            <v>55.889841874999995</v>
          </cell>
          <cell r="E925">
            <v>584.79230249999989</v>
          </cell>
          <cell r="F925">
            <v>152.279922</v>
          </cell>
          <cell r="G925">
            <v>263.15653612499995</v>
          </cell>
          <cell r="H925">
            <v>110.87661412499995</v>
          </cell>
          <cell r="I925">
            <v>0.42133330890300708</v>
          </cell>
          <cell r="J925">
            <v>233.91692099999997</v>
          </cell>
          <cell r="K925">
            <v>81.636998999999975</v>
          </cell>
          <cell r="L925">
            <v>0.34899997251588305</v>
          </cell>
        </row>
        <row r="926">
          <cell r="A926" t="str">
            <v>MXD06</v>
          </cell>
          <cell r="B926" t="str">
            <v>6 way unshielded door kit</v>
          </cell>
          <cell r="C926">
            <v>46.365865312500006</v>
          </cell>
          <cell r="D926">
            <v>64.334996249999989</v>
          </cell>
          <cell r="E926">
            <v>48.684158578125007</v>
          </cell>
          <cell r="F926">
            <v>16.080573600000001</v>
          </cell>
          <cell r="G926">
            <v>21.907871360156253</v>
          </cell>
          <cell r="H926">
            <v>5.8272977601562523</v>
          </cell>
          <cell r="I926">
            <v>0.26599105245589183</v>
          </cell>
          <cell r="J926">
            <v>19.473663431250003</v>
          </cell>
          <cell r="K926">
            <v>3.393089831250002</v>
          </cell>
          <cell r="L926">
            <v>0.17423993401287832</v>
          </cell>
        </row>
        <row r="927">
          <cell r="A927" t="str">
            <v>MXD10</v>
          </cell>
          <cell r="B927" t="str">
            <v>10 way unshielded door kit</v>
          </cell>
          <cell r="C927">
            <v>59.538727187500001</v>
          </cell>
          <cell r="D927">
            <v>21.761507859375001</v>
          </cell>
          <cell r="E927">
            <v>62.515663546875004</v>
          </cell>
          <cell r="F927">
            <v>23.661391200000001</v>
          </cell>
          <cell r="G927">
            <v>28.132048596093753</v>
          </cell>
          <cell r="H927">
            <v>4.4706573960937526</v>
          </cell>
          <cell r="I927">
            <v>0.15891688018463473</v>
          </cell>
          <cell r="J927">
            <v>25.006265418750004</v>
          </cell>
          <cell r="K927">
            <v>1.3448742187500038</v>
          </cell>
          <cell r="L927">
            <v>5.3781490207714125E-2</v>
          </cell>
        </row>
        <row r="928">
          <cell r="A928" t="str">
            <v>MXEC1</v>
          </cell>
          <cell r="B928" t="str">
            <v xml:space="preserve">1 mod 100mm deep extension collar   </v>
          </cell>
          <cell r="C928">
            <v>15.21205625</v>
          </cell>
          <cell r="D928">
            <v>13.121844999999999</v>
          </cell>
          <cell r="E928">
            <v>27.381701249999999</v>
          </cell>
          <cell r="F928">
            <v>10.16868</v>
          </cell>
          <cell r="G928">
            <v>12.3217655625</v>
          </cell>
          <cell r="H928">
            <v>2.1530855624999994</v>
          </cell>
          <cell r="I928">
            <v>0.17473839699179874</v>
          </cell>
          <cell r="J928">
            <v>10.9526805</v>
          </cell>
          <cell r="K928">
            <v>0.78400049999999943</v>
          </cell>
          <cell r="L928">
            <v>7.1580696615773598E-2</v>
          </cell>
        </row>
        <row r="929">
          <cell r="A929" t="str">
            <v>MXEC2</v>
          </cell>
          <cell r="B929" t="str">
            <v xml:space="preserve">2 mod 100mm deep extension collar   </v>
          </cell>
          <cell r="C929">
            <v>39.0931</v>
          </cell>
          <cell r="D929">
            <v>18.232315624999998</v>
          </cell>
          <cell r="E929">
            <v>41.047755000000002</v>
          </cell>
          <cell r="F929">
            <v>12.854835599999999</v>
          </cell>
          <cell r="G929">
            <v>18.47148975</v>
          </cell>
          <cell r="H929">
            <v>5.6166541500000005</v>
          </cell>
          <cell r="I929">
            <v>0.30407153001830839</v>
          </cell>
          <cell r="J929">
            <v>16.419102000000002</v>
          </cell>
          <cell r="K929">
            <v>3.5642664000000028</v>
          </cell>
          <cell r="L929">
            <v>0.21708047127059704</v>
          </cell>
        </row>
        <row r="930">
          <cell r="A930" t="str">
            <v>MXEC3</v>
          </cell>
          <cell r="B930" t="str">
            <v xml:space="preserve">3 mod 100mm deep extension collar   </v>
          </cell>
          <cell r="C930">
            <v>42.478699999999996</v>
          </cell>
          <cell r="D930">
            <v>10.914650359374997</v>
          </cell>
          <cell r="E930">
            <v>44.602634999999999</v>
          </cell>
          <cell r="F930">
            <v>15.0503736</v>
          </cell>
          <cell r="G930">
            <v>20.071185750000001</v>
          </cell>
          <cell r="H930">
            <v>5.0208121500000011</v>
          </cell>
          <cell r="I930">
            <v>0.25015025083906667</v>
          </cell>
          <cell r="J930">
            <v>17.841054</v>
          </cell>
          <cell r="K930">
            <v>2.7906803999999994</v>
          </cell>
          <cell r="L930">
            <v>0.15641903219394995</v>
          </cell>
        </row>
        <row r="931">
          <cell r="A931" t="str">
            <v>MXEC4</v>
          </cell>
          <cell r="B931" t="str">
            <v xml:space="preserve">4 mod 100mm deep extension collar   </v>
          </cell>
          <cell r="C931">
            <v>47.107449999999993</v>
          </cell>
          <cell r="D931">
            <v>12.473886124999998</v>
          </cell>
          <cell r="E931">
            <v>49.462822499999994</v>
          </cell>
          <cell r="F931">
            <v>17.022782400000001</v>
          </cell>
          <cell r="G931">
            <v>22.258270124999999</v>
          </cell>
          <cell r="H931">
            <v>5.2354877249999987</v>
          </cell>
          <cell r="I931">
            <v>0.23521539165434127</v>
          </cell>
          <cell r="J931">
            <v>19.785128999999998</v>
          </cell>
          <cell r="K931">
            <v>2.7623465999999972</v>
          </cell>
          <cell r="L931">
            <v>0.13961731561113389</v>
          </cell>
        </row>
        <row r="932">
          <cell r="A932" t="str">
            <v>MXEC5</v>
          </cell>
          <cell r="B932" t="str">
            <v xml:space="preserve">5 mod 100mm deep extension collar   </v>
          </cell>
          <cell r="C932">
            <v>54.526674999999997</v>
          </cell>
          <cell r="D932">
            <v>14.033121890625003</v>
          </cell>
          <cell r="E932">
            <v>57.253008749999999</v>
          </cell>
          <cell r="F932">
            <v>19.007553600000001</v>
          </cell>
          <cell r="G932">
            <v>25.763853937499999</v>
          </cell>
          <cell r="H932">
            <v>6.7563003374999973</v>
          </cell>
          <cell r="I932">
            <v>0.26223950632114151</v>
          </cell>
          <cell r="J932">
            <v>22.901203500000001</v>
          </cell>
          <cell r="K932">
            <v>3.8936498999999998</v>
          </cell>
          <cell r="L932">
            <v>0.17001944461128427</v>
          </cell>
        </row>
        <row r="933">
          <cell r="A933" t="str">
            <v>MXEC6</v>
          </cell>
          <cell r="B933" t="str">
            <v xml:space="preserve">6 mod 100mm deep extension collar   </v>
          </cell>
          <cell r="C933">
            <v>62.76585</v>
          </cell>
          <cell r="D933">
            <v>7.7961788281249991</v>
          </cell>
          <cell r="E933">
            <v>65.904142500000006</v>
          </cell>
          <cell r="F933">
            <v>22.095729599999999</v>
          </cell>
          <cell r="G933">
            <v>29.656864125000002</v>
          </cell>
          <cell r="H933">
            <v>7.5611345250000035</v>
          </cell>
          <cell r="I933">
            <v>0.25495394567445701</v>
          </cell>
          <cell r="J933">
            <v>26.361657000000005</v>
          </cell>
          <cell r="K933">
            <v>4.265927400000006</v>
          </cell>
          <cell r="L933">
            <v>0.16182318888376424</v>
          </cell>
        </row>
        <row r="934">
          <cell r="A934" t="str">
            <v>MXEPF</v>
          </cell>
          <cell r="B934" t="str">
            <v>Horizontal insulation partition kit - full width</v>
          </cell>
          <cell r="C934">
            <v>21.230739375000002</v>
          </cell>
          <cell r="D934">
            <v>15.592357656249998</v>
          </cell>
          <cell r="E934">
            <v>22.292276343750004</v>
          </cell>
          <cell r="F934">
            <v>5.2217807999999994</v>
          </cell>
          <cell r="G934">
            <v>10.031524354687502</v>
          </cell>
          <cell r="H934">
            <v>4.8097435546875023</v>
          </cell>
          <cell r="I934">
            <v>0.47946287968089507</v>
          </cell>
          <cell r="J934">
            <v>8.9169105375000015</v>
          </cell>
          <cell r="K934">
            <v>3.6951297375000021</v>
          </cell>
          <cell r="L934">
            <v>0.41439573964100695</v>
          </cell>
        </row>
        <row r="935">
          <cell r="A935" t="str">
            <v>MXEV2</v>
          </cell>
          <cell r="B935" t="str">
            <v>2 mod vertical strap for half width plate</v>
          </cell>
          <cell r="C935">
            <v>12.8018</v>
          </cell>
          <cell r="D935">
            <v>20.374104374999995</v>
          </cell>
          <cell r="E935">
            <v>13.441890000000001</v>
          </cell>
          <cell r="F935">
            <v>3.6343032000000002</v>
          </cell>
          <cell r="G935">
            <v>6.0488505000000004</v>
          </cell>
          <cell r="H935">
            <v>2.4145473000000002</v>
          </cell>
          <cell r="I935">
            <v>0.3991745704411111</v>
          </cell>
          <cell r="J935">
            <v>5.3767560000000003</v>
          </cell>
          <cell r="K935">
            <v>1.7424528000000001</v>
          </cell>
          <cell r="L935">
            <v>0.32407139174624999</v>
          </cell>
        </row>
        <row r="936">
          <cell r="A936" t="str">
            <v>MXEV3</v>
          </cell>
          <cell r="B936" t="str">
            <v>3 mod vertical strap for half width plate</v>
          </cell>
          <cell r="C936">
            <v>17.787624999999998</v>
          </cell>
          <cell r="D936">
            <v>21.829300718749995</v>
          </cell>
          <cell r="E936">
            <v>18.677006249999998</v>
          </cell>
          <cell r="F936">
            <v>4.4839152000000002</v>
          </cell>
          <cell r="G936">
            <v>8.4046528125000002</v>
          </cell>
          <cell r="H936">
            <v>3.9207376125</v>
          </cell>
          <cell r="I936">
            <v>0.46649608258282826</v>
          </cell>
          <cell r="J936">
            <v>7.4708024999999996</v>
          </cell>
          <cell r="K936">
            <v>2.9868872999999994</v>
          </cell>
          <cell r="L936">
            <v>0.39980809290568176</v>
          </cell>
        </row>
        <row r="937">
          <cell r="A937" t="str">
            <v>MXEV4</v>
          </cell>
          <cell r="B937" t="str">
            <v>4 mod vertical strap for half width plate</v>
          </cell>
          <cell r="C937">
            <v>10.648439374999999</v>
          </cell>
          <cell r="D937">
            <v>29.049704374999997</v>
          </cell>
          <cell r="E937">
            <v>19.167190874999996</v>
          </cell>
          <cell r="F937">
            <v>5.4946020000000004</v>
          </cell>
          <cell r="G937">
            <v>8.6252358937499984</v>
          </cell>
          <cell r="H937">
            <v>3.130633893749998</v>
          </cell>
          <cell r="I937">
            <v>0.36296211863822897</v>
          </cell>
          <cell r="J937">
            <v>7.666876349999999</v>
          </cell>
          <cell r="K937">
            <v>2.1722743499999986</v>
          </cell>
          <cell r="L937">
            <v>0.28333238346800765</v>
          </cell>
        </row>
        <row r="938">
          <cell r="A938" t="str">
            <v>MXEV5</v>
          </cell>
          <cell r="B938" t="str">
            <v>5 mod vertical strap for half width plate</v>
          </cell>
          <cell r="C938">
            <v>12.169644999999999</v>
          </cell>
          <cell r="D938">
            <v>31.408383125</v>
          </cell>
          <cell r="E938">
            <v>21.296878749999998</v>
          </cell>
          <cell r="F938">
            <v>6.4804427999999996</v>
          </cell>
          <cell r="G938">
            <v>9.5835954374999996</v>
          </cell>
          <cell r="H938">
            <v>3.1031526375</v>
          </cell>
          <cell r="I938">
            <v>0.32379837585355087</v>
          </cell>
          <cell r="J938">
            <v>8.5187514999999987</v>
          </cell>
          <cell r="K938">
            <v>2.0383086999999991</v>
          </cell>
          <cell r="L938">
            <v>0.23927317283524463</v>
          </cell>
        </row>
        <row r="939">
          <cell r="A939" t="str">
            <v>MXEV6</v>
          </cell>
          <cell r="B939" t="str">
            <v>6 mod vertical strap for half width plate</v>
          </cell>
          <cell r="C939">
            <v>13.690850625000003</v>
          </cell>
          <cell r="D939">
            <v>35.000623750000003</v>
          </cell>
          <cell r="E939">
            <v>23.958988593750007</v>
          </cell>
          <cell r="F939">
            <v>7.6157231999999997</v>
          </cell>
          <cell r="G939">
            <v>10.781544867187504</v>
          </cell>
          <cell r="H939">
            <v>3.1658216671875046</v>
          </cell>
          <cell r="I939">
            <v>0.29363339912653419</v>
          </cell>
          <cell r="J939">
            <v>9.5835954375000032</v>
          </cell>
          <cell r="K939">
            <v>1.9678722375000035</v>
          </cell>
          <cell r="L939">
            <v>0.20533757401735092</v>
          </cell>
        </row>
        <row r="940">
          <cell r="A940" t="str">
            <v>MXEXF</v>
          </cell>
          <cell r="B940" t="str">
            <v>Horizontal cross strap - full width</v>
          </cell>
          <cell r="C940">
            <v>7.6060281249999999</v>
          </cell>
          <cell r="D940">
            <v>37.421658374999993</v>
          </cell>
          <cell r="E940">
            <v>13.310549218750001</v>
          </cell>
          <cell r="F940">
            <v>3.2766419999999998</v>
          </cell>
          <cell r="G940">
            <v>5.9897471484375009</v>
          </cell>
          <cell r="H940">
            <v>2.7131051484375011</v>
          </cell>
          <cell r="I940">
            <v>0.45295821028860089</v>
          </cell>
          <cell r="J940">
            <v>5.3242196875000012</v>
          </cell>
          <cell r="K940">
            <v>2.0475776875000014</v>
          </cell>
          <cell r="L940">
            <v>0.38457798657467607</v>
          </cell>
        </row>
        <row r="941">
          <cell r="A941" t="str">
            <v>MXPC1HS</v>
          </cell>
          <cell r="B941" t="str">
            <v xml:space="preserve">1 mod dished front plate - cableway hinged    </v>
          </cell>
          <cell r="C941">
            <v>15.21205625</v>
          </cell>
          <cell r="D941">
            <v>6.2369430624999991</v>
          </cell>
          <cell r="E941">
            <v>17.4938646875</v>
          </cell>
          <cell r="F941">
            <v>4.7267999999999999</v>
          </cell>
          <cell r="G941">
            <v>7.8722391093750002</v>
          </cell>
          <cell r="H941">
            <v>3.1454391093750003</v>
          </cell>
          <cell r="I941">
            <v>0.39956092106362934</v>
          </cell>
          <cell r="J941">
            <v>6.9975458750000001</v>
          </cell>
          <cell r="K941">
            <v>2.2707458750000002</v>
          </cell>
          <cell r="L941">
            <v>0.32450603619658303</v>
          </cell>
        </row>
        <row r="942">
          <cell r="A942" t="str">
            <v>MXPC2HS</v>
          </cell>
          <cell r="B942" t="str">
            <v xml:space="preserve">2 mod dished front plate - cableway hinged    </v>
          </cell>
          <cell r="C942">
            <v>19.877174999999998</v>
          </cell>
          <cell r="D942">
            <v>7.7961788281249991</v>
          </cell>
          <cell r="E942">
            <v>26.834186249999995</v>
          </cell>
          <cell r="F942">
            <v>7.6393571999999992</v>
          </cell>
          <cell r="G942">
            <v>12.075383812499998</v>
          </cell>
          <cell r="H942">
            <v>4.4360266124999992</v>
          </cell>
          <cell r="I942">
            <v>0.3673611275119873</v>
          </cell>
          <cell r="J942">
            <v>10.733674499999999</v>
          </cell>
          <cell r="K942">
            <v>3.0943173000000002</v>
          </cell>
          <cell r="L942">
            <v>0.28828126845098578</v>
          </cell>
        </row>
        <row r="943">
          <cell r="A943" t="str">
            <v>MXPC3HS</v>
          </cell>
          <cell r="B943" t="str">
            <v xml:space="preserve">3 mod dished front plate - cableway hinged   </v>
          </cell>
          <cell r="C943">
            <v>21.296878749999998</v>
          </cell>
          <cell r="D943">
            <v>9.3554145937499982</v>
          </cell>
          <cell r="E943">
            <v>28.750786312499997</v>
          </cell>
          <cell r="F943">
            <v>9.2989487999999998</v>
          </cell>
          <cell r="G943">
            <v>12.937853840624999</v>
          </cell>
          <cell r="H943">
            <v>3.6389050406249996</v>
          </cell>
          <cell r="I943">
            <v>0.28126032999374279</v>
          </cell>
          <cell r="J943">
            <v>11.500314525</v>
          </cell>
          <cell r="K943">
            <v>2.2013657250000005</v>
          </cell>
          <cell r="L943">
            <v>0.19141787124296067</v>
          </cell>
        </row>
        <row r="944">
          <cell r="A944" t="str">
            <v>MXPC4HS</v>
          </cell>
          <cell r="B944" t="str">
            <v xml:space="preserve">4 mod dished front plate - cableway hinged    </v>
          </cell>
          <cell r="C944">
            <v>28.341175</v>
          </cell>
          <cell r="D944">
            <v>10.914650359374997</v>
          </cell>
          <cell r="E944">
            <v>38.260586250000003</v>
          </cell>
          <cell r="F944">
            <v>10.450106399999999</v>
          </cell>
          <cell r="G944">
            <v>17.217263812500001</v>
          </cell>
          <cell r="H944">
            <v>6.7671574125000014</v>
          </cell>
          <cell r="I944">
            <v>0.39304488135838056</v>
          </cell>
          <cell r="J944">
            <v>15.304234500000002</v>
          </cell>
          <cell r="K944">
            <v>4.8541281000000023</v>
          </cell>
          <cell r="L944">
            <v>0.31717549152817814</v>
          </cell>
        </row>
        <row r="945">
          <cell r="A945" t="str">
            <v>MXPC5HS</v>
          </cell>
          <cell r="B945" t="str">
            <v xml:space="preserve">5 mod dished front plate - cableway hinged   </v>
          </cell>
          <cell r="C945">
            <v>30.642325000000003</v>
          </cell>
          <cell r="D945">
            <v>12.473886124999998</v>
          </cell>
          <cell r="E945">
            <v>41.367138750000002</v>
          </cell>
          <cell r="F945">
            <v>12.779206800000001</v>
          </cell>
          <cell r="G945">
            <v>18.615212437500002</v>
          </cell>
          <cell r="H945">
            <v>5.8360056375000013</v>
          </cell>
          <cell r="I945">
            <v>0.31350733477225734</v>
          </cell>
          <cell r="J945">
            <v>16.546855500000003</v>
          </cell>
          <cell r="K945">
            <v>3.7676487000000023</v>
          </cell>
          <cell r="L945">
            <v>0.22769575161878955</v>
          </cell>
        </row>
        <row r="946">
          <cell r="A946" t="str">
            <v>MXPC6HS</v>
          </cell>
          <cell r="B946" t="str">
            <v xml:space="preserve">6 mod dished front plate - cableway hinged   </v>
          </cell>
          <cell r="C946">
            <v>34.146950000000004</v>
          </cell>
          <cell r="D946">
            <v>14.033121890625003</v>
          </cell>
          <cell r="E946">
            <v>46.098382500000007</v>
          </cell>
          <cell r="F946">
            <v>15.182723999999999</v>
          </cell>
          <cell r="G946">
            <v>20.744272125000002</v>
          </cell>
          <cell r="H946">
            <v>5.5615481250000034</v>
          </cell>
          <cell r="I946">
            <v>0.26810042268475126</v>
          </cell>
          <cell r="J946">
            <v>18.439353000000004</v>
          </cell>
          <cell r="K946">
            <v>3.2566290000000055</v>
          </cell>
          <cell r="L946">
            <v>0.17661297552034524</v>
          </cell>
        </row>
        <row r="947">
          <cell r="A947" t="str">
            <v>MXPC8HS</v>
          </cell>
          <cell r="B947" t="str">
            <v xml:space="preserve">8 mod dished front plate - cableway hinged    </v>
          </cell>
          <cell r="C947">
            <v>36.508934999999994</v>
          </cell>
          <cell r="D947">
            <v>20.618105625000002</v>
          </cell>
          <cell r="E947">
            <v>56.588849249999988</v>
          </cell>
          <cell r="F947">
            <v>20.014362000000002</v>
          </cell>
          <cell r="G947">
            <v>25.464982162499997</v>
          </cell>
          <cell r="H947">
            <v>5.4506201624999946</v>
          </cell>
          <cell r="I947">
            <v>0.21404374555292779</v>
          </cell>
          <cell r="J947">
            <v>22.635539699999995</v>
          </cell>
          <cell r="K947">
            <v>2.6211776999999934</v>
          </cell>
          <cell r="L947">
            <v>0.11579921374704372</v>
          </cell>
        </row>
        <row r="948">
          <cell r="A948" t="str">
            <v>MXPE1F</v>
          </cell>
          <cell r="B948" t="str">
            <v>1 mod flat side plate</v>
          </cell>
          <cell r="C948">
            <v>6.0848224999999996</v>
          </cell>
          <cell r="D948">
            <v>7.7961788281249991</v>
          </cell>
          <cell r="E948">
            <v>6.3890636249999995</v>
          </cell>
          <cell r="F948">
            <v>1.2881136</v>
          </cell>
          <cell r="G948">
            <v>2.8750786312499996</v>
          </cell>
          <cell r="H948">
            <v>1.5869650312499997</v>
          </cell>
          <cell r="I948">
            <v>0.55197274050206901</v>
          </cell>
          <cell r="J948">
            <v>2.55562545</v>
          </cell>
          <cell r="K948">
            <v>1.26751185</v>
          </cell>
          <cell r="L948">
            <v>0.49596933306482766</v>
          </cell>
        </row>
        <row r="949">
          <cell r="A949" t="str">
            <v>MXPE2F</v>
          </cell>
          <cell r="B949" t="str">
            <v>2 mod flat side plate</v>
          </cell>
          <cell r="C949">
            <v>7.6060281249999999</v>
          </cell>
          <cell r="D949">
            <v>6.2369430624999991</v>
          </cell>
          <cell r="E949">
            <v>7.98632953125</v>
          </cell>
          <cell r="F949">
            <v>2.2573500000000002</v>
          </cell>
          <cell r="G949">
            <v>3.5938482890625001</v>
          </cell>
          <cell r="H949">
            <v>1.3364982890624999</v>
          </cell>
          <cell r="I949">
            <v>0.37188500503206884</v>
          </cell>
          <cell r="J949">
            <v>3.1945318125000002</v>
          </cell>
          <cell r="K949">
            <v>0.93718181249999999</v>
          </cell>
          <cell r="L949">
            <v>0.29337063066107749</v>
          </cell>
        </row>
        <row r="950">
          <cell r="A950" t="str">
            <v>MXPE3F</v>
          </cell>
          <cell r="B950" t="str">
            <v>3 mod flat side plate</v>
          </cell>
          <cell r="C950">
            <v>9.1272337499999985</v>
          </cell>
          <cell r="D950">
            <v>24.684793125000002</v>
          </cell>
          <cell r="E950">
            <v>9.5835954374999979</v>
          </cell>
          <cell r="F950">
            <v>2.9406755999999996</v>
          </cell>
          <cell r="G950">
            <v>4.3126179468749992</v>
          </cell>
          <cell r="H950">
            <v>1.3719423468749996</v>
          </cell>
          <cell r="I950">
            <v>0.31812285803548485</v>
          </cell>
          <cell r="J950">
            <v>3.8334381749999995</v>
          </cell>
          <cell r="K950">
            <v>0.89276257499999989</v>
          </cell>
          <cell r="L950">
            <v>0.23288821528992051</v>
          </cell>
        </row>
        <row r="951">
          <cell r="A951" t="str">
            <v>MXPE4F</v>
          </cell>
          <cell r="B951" t="str">
            <v>4 mod flat side plate</v>
          </cell>
          <cell r="C951">
            <v>10.648439374999999</v>
          </cell>
          <cell r="D951">
            <v>27.463696250000002</v>
          </cell>
          <cell r="E951">
            <v>11.180861343749999</v>
          </cell>
          <cell r="F951">
            <v>3.2213748000000004</v>
          </cell>
          <cell r="G951">
            <v>5.0313876046874997</v>
          </cell>
          <cell r="H951">
            <v>1.8100128046874993</v>
          </cell>
          <cell r="I951">
            <v>0.35974425882060806</v>
          </cell>
          <cell r="J951">
            <v>4.4723445374999997</v>
          </cell>
          <cell r="K951">
            <v>1.2509697374999993</v>
          </cell>
          <cell r="L951">
            <v>0.27971229117318408</v>
          </cell>
        </row>
        <row r="952">
          <cell r="A952" t="str">
            <v>MXPE5F</v>
          </cell>
          <cell r="B952" t="str">
            <v>5 mod flat side plate</v>
          </cell>
          <cell r="C952">
            <v>12.169644999999999</v>
          </cell>
          <cell r="D952">
            <v>31.001714374999995</v>
          </cell>
          <cell r="E952">
            <v>12.778127249999999</v>
          </cell>
          <cell r="F952">
            <v>4.5683916</v>
          </cell>
          <cell r="G952">
            <v>5.7501572624999993</v>
          </cell>
          <cell r="H952">
            <v>1.1817656624999993</v>
          </cell>
          <cell r="I952">
            <v>0.20551884210314664</v>
          </cell>
          <cell r="J952">
            <v>5.1112508999999999</v>
          </cell>
          <cell r="K952">
            <v>0.54285929999999993</v>
          </cell>
          <cell r="L952">
            <v>0.10620869736604006</v>
          </cell>
        </row>
        <row r="953">
          <cell r="A953" t="str">
            <v>MXPE6F</v>
          </cell>
          <cell r="B953" t="str">
            <v>6 mod flat side plate</v>
          </cell>
          <cell r="C953">
            <v>13.690850625000003</v>
          </cell>
          <cell r="D953">
            <v>33.333281874999997</v>
          </cell>
          <cell r="E953">
            <v>14.375393156250004</v>
          </cell>
          <cell r="F953">
            <v>4.8614531999999997</v>
          </cell>
          <cell r="G953">
            <v>6.4689269203125015</v>
          </cell>
          <cell r="H953">
            <v>1.6074737203125018</v>
          </cell>
          <cell r="I953">
            <v>0.24849155665447645</v>
          </cell>
          <cell r="J953">
            <v>5.7501572625000019</v>
          </cell>
          <cell r="K953">
            <v>0.88870406250000222</v>
          </cell>
          <cell r="L953">
            <v>0.1545530012362861</v>
          </cell>
        </row>
        <row r="954">
          <cell r="A954" t="str">
            <v>MXPE8F</v>
          </cell>
          <cell r="B954" t="str">
            <v>8 mod flat side plate</v>
          </cell>
          <cell r="C954">
            <v>20.115225000000002</v>
          </cell>
          <cell r="D954">
            <v>36.35618625</v>
          </cell>
          <cell r="E954">
            <v>21.120986250000001</v>
          </cell>
          <cell r="F954">
            <v>6.8364072</v>
          </cell>
          <cell r="G954">
            <v>9.5044438125000017</v>
          </cell>
          <cell r="H954">
            <v>2.6680366125000017</v>
          </cell>
          <cell r="I954">
            <v>0.28071464939285223</v>
          </cell>
          <cell r="J954">
            <v>8.4483945000000009</v>
          </cell>
          <cell r="K954">
            <v>1.6119873000000009</v>
          </cell>
          <cell r="L954">
            <v>0.19080398056695869</v>
          </cell>
        </row>
        <row r="955">
          <cell r="A955" t="str">
            <v>MXPEHF</v>
          </cell>
          <cell r="B955" t="str">
            <v>2 mod flat side plates for high current busbar</v>
          </cell>
          <cell r="C955">
            <v>7.6060281249999999</v>
          </cell>
          <cell r="D955">
            <v>39.026644374999997</v>
          </cell>
          <cell r="E955">
            <v>7.98632953125</v>
          </cell>
          <cell r="F955">
            <v>2.2712880000000002</v>
          </cell>
          <cell r="G955">
            <v>3.5938482890625001</v>
          </cell>
          <cell r="H955">
            <v>1.3225602890624999</v>
          </cell>
          <cell r="I955">
            <v>0.36800671110340782</v>
          </cell>
          <cell r="J955">
            <v>3.1945318125000002</v>
          </cell>
          <cell r="K955">
            <v>0.92324381249999998</v>
          </cell>
          <cell r="L955">
            <v>0.28900754999133382</v>
          </cell>
        </row>
        <row r="956">
          <cell r="A956" t="str">
            <v>MXPELF</v>
          </cell>
          <cell r="B956" t="str">
            <v>1 mod flat side plates for low current busbar</v>
          </cell>
          <cell r="C956">
            <v>6.0848224999999996</v>
          </cell>
          <cell r="D956">
            <v>25.281240624999999</v>
          </cell>
          <cell r="E956">
            <v>6.3890636249999995</v>
          </cell>
          <cell r="F956">
            <v>1.8457547999999999</v>
          </cell>
          <cell r="G956">
            <v>2.8750786312499996</v>
          </cell>
          <cell r="H956">
            <v>1.0293238312499997</v>
          </cell>
          <cell r="I956">
            <v>0.3580158887002266</v>
          </cell>
          <cell r="J956">
            <v>2.55562545</v>
          </cell>
          <cell r="K956">
            <v>0.70987065000000005</v>
          </cell>
          <cell r="L956">
            <v>0.277767874787755</v>
          </cell>
        </row>
        <row r="957">
          <cell r="A957" t="str">
            <v>MXPF1HS</v>
          </cell>
          <cell r="B957" t="str">
            <v xml:space="preserve">1 mod dished front plate - full width hinged   </v>
          </cell>
          <cell r="C957">
            <v>24.082725000000003</v>
          </cell>
          <cell r="D957">
            <v>28.480368124999998</v>
          </cell>
          <cell r="E957">
            <v>27.695133750000004</v>
          </cell>
          <cell r="F957" t="e">
            <v>#N/A</v>
          </cell>
          <cell r="G957">
            <v>12.462810187500002</v>
          </cell>
          <cell r="H957" t="e">
            <v>#N/A</v>
          </cell>
          <cell r="I957" t="e">
            <v>#N/A</v>
          </cell>
          <cell r="J957">
            <v>11.078053500000003</v>
          </cell>
          <cell r="K957" t="e">
            <v>#N/A</v>
          </cell>
          <cell r="L957" t="e">
            <v>#N/A</v>
          </cell>
        </row>
        <row r="958">
          <cell r="A958" t="str">
            <v>MXPF2HS</v>
          </cell>
          <cell r="B958" t="str">
            <v xml:space="preserve">2 mod dished front plate - full width hinged    </v>
          </cell>
          <cell r="C958">
            <v>26.793850000000003</v>
          </cell>
          <cell r="D958">
            <v>28.066243781250005</v>
          </cell>
          <cell r="E958">
            <v>33.492312500000004</v>
          </cell>
          <cell r="F958">
            <v>11.336926799999999</v>
          </cell>
          <cell r="G958">
            <v>15.071540625000003</v>
          </cell>
          <cell r="H958">
            <v>3.7346138250000038</v>
          </cell>
          <cell r="I958">
            <v>0.24779243993180047</v>
          </cell>
          <cell r="J958">
            <v>13.396925000000003</v>
          </cell>
          <cell r="K958">
            <v>2.0599982000000043</v>
          </cell>
          <cell r="L958">
            <v>0.1537664949232756</v>
          </cell>
        </row>
        <row r="959">
          <cell r="A959" t="str">
            <v>MXPF3HS</v>
          </cell>
          <cell r="B959" t="str">
            <v xml:space="preserve">3 mod dished front plate - full width hinged    </v>
          </cell>
          <cell r="C959">
            <v>30.245574999999999</v>
          </cell>
          <cell r="D959">
            <v>31.184715312499996</v>
          </cell>
          <cell r="E959">
            <v>37.806968749999996</v>
          </cell>
          <cell r="F959">
            <v>14.376137999999999</v>
          </cell>
          <cell r="G959">
            <v>17.0131359375</v>
          </cell>
          <cell r="H959">
            <v>2.6369979375000003</v>
          </cell>
          <cell r="I959">
            <v>0.15499775862529755</v>
          </cell>
          <cell r="J959">
            <v>15.122787499999999</v>
          </cell>
          <cell r="K959">
            <v>0.74664950000000019</v>
          </cell>
          <cell r="L959">
            <v>4.9372478453459732E-2</v>
          </cell>
        </row>
        <row r="960">
          <cell r="A960" t="str">
            <v>MXPF4HS</v>
          </cell>
          <cell r="B960" t="str">
            <v xml:space="preserve">4 mod dished front plate - full width hinged    </v>
          </cell>
          <cell r="C960">
            <v>32.520274999999998</v>
          </cell>
          <cell r="D960">
            <v>34.303186843749998</v>
          </cell>
          <cell r="E960">
            <v>40.650343749999998</v>
          </cell>
          <cell r="F960">
            <v>15.3074388</v>
          </cell>
          <cell r="G960">
            <v>18.292654687500001</v>
          </cell>
          <cell r="H960">
            <v>2.9852158875000008</v>
          </cell>
          <cell r="I960">
            <v>0.16319205377773305</v>
          </cell>
          <cell r="J960">
            <v>16.260137499999999</v>
          </cell>
          <cell r="K960">
            <v>0.95269869999999912</v>
          </cell>
          <cell r="L960">
            <v>5.8591060499949596E-2</v>
          </cell>
        </row>
        <row r="961">
          <cell r="A961" t="str">
            <v>MXPF5HS</v>
          </cell>
          <cell r="B961" t="str">
            <v xml:space="preserve">5 mod dished front plate - full width hinged    </v>
          </cell>
          <cell r="C961">
            <v>35.469450000000002</v>
          </cell>
          <cell r="D961">
            <v>84.752124999999992</v>
          </cell>
          <cell r="E961">
            <v>54.977647500000003</v>
          </cell>
          <cell r="F961">
            <v>21.4462188</v>
          </cell>
          <cell r="G961">
            <v>24.739941375000001</v>
          </cell>
          <cell r="H961">
            <v>3.2937225750000003</v>
          </cell>
          <cell r="I961">
            <v>0.13313380678938655</v>
          </cell>
          <cell r="J961">
            <v>21.991059000000003</v>
          </cell>
          <cell r="K961">
            <v>0.54484020000000299</v>
          </cell>
          <cell r="L961">
            <v>2.477553263805999E-2</v>
          </cell>
        </row>
        <row r="962">
          <cell r="A962" t="str">
            <v>MXPF6HS</v>
          </cell>
          <cell r="B962" t="str">
            <v xml:space="preserve">6 mod dished front plate - full width hinged    </v>
          </cell>
          <cell r="C962">
            <v>38.074775000000002</v>
          </cell>
          <cell r="D962">
            <v>0</v>
          </cell>
          <cell r="E962">
            <v>62.823378750000003</v>
          </cell>
          <cell r="F962">
            <v>24.490035599999999</v>
          </cell>
          <cell r="G962">
            <v>28.270520437500004</v>
          </cell>
          <cell r="H962">
            <v>3.7804848375000049</v>
          </cell>
          <cell r="I962">
            <v>0.13372533575594542</v>
          </cell>
          <cell r="J962">
            <v>25.129351500000002</v>
          </cell>
          <cell r="K962">
            <v>0.63931590000000327</v>
          </cell>
          <cell r="L962">
            <v>2.5441002725438547E-2</v>
          </cell>
        </row>
        <row r="963">
          <cell r="A963" t="str">
            <v>MXPH2HS</v>
          </cell>
          <cell r="B963" t="str">
            <v xml:space="preserve">2 mod dished front plate - half width hinged   </v>
          </cell>
          <cell r="C963">
            <v>24.664625000000001</v>
          </cell>
          <cell r="D963">
            <v>0</v>
          </cell>
          <cell r="E963">
            <v>25.89785625</v>
          </cell>
          <cell r="F963">
            <v>7.8752124000000006</v>
          </cell>
          <cell r="G963">
            <v>11.6540353125</v>
          </cell>
          <cell r="H963">
            <v>3.778822912499999</v>
          </cell>
          <cell r="I963">
            <v>0.32425016838990284</v>
          </cell>
          <cell r="J963">
            <v>10.359142500000001</v>
          </cell>
          <cell r="K963">
            <v>2.4839301000000003</v>
          </cell>
          <cell r="L963">
            <v>0.2397814394386408</v>
          </cell>
        </row>
        <row r="964">
          <cell r="A964" t="str">
            <v>MXPH3HS</v>
          </cell>
          <cell r="B964" t="str">
            <v xml:space="preserve">3 mod dished front plate - half width hinged    </v>
          </cell>
          <cell r="C964">
            <v>27.785724999999999</v>
          </cell>
          <cell r="D964">
            <v>0</v>
          </cell>
          <cell r="E964">
            <v>29.175011250000001</v>
          </cell>
          <cell r="F964">
            <v>10.457984400000001</v>
          </cell>
          <cell r="G964">
            <v>13.1287550625</v>
          </cell>
          <cell r="H964">
            <v>2.6707706624999989</v>
          </cell>
          <cell r="I964">
            <v>0.20342908750949204</v>
          </cell>
          <cell r="J964">
            <v>11.670004500000001</v>
          </cell>
          <cell r="K964">
            <v>1.2120201000000002</v>
          </cell>
          <cell r="L964">
            <v>0.10385772344817862</v>
          </cell>
        </row>
        <row r="965">
          <cell r="A965" t="str">
            <v>MXPH4HS</v>
          </cell>
          <cell r="B965" t="str">
            <v xml:space="preserve">4 mod dished front plate - half width hinged    </v>
          </cell>
          <cell r="C965">
            <v>27.381701250000006</v>
          </cell>
          <cell r="D965">
            <v>0</v>
          </cell>
          <cell r="E965">
            <v>28.750786312500008</v>
          </cell>
          <cell r="F965">
            <v>9.9496716000000003</v>
          </cell>
          <cell r="G965">
            <v>12.937853840625003</v>
          </cell>
          <cell r="H965">
            <v>2.9881822406250027</v>
          </cell>
          <cell r="I965">
            <v>0.23096429109765312</v>
          </cell>
          <cell r="J965">
            <v>11.500314525000004</v>
          </cell>
          <cell r="K965">
            <v>1.5506429250000036</v>
          </cell>
          <cell r="L965">
            <v>0.13483482748485986</v>
          </cell>
        </row>
        <row r="966">
          <cell r="A966" t="str">
            <v>MXPH5HS</v>
          </cell>
          <cell r="B966" t="str">
            <v xml:space="preserve">5 mod dished front plate - half width hinged    </v>
          </cell>
          <cell r="C966">
            <v>30.4241125</v>
          </cell>
          <cell r="D966">
            <v>0</v>
          </cell>
          <cell r="E966">
            <v>34.987729375000001</v>
          </cell>
          <cell r="F966">
            <v>12.554501999999999</v>
          </cell>
          <cell r="G966">
            <v>15.74447821875</v>
          </cell>
          <cell r="H966">
            <v>3.1899762187500009</v>
          </cell>
          <cell r="I966">
            <v>0.20260920523559037</v>
          </cell>
          <cell r="J966">
            <v>13.99509175</v>
          </cell>
          <cell r="K966">
            <v>1.4405897500000009</v>
          </cell>
          <cell r="L966">
            <v>0.10293535589003916</v>
          </cell>
        </row>
        <row r="967">
          <cell r="A967" t="str">
            <v>MXPH6HS</v>
          </cell>
          <cell r="B967" t="str">
            <v xml:space="preserve">6 mod dished front plate - half width hinged   </v>
          </cell>
          <cell r="C967">
            <v>33.46652375</v>
          </cell>
          <cell r="D967">
            <v>0</v>
          </cell>
          <cell r="E967">
            <v>40.159828500000003</v>
          </cell>
          <cell r="F967">
            <v>15.369978</v>
          </cell>
          <cell r="G967">
            <v>18.071922825000001</v>
          </cell>
          <cell r="H967">
            <v>2.7019448250000018</v>
          </cell>
          <cell r="I967">
            <v>0.14951064428308844</v>
          </cell>
          <cell r="J967">
            <v>16.063931400000001</v>
          </cell>
          <cell r="K967">
            <v>0.69395340000000161</v>
          </cell>
          <cell r="L967">
            <v>4.3199474818474484E-2</v>
          </cell>
        </row>
        <row r="968">
          <cell r="A968" t="str">
            <v>MY6CLP</v>
          </cell>
          <cell r="B968" t="str">
            <v>Y6 Castell provision excluding lock</v>
          </cell>
          <cell r="C968">
            <v>82.685000000000002</v>
          </cell>
          <cell r="D968">
            <v>0</v>
          </cell>
          <cell r="E968">
            <v>86.819249999999997</v>
          </cell>
          <cell r="F968" t="e">
            <v>#N/A</v>
          </cell>
          <cell r="G968">
            <v>39.068662500000002</v>
          </cell>
          <cell r="H968" t="e">
            <v>#N/A</v>
          </cell>
          <cell r="I968" t="e">
            <v>#N/A</v>
          </cell>
          <cell r="J968">
            <v>34.727699999999999</v>
          </cell>
          <cell r="K968" t="e">
            <v>#N/A</v>
          </cell>
          <cell r="L968" t="e">
            <v>#N/A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.com/usa-en/product-1099735-1.html" TargetMode="External"/><Relationship Id="rId21" Type="http://schemas.openxmlformats.org/officeDocument/2006/relationships/hyperlink" Target="http://www.te.com/usa-en/product-EK0742-009.html" TargetMode="External"/><Relationship Id="rId42" Type="http://schemas.openxmlformats.org/officeDocument/2006/relationships/hyperlink" Target="http://www.te.com/usa-en/product-1-1099939-2.html" TargetMode="External"/><Relationship Id="rId63" Type="http://schemas.openxmlformats.org/officeDocument/2006/relationships/hyperlink" Target="http://www.te.com/usa-en/product-1-1099898-1.html" TargetMode="External"/><Relationship Id="rId84" Type="http://schemas.openxmlformats.org/officeDocument/2006/relationships/hyperlink" Target="http://www.te.com/usa-en/product-1099939-4.html" TargetMode="External"/><Relationship Id="rId138" Type="http://schemas.openxmlformats.org/officeDocument/2006/relationships/hyperlink" Target="http://www.te.com/usa-en/product-CX3927-000.html" TargetMode="External"/><Relationship Id="rId159" Type="http://schemas.openxmlformats.org/officeDocument/2006/relationships/hyperlink" Target="http://www.te.com/usa-en/product-CR7668-000.html" TargetMode="External"/><Relationship Id="rId170" Type="http://schemas.openxmlformats.org/officeDocument/2006/relationships/hyperlink" Target="http://www.te.com/usa-en/product-EN1515-000.html" TargetMode="External"/><Relationship Id="rId191" Type="http://schemas.openxmlformats.org/officeDocument/2006/relationships/hyperlink" Target="http://www.te.com/usa-en/product-EL6164-005.html" TargetMode="External"/><Relationship Id="rId205" Type="http://schemas.openxmlformats.org/officeDocument/2006/relationships/hyperlink" Target="http://www.te.com/usa-en/product-EL6162-003.html" TargetMode="External"/><Relationship Id="rId226" Type="http://schemas.openxmlformats.org/officeDocument/2006/relationships/hyperlink" Target="http://www.te.com/usa-en/product-011589-000.html" TargetMode="External"/><Relationship Id="rId247" Type="http://schemas.openxmlformats.org/officeDocument/2006/relationships/hyperlink" Target="http://www.te.com/usa-en/product-CF2960-000.html" TargetMode="External"/><Relationship Id="rId107" Type="http://schemas.openxmlformats.org/officeDocument/2006/relationships/hyperlink" Target="http://www.te.com/usa-en/product-1099879-1.html" TargetMode="External"/><Relationship Id="rId11" Type="http://schemas.openxmlformats.org/officeDocument/2006/relationships/hyperlink" Target="http://www.te.com/usa-en/product-2182587-5.html" TargetMode="External"/><Relationship Id="rId32" Type="http://schemas.openxmlformats.org/officeDocument/2006/relationships/hyperlink" Target="javascript:__doPostBack('ctl00$MainContent$dgvSearchResults$ctl04$lnkPartNumber','')" TargetMode="External"/><Relationship Id="rId53" Type="http://schemas.openxmlformats.org/officeDocument/2006/relationships/hyperlink" Target="http://www.te.com/usa-en/product-1-1443403-0.html" TargetMode="External"/><Relationship Id="rId74" Type="http://schemas.openxmlformats.org/officeDocument/2006/relationships/hyperlink" Target="http://www.te.com/usa-en/product-1443402-7.html" TargetMode="External"/><Relationship Id="rId128" Type="http://schemas.openxmlformats.org/officeDocument/2006/relationships/hyperlink" Target="http://www.te.com/usa-en/product-A09698-000.html" TargetMode="External"/><Relationship Id="rId149" Type="http://schemas.openxmlformats.org/officeDocument/2006/relationships/hyperlink" Target="http://www.te.com/usa-en/product-2182383-1.html" TargetMode="External"/><Relationship Id="rId5" Type="http://schemas.openxmlformats.org/officeDocument/2006/relationships/hyperlink" Target="http://www.te.com/usa-en/product-EN1256-000.html" TargetMode="External"/><Relationship Id="rId95" Type="http://schemas.openxmlformats.org/officeDocument/2006/relationships/hyperlink" Target="http://www.te.com/usa-en/product-1099898-8.html" TargetMode="External"/><Relationship Id="rId160" Type="http://schemas.openxmlformats.org/officeDocument/2006/relationships/hyperlink" Target="http://www.te.com/usa-en/product-BM9779-000.html" TargetMode="External"/><Relationship Id="rId181" Type="http://schemas.openxmlformats.org/officeDocument/2006/relationships/hyperlink" Target="http://www.te.com/usa-en/product-EK0863-003.html" TargetMode="External"/><Relationship Id="rId216" Type="http://schemas.openxmlformats.org/officeDocument/2006/relationships/hyperlink" Target="http://www.te.com/usa-en/product-EK0859-004.html" TargetMode="External"/><Relationship Id="rId237" Type="http://schemas.openxmlformats.org/officeDocument/2006/relationships/hyperlink" Target="http://www.te.com/usa-en/product-036925-000.html" TargetMode="External"/><Relationship Id="rId258" Type="http://schemas.openxmlformats.org/officeDocument/2006/relationships/customProperty" Target="../customProperty1.bin"/><Relationship Id="rId22" Type="http://schemas.openxmlformats.org/officeDocument/2006/relationships/hyperlink" Target="http://www.te.com/usa-en/product-EK0742-008.html" TargetMode="External"/><Relationship Id="rId43" Type="http://schemas.openxmlformats.org/officeDocument/2006/relationships/hyperlink" Target="http://www.te.com/usa-en/product-1-1099939-1.html" TargetMode="External"/><Relationship Id="rId64" Type="http://schemas.openxmlformats.org/officeDocument/2006/relationships/hyperlink" Target="http://www.te.com/usa-en/product-1-1099898-2.html" TargetMode="External"/><Relationship Id="rId118" Type="http://schemas.openxmlformats.org/officeDocument/2006/relationships/hyperlink" Target="http://www.te.com/usa-en/product-1099585-1.html" TargetMode="External"/><Relationship Id="rId139" Type="http://schemas.openxmlformats.org/officeDocument/2006/relationships/hyperlink" Target="http://www.te.com/usa-en/product-EE3643-000.html" TargetMode="External"/><Relationship Id="rId85" Type="http://schemas.openxmlformats.org/officeDocument/2006/relationships/hyperlink" Target="http://www.te.com/usa-en/product-1099939-3.html" TargetMode="External"/><Relationship Id="rId150" Type="http://schemas.openxmlformats.org/officeDocument/2006/relationships/hyperlink" Target="http://www.te.com/usa-en/product-2182407-1.html" TargetMode="External"/><Relationship Id="rId171" Type="http://schemas.openxmlformats.org/officeDocument/2006/relationships/hyperlink" Target="http://www.te.com/usa-en/product-EN1516-000.html" TargetMode="External"/><Relationship Id="rId192" Type="http://schemas.openxmlformats.org/officeDocument/2006/relationships/hyperlink" Target="http://www.te.com/usa-en/product-EL6164-006.html" TargetMode="External"/><Relationship Id="rId206" Type="http://schemas.openxmlformats.org/officeDocument/2006/relationships/hyperlink" Target="http://www.te.com/usa-en/product-EL6162-013.html" TargetMode="External"/><Relationship Id="rId227" Type="http://schemas.openxmlformats.org/officeDocument/2006/relationships/hyperlink" Target="http://www.te.com/usa-en/product-001995-000.html" TargetMode="External"/><Relationship Id="rId248" Type="http://schemas.openxmlformats.org/officeDocument/2006/relationships/hyperlink" Target="http://www.te.com/usa-en/product-CF5625-000.html" TargetMode="External"/><Relationship Id="rId12" Type="http://schemas.openxmlformats.org/officeDocument/2006/relationships/hyperlink" Target="http://www.te.com/usa-en/product-2182587-6.html" TargetMode="External"/><Relationship Id="rId33" Type="http://schemas.openxmlformats.org/officeDocument/2006/relationships/hyperlink" Target="javascript:__doPostBack('ctl00$MainContent$dgvSearchResults$ctl03$lnkPartNumber','')" TargetMode="External"/><Relationship Id="rId108" Type="http://schemas.openxmlformats.org/officeDocument/2006/relationships/hyperlink" Target="http://www.te.com/usa-en/product-1974102-1.html" TargetMode="External"/><Relationship Id="rId129" Type="http://schemas.openxmlformats.org/officeDocument/2006/relationships/hyperlink" Target="http://www.te.com/usa-en/product-CM7926-000.html" TargetMode="External"/><Relationship Id="rId54" Type="http://schemas.openxmlformats.org/officeDocument/2006/relationships/hyperlink" Target="http://www.te.com/usa-en/product-1-1443402-6.html" TargetMode="External"/><Relationship Id="rId75" Type="http://schemas.openxmlformats.org/officeDocument/2006/relationships/hyperlink" Target="http://www.te.com/usa-en/product-1443402-6.html" TargetMode="External"/><Relationship Id="rId96" Type="http://schemas.openxmlformats.org/officeDocument/2006/relationships/hyperlink" Target="http://www.te.com/usa-en/product-1099898-6.html" TargetMode="External"/><Relationship Id="rId140" Type="http://schemas.openxmlformats.org/officeDocument/2006/relationships/hyperlink" Target="http://www.te.com/usa-en/product-CR0374-000.html" TargetMode="External"/><Relationship Id="rId161" Type="http://schemas.openxmlformats.org/officeDocument/2006/relationships/hyperlink" Target="http://www.te.com/usa-en/product-2-2182448-0.html" TargetMode="External"/><Relationship Id="rId182" Type="http://schemas.openxmlformats.org/officeDocument/2006/relationships/hyperlink" Target="http://www.te.com/usa-en/product-EK0863-001.html" TargetMode="External"/><Relationship Id="rId217" Type="http://schemas.openxmlformats.org/officeDocument/2006/relationships/hyperlink" Target="http://www.te.com/usa-en/product-EK0859-011.html" TargetMode="External"/><Relationship Id="rId1" Type="http://schemas.openxmlformats.org/officeDocument/2006/relationships/hyperlink" Target="http://www.te.com/usa-en/product-EA7553-000.html" TargetMode="External"/><Relationship Id="rId6" Type="http://schemas.openxmlformats.org/officeDocument/2006/relationships/hyperlink" Target="http://www.te.com/usa-en/product-EL8798-000.html" TargetMode="External"/><Relationship Id="rId212" Type="http://schemas.openxmlformats.org/officeDocument/2006/relationships/hyperlink" Target="http://www.te.com/usa-en/product-EL6162-010.html" TargetMode="External"/><Relationship Id="rId233" Type="http://schemas.openxmlformats.org/officeDocument/2006/relationships/hyperlink" Target="http://www.te.com/usa-en/product-021369-000.html" TargetMode="External"/><Relationship Id="rId238" Type="http://schemas.openxmlformats.org/officeDocument/2006/relationships/hyperlink" Target="http://www.te.com/usa-en/product-039735-000.html" TargetMode="External"/><Relationship Id="rId254" Type="http://schemas.openxmlformats.org/officeDocument/2006/relationships/hyperlink" Target="http://www.te.com/usa-en/product-CF6896-000.html" TargetMode="External"/><Relationship Id="rId259" Type="http://schemas.openxmlformats.org/officeDocument/2006/relationships/drawing" Target="../drawings/drawing1.xml"/><Relationship Id="rId23" Type="http://schemas.openxmlformats.org/officeDocument/2006/relationships/hyperlink" Target="http://www.te.com/usa-en/product-EK0742-007.html" TargetMode="External"/><Relationship Id="rId28" Type="http://schemas.openxmlformats.org/officeDocument/2006/relationships/hyperlink" Target="http://www.te.com/usa-en/product-EK0742-002.html" TargetMode="External"/><Relationship Id="rId49" Type="http://schemas.openxmlformats.org/officeDocument/2006/relationships/hyperlink" Target="http://www.te.com/usa-en/product-EE3646-000.html" TargetMode="External"/><Relationship Id="rId114" Type="http://schemas.openxmlformats.org/officeDocument/2006/relationships/hyperlink" Target="http://www.te.com/usa-en/product-1099369-1.html" TargetMode="External"/><Relationship Id="rId119" Type="http://schemas.openxmlformats.org/officeDocument/2006/relationships/hyperlink" Target="http://www.te.com/usa-en/product-1099383-1.html" TargetMode="External"/><Relationship Id="rId44" Type="http://schemas.openxmlformats.org/officeDocument/2006/relationships/hyperlink" Target="http://www.te.com/usa-en/product-1-1099939-0.html" TargetMode="External"/><Relationship Id="rId60" Type="http://schemas.openxmlformats.org/officeDocument/2006/relationships/hyperlink" Target="http://www.te.com/usa-en/product-1-1099899-2.html" TargetMode="External"/><Relationship Id="rId65" Type="http://schemas.openxmlformats.org/officeDocument/2006/relationships/hyperlink" Target="http://www.te.com/usa-en/product-1-1099898-4.html" TargetMode="External"/><Relationship Id="rId81" Type="http://schemas.openxmlformats.org/officeDocument/2006/relationships/hyperlink" Target="http://www.te.com/usa-en/product-1099939-7.html" TargetMode="External"/><Relationship Id="rId86" Type="http://schemas.openxmlformats.org/officeDocument/2006/relationships/hyperlink" Target="http://www.te.com/usa-en/product-1099939-2.html" TargetMode="External"/><Relationship Id="rId130" Type="http://schemas.openxmlformats.org/officeDocument/2006/relationships/hyperlink" Target="http://www.te.com/usa-en/product-C19656-000.html" TargetMode="External"/><Relationship Id="rId135" Type="http://schemas.openxmlformats.org/officeDocument/2006/relationships/hyperlink" Target="http://www.te.com/usa-en/product-929618-000.html" TargetMode="External"/><Relationship Id="rId151" Type="http://schemas.openxmlformats.org/officeDocument/2006/relationships/hyperlink" Target="http://www.te.com/usa-en/product-CR2162-000.html" TargetMode="External"/><Relationship Id="rId156" Type="http://schemas.openxmlformats.org/officeDocument/2006/relationships/hyperlink" Target="http://www.te.com/usa-en/product-CZ9934-000.html" TargetMode="External"/><Relationship Id="rId177" Type="http://schemas.openxmlformats.org/officeDocument/2006/relationships/hyperlink" Target="http://www.te.com/usa-en/product-EK0864-002.html" TargetMode="External"/><Relationship Id="rId198" Type="http://schemas.openxmlformats.org/officeDocument/2006/relationships/hyperlink" Target="http://www.te.com/usa-en/product-EL6163-001.html" TargetMode="External"/><Relationship Id="rId172" Type="http://schemas.openxmlformats.org/officeDocument/2006/relationships/hyperlink" Target="http://www.te.com/usa-en/product-EN1517-000.html" TargetMode="External"/><Relationship Id="rId193" Type="http://schemas.openxmlformats.org/officeDocument/2006/relationships/hyperlink" Target="http://www.te.com/usa-en/product-EL6164-008.html" TargetMode="External"/><Relationship Id="rId202" Type="http://schemas.openxmlformats.org/officeDocument/2006/relationships/hyperlink" Target="http://www.te.com/usa-en/product-EL6162-015.html" TargetMode="External"/><Relationship Id="rId207" Type="http://schemas.openxmlformats.org/officeDocument/2006/relationships/hyperlink" Target="http://www.te.com/usa-en/product-EL6162-012.html" TargetMode="External"/><Relationship Id="rId223" Type="http://schemas.openxmlformats.org/officeDocument/2006/relationships/hyperlink" Target="https://www.te.com/usa-en/product-EN5958-000.html" TargetMode="External"/><Relationship Id="rId228" Type="http://schemas.openxmlformats.org/officeDocument/2006/relationships/hyperlink" Target="https://www.te.com/usa-en/product-122319-000.html" TargetMode="External"/><Relationship Id="rId244" Type="http://schemas.openxmlformats.org/officeDocument/2006/relationships/hyperlink" Target="http://www.te.com/usa-en/product-CN9156-000.html" TargetMode="External"/><Relationship Id="rId249" Type="http://schemas.openxmlformats.org/officeDocument/2006/relationships/hyperlink" Target="http://www.te.com/usa-en/product-CF5635-000.html" TargetMode="External"/><Relationship Id="rId13" Type="http://schemas.openxmlformats.org/officeDocument/2006/relationships/hyperlink" Target="http://www.te.com/usa-en/product-2182587-7.html" TargetMode="External"/><Relationship Id="rId18" Type="http://schemas.openxmlformats.org/officeDocument/2006/relationships/hyperlink" Target="http://www.te.com/usa-en/product-2182595-3.html" TargetMode="External"/><Relationship Id="rId39" Type="http://schemas.openxmlformats.org/officeDocument/2006/relationships/hyperlink" Target="http://www.te.com/usa-en/product-1-1099939-5.html" TargetMode="External"/><Relationship Id="rId109" Type="http://schemas.openxmlformats.org/officeDocument/2006/relationships/hyperlink" Target="http://www.te.com/usa-en/product-1974136-1.html" TargetMode="External"/><Relationship Id="rId34" Type="http://schemas.openxmlformats.org/officeDocument/2006/relationships/hyperlink" Target="http://www.te.com/usa-en/product-EK5868-000.html" TargetMode="External"/><Relationship Id="rId50" Type="http://schemas.openxmlformats.org/officeDocument/2006/relationships/hyperlink" Target="http://www.te.com/usa-en/product-1-1443403-7.html" TargetMode="External"/><Relationship Id="rId55" Type="http://schemas.openxmlformats.org/officeDocument/2006/relationships/hyperlink" Target="http://www.te.com/usa-en/product-1-1443402-4.html" TargetMode="External"/><Relationship Id="rId76" Type="http://schemas.openxmlformats.org/officeDocument/2006/relationships/hyperlink" Target="http://www.te.com/usa-en/product-1443402-4.html" TargetMode="External"/><Relationship Id="rId97" Type="http://schemas.openxmlformats.org/officeDocument/2006/relationships/hyperlink" Target="http://www.te.com/usa-en/product-1099898-4.html" TargetMode="External"/><Relationship Id="rId104" Type="http://schemas.openxmlformats.org/officeDocument/2006/relationships/hyperlink" Target="http://www.te.com/usa-en/product-2-2182448-1.html" TargetMode="External"/><Relationship Id="rId120" Type="http://schemas.openxmlformats.org/officeDocument/2006/relationships/hyperlink" Target="http://www.te.com/usa-en/product-1701211-3.html" TargetMode="External"/><Relationship Id="rId125" Type="http://schemas.openxmlformats.org/officeDocument/2006/relationships/hyperlink" Target="http://www.te.com/usa-en/product-C29886-000.html" TargetMode="External"/><Relationship Id="rId141" Type="http://schemas.openxmlformats.org/officeDocument/2006/relationships/hyperlink" Target="http://www.te.com/usa-en/product-EE3641-000.html" TargetMode="External"/><Relationship Id="rId146" Type="http://schemas.openxmlformats.org/officeDocument/2006/relationships/hyperlink" Target="http://www.te.com/usa-en/product-2182407-6.html" TargetMode="External"/><Relationship Id="rId167" Type="http://schemas.openxmlformats.org/officeDocument/2006/relationships/hyperlink" Target="http://www.te.com/usa-en/product-EN1518-000.html" TargetMode="External"/><Relationship Id="rId188" Type="http://schemas.openxmlformats.org/officeDocument/2006/relationships/hyperlink" Target="http://www.te.com/usa-en/product-EL6164-001.html" TargetMode="External"/><Relationship Id="rId7" Type="http://schemas.openxmlformats.org/officeDocument/2006/relationships/hyperlink" Target="http://www.te.com/usa-en/product-ED5507-000.html" TargetMode="External"/><Relationship Id="rId71" Type="http://schemas.openxmlformats.org/officeDocument/2006/relationships/hyperlink" Target="http://www.te.com/usa-en/product-1443403-4.html" TargetMode="External"/><Relationship Id="rId92" Type="http://schemas.openxmlformats.org/officeDocument/2006/relationships/hyperlink" Target="http://www.te.com/usa-en/product-1099899-4.html" TargetMode="External"/><Relationship Id="rId162" Type="http://schemas.openxmlformats.org/officeDocument/2006/relationships/hyperlink" Target="http://www.te.com/usa-en/product-EE6126-000.html" TargetMode="External"/><Relationship Id="rId183" Type="http://schemas.openxmlformats.org/officeDocument/2006/relationships/hyperlink" Target="http://www.te.com/usa-en/product-EK0863-002.html" TargetMode="External"/><Relationship Id="rId213" Type="http://schemas.openxmlformats.org/officeDocument/2006/relationships/hyperlink" Target="http://www.te.com/usa-en/product-EL6162-009.html" TargetMode="External"/><Relationship Id="rId218" Type="http://schemas.openxmlformats.org/officeDocument/2006/relationships/hyperlink" Target="http://www.te.com/usa-en/product-83471-1.html" TargetMode="External"/><Relationship Id="rId234" Type="http://schemas.openxmlformats.org/officeDocument/2006/relationships/hyperlink" Target="http://www.te.com/usa-en/product-022685-000.html" TargetMode="External"/><Relationship Id="rId239" Type="http://schemas.openxmlformats.org/officeDocument/2006/relationships/hyperlink" Target="http://www.te.com/usa-en/product-073513-000.html" TargetMode="External"/><Relationship Id="rId2" Type="http://schemas.openxmlformats.org/officeDocument/2006/relationships/hyperlink" Target="http://www.te.com/usa-en/product-1-2182448-3.html" TargetMode="External"/><Relationship Id="rId29" Type="http://schemas.openxmlformats.org/officeDocument/2006/relationships/hyperlink" Target="http://www.te.com/usa-en/product-EK0742-001.html" TargetMode="External"/><Relationship Id="rId250" Type="http://schemas.openxmlformats.org/officeDocument/2006/relationships/hyperlink" Target="http://www.te.com/usa-en/product-CF5636-000.html" TargetMode="External"/><Relationship Id="rId255" Type="http://schemas.openxmlformats.org/officeDocument/2006/relationships/hyperlink" Target="http://www.te.com/usa-en/product-766749-000.html" TargetMode="External"/><Relationship Id="rId24" Type="http://schemas.openxmlformats.org/officeDocument/2006/relationships/hyperlink" Target="http://www.te.com/usa-en/product-EK0742-006.html" TargetMode="External"/><Relationship Id="rId40" Type="http://schemas.openxmlformats.org/officeDocument/2006/relationships/hyperlink" Target="http://www.te.com/usa-en/product-1-1099939-4.html" TargetMode="External"/><Relationship Id="rId45" Type="http://schemas.openxmlformats.org/officeDocument/2006/relationships/hyperlink" Target="http://www.te.com/usa-en/product-1-1099899-9.html" TargetMode="External"/><Relationship Id="rId66" Type="http://schemas.openxmlformats.org/officeDocument/2006/relationships/hyperlink" Target="http://www.te.com/usa-en/product-1-1099898-0.html" TargetMode="External"/><Relationship Id="rId87" Type="http://schemas.openxmlformats.org/officeDocument/2006/relationships/hyperlink" Target="http://www.te.com/usa-en/product-1099939-1.html" TargetMode="External"/><Relationship Id="rId110" Type="http://schemas.openxmlformats.org/officeDocument/2006/relationships/hyperlink" Target="http://www.te.com/usa-en/product-1974127-1.html" TargetMode="External"/><Relationship Id="rId115" Type="http://schemas.openxmlformats.org/officeDocument/2006/relationships/hyperlink" Target="http://www.te.com/usa-en/product-1099368-1.html" TargetMode="External"/><Relationship Id="rId131" Type="http://schemas.openxmlformats.org/officeDocument/2006/relationships/hyperlink" Target="http://www.te.com/usa-en/product-F12633-000.html" TargetMode="External"/><Relationship Id="rId136" Type="http://schemas.openxmlformats.org/officeDocument/2006/relationships/hyperlink" Target="http://www.te.com/usa-en/product-FG1572-000.html" TargetMode="External"/><Relationship Id="rId157" Type="http://schemas.openxmlformats.org/officeDocument/2006/relationships/hyperlink" Target="http://www.te.com/usa-en/product-CX4423-000.html" TargetMode="External"/><Relationship Id="rId178" Type="http://schemas.openxmlformats.org/officeDocument/2006/relationships/hyperlink" Target="http://www.te.com/usa-en/product-EK0864-001.html" TargetMode="External"/><Relationship Id="rId61" Type="http://schemas.openxmlformats.org/officeDocument/2006/relationships/hyperlink" Target="http://www.te.com/usa-en/product-1-1099899-1.html" TargetMode="External"/><Relationship Id="rId82" Type="http://schemas.openxmlformats.org/officeDocument/2006/relationships/hyperlink" Target="http://www.te.com/usa-en/product-1099939-6.html" TargetMode="External"/><Relationship Id="rId152" Type="http://schemas.openxmlformats.org/officeDocument/2006/relationships/hyperlink" Target="http://www.te.com/usa-en/product-EK3685-000.html" TargetMode="External"/><Relationship Id="rId173" Type="http://schemas.openxmlformats.org/officeDocument/2006/relationships/hyperlink" Target="http://www.te.com/usa-en/product-EN1523-000.html" TargetMode="External"/><Relationship Id="rId194" Type="http://schemas.openxmlformats.org/officeDocument/2006/relationships/hyperlink" Target="http://www.te.com/usa-en/product-EL6163-005.html" TargetMode="External"/><Relationship Id="rId199" Type="http://schemas.openxmlformats.org/officeDocument/2006/relationships/hyperlink" Target="http://www.te.com/usa-en/product-EL6162-005.html" TargetMode="External"/><Relationship Id="rId203" Type="http://schemas.openxmlformats.org/officeDocument/2006/relationships/hyperlink" Target="http://www.te.com/usa-en/product-EL6162-014.html" TargetMode="External"/><Relationship Id="rId208" Type="http://schemas.openxmlformats.org/officeDocument/2006/relationships/hyperlink" Target="http://www.te.com/usa-en/product-EL6162-008.html" TargetMode="External"/><Relationship Id="rId229" Type="http://schemas.openxmlformats.org/officeDocument/2006/relationships/hyperlink" Target="http://www.te.com/usa-en/product-835375-000.html" TargetMode="External"/><Relationship Id="rId19" Type="http://schemas.openxmlformats.org/officeDocument/2006/relationships/hyperlink" Target="http://www.te.com/usa-en/product-EK0742-011.html" TargetMode="External"/><Relationship Id="rId224" Type="http://schemas.openxmlformats.org/officeDocument/2006/relationships/hyperlink" Target="https://www.te.com/usa-en/product-2019895-1.html" TargetMode="External"/><Relationship Id="rId240" Type="http://schemas.openxmlformats.org/officeDocument/2006/relationships/hyperlink" Target="http://www.te.com/usa-en/product-063891-000.html" TargetMode="External"/><Relationship Id="rId245" Type="http://schemas.openxmlformats.org/officeDocument/2006/relationships/hyperlink" Target="http://www.te.com/usa-en/product-CN9155-000.html" TargetMode="External"/><Relationship Id="rId14" Type="http://schemas.openxmlformats.org/officeDocument/2006/relationships/hyperlink" Target="http://www.te.com/usa-en/product-2182587-8.html" TargetMode="External"/><Relationship Id="rId30" Type="http://schemas.openxmlformats.org/officeDocument/2006/relationships/hyperlink" Target="http://www.te.com/usa-en/product-EJ0819-000.html" TargetMode="External"/><Relationship Id="rId35" Type="http://schemas.openxmlformats.org/officeDocument/2006/relationships/hyperlink" Target="http://www.te.com/usa-en/product-EE3639-000.html" TargetMode="External"/><Relationship Id="rId56" Type="http://schemas.openxmlformats.org/officeDocument/2006/relationships/hyperlink" Target="http://www.te.com/usa-en/product-1-1443403-2.html" TargetMode="External"/><Relationship Id="rId77" Type="http://schemas.openxmlformats.org/officeDocument/2006/relationships/hyperlink" Target="http://www.te.com/usa-en/product-1443402-2.html" TargetMode="External"/><Relationship Id="rId100" Type="http://schemas.openxmlformats.org/officeDocument/2006/relationships/hyperlink" Target="http://www.te.com/usa-en/product-1-1198118-3.html" TargetMode="External"/><Relationship Id="rId105" Type="http://schemas.openxmlformats.org/officeDocument/2006/relationships/hyperlink" Target="http://www.te.com/usa-en/product-051073-000.html" TargetMode="External"/><Relationship Id="rId126" Type="http://schemas.openxmlformats.org/officeDocument/2006/relationships/hyperlink" Target="http://www.te.com/usa-en/product-F41169-000.html" TargetMode="External"/><Relationship Id="rId147" Type="http://schemas.openxmlformats.org/officeDocument/2006/relationships/hyperlink" Target="http://www.te.com/usa-en/product-2182407-3.html" TargetMode="External"/><Relationship Id="rId168" Type="http://schemas.openxmlformats.org/officeDocument/2006/relationships/hyperlink" Target="http://www.te.com/usa-en/product-EN1519-000.html" TargetMode="External"/><Relationship Id="rId8" Type="http://schemas.openxmlformats.org/officeDocument/2006/relationships/hyperlink" Target="http://www.te.com/usa-en/product-2182587-2.html" TargetMode="External"/><Relationship Id="rId51" Type="http://schemas.openxmlformats.org/officeDocument/2006/relationships/hyperlink" Target="http://www.te.com/usa-en/product-1-1443403-6.html" TargetMode="External"/><Relationship Id="rId72" Type="http://schemas.openxmlformats.org/officeDocument/2006/relationships/hyperlink" Target="http://www.te.com/usa-en/product-1443403-1.html" TargetMode="External"/><Relationship Id="rId93" Type="http://schemas.openxmlformats.org/officeDocument/2006/relationships/hyperlink" Target="http://www.te.com/usa-en/product-1099899-2.html" TargetMode="External"/><Relationship Id="rId98" Type="http://schemas.openxmlformats.org/officeDocument/2006/relationships/hyperlink" Target="http://www.te.com/usa-en/product-1099898-2.html" TargetMode="External"/><Relationship Id="rId121" Type="http://schemas.openxmlformats.org/officeDocument/2006/relationships/hyperlink" Target="http://www.te.com/usa-en/product-1099739-1.html" TargetMode="External"/><Relationship Id="rId142" Type="http://schemas.openxmlformats.org/officeDocument/2006/relationships/hyperlink" Target="http://www.te.com/usa-en/product-EN2868-000.html" TargetMode="External"/><Relationship Id="rId163" Type="http://schemas.openxmlformats.org/officeDocument/2006/relationships/hyperlink" Target="http://www.te.com/usa-en/product-EH8559-000.html" TargetMode="External"/><Relationship Id="rId184" Type="http://schemas.openxmlformats.org/officeDocument/2006/relationships/hyperlink" Target="http://www.te.com/usa-en/product-EK0863-004.html" TargetMode="External"/><Relationship Id="rId189" Type="http://schemas.openxmlformats.org/officeDocument/2006/relationships/hyperlink" Target="http://www.te.com/usa-en/product-EL6164-007.html" TargetMode="External"/><Relationship Id="rId219" Type="http://schemas.openxmlformats.org/officeDocument/2006/relationships/hyperlink" Target="https://www.te.com/usa-en/product-EN1919-000.html" TargetMode="External"/><Relationship Id="rId3" Type="http://schemas.openxmlformats.org/officeDocument/2006/relationships/hyperlink" Target="http://www.te.com/usa-en/product-EL6868-000.html" TargetMode="External"/><Relationship Id="rId214" Type="http://schemas.openxmlformats.org/officeDocument/2006/relationships/hyperlink" Target="http://www.te.com/usa-en/product-EL6162-001.html" TargetMode="External"/><Relationship Id="rId230" Type="http://schemas.openxmlformats.org/officeDocument/2006/relationships/hyperlink" Target="http://www.te.com/usa-en/product-834919-000.html" TargetMode="External"/><Relationship Id="rId235" Type="http://schemas.openxmlformats.org/officeDocument/2006/relationships/hyperlink" Target="http://www.te.com/usa-en/product-035875-000.html" TargetMode="External"/><Relationship Id="rId251" Type="http://schemas.openxmlformats.org/officeDocument/2006/relationships/hyperlink" Target="http://www.te.com/usa-en/product-CF5637-000.html" TargetMode="External"/><Relationship Id="rId256" Type="http://schemas.openxmlformats.org/officeDocument/2006/relationships/hyperlink" Target="http://www.te.com/usa-en/product-KY712J-000.html" TargetMode="External"/><Relationship Id="rId25" Type="http://schemas.openxmlformats.org/officeDocument/2006/relationships/hyperlink" Target="http://www.te.com/usa-en/product-EK0742-005.html" TargetMode="External"/><Relationship Id="rId46" Type="http://schemas.openxmlformats.org/officeDocument/2006/relationships/hyperlink" Target="http://www.te.com/usa-en/product-1-1099899-8.html" TargetMode="External"/><Relationship Id="rId67" Type="http://schemas.openxmlformats.org/officeDocument/2006/relationships/hyperlink" Target="http://www.te.com/usa-en/product-1443403-9.html" TargetMode="External"/><Relationship Id="rId116" Type="http://schemas.openxmlformats.org/officeDocument/2006/relationships/hyperlink" Target="http://www.te.com/usa-en/product-1099848-1.html" TargetMode="External"/><Relationship Id="rId137" Type="http://schemas.openxmlformats.org/officeDocument/2006/relationships/hyperlink" Target="http://www.te.com/usa-en/product-EE0426-000.html" TargetMode="External"/><Relationship Id="rId158" Type="http://schemas.openxmlformats.org/officeDocument/2006/relationships/hyperlink" Target="http://www.te.com/usa-en/product-CV8201-000.html" TargetMode="External"/><Relationship Id="rId20" Type="http://schemas.openxmlformats.org/officeDocument/2006/relationships/hyperlink" Target="http://www.te.com/usa-en/product-EK0742-010.html" TargetMode="External"/><Relationship Id="rId41" Type="http://schemas.openxmlformats.org/officeDocument/2006/relationships/hyperlink" Target="http://www.te.com/usa-en/product-1-1099939-3.html" TargetMode="External"/><Relationship Id="rId62" Type="http://schemas.openxmlformats.org/officeDocument/2006/relationships/hyperlink" Target="http://www.te.com/usa-en/product-1-1099899-0.html" TargetMode="External"/><Relationship Id="rId83" Type="http://schemas.openxmlformats.org/officeDocument/2006/relationships/hyperlink" Target="http://www.te.com/usa-en/product-1099939-5.html" TargetMode="External"/><Relationship Id="rId88" Type="http://schemas.openxmlformats.org/officeDocument/2006/relationships/hyperlink" Target="http://www.te.com/usa-en/product-1099899-9.html" TargetMode="External"/><Relationship Id="rId111" Type="http://schemas.openxmlformats.org/officeDocument/2006/relationships/hyperlink" Target="http://www.te.com/usa-en/product-2099526-1.html" TargetMode="External"/><Relationship Id="rId132" Type="http://schemas.openxmlformats.org/officeDocument/2006/relationships/hyperlink" Target="http://www.te.com/usa-en/product-D48078-000.html" TargetMode="External"/><Relationship Id="rId153" Type="http://schemas.openxmlformats.org/officeDocument/2006/relationships/hyperlink" Target="http://www.te.com/usa-en/product-2182383-3.html" TargetMode="External"/><Relationship Id="rId174" Type="http://schemas.openxmlformats.org/officeDocument/2006/relationships/hyperlink" Target="http://www.te.com/usa-en/product-EK0864-005.html" TargetMode="External"/><Relationship Id="rId179" Type="http://schemas.openxmlformats.org/officeDocument/2006/relationships/hyperlink" Target="http://www.te.com/usa-en/product-EK0864-004.html" TargetMode="External"/><Relationship Id="rId195" Type="http://schemas.openxmlformats.org/officeDocument/2006/relationships/hyperlink" Target="http://www.te.com/usa-en/product-EL6163-003.html" TargetMode="External"/><Relationship Id="rId209" Type="http://schemas.openxmlformats.org/officeDocument/2006/relationships/hyperlink" Target="http://www.te.com/usa-en/product-EL6162-011.html" TargetMode="External"/><Relationship Id="rId190" Type="http://schemas.openxmlformats.org/officeDocument/2006/relationships/hyperlink" Target="http://www.te.com/usa-en/product-EL6164-004.html" TargetMode="External"/><Relationship Id="rId204" Type="http://schemas.openxmlformats.org/officeDocument/2006/relationships/hyperlink" Target="http://www.te.com/usa-en/product-EL6162-017.html" TargetMode="External"/><Relationship Id="rId220" Type="http://schemas.openxmlformats.org/officeDocument/2006/relationships/hyperlink" Target="https://www.te.com/usa-en/product-964543-000.html" TargetMode="External"/><Relationship Id="rId225" Type="http://schemas.openxmlformats.org/officeDocument/2006/relationships/hyperlink" Target="http://www.te.com/usa-en/product-006843-000.html" TargetMode="External"/><Relationship Id="rId241" Type="http://schemas.openxmlformats.org/officeDocument/2006/relationships/hyperlink" Target="http://www.te.com/usa-en/product-067399-000.html" TargetMode="External"/><Relationship Id="rId246" Type="http://schemas.openxmlformats.org/officeDocument/2006/relationships/hyperlink" Target="http://www.te.com/usa-en/product-CN1751-000.html" TargetMode="External"/><Relationship Id="rId15" Type="http://schemas.openxmlformats.org/officeDocument/2006/relationships/hyperlink" Target="http://www.te.com/usa-en/product-2182587-9.html" TargetMode="External"/><Relationship Id="rId36" Type="http://schemas.openxmlformats.org/officeDocument/2006/relationships/hyperlink" Target="http://www.te.com/usa-en/product-CU3258-000.html" TargetMode="External"/><Relationship Id="rId57" Type="http://schemas.openxmlformats.org/officeDocument/2006/relationships/hyperlink" Target="http://www.te.com/usa-en/product-1-1099899-6.html" TargetMode="External"/><Relationship Id="rId106" Type="http://schemas.openxmlformats.org/officeDocument/2006/relationships/hyperlink" Target="http://www.te.com/usa-en/product-1974111-1.html" TargetMode="External"/><Relationship Id="rId127" Type="http://schemas.openxmlformats.org/officeDocument/2006/relationships/hyperlink" Target="http://www.te.com/usa-en/product-E65650-000.html" TargetMode="External"/><Relationship Id="rId10" Type="http://schemas.openxmlformats.org/officeDocument/2006/relationships/hyperlink" Target="http://www.te.com/usa-en/product-2182587-4.html" TargetMode="External"/><Relationship Id="rId31" Type="http://schemas.openxmlformats.org/officeDocument/2006/relationships/hyperlink" Target="http://www.te.com/usa-en/product-EK8870-000.html" TargetMode="External"/><Relationship Id="rId52" Type="http://schemas.openxmlformats.org/officeDocument/2006/relationships/hyperlink" Target="http://www.te.com/usa-en/product-1-1443403-4.html" TargetMode="External"/><Relationship Id="rId73" Type="http://schemas.openxmlformats.org/officeDocument/2006/relationships/hyperlink" Target="http://www.te.com/usa-en/product-1443402-9.html" TargetMode="External"/><Relationship Id="rId78" Type="http://schemas.openxmlformats.org/officeDocument/2006/relationships/hyperlink" Target="http://www.te.com/usa-en/product-1443402-1.html" TargetMode="External"/><Relationship Id="rId94" Type="http://schemas.openxmlformats.org/officeDocument/2006/relationships/hyperlink" Target="http://www.te.com/usa-en/product-1099899-1.html" TargetMode="External"/><Relationship Id="rId99" Type="http://schemas.openxmlformats.org/officeDocument/2006/relationships/hyperlink" Target="http://www.te.com/usa-en/product-1099898-1.html" TargetMode="External"/><Relationship Id="rId101" Type="http://schemas.openxmlformats.org/officeDocument/2006/relationships/hyperlink" Target="http://www.te.com/usa-en/product-1-708052-1.html" TargetMode="External"/><Relationship Id="rId122" Type="http://schemas.openxmlformats.org/officeDocument/2006/relationships/hyperlink" Target="http://www.te.com/usa-en/product-1974130-1.html" TargetMode="External"/><Relationship Id="rId143" Type="http://schemas.openxmlformats.org/officeDocument/2006/relationships/hyperlink" Target="http://www.te.com/usa-en/product-EK5185-000.html" TargetMode="External"/><Relationship Id="rId148" Type="http://schemas.openxmlformats.org/officeDocument/2006/relationships/hyperlink" Target="http://www.te.com/usa-en/product-2182407-2.html" TargetMode="External"/><Relationship Id="rId164" Type="http://schemas.openxmlformats.org/officeDocument/2006/relationships/hyperlink" Target="http://www.te.com/usa-en/product-2182587-1.html" TargetMode="External"/><Relationship Id="rId169" Type="http://schemas.openxmlformats.org/officeDocument/2006/relationships/hyperlink" Target="http://www.te.com/usa-en/product-EN1514-000.html" TargetMode="External"/><Relationship Id="rId185" Type="http://schemas.openxmlformats.org/officeDocument/2006/relationships/hyperlink" Target="http://www.te.com/usa-en/product-EL6164-003.html" TargetMode="External"/><Relationship Id="rId4" Type="http://schemas.openxmlformats.org/officeDocument/2006/relationships/hyperlink" Target="http://www.te.com/usa-en/product-EL6015-000.html" TargetMode="External"/><Relationship Id="rId9" Type="http://schemas.openxmlformats.org/officeDocument/2006/relationships/hyperlink" Target="http://www.te.com/usa-en/product-2182587-3.html" TargetMode="External"/><Relationship Id="rId180" Type="http://schemas.openxmlformats.org/officeDocument/2006/relationships/hyperlink" Target="http://www.te.com/usa-en/product-EK0863-005.html" TargetMode="External"/><Relationship Id="rId210" Type="http://schemas.openxmlformats.org/officeDocument/2006/relationships/hyperlink" Target="http://www.te.com/usa-en/product-EL6162-006.html" TargetMode="External"/><Relationship Id="rId215" Type="http://schemas.openxmlformats.org/officeDocument/2006/relationships/hyperlink" Target="http://www.te.com/usa-en/product-EL6162-007.html" TargetMode="External"/><Relationship Id="rId236" Type="http://schemas.openxmlformats.org/officeDocument/2006/relationships/hyperlink" Target="http://www.te.com/usa-en/product-028630-000.html" TargetMode="External"/><Relationship Id="rId257" Type="http://schemas.openxmlformats.org/officeDocument/2006/relationships/printerSettings" Target="../printerSettings/printerSettings1.bin"/><Relationship Id="rId26" Type="http://schemas.openxmlformats.org/officeDocument/2006/relationships/hyperlink" Target="http://www.te.com/usa-en/product-EK0742-004.html" TargetMode="External"/><Relationship Id="rId231" Type="http://schemas.openxmlformats.org/officeDocument/2006/relationships/hyperlink" Target="http://www.te.com/usa-en/product-029877-000.html" TargetMode="External"/><Relationship Id="rId252" Type="http://schemas.openxmlformats.org/officeDocument/2006/relationships/hyperlink" Target="http://www.te.com/usa-en/product-CF5638-000.html" TargetMode="External"/><Relationship Id="rId47" Type="http://schemas.openxmlformats.org/officeDocument/2006/relationships/hyperlink" Target="http://www.te.com/usa-en/product-1-1443402-1.html" TargetMode="External"/><Relationship Id="rId68" Type="http://schemas.openxmlformats.org/officeDocument/2006/relationships/hyperlink" Target="http://www.te.com/usa-en/product-1443403-8.html" TargetMode="External"/><Relationship Id="rId89" Type="http://schemas.openxmlformats.org/officeDocument/2006/relationships/hyperlink" Target="http://www.te.com/usa-en/product-1099899-8.html" TargetMode="External"/><Relationship Id="rId112" Type="http://schemas.openxmlformats.org/officeDocument/2006/relationships/hyperlink" Target="http://www.te.com/usa-en/product-2037215-1.html" TargetMode="External"/><Relationship Id="rId133" Type="http://schemas.openxmlformats.org/officeDocument/2006/relationships/hyperlink" Target="http://www.te.com/usa-en/product-85718N-000.html" TargetMode="External"/><Relationship Id="rId154" Type="http://schemas.openxmlformats.org/officeDocument/2006/relationships/hyperlink" Target="http://www.te.com/usa-en/product-2182666-1.html" TargetMode="External"/><Relationship Id="rId175" Type="http://schemas.openxmlformats.org/officeDocument/2006/relationships/hyperlink" Target="http://www.te.com/usa-en/product-EK0864-003.html" TargetMode="External"/><Relationship Id="rId196" Type="http://schemas.openxmlformats.org/officeDocument/2006/relationships/hyperlink" Target="http://www.te.com/usa-en/product-EL6163-002.html" TargetMode="External"/><Relationship Id="rId200" Type="http://schemas.openxmlformats.org/officeDocument/2006/relationships/hyperlink" Target="http://www.te.com/usa-en/product-EL6162-004.html" TargetMode="External"/><Relationship Id="rId16" Type="http://schemas.openxmlformats.org/officeDocument/2006/relationships/hyperlink" Target="http://www.te.com/usa-en/product-2182595-1.html" TargetMode="External"/><Relationship Id="rId221" Type="http://schemas.openxmlformats.org/officeDocument/2006/relationships/hyperlink" Target="https://www.te.com/usa-en/product-EN5956-000.html" TargetMode="External"/><Relationship Id="rId242" Type="http://schemas.openxmlformats.org/officeDocument/2006/relationships/hyperlink" Target="http://www.te.com/usa-en/product-125589-000.html" TargetMode="External"/><Relationship Id="rId37" Type="http://schemas.openxmlformats.org/officeDocument/2006/relationships/hyperlink" Target="http://www.te.com/usa-en/product-CU3259-000.html" TargetMode="External"/><Relationship Id="rId58" Type="http://schemas.openxmlformats.org/officeDocument/2006/relationships/hyperlink" Target="http://www.te.com/usa-en/product-1-1099899-5.html" TargetMode="External"/><Relationship Id="rId79" Type="http://schemas.openxmlformats.org/officeDocument/2006/relationships/hyperlink" Target="http://www.te.com/usa-en/product-1099939-9.html" TargetMode="External"/><Relationship Id="rId102" Type="http://schemas.openxmlformats.org/officeDocument/2006/relationships/hyperlink" Target="http://www.te.com/usa-en/product-1727742-1.html" TargetMode="External"/><Relationship Id="rId123" Type="http://schemas.openxmlformats.org/officeDocument/2006/relationships/hyperlink" Target="http://www.te.com/usa-en/product-D20907-000.html" TargetMode="External"/><Relationship Id="rId144" Type="http://schemas.openxmlformats.org/officeDocument/2006/relationships/hyperlink" Target="http://www.te.com/usa-en/product-EJ0449-000.html" TargetMode="External"/><Relationship Id="rId90" Type="http://schemas.openxmlformats.org/officeDocument/2006/relationships/hyperlink" Target="http://www.te.com/usa-en/product-1099899-7.html" TargetMode="External"/><Relationship Id="rId165" Type="http://schemas.openxmlformats.org/officeDocument/2006/relationships/hyperlink" Target="http://www.te.com/usa-en/product-EN1522-000.html" TargetMode="External"/><Relationship Id="rId186" Type="http://schemas.openxmlformats.org/officeDocument/2006/relationships/hyperlink" Target="http://www.te.com/usa-en/product-EL6164-002.html" TargetMode="External"/><Relationship Id="rId211" Type="http://schemas.openxmlformats.org/officeDocument/2006/relationships/hyperlink" Target="http://www.te.com/usa-en/product-EL6162-002.html" TargetMode="External"/><Relationship Id="rId232" Type="http://schemas.openxmlformats.org/officeDocument/2006/relationships/hyperlink" Target="http://www.te.com/usa-en/product-015475-000.html" TargetMode="External"/><Relationship Id="rId253" Type="http://schemas.openxmlformats.org/officeDocument/2006/relationships/hyperlink" Target="http://www.te.com/usa-en/product-CF5866-000.html" TargetMode="External"/><Relationship Id="rId27" Type="http://schemas.openxmlformats.org/officeDocument/2006/relationships/hyperlink" Target="http://www.te.com/usa-en/product-EK0742-003.html" TargetMode="External"/><Relationship Id="rId48" Type="http://schemas.openxmlformats.org/officeDocument/2006/relationships/hyperlink" Target="http://www.te.com/usa-en/product-1-1443402-2.html" TargetMode="External"/><Relationship Id="rId69" Type="http://schemas.openxmlformats.org/officeDocument/2006/relationships/hyperlink" Target="http://www.te.com/usa-en/product-1443403-7.html" TargetMode="External"/><Relationship Id="rId113" Type="http://schemas.openxmlformats.org/officeDocument/2006/relationships/hyperlink" Target="http://www.te.com/usa-en/product-1099861-1.html" TargetMode="External"/><Relationship Id="rId134" Type="http://schemas.openxmlformats.org/officeDocument/2006/relationships/hyperlink" Target="http://www.te.com/usa-en/product-751826-000.html" TargetMode="External"/><Relationship Id="rId80" Type="http://schemas.openxmlformats.org/officeDocument/2006/relationships/hyperlink" Target="http://www.te.com/usa-en/product-1099939-8.html" TargetMode="External"/><Relationship Id="rId155" Type="http://schemas.openxmlformats.org/officeDocument/2006/relationships/hyperlink" Target="http://www.te.com/usa-en/product-EK3688-000.html" TargetMode="External"/><Relationship Id="rId176" Type="http://schemas.openxmlformats.org/officeDocument/2006/relationships/hyperlink" Target="http://www.te.com/usa-en/product-EK0864-006.html" TargetMode="External"/><Relationship Id="rId197" Type="http://schemas.openxmlformats.org/officeDocument/2006/relationships/hyperlink" Target="http://www.te.com/usa-en/product-EL6163-004.html" TargetMode="External"/><Relationship Id="rId201" Type="http://schemas.openxmlformats.org/officeDocument/2006/relationships/hyperlink" Target="http://www.te.com/usa-en/product-EL6162-016.html" TargetMode="External"/><Relationship Id="rId222" Type="http://schemas.openxmlformats.org/officeDocument/2006/relationships/hyperlink" Target="https://www.te.com/usa-en/product-EN5957-000.html" TargetMode="External"/><Relationship Id="rId243" Type="http://schemas.openxmlformats.org/officeDocument/2006/relationships/hyperlink" Target="http://www.te.com/usa-en/product-065979-000.html" TargetMode="External"/><Relationship Id="rId17" Type="http://schemas.openxmlformats.org/officeDocument/2006/relationships/hyperlink" Target="http://www.te.com/usa-en/product-2182595-2.html" TargetMode="External"/><Relationship Id="rId38" Type="http://schemas.openxmlformats.org/officeDocument/2006/relationships/hyperlink" Target="http://www.te.com/usa-en/product-1-1443402-0.html" TargetMode="External"/><Relationship Id="rId59" Type="http://schemas.openxmlformats.org/officeDocument/2006/relationships/hyperlink" Target="http://www.te.com/usa-en/product-1-1099899-3.html" TargetMode="External"/><Relationship Id="rId103" Type="http://schemas.openxmlformats.org/officeDocument/2006/relationships/hyperlink" Target="http://www.te.com/usa-en/product-e26221-000.html" TargetMode="External"/><Relationship Id="rId124" Type="http://schemas.openxmlformats.org/officeDocument/2006/relationships/hyperlink" Target="http://www.te.com/usa-en/product-CM7924-000.html" TargetMode="External"/><Relationship Id="rId70" Type="http://schemas.openxmlformats.org/officeDocument/2006/relationships/hyperlink" Target="http://www.te.com/usa-en/product-1443403-6.html" TargetMode="External"/><Relationship Id="rId91" Type="http://schemas.openxmlformats.org/officeDocument/2006/relationships/hyperlink" Target="http://www.te.com/usa-en/product-1099899-6.html" TargetMode="External"/><Relationship Id="rId145" Type="http://schemas.openxmlformats.org/officeDocument/2006/relationships/hyperlink" Target="http://www.te.com/usa-en/product-2182407-5.html" TargetMode="External"/><Relationship Id="rId166" Type="http://schemas.openxmlformats.org/officeDocument/2006/relationships/hyperlink" Target="http://www.te.com/usa-en/product-EN1484-000.html" TargetMode="External"/><Relationship Id="rId187" Type="http://schemas.openxmlformats.org/officeDocument/2006/relationships/hyperlink" Target="http://www.te.com/usa-en/product-EL6164-00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3403"/>
  <sheetViews>
    <sheetView tabSelected="1" zoomScale="98" zoomScaleNormal="98" workbookViewId="0">
      <pane ySplit="5" topLeftCell="A6" activePane="bottomLeft" state="frozen"/>
      <selection pane="bottomLeft" activeCell="B5" sqref="B5"/>
    </sheetView>
  </sheetViews>
  <sheetFormatPr defaultColWidth="9.109375" defaultRowHeight="13.5" customHeight="1" x14ac:dyDescent="0.25"/>
  <cols>
    <col min="1" max="1" width="18.6640625" style="5" customWidth="1"/>
    <col min="2" max="2" width="28.88671875" style="54" customWidth="1"/>
    <col min="3" max="3" width="11.33203125" style="70" bestFit="1" customWidth="1"/>
    <col min="4" max="4" width="13.33203125" style="55" bestFit="1" customWidth="1"/>
    <col min="5" max="5" width="8" style="24" bestFit="1" customWidth="1"/>
    <col min="6" max="6" width="6.109375" style="24" customWidth="1"/>
    <col min="7" max="8" width="14.5546875" style="56" customWidth="1"/>
    <col min="9" max="9" width="14.5546875" style="57" customWidth="1"/>
    <col min="10" max="10" width="6.33203125" style="4" customWidth="1"/>
    <col min="11" max="11" width="7.33203125" style="24" customWidth="1"/>
    <col min="12" max="13" width="9" style="25" customWidth="1"/>
    <col min="14" max="14" width="20.6640625" style="25" bestFit="1" customWidth="1"/>
    <col min="15" max="15" width="6.33203125" style="5" customWidth="1"/>
    <col min="16" max="16" width="9" style="24" hidden="1" customWidth="1"/>
    <col min="17" max="17" width="31.88671875" style="26" hidden="1" customWidth="1"/>
    <col min="18" max="18" width="19.109375" style="26" hidden="1" customWidth="1"/>
    <col min="19" max="19" width="10.6640625" style="5" hidden="1" customWidth="1"/>
    <col min="20" max="20" width="55" style="58" hidden="1" customWidth="1"/>
    <col min="21" max="21" width="13.44140625" style="5" hidden="1" customWidth="1"/>
    <col min="22" max="22" width="19.109375" style="26" hidden="1" customWidth="1"/>
    <col min="23" max="23" width="13.44140625" style="27" hidden="1" customWidth="1"/>
    <col min="24" max="24" width="12.44140625" style="171" bestFit="1" customWidth="1"/>
    <col min="25" max="25" width="11.44140625" style="171" bestFit="1" customWidth="1"/>
    <col min="26" max="16384" width="9.109375" style="36"/>
  </cols>
  <sheetData>
    <row r="1" spans="1:26" ht="13.8" x14ac:dyDescent="0.25">
      <c r="A1" s="65" t="s">
        <v>14494</v>
      </c>
      <c r="B1" s="3"/>
      <c r="C1" s="69"/>
      <c r="D1" s="32"/>
      <c r="E1" s="7"/>
      <c r="F1" s="7"/>
      <c r="G1" s="33"/>
      <c r="H1" s="33"/>
      <c r="I1" s="34"/>
      <c r="M1" s="8"/>
      <c r="N1" s="8"/>
      <c r="O1" s="6"/>
      <c r="P1" s="7"/>
      <c r="Q1" s="2"/>
      <c r="R1" s="2"/>
      <c r="S1" s="6"/>
      <c r="T1" s="35"/>
      <c r="U1" s="6"/>
      <c r="V1" s="2"/>
    </row>
    <row r="2" spans="1:26" ht="13.8" x14ac:dyDescent="0.25">
      <c r="A2" s="66" t="s">
        <v>12785</v>
      </c>
      <c r="B2" s="3"/>
      <c r="C2" s="69"/>
      <c r="D2" s="32"/>
      <c r="E2" s="7"/>
      <c r="F2" s="7"/>
      <c r="G2" s="33"/>
      <c r="H2" s="33"/>
      <c r="I2" s="34"/>
      <c r="M2" s="8"/>
      <c r="N2" s="8"/>
      <c r="O2" s="6"/>
      <c r="P2" s="7"/>
      <c r="Q2" s="2"/>
      <c r="R2" s="2"/>
      <c r="S2" s="6"/>
      <c r="T2" s="35"/>
      <c r="U2" s="6"/>
      <c r="V2" s="2"/>
    </row>
    <row r="3" spans="1:26" ht="13.8" x14ac:dyDescent="0.25">
      <c r="A3" s="67" t="s">
        <v>14880</v>
      </c>
      <c r="B3" s="3"/>
      <c r="C3" s="69"/>
      <c r="D3" s="32"/>
      <c r="E3" s="7"/>
      <c r="F3" s="7"/>
      <c r="G3" s="33"/>
      <c r="H3" s="33"/>
      <c r="I3" s="34"/>
      <c r="M3" s="8"/>
      <c r="N3" s="8"/>
      <c r="O3" s="6"/>
      <c r="P3" s="7"/>
      <c r="Q3" s="2"/>
      <c r="R3" s="2"/>
      <c r="S3" s="6"/>
      <c r="T3" s="35"/>
      <c r="U3" s="6"/>
      <c r="V3" s="2"/>
    </row>
    <row r="4" spans="1:26" ht="13.8" thickBot="1" x14ac:dyDescent="0.3">
      <c r="A4" s="6"/>
      <c r="B4" s="3"/>
      <c r="C4" s="69"/>
      <c r="D4" s="32"/>
      <c r="E4" s="7"/>
      <c r="F4" s="7"/>
      <c r="G4" s="33"/>
      <c r="H4" s="33"/>
      <c r="I4" s="34"/>
      <c r="M4" s="8"/>
      <c r="N4" s="8"/>
      <c r="O4" s="6"/>
      <c r="P4" s="7"/>
      <c r="Q4" s="2"/>
      <c r="R4" s="2"/>
      <c r="S4" s="6"/>
      <c r="T4" s="35"/>
      <c r="U4" s="6"/>
      <c r="V4" s="2"/>
    </row>
    <row r="5" spans="1:26" s="62" customFormat="1" ht="53.4" thickBot="1" x14ac:dyDescent="0.3">
      <c r="A5" s="124" t="s">
        <v>5357</v>
      </c>
      <c r="B5" s="126" t="s">
        <v>5358</v>
      </c>
      <c r="C5" s="124" t="s">
        <v>5360</v>
      </c>
      <c r="D5" s="126" t="s">
        <v>5361</v>
      </c>
      <c r="E5" s="125" t="s">
        <v>9032</v>
      </c>
      <c r="F5" s="125" t="s">
        <v>5362</v>
      </c>
      <c r="G5" s="128" t="s">
        <v>14463</v>
      </c>
      <c r="H5" s="128" t="s">
        <v>14495</v>
      </c>
      <c r="I5" s="128" t="s">
        <v>14464</v>
      </c>
      <c r="J5" s="129" t="s">
        <v>1166</v>
      </c>
      <c r="K5" s="125" t="s">
        <v>9589</v>
      </c>
      <c r="L5" s="130" t="s">
        <v>13069</v>
      </c>
      <c r="M5" s="130" t="s">
        <v>13068</v>
      </c>
      <c r="N5" s="124" t="s">
        <v>13081</v>
      </c>
      <c r="O5" s="127" t="s">
        <v>13082</v>
      </c>
      <c r="P5" s="125" t="s">
        <v>14513</v>
      </c>
      <c r="Q5" s="77" t="s">
        <v>899</v>
      </c>
      <c r="R5" s="59" t="s">
        <v>4206</v>
      </c>
      <c r="S5" s="60" t="s">
        <v>1162</v>
      </c>
      <c r="T5" s="61" t="s">
        <v>3899</v>
      </c>
      <c r="U5" s="59" t="s">
        <v>5359</v>
      </c>
      <c r="V5" s="59" t="s">
        <v>8021</v>
      </c>
      <c r="W5" s="68" t="s">
        <v>12607</v>
      </c>
      <c r="X5" s="172" t="s">
        <v>14934</v>
      </c>
      <c r="Y5" s="173" t="s">
        <v>14933</v>
      </c>
    </row>
    <row r="6" spans="1:26" s="63" customFormat="1" ht="21" customHeight="1" x14ac:dyDescent="0.3">
      <c r="A6" s="98" t="s">
        <v>12512</v>
      </c>
      <c r="B6" s="100" t="s">
        <v>13332</v>
      </c>
      <c r="C6" s="132" t="str">
        <f t="shared" ref="C6:C69" si="0">HYPERLINK(T6,U6)</f>
        <v>Product Info</v>
      </c>
      <c r="D6" s="133" t="s">
        <v>14762</v>
      </c>
      <c r="E6" s="131">
        <v>1</v>
      </c>
      <c r="F6" s="147" t="s">
        <v>4992</v>
      </c>
      <c r="G6" s="134">
        <v>1438.9760000000001</v>
      </c>
      <c r="H6" s="135">
        <v>1223.1670000000001</v>
      </c>
      <c r="I6" s="135">
        <v>1007.2810000000002</v>
      </c>
      <c r="J6" s="101"/>
      <c r="K6" s="131"/>
      <c r="L6" s="103">
        <v>0</v>
      </c>
      <c r="M6" s="103">
        <v>0</v>
      </c>
      <c r="N6" s="98" t="s">
        <v>14489</v>
      </c>
      <c r="O6" s="104" t="s">
        <v>13914</v>
      </c>
      <c r="P6" s="131" t="s">
        <v>12628</v>
      </c>
      <c r="Q6" s="115" t="s">
        <v>14285</v>
      </c>
      <c r="R6" s="102" t="s">
        <v>8904</v>
      </c>
      <c r="S6" s="107" t="s">
        <v>1163</v>
      </c>
      <c r="T6" s="112" t="s">
        <v>13357</v>
      </c>
      <c r="U6" s="99" t="s">
        <v>5359</v>
      </c>
      <c r="V6" s="109" t="s">
        <v>12512</v>
      </c>
      <c r="W6" s="108" t="s">
        <v>14431</v>
      </c>
      <c r="X6" s="174">
        <v>915.71</v>
      </c>
      <c r="Y6" s="174">
        <v>1111.97</v>
      </c>
      <c r="Z6" s="186"/>
    </row>
    <row r="7" spans="1:26" s="63" customFormat="1" ht="15" customHeight="1" x14ac:dyDescent="0.3">
      <c r="A7" s="98" t="s">
        <v>13335</v>
      </c>
      <c r="B7" s="100" t="s">
        <v>13336</v>
      </c>
      <c r="C7" s="132" t="str">
        <f t="shared" si="0"/>
        <v>Product Info</v>
      </c>
      <c r="D7" s="133" t="s">
        <v>14758</v>
      </c>
      <c r="E7" s="131">
        <v>1</v>
      </c>
      <c r="F7" s="147" t="s">
        <v>4992</v>
      </c>
      <c r="G7" s="134">
        <v>819.62100000000009</v>
      </c>
      <c r="H7" s="135">
        <v>696.70700000000011</v>
      </c>
      <c r="I7" s="135">
        <v>573.73800000000006</v>
      </c>
      <c r="J7" s="101"/>
      <c r="K7" s="131"/>
      <c r="L7" s="103">
        <v>118</v>
      </c>
      <c r="M7" s="103" t="s">
        <v>12487</v>
      </c>
      <c r="N7" s="98" t="s">
        <v>9569</v>
      </c>
      <c r="O7" s="104" t="s">
        <v>13912</v>
      </c>
      <c r="P7" s="131" t="s">
        <v>12628</v>
      </c>
      <c r="Q7" s="116" t="s">
        <v>14285</v>
      </c>
      <c r="R7" s="104" t="s">
        <v>9235</v>
      </c>
      <c r="S7" s="100" t="s">
        <v>1163</v>
      </c>
      <c r="T7" s="113" t="s">
        <v>14437</v>
      </c>
      <c r="U7" s="98" t="s">
        <v>5359</v>
      </c>
      <c r="V7" s="106" t="s">
        <v>13335</v>
      </c>
      <c r="W7" s="105" t="s">
        <v>14431</v>
      </c>
      <c r="X7" s="174">
        <v>521.58000000000004</v>
      </c>
      <c r="Y7" s="174">
        <v>633.37</v>
      </c>
    </row>
    <row r="8" spans="1:26" s="63" customFormat="1" ht="15" customHeight="1" x14ac:dyDescent="0.3">
      <c r="A8" s="98" t="s">
        <v>13343</v>
      </c>
      <c r="B8" s="100" t="s">
        <v>13344</v>
      </c>
      <c r="C8" s="132" t="str">
        <f t="shared" si="0"/>
        <v>Product Info</v>
      </c>
      <c r="D8" s="133" t="s">
        <v>14756</v>
      </c>
      <c r="E8" s="131">
        <v>1</v>
      </c>
      <c r="F8" s="147" t="s">
        <v>4992</v>
      </c>
      <c r="G8" s="134">
        <v>631.13600000000008</v>
      </c>
      <c r="H8" s="135">
        <v>536.48099999999999</v>
      </c>
      <c r="I8" s="135">
        <v>441.79300000000001</v>
      </c>
      <c r="J8" s="101"/>
      <c r="K8" s="131"/>
      <c r="L8" s="103">
        <v>0</v>
      </c>
      <c r="M8" s="103">
        <v>0</v>
      </c>
      <c r="N8" s="98" t="s">
        <v>14493</v>
      </c>
      <c r="O8" s="104" t="s">
        <v>13914</v>
      </c>
      <c r="P8" s="131" t="s">
        <v>12628</v>
      </c>
      <c r="Q8" s="116" t="s">
        <v>14285</v>
      </c>
      <c r="R8" s="104" t="s">
        <v>8904</v>
      </c>
      <c r="S8" s="100" t="s">
        <v>1163</v>
      </c>
      <c r="T8" s="114" t="s">
        <v>13360</v>
      </c>
      <c r="U8" s="98" t="s">
        <v>5359</v>
      </c>
      <c r="V8" s="106" t="s">
        <v>13343</v>
      </c>
      <c r="W8" s="105" t="s">
        <v>14431</v>
      </c>
      <c r="X8" s="174">
        <v>401.63</v>
      </c>
      <c r="Y8" s="174">
        <v>487.71</v>
      </c>
    </row>
    <row r="9" spans="1:26" s="63" customFormat="1" ht="15" customHeight="1" x14ac:dyDescent="0.3">
      <c r="A9" s="98" t="s">
        <v>13333</v>
      </c>
      <c r="B9" s="100" t="s">
        <v>13334</v>
      </c>
      <c r="C9" s="132" t="str">
        <f t="shared" si="0"/>
        <v>Product Info</v>
      </c>
      <c r="D9" s="133" t="s">
        <v>14755</v>
      </c>
      <c r="E9" s="131">
        <v>1</v>
      </c>
      <c r="F9" s="147" t="s">
        <v>4992</v>
      </c>
      <c r="G9" s="134">
        <v>164.934</v>
      </c>
      <c r="H9" s="135">
        <v>140.20600000000002</v>
      </c>
      <c r="I9" s="135">
        <v>115.456</v>
      </c>
      <c r="J9" s="101"/>
      <c r="K9" s="131"/>
      <c r="L9" s="103">
        <v>81</v>
      </c>
      <c r="M9" s="103" t="s">
        <v>12487</v>
      </c>
      <c r="N9" s="98" t="s">
        <v>14278</v>
      </c>
      <c r="O9" s="104" t="s">
        <v>12608</v>
      </c>
      <c r="P9" s="131" t="s">
        <v>12628</v>
      </c>
      <c r="Q9" s="116" t="s">
        <v>14285</v>
      </c>
      <c r="R9" s="104" t="s">
        <v>8904</v>
      </c>
      <c r="S9" s="100" t="s">
        <v>1163</v>
      </c>
      <c r="T9" s="114" t="s">
        <v>13358</v>
      </c>
      <c r="U9" s="98" t="s">
        <v>5359</v>
      </c>
      <c r="V9" s="106" t="s">
        <v>13333</v>
      </c>
      <c r="W9" s="105" t="s">
        <v>14431</v>
      </c>
      <c r="X9" s="174">
        <v>104.96</v>
      </c>
      <c r="Y9" s="174">
        <v>127.46</v>
      </c>
    </row>
    <row r="10" spans="1:26" s="63" customFormat="1" ht="15" customHeight="1" x14ac:dyDescent="0.3">
      <c r="A10" s="98" t="s">
        <v>12523</v>
      </c>
      <c r="B10" s="100" t="s">
        <v>12524</v>
      </c>
      <c r="C10" s="132" t="str">
        <f t="shared" si="0"/>
        <v>Product Info</v>
      </c>
      <c r="D10" s="136" t="s">
        <v>14879</v>
      </c>
      <c r="E10" s="131">
        <v>4</v>
      </c>
      <c r="F10" s="147" t="s">
        <v>4992</v>
      </c>
      <c r="G10" s="134">
        <v>28.556000000000004</v>
      </c>
      <c r="H10" s="135">
        <v>24.266000000000002</v>
      </c>
      <c r="I10" s="135">
        <v>19.987000000000002</v>
      </c>
      <c r="J10" s="101"/>
      <c r="K10" s="131"/>
      <c r="L10" s="103">
        <v>0</v>
      </c>
      <c r="M10" s="103">
        <v>0</v>
      </c>
      <c r="N10" s="98" t="s">
        <v>14489</v>
      </c>
      <c r="O10" s="104" t="s">
        <v>6692</v>
      </c>
      <c r="P10" s="131" t="s">
        <v>12610</v>
      </c>
      <c r="Q10" s="116" t="s">
        <v>14285</v>
      </c>
      <c r="R10" s="104" t="s">
        <v>8904</v>
      </c>
      <c r="S10" s="100" t="s">
        <v>1163</v>
      </c>
      <c r="T10" s="114" t="s">
        <v>13356</v>
      </c>
      <c r="U10" s="98" t="s">
        <v>5359</v>
      </c>
      <c r="V10" s="106" t="s">
        <v>12523</v>
      </c>
      <c r="W10" s="105" t="s">
        <v>14431</v>
      </c>
      <c r="X10" s="174">
        <v>18.170000000000002</v>
      </c>
      <c r="Y10" s="174">
        <v>22.06</v>
      </c>
    </row>
    <row r="11" spans="1:26" s="63" customFormat="1" ht="15" customHeight="1" x14ac:dyDescent="0.3">
      <c r="A11" s="98" t="s">
        <v>9170</v>
      </c>
      <c r="B11" s="106" t="s">
        <v>9171</v>
      </c>
      <c r="C11" s="132" t="str">
        <f t="shared" si="0"/>
        <v>Product Info</v>
      </c>
      <c r="D11" s="137" t="s">
        <v>9172</v>
      </c>
      <c r="E11" s="131">
        <v>3</v>
      </c>
      <c r="F11" s="147" t="s">
        <v>4992</v>
      </c>
      <c r="G11" s="134">
        <v>43.329000000000001</v>
      </c>
      <c r="H11" s="135">
        <v>36.828000000000003</v>
      </c>
      <c r="I11" s="135">
        <v>30.327000000000002</v>
      </c>
      <c r="J11" s="101"/>
      <c r="K11" s="131"/>
      <c r="L11" s="103">
        <v>0</v>
      </c>
      <c r="M11" s="103">
        <v>0</v>
      </c>
      <c r="N11" s="98" t="s">
        <v>14489</v>
      </c>
      <c r="O11" s="104" t="s">
        <v>4992</v>
      </c>
      <c r="P11" s="131" t="s">
        <v>12610</v>
      </c>
      <c r="Q11" s="116" t="s">
        <v>14285</v>
      </c>
      <c r="R11" s="104" t="s">
        <v>8904</v>
      </c>
      <c r="S11" s="100" t="s">
        <v>1163</v>
      </c>
      <c r="T11" s="113" t="s">
        <v>12373</v>
      </c>
      <c r="U11" s="98" t="s">
        <v>5359</v>
      </c>
      <c r="V11" s="104" t="s">
        <v>9170</v>
      </c>
      <c r="W11" s="105" t="s">
        <v>14431</v>
      </c>
      <c r="X11" s="174">
        <v>27.57</v>
      </c>
      <c r="Y11" s="174">
        <v>33.479999999999997</v>
      </c>
    </row>
    <row r="12" spans="1:26" s="63" customFormat="1" ht="15" customHeight="1" x14ac:dyDescent="0.3">
      <c r="A12" s="98" t="s">
        <v>9176</v>
      </c>
      <c r="B12" s="106" t="s">
        <v>9177</v>
      </c>
      <c r="C12" s="132" t="str">
        <f t="shared" si="0"/>
        <v>Product Info</v>
      </c>
      <c r="D12" s="137" t="s">
        <v>9178</v>
      </c>
      <c r="E12" s="131">
        <v>1</v>
      </c>
      <c r="F12" s="147" t="s">
        <v>2170</v>
      </c>
      <c r="G12" s="134">
        <v>83.336000000000013</v>
      </c>
      <c r="H12" s="135">
        <v>70.840000000000018</v>
      </c>
      <c r="I12" s="135">
        <v>58.333000000000006</v>
      </c>
      <c r="J12" s="101"/>
      <c r="K12" s="131"/>
      <c r="L12" s="103">
        <v>0</v>
      </c>
      <c r="M12" s="103" t="s">
        <v>2170</v>
      </c>
      <c r="N12" s="98" t="s">
        <v>14489</v>
      </c>
      <c r="O12" s="104" t="s">
        <v>6692</v>
      </c>
      <c r="P12" s="131" t="s">
        <v>12610</v>
      </c>
      <c r="Q12" s="116" t="s">
        <v>14285</v>
      </c>
      <c r="R12" s="104" t="s">
        <v>8904</v>
      </c>
      <c r="S12" s="100" t="s">
        <v>1163</v>
      </c>
      <c r="T12" s="113" t="s">
        <v>12376</v>
      </c>
      <c r="U12" s="98" t="s">
        <v>5359</v>
      </c>
      <c r="V12" s="104" t="s">
        <v>9179</v>
      </c>
      <c r="W12" s="105" t="s">
        <v>14431</v>
      </c>
      <c r="X12" s="174">
        <v>53.03</v>
      </c>
      <c r="Y12" s="174">
        <v>64.400000000000006</v>
      </c>
    </row>
    <row r="13" spans="1:26" s="63" customFormat="1" ht="15" customHeight="1" x14ac:dyDescent="0.3">
      <c r="A13" s="98" t="s">
        <v>9180</v>
      </c>
      <c r="B13" s="106" t="s">
        <v>12436</v>
      </c>
      <c r="C13" s="132" t="str">
        <f t="shared" si="0"/>
        <v>Product Info</v>
      </c>
      <c r="D13" s="137" t="s">
        <v>9181</v>
      </c>
      <c r="E13" s="131">
        <v>1</v>
      </c>
      <c r="F13" s="147" t="s">
        <v>2170</v>
      </c>
      <c r="G13" s="134">
        <v>149.99600000000004</v>
      </c>
      <c r="H13" s="135">
        <v>127.501</v>
      </c>
      <c r="I13" s="135">
        <v>104.995</v>
      </c>
      <c r="J13" s="101"/>
      <c r="K13" s="131"/>
      <c r="L13" s="103">
        <v>20.167000000000002</v>
      </c>
      <c r="M13" s="103" t="s">
        <v>12487</v>
      </c>
      <c r="N13" s="98" t="s">
        <v>14489</v>
      </c>
      <c r="O13" s="104" t="s">
        <v>6692</v>
      </c>
      <c r="P13" s="131" t="s">
        <v>12610</v>
      </c>
      <c r="Q13" s="116" t="s">
        <v>14285</v>
      </c>
      <c r="R13" s="104" t="s">
        <v>8904</v>
      </c>
      <c r="S13" s="100" t="s">
        <v>1163</v>
      </c>
      <c r="T13" s="113" t="s">
        <v>12377</v>
      </c>
      <c r="U13" s="98" t="s">
        <v>5359</v>
      </c>
      <c r="V13" s="104" t="s">
        <v>9180</v>
      </c>
      <c r="W13" s="105" t="s">
        <v>14431</v>
      </c>
      <c r="X13" s="174">
        <v>95.45</v>
      </c>
      <c r="Y13" s="174">
        <v>115.91</v>
      </c>
    </row>
    <row r="14" spans="1:26" s="63" customFormat="1" ht="15" customHeight="1" x14ac:dyDescent="0.3">
      <c r="A14" s="98" t="s">
        <v>9182</v>
      </c>
      <c r="B14" s="106" t="s">
        <v>9183</v>
      </c>
      <c r="C14" s="132" t="str">
        <f t="shared" si="0"/>
        <v>Product Info</v>
      </c>
      <c r="D14" s="137" t="s">
        <v>9184</v>
      </c>
      <c r="E14" s="131">
        <v>2</v>
      </c>
      <c r="F14" s="147" t="s">
        <v>4992</v>
      </c>
      <c r="G14" s="134">
        <v>71.786000000000016</v>
      </c>
      <c r="H14" s="135">
        <v>61.017000000000003</v>
      </c>
      <c r="I14" s="135">
        <v>50.248000000000005</v>
      </c>
      <c r="J14" s="101"/>
      <c r="K14" s="131"/>
      <c r="L14" s="103">
        <v>0</v>
      </c>
      <c r="M14" s="103">
        <v>0</v>
      </c>
      <c r="N14" s="98" t="s">
        <v>14489</v>
      </c>
      <c r="O14" s="104" t="s">
        <v>4992</v>
      </c>
      <c r="P14" s="131" t="s">
        <v>12610</v>
      </c>
      <c r="Q14" s="116" t="s">
        <v>14285</v>
      </c>
      <c r="R14" s="104" t="s">
        <v>8904</v>
      </c>
      <c r="S14" s="100" t="s">
        <v>1163</v>
      </c>
      <c r="T14" s="113" t="s">
        <v>12378</v>
      </c>
      <c r="U14" s="98" t="s">
        <v>5359</v>
      </c>
      <c r="V14" s="104" t="s">
        <v>9182</v>
      </c>
      <c r="W14" s="105" t="s">
        <v>14431</v>
      </c>
      <c r="X14" s="174">
        <v>45.68</v>
      </c>
      <c r="Y14" s="174">
        <v>55.47</v>
      </c>
    </row>
    <row r="15" spans="1:26" s="63" customFormat="1" ht="15" customHeight="1" x14ac:dyDescent="0.3">
      <c r="A15" s="98" t="s">
        <v>9185</v>
      </c>
      <c r="B15" s="106" t="s">
        <v>9186</v>
      </c>
      <c r="C15" s="132" t="str">
        <f t="shared" si="0"/>
        <v>Product Info</v>
      </c>
      <c r="D15" s="137" t="s">
        <v>9187</v>
      </c>
      <c r="E15" s="131">
        <v>3</v>
      </c>
      <c r="F15" s="147" t="s">
        <v>2170</v>
      </c>
      <c r="G15" s="134">
        <v>86.240000000000009</v>
      </c>
      <c r="H15" s="135">
        <v>73.304000000000002</v>
      </c>
      <c r="I15" s="135">
        <v>60.368000000000009</v>
      </c>
      <c r="J15" s="101"/>
      <c r="K15" s="131"/>
      <c r="L15" s="103">
        <v>24.861000000000001</v>
      </c>
      <c r="M15" s="103" t="s">
        <v>12487</v>
      </c>
      <c r="N15" s="98" t="s">
        <v>14489</v>
      </c>
      <c r="O15" s="104" t="s">
        <v>14484</v>
      </c>
      <c r="P15" s="131" t="s">
        <v>12610</v>
      </c>
      <c r="Q15" s="116" t="s">
        <v>14285</v>
      </c>
      <c r="R15" s="104" t="s">
        <v>8904</v>
      </c>
      <c r="S15" s="100" t="s">
        <v>1163</v>
      </c>
      <c r="T15" s="113" t="s">
        <v>12379</v>
      </c>
      <c r="U15" s="98" t="s">
        <v>5359</v>
      </c>
      <c r="V15" s="104" t="s">
        <v>9185</v>
      </c>
      <c r="W15" s="105" t="s">
        <v>14431</v>
      </c>
      <c r="X15" s="174">
        <v>54.88</v>
      </c>
      <c r="Y15" s="174">
        <v>66.64</v>
      </c>
    </row>
    <row r="16" spans="1:26" s="63" customFormat="1" ht="15" customHeight="1" x14ac:dyDescent="0.3">
      <c r="A16" s="98" t="s">
        <v>12525</v>
      </c>
      <c r="B16" s="100" t="s">
        <v>12526</v>
      </c>
      <c r="C16" s="132" t="str">
        <f t="shared" si="0"/>
        <v>Product Info</v>
      </c>
      <c r="D16" s="137" t="s">
        <v>13352</v>
      </c>
      <c r="E16" s="131">
        <v>1</v>
      </c>
      <c r="F16" s="147" t="s">
        <v>4992</v>
      </c>
      <c r="G16" s="134">
        <v>333.23400000000004</v>
      </c>
      <c r="H16" s="135">
        <v>283.26100000000002</v>
      </c>
      <c r="I16" s="135">
        <v>233.26600000000002</v>
      </c>
      <c r="J16" s="101"/>
      <c r="K16" s="131"/>
      <c r="L16" s="103">
        <v>154</v>
      </c>
      <c r="M16" s="103" t="s">
        <v>12488</v>
      </c>
      <c r="N16" s="98" t="s">
        <v>14279</v>
      </c>
      <c r="O16" s="104" t="s">
        <v>12608</v>
      </c>
      <c r="P16" s="131" t="s">
        <v>12628</v>
      </c>
      <c r="Q16" s="116" t="s">
        <v>14285</v>
      </c>
      <c r="R16" s="104" t="s">
        <v>8904</v>
      </c>
      <c r="S16" s="100" t="s">
        <v>1163</v>
      </c>
      <c r="T16" s="114" t="s">
        <v>13359</v>
      </c>
      <c r="U16" s="98" t="s">
        <v>5359</v>
      </c>
      <c r="V16" s="106" t="s">
        <v>12525</v>
      </c>
      <c r="W16" s="105" t="s">
        <v>14431</v>
      </c>
      <c r="X16" s="174">
        <v>212.06</v>
      </c>
      <c r="Y16" s="174">
        <v>257.51</v>
      </c>
    </row>
    <row r="17" spans="1:25" s="63" customFormat="1" ht="15.75" customHeight="1" x14ac:dyDescent="0.3">
      <c r="A17" s="98" t="s">
        <v>9194</v>
      </c>
      <c r="B17" s="106" t="s">
        <v>12484</v>
      </c>
      <c r="C17" s="132" t="str">
        <f t="shared" si="0"/>
        <v>Product Info</v>
      </c>
      <c r="D17" s="137" t="s">
        <v>9196</v>
      </c>
      <c r="E17" s="131">
        <v>1</v>
      </c>
      <c r="F17" s="147" t="s">
        <v>4992</v>
      </c>
      <c r="G17" s="134">
        <v>616.48400000000015</v>
      </c>
      <c r="H17" s="135">
        <v>524.029</v>
      </c>
      <c r="I17" s="135">
        <v>431.54100000000005</v>
      </c>
      <c r="J17" s="101"/>
      <c r="K17" s="131"/>
      <c r="L17" s="103">
        <v>0</v>
      </c>
      <c r="M17" s="103">
        <v>0</v>
      </c>
      <c r="N17" s="98" t="s">
        <v>14489</v>
      </c>
      <c r="O17" s="104">
        <v>0</v>
      </c>
      <c r="P17" s="131" t="s">
        <v>12628</v>
      </c>
      <c r="Q17" s="116" t="s">
        <v>14285</v>
      </c>
      <c r="R17" s="104" t="s">
        <v>8904</v>
      </c>
      <c r="S17" s="100" t="s">
        <v>1163</v>
      </c>
      <c r="T17" s="113" t="s">
        <v>12382</v>
      </c>
      <c r="U17" s="98" t="s">
        <v>5359</v>
      </c>
      <c r="V17" s="104" t="s">
        <v>9194</v>
      </c>
      <c r="W17" s="105" t="s">
        <v>14431</v>
      </c>
      <c r="X17" s="174">
        <v>392.31</v>
      </c>
      <c r="Y17" s="174">
        <v>476.39</v>
      </c>
    </row>
    <row r="18" spans="1:25" s="63" customFormat="1" ht="15" customHeight="1" x14ac:dyDescent="0.3">
      <c r="A18" s="98" t="s">
        <v>9207</v>
      </c>
      <c r="B18" s="106" t="s">
        <v>9208</v>
      </c>
      <c r="C18" s="132" t="str">
        <f t="shared" si="0"/>
        <v>Product Info</v>
      </c>
      <c r="D18" s="137" t="s">
        <v>9209</v>
      </c>
      <c r="E18" s="131">
        <v>1</v>
      </c>
      <c r="F18" s="147" t="s">
        <v>4992</v>
      </c>
      <c r="G18" s="134">
        <v>748.94600000000003</v>
      </c>
      <c r="H18" s="135">
        <v>636.625</v>
      </c>
      <c r="I18" s="135">
        <v>524.2600000000001</v>
      </c>
      <c r="J18" s="101"/>
      <c r="K18" s="131"/>
      <c r="L18" s="103">
        <v>326</v>
      </c>
      <c r="M18" s="103" t="s">
        <v>12488</v>
      </c>
      <c r="N18" s="98" t="s">
        <v>9564</v>
      </c>
      <c r="O18" s="104" t="s">
        <v>12608</v>
      </c>
      <c r="P18" s="131" t="s">
        <v>12628</v>
      </c>
      <c r="Q18" s="116" t="s">
        <v>14285</v>
      </c>
      <c r="R18" s="104" t="s">
        <v>8904</v>
      </c>
      <c r="S18" s="100" t="s">
        <v>1163</v>
      </c>
      <c r="T18" s="113" t="s">
        <v>12386</v>
      </c>
      <c r="U18" s="98" t="s">
        <v>5359</v>
      </c>
      <c r="V18" s="104" t="s">
        <v>9207</v>
      </c>
      <c r="W18" s="105" t="s">
        <v>14431</v>
      </c>
      <c r="X18" s="174">
        <v>476.6</v>
      </c>
      <c r="Y18" s="174">
        <v>578.75</v>
      </c>
    </row>
    <row r="19" spans="1:25" s="63" customFormat="1" ht="15" customHeight="1" x14ac:dyDescent="0.3">
      <c r="A19" s="98" t="s">
        <v>9216</v>
      </c>
      <c r="B19" s="106" t="s">
        <v>9217</v>
      </c>
      <c r="C19" s="132" t="str">
        <f t="shared" si="0"/>
        <v>Product Info</v>
      </c>
      <c r="D19" s="137" t="s">
        <v>9218</v>
      </c>
      <c r="E19" s="131">
        <v>1</v>
      </c>
      <c r="F19" s="147" t="s">
        <v>4992</v>
      </c>
      <c r="G19" s="134">
        <v>1009.8000000000001</v>
      </c>
      <c r="H19" s="135">
        <v>858.36300000000017</v>
      </c>
      <c r="I19" s="135">
        <v>706.86000000000013</v>
      </c>
      <c r="J19" s="101"/>
      <c r="K19" s="131"/>
      <c r="L19" s="103">
        <v>0</v>
      </c>
      <c r="M19" s="103">
        <v>0</v>
      </c>
      <c r="N19" s="98" t="s">
        <v>9567</v>
      </c>
      <c r="O19" s="104" t="s">
        <v>13914</v>
      </c>
      <c r="P19" s="131" t="s">
        <v>12628</v>
      </c>
      <c r="Q19" s="116" t="s">
        <v>14285</v>
      </c>
      <c r="R19" s="104" t="s">
        <v>8904</v>
      </c>
      <c r="S19" s="100" t="s">
        <v>1163</v>
      </c>
      <c r="T19" s="113" t="s">
        <v>12389</v>
      </c>
      <c r="U19" s="98" t="s">
        <v>5359</v>
      </c>
      <c r="V19" s="104" t="s">
        <v>9216</v>
      </c>
      <c r="W19" s="105" t="s">
        <v>14431</v>
      </c>
      <c r="X19" s="174">
        <v>642.6</v>
      </c>
      <c r="Y19" s="174">
        <v>780.33</v>
      </c>
    </row>
    <row r="20" spans="1:25" s="63" customFormat="1" ht="15" customHeight="1" x14ac:dyDescent="0.3">
      <c r="A20" s="98" t="s">
        <v>9219</v>
      </c>
      <c r="B20" s="106" t="s">
        <v>9220</v>
      </c>
      <c r="C20" s="132" t="str">
        <f t="shared" si="0"/>
        <v>Product Info</v>
      </c>
      <c r="D20" s="137" t="s">
        <v>9221</v>
      </c>
      <c r="E20" s="131">
        <v>1</v>
      </c>
      <c r="F20" s="147" t="s">
        <v>4992</v>
      </c>
      <c r="G20" s="134">
        <v>1225.2239999999999</v>
      </c>
      <c r="H20" s="135">
        <v>1041.48</v>
      </c>
      <c r="I20" s="135">
        <v>857.65900000000011</v>
      </c>
      <c r="J20" s="101"/>
      <c r="K20" s="131"/>
      <c r="L20" s="103">
        <v>0</v>
      </c>
      <c r="M20" s="103">
        <v>0</v>
      </c>
      <c r="N20" s="98" t="s">
        <v>9568</v>
      </c>
      <c r="O20" s="104" t="s">
        <v>13914</v>
      </c>
      <c r="P20" s="131" t="s">
        <v>12628</v>
      </c>
      <c r="Q20" s="116" t="s">
        <v>14285</v>
      </c>
      <c r="R20" s="104" t="s">
        <v>8904</v>
      </c>
      <c r="S20" s="100" t="s">
        <v>1163</v>
      </c>
      <c r="T20" s="113" t="s">
        <v>12390</v>
      </c>
      <c r="U20" s="98" t="s">
        <v>5359</v>
      </c>
      <c r="V20" s="104" t="s">
        <v>9219</v>
      </c>
      <c r="W20" s="105" t="s">
        <v>14431</v>
      </c>
      <c r="X20" s="174">
        <v>779.69</v>
      </c>
      <c r="Y20" s="174">
        <v>946.8</v>
      </c>
    </row>
    <row r="21" spans="1:25" s="63" customFormat="1" ht="15" customHeight="1" x14ac:dyDescent="0.3">
      <c r="A21" s="98" t="s">
        <v>9222</v>
      </c>
      <c r="B21" s="106" t="s">
        <v>9223</v>
      </c>
      <c r="C21" s="132" t="str">
        <f t="shared" si="0"/>
        <v>Product Info</v>
      </c>
      <c r="D21" s="137" t="s">
        <v>9224</v>
      </c>
      <c r="E21" s="131">
        <v>1</v>
      </c>
      <c r="F21" s="147" t="s">
        <v>4992</v>
      </c>
      <c r="G21" s="134">
        <v>1514.7</v>
      </c>
      <c r="H21" s="135">
        <v>1287.5390000000002</v>
      </c>
      <c r="I21" s="135">
        <v>1060.29</v>
      </c>
      <c r="J21" s="101"/>
      <c r="K21" s="131"/>
      <c r="L21" s="103">
        <v>440</v>
      </c>
      <c r="M21" s="103" t="s">
        <v>12487</v>
      </c>
      <c r="N21" s="98" t="s">
        <v>9569</v>
      </c>
      <c r="O21" s="104" t="s">
        <v>13912</v>
      </c>
      <c r="P21" s="131" t="s">
        <v>12628</v>
      </c>
      <c r="Q21" s="116" t="s">
        <v>14285</v>
      </c>
      <c r="R21" s="104" t="s">
        <v>9235</v>
      </c>
      <c r="S21" s="100" t="s">
        <v>1163</v>
      </c>
      <c r="T21" s="113" t="s">
        <v>12391</v>
      </c>
      <c r="U21" s="98" t="s">
        <v>5359</v>
      </c>
      <c r="V21" s="104" t="s">
        <v>9222</v>
      </c>
      <c r="W21" s="105" t="s">
        <v>14431</v>
      </c>
      <c r="X21" s="174">
        <v>963.9</v>
      </c>
      <c r="Y21" s="174">
        <v>1170.49</v>
      </c>
    </row>
    <row r="22" spans="1:25" s="63" customFormat="1" ht="15" customHeight="1" x14ac:dyDescent="0.3">
      <c r="A22" s="98" t="s">
        <v>13330</v>
      </c>
      <c r="B22" s="100" t="s">
        <v>13331</v>
      </c>
      <c r="C22" s="132" t="str">
        <f t="shared" si="0"/>
        <v>Product Info</v>
      </c>
      <c r="D22" s="133" t="s">
        <v>14761</v>
      </c>
      <c r="E22" s="131">
        <v>1</v>
      </c>
      <c r="F22" s="147" t="s">
        <v>4992</v>
      </c>
      <c r="G22" s="138">
        <v>1127.6099999999999</v>
      </c>
      <c r="H22" s="135">
        <v>958.50700000000006</v>
      </c>
      <c r="I22" s="135">
        <v>789.327</v>
      </c>
      <c r="J22" s="101"/>
      <c r="K22" s="131"/>
      <c r="L22" s="103">
        <v>252</v>
      </c>
      <c r="M22" s="103" t="s">
        <v>14394</v>
      </c>
      <c r="N22" s="98" t="s">
        <v>9565</v>
      </c>
      <c r="O22" s="104" t="s">
        <v>13914</v>
      </c>
      <c r="P22" s="131" t="s">
        <v>12628</v>
      </c>
      <c r="Q22" s="116" t="s">
        <v>14285</v>
      </c>
      <c r="R22" s="104" t="s">
        <v>8904</v>
      </c>
      <c r="S22" s="100" t="s">
        <v>1163</v>
      </c>
      <c r="T22" s="113" t="s">
        <v>14437</v>
      </c>
      <c r="U22" s="98" t="s">
        <v>5359</v>
      </c>
      <c r="V22" s="106" t="s">
        <v>13330</v>
      </c>
      <c r="W22" s="105" t="s">
        <v>14431</v>
      </c>
      <c r="X22" s="174">
        <v>717.57</v>
      </c>
      <c r="Y22" s="174">
        <v>871.37</v>
      </c>
    </row>
    <row r="23" spans="1:25" s="63" customFormat="1" ht="15" customHeight="1" x14ac:dyDescent="0.3">
      <c r="A23" s="98" t="s">
        <v>13339</v>
      </c>
      <c r="B23" s="100" t="s">
        <v>13340</v>
      </c>
      <c r="C23" s="132" t="str">
        <f t="shared" si="0"/>
        <v>Product Info</v>
      </c>
      <c r="D23" s="133" t="s">
        <v>14760</v>
      </c>
      <c r="E23" s="131">
        <v>1</v>
      </c>
      <c r="F23" s="147" t="s">
        <v>4992</v>
      </c>
      <c r="G23" s="138">
        <v>1041.854</v>
      </c>
      <c r="H23" s="135">
        <v>885.61000000000013</v>
      </c>
      <c r="I23" s="135">
        <v>729.30000000000007</v>
      </c>
      <c r="J23" s="101"/>
      <c r="K23" s="131"/>
      <c r="L23" s="103">
        <v>473</v>
      </c>
      <c r="M23" s="103" t="s">
        <v>12488</v>
      </c>
      <c r="N23" s="98" t="s">
        <v>14282</v>
      </c>
      <c r="O23" s="104" t="s">
        <v>12608</v>
      </c>
      <c r="P23" s="131" t="s">
        <v>12628</v>
      </c>
      <c r="Q23" s="116" t="s">
        <v>14285</v>
      </c>
      <c r="R23" s="104" t="s">
        <v>8904</v>
      </c>
      <c r="S23" s="100" t="s">
        <v>1163</v>
      </c>
      <c r="T23" s="113" t="s">
        <v>14437</v>
      </c>
      <c r="U23" s="98" t="s">
        <v>5359</v>
      </c>
      <c r="V23" s="106" t="s">
        <v>13339</v>
      </c>
      <c r="W23" s="105" t="s">
        <v>14431</v>
      </c>
      <c r="X23" s="174">
        <v>663</v>
      </c>
      <c r="Y23" s="174">
        <v>805.1</v>
      </c>
    </row>
    <row r="24" spans="1:25" s="63" customFormat="1" ht="15" customHeight="1" x14ac:dyDescent="0.3">
      <c r="A24" s="98" t="s">
        <v>13337</v>
      </c>
      <c r="B24" s="100" t="s">
        <v>13338</v>
      </c>
      <c r="C24" s="132" t="str">
        <f t="shared" si="0"/>
        <v>Product Info</v>
      </c>
      <c r="D24" s="133" t="s">
        <v>14759</v>
      </c>
      <c r="E24" s="131">
        <v>1</v>
      </c>
      <c r="F24" s="147" t="s">
        <v>4992</v>
      </c>
      <c r="G24" s="138">
        <v>849.12300000000005</v>
      </c>
      <c r="H24" s="135">
        <v>721.77600000000007</v>
      </c>
      <c r="I24" s="135">
        <v>594.3850000000001</v>
      </c>
      <c r="J24" s="101"/>
      <c r="K24" s="131"/>
      <c r="L24" s="103">
        <v>306</v>
      </c>
      <c r="M24" s="103" t="s">
        <v>12488</v>
      </c>
      <c r="N24" s="98" t="s">
        <v>14281</v>
      </c>
      <c r="O24" s="104" t="s">
        <v>12608</v>
      </c>
      <c r="P24" s="131" t="s">
        <v>12628</v>
      </c>
      <c r="Q24" s="116" t="s">
        <v>14285</v>
      </c>
      <c r="R24" s="104" t="s">
        <v>8904</v>
      </c>
      <c r="S24" s="100" t="s">
        <v>1163</v>
      </c>
      <c r="T24" s="113" t="s">
        <v>14437</v>
      </c>
      <c r="U24" s="98" t="s">
        <v>5359</v>
      </c>
      <c r="V24" s="106" t="s">
        <v>13337</v>
      </c>
      <c r="W24" s="105" t="s">
        <v>14431</v>
      </c>
      <c r="X24" s="174">
        <v>540.35</v>
      </c>
      <c r="Y24" s="174">
        <v>656.16</v>
      </c>
    </row>
    <row r="25" spans="1:25" s="63" customFormat="1" ht="15" customHeight="1" x14ac:dyDescent="0.3">
      <c r="A25" s="98" t="s">
        <v>13341</v>
      </c>
      <c r="B25" s="100" t="s">
        <v>13342</v>
      </c>
      <c r="C25" s="132" t="str">
        <f t="shared" si="0"/>
        <v>Product Info</v>
      </c>
      <c r="D25" s="133" t="s">
        <v>14757</v>
      </c>
      <c r="E25" s="131">
        <v>1</v>
      </c>
      <c r="F25" s="147" t="s">
        <v>4992</v>
      </c>
      <c r="G25" s="138">
        <v>442.62900000000002</v>
      </c>
      <c r="H25" s="135">
        <v>376.24400000000003</v>
      </c>
      <c r="I25" s="135">
        <v>309.83700000000005</v>
      </c>
      <c r="J25" s="101"/>
      <c r="K25" s="131"/>
      <c r="L25" s="103">
        <v>187</v>
      </c>
      <c r="M25" s="103" t="s">
        <v>12488</v>
      </c>
      <c r="N25" s="98" t="s">
        <v>14280</v>
      </c>
      <c r="O25" s="104" t="s">
        <v>12608</v>
      </c>
      <c r="P25" s="131" t="s">
        <v>12628</v>
      </c>
      <c r="Q25" s="116" t="s">
        <v>14285</v>
      </c>
      <c r="R25" s="104" t="s">
        <v>8904</v>
      </c>
      <c r="S25" s="100" t="s">
        <v>1163</v>
      </c>
      <c r="T25" s="113" t="s">
        <v>14437</v>
      </c>
      <c r="U25" s="98" t="s">
        <v>5359</v>
      </c>
      <c r="V25" s="106" t="s">
        <v>13341</v>
      </c>
      <c r="W25" s="105" t="s">
        <v>14431</v>
      </c>
      <c r="X25" s="174">
        <v>281.67</v>
      </c>
      <c r="Y25" s="174">
        <v>342.04</v>
      </c>
    </row>
    <row r="26" spans="1:25" s="63" customFormat="1" ht="15" customHeight="1" x14ac:dyDescent="0.3">
      <c r="A26" s="98" t="s">
        <v>9167</v>
      </c>
      <c r="B26" s="106" t="s">
        <v>9168</v>
      </c>
      <c r="C26" s="132" t="str">
        <f t="shared" si="0"/>
        <v>Product Info</v>
      </c>
      <c r="D26" s="137" t="s">
        <v>9169</v>
      </c>
      <c r="E26" s="131">
        <v>3</v>
      </c>
      <c r="F26" s="147" t="s">
        <v>4992</v>
      </c>
      <c r="G26" s="138">
        <v>32.241</v>
      </c>
      <c r="H26" s="135">
        <v>27.412000000000003</v>
      </c>
      <c r="I26" s="135">
        <v>22.572000000000003</v>
      </c>
      <c r="J26" s="101"/>
      <c r="K26" s="131"/>
      <c r="L26" s="103">
        <v>21</v>
      </c>
      <c r="M26" s="103" t="s">
        <v>12488</v>
      </c>
      <c r="N26" s="98" t="s">
        <v>9561</v>
      </c>
      <c r="O26" s="104" t="s">
        <v>12608</v>
      </c>
      <c r="P26" s="131" t="s">
        <v>12610</v>
      </c>
      <c r="Q26" s="116" t="s">
        <v>14285</v>
      </c>
      <c r="R26" s="104" t="s">
        <v>8904</v>
      </c>
      <c r="S26" s="100" t="s">
        <v>1163</v>
      </c>
      <c r="T26" s="113" t="s">
        <v>12372</v>
      </c>
      <c r="U26" s="98" t="s">
        <v>5359</v>
      </c>
      <c r="V26" s="104" t="s">
        <v>9167</v>
      </c>
      <c r="W26" s="105" t="s">
        <v>14431</v>
      </c>
      <c r="X26" s="174">
        <v>20.52</v>
      </c>
      <c r="Y26" s="174">
        <v>24.92</v>
      </c>
    </row>
    <row r="27" spans="1:25" s="63" customFormat="1" ht="15" customHeight="1" x14ac:dyDescent="0.3">
      <c r="A27" s="98" t="s">
        <v>9173</v>
      </c>
      <c r="B27" s="106" t="s">
        <v>9174</v>
      </c>
      <c r="C27" s="132" t="str">
        <f t="shared" si="0"/>
        <v>Product Info</v>
      </c>
      <c r="D27" s="137" t="s">
        <v>9175</v>
      </c>
      <c r="E27" s="131">
        <v>1</v>
      </c>
      <c r="F27" s="147" t="s">
        <v>4992</v>
      </c>
      <c r="G27" s="138">
        <v>48.323</v>
      </c>
      <c r="H27" s="135">
        <v>41.074000000000005</v>
      </c>
      <c r="I27" s="135">
        <v>33.825000000000003</v>
      </c>
      <c r="J27" s="101"/>
      <c r="K27" s="131"/>
      <c r="L27" s="103">
        <v>34</v>
      </c>
      <c r="M27" s="103" t="s">
        <v>14396</v>
      </c>
      <c r="N27" s="98" t="s">
        <v>9424</v>
      </c>
      <c r="O27" s="104" t="s">
        <v>13914</v>
      </c>
      <c r="P27" s="131" t="s">
        <v>12610</v>
      </c>
      <c r="Q27" s="117" t="s">
        <v>9227</v>
      </c>
      <c r="R27" s="104" t="s">
        <v>8904</v>
      </c>
      <c r="S27" s="100" t="s">
        <v>1163</v>
      </c>
      <c r="T27" s="113" t="s">
        <v>12375</v>
      </c>
      <c r="U27" s="98" t="s">
        <v>5359</v>
      </c>
      <c r="V27" s="104" t="s">
        <v>9173</v>
      </c>
      <c r="W27" s="105" t="s">
        <v>14431</v>
      </c>
      <c r="X27" s="174">
        <v>30.75</v>
      </c>
      <c r="Y27" s="174">
        <v>37.340000000000003</v>
      </c>
    </row>
    <row r="28" spans="1:25" s="63" customFormat="1" ht="15" customHeight="1" x14ac:dyDescent="0.3">
      <c r="A28" s="98" t="s">
        <v>9188</v>
      </c>
      <c r="B28" s="106" t="s">
        <v>9189</v>
      </c>
      <c r="C28" s="132" t="str">
        <f t="shared" si="0"/>
        <v>Product Info</v>
      </c>
      <c r="D28" s="137" t="s">
        <v>9190</v>
      </c>
      <c r="E28" s="131">
        <v>1</v>
      </c>
      <c r="F28" s="147" t="s">
        <v>4992</v>
      </c>
      <c r="G28" s="138">
        <v>108.31700000000001</v>
      </c>
      <c r="H28" s="135">
        <v>92.070000000000007</v>
      </c>
      <c r="I28" s="135">
        <v>75.823000000000008</v>
      </c>
      <c r="J28" s="101"/>
      <c r="K28" s="131"/>
      <c r="L28" s="103">
        <v>34.286000000000001</v>
      </c>
      <c r="M28" s="103" t="s">
        <v>12487</v>
      </c>
      <c r="N28" s="98" t="s">
        <v>14489</v>
      </c>
      <c r="O28" s="104" t="s">
        <v>4992</v>
      </c>
      <c r="P28" s="131" t="s">
        <v>12610</v>
      </c>
      <c r="Q28" s="116" t="s">
        <v>14285</v>
      </c>
      <c r="R28" s="104" t="s">
        <v>8904</v>
      </c>
      <c r="S28" s="100" t="s">
        <v>1163</v>
      </c>
      <c r="T28" s="113" t="s">
        <v>12380</v>
      </c>
      <c r="U28" s="98" t="s">
        <v>5359</v>
      </c>
      <c r="V28" s="104" t="s">
        <v>9188</v>
      </c>
      <c r="W28" s="105" t="s">
        <v>14431</v>
      </c>
      <c r="X28" s="174">
        <v>68.930000000000007</v>
      </c>
      <c r="Y28" s="174">
        <v>83.7</v>
      </c>
    </row>
    <row r="29" spans="1:25" s="63" customFormat="1" ht="15" customHeight="1" x14ac:dyDescent="0.3">
      <c r="A29" s="98" t="s">
        <v>9191</v>
      </c>
      <c r="B29" s="106" t="s">
        <v>9192</v>
      </c>
      <c r="C29" s="132" t="str">
        <f t="shared" si="0"/>
        <v>Product Info</v>
      </c>
      <c r="D29" s="137" t="s">
        <v>9193</v>
      </c>
      <c r="E29" s="131">
        <v>1</v>
      </c>
      <c r="F29" s="147" t="s">
        <v>2170</v>
      </c>
      <c r="G29" s="138">
        <v>179.97100000000003</v>
      </c>
      <c r="H29" s="135">
        <v>152.98800000000003</v>
      </c>
      <c r="I29" s="135">
        <v>125.98300000000002</v>
      </c>
      <c r="J29" s="101"/>
      <c r="K29" s="131"/>
      <c r="L29" s="103">
        <v>57</v>
      </c>
      <c r="M29" s="103" t="s">
        <v>12487</v>
      </c>
      <c r="N29" s="98" t="s">
        <v>14489</v>
      </c>
      <c r="O29" s="104" t="s">
        <v>6692</v>
      </c>
      <c r="P29" s="131" t="s">
        <v>12610</v>
      </c>
      <c r="Q29" s="116" t="s">
        <v>14285</v>
      </c>
      <c r="R29" s="104" t="s">
        <v>8904</v>
      </c>
      <c r="S29" s="100" t="s">
        <v>1163</v>
      </c>
      <c r="T29" s="113" t="s">
        <v>12381</v>
      </c>
      <c r="U29" s="98" t="s">
        <v>5359</v>
      </c>
      <c r="V29" s="104" t="s">
        <v>9191</v>
      </c>
      <c r="W29" s="105" t="s">
        <v>14431</v>
      </c>
      <c r="X29" s="174">
        <v>114.53</v>
      </c>
      <c r="Y29" s="174">
        <v>139.08000000000001</v>
      </c>
    </row>
    <row r="30" spans="1:25" s="63" customFormat="1" ht="15" customHeight="1" x14ac:dyDescent="0.3">
      <c r="A30" s="98" t="s">
        <v>9197</v>
      </c>
      <c r="B30" s="100" t="s">
        <v>9195</v>
      </c>
      <c r="C30" s="132" t="str">
        <f t="shared" si="0"/>
        <v>Product Info</v>
      </c>
      <c r="D30" s="137" t="s">
        <v>13351</v>
      </c>
      <c r="E30" s="131">
        <v>1</v>
      </c>
      <c r="F30" s="147" t="s">
        <v>4992</v>
      </c>
      <c r="G30" s="138">
        <v>264.47300000000001</v>
      </c>
      <c r="H30" s="135">
        <v>224.80700000000002</v>
      </c>
      <c r="I30" s="135">
        <v>185.13000000000002</v>
      </c>
      <c r="J30" s="101"/>
      <c r="K30" s="131"/>
      <c r="L30" s="103">
        <v>130</v>
      </c>
      <c r="M30" s="103" t="s">
        <v>14396</v>
      </c>
      <c r="N30" s="98" t="s">
        <v>14489</v>
      </c>
      <c r="O30" s="104" t="s">
        <v>12608</v>
      </c>
      <c r="P30" s="131" t="s">
        <v>12628</v>
      </c>
      <c r="Q30" s="116" t="s">
        <v>14285</v>
      </c>
      <c r="R30" s="104" t="s">
        <v>8904</v>
      </c>
      <c r="S30" s="100" t="s">
        <v>1163</v>
      </c>
      <c r="T30" s="114" t="s">
        <v>12382</v>
      </c>
      <c r="U30" s="98" t="s">
        <v>5359</v>
      </c>
      <c r="V30" s="106" t="s">
        <v>9197</v>
      </c>
      <c r="W30" s="105" t="s">
        <v>14431</v>
      </c>
      <c r="X30" s="174">
        <v>168.3</v>
      </c>
      <c r="Y30" s="174">
        <v>204.37</v>
      </c>
    </row>
    <row r="31" spans="1:25" s="63" customFormat="1" ht="15" customHeight="1" x14ac:dyDescent="0.3">
      <c r="A31" s="98" t="s">
        <v>9198</v>
      </c>
      <c r="B31" s="106" t="s">
        <v>9199</v>
      </c>
      <c r="C31" s="132" t="str">
        <f t="shared" si="0"/>
        <v>Product Info</v>
      </c>
      <c r="D31" s="137" t="s">
        <v>9200</v>
      </c>
      <c r="E31" s="131">
        <v>1</v>
      </c>
      <c r="F31" s="147" t="s">
        <v>4992</v>
      </c>
      <c r="G31" s="138">
        <v>435.89699999999999</v>
      </c>
      <c r="H31" s="135">
        <v>370.524</v>
      </c>
      <c r="I31" s="135">
        <v>305.12900000000002</v>
      </c>
      <c r="J31" s="101"/>
      <c r="K31" s="131"/>
      <c r="L31" s="103">
        <v>160</v>
      </c>
      <c r="M31" s="103" t="s">
        <v>12488</v>
      </c>
      <c r="N31" s="98" t="s">
        <v>12424</v>
      </c>
      <c r="O31" s="104" t="s">
        <v>12608</v>
      </c>
      <c r="P31" s="131" t="s">
        <v>12628</v>
      </c>
      <c r="Q31" s="116" t="s">
        <v>14285</v>
      </c>
      <c r="R31" s="104" t="s">
        <v>8904</v>
      </c>
      <c r="S31" s="100" t="s">
        <v>1163</v>
      </c>
      <c r="T31" s="113" t="s">
        <v>12383</v>
      </c>
      <c r="U31" s="98" t="s">
        <v>5359</v>
      </c>
      <c r="V31" s="104" t="s">
        <v>9198</v>
      </c>
      <c r="W31" s="105" t="s">
        <v>14431</v>
      </c>
      <c r="X31" s="174">
        <v>277.39</v>
      </c>
      <c r="Y31" s="174">
        <v>336.84</v>
      </c>
    </row>
    <row r="32" spans="1:25" s="63" customFormat="1" ht="15" customHeight="1" x14ac:dyDescent="0.3">
      <c r="A32" s="98" t="s">
        <v>9201</v>
      </c>
      <c r="B32" s="106" t="s">
        <v>9202</v>
      </c>
      <c r="C32" s="132" t="str">
        <f t="shared" si="0"/>
        <v>Product Info</v>
      </c>
      <c r="D32" s="137" t="s">
        <v>9203</v>
      </c>
      <c r="E32" s="131">
        <v>1</v>
      </c>
      <c r="F32" s="147" t="s">
        <v>4992</v>
      </c>
      <c r="G32" s="138">
        <v>523.41300000000001</v>
      </c>
      <c r="H32" s="135">
        <v>444.91700000000009</v>
      </c>
      <c r="I32" s="135">
        <v>366.38800000000003</v>
      </c>
      <c r="J32" s="101"/>
      <c r="K32" s="131"/>
      <c r="L32" s="103">
        <v>0</v>
      </c>
      <c r="M32" s="103">
        <v>0</v>
      </c>
      <c r="N32" s="98" t="s">
        <v>9562</v>
      </c>
      <c r="O32" s="104" t="s">
        <v>13914</v>
      </c>
      <c r="P32" s="131" t="s">
        <v>12628</v>
      </c>
      <c r="Q32" s="116" t="s">
        <v>14285</v>
      </c>
      <c r="R32" s="104" t="s">
        <v>8904</v>
      </c>
      <c r="S32" s="100" t="s">
        <v>1163</v>
      </c>
      <c r="T32" s="113" t="s">
        <v>12384</v>
      </c>
      <c r="U32" s="98" t="s">
        <v>5359</v>
      </c>
      <c r="V32" s="104" t="s">
        <v>9201</v>
      </c>
      <c r="W32" s="105" t="s">
        <v>14431</v>
      </c>
      <c r="X32" s="174">
        <v>333.08</v>
      </c>
      <c r="Y32" s="174">
        <v>404.47</v>
      </c>
    </row>
    <row r="33" spans="1:25" s="63" customFormat="1" ht="15" customHeight="1" x14ac:dyDescent="0.3">
      <c r="A33" s="98" t="s">
        <v>9204</v>
      </c>
      <c r="B33" s="106" t="s">
        <v>9205</v>
      </c>
      <c r="C33" s="132" t="str">
        <f t="shared" si="0"/>
        <v>Product Info</v>
      </c>
      <c r="D33" s="137" t="s">
        <v>9206</v>
      </c>
      <c r="E33" s="131">
        <v>20</v>
      </c>
      <c r="F33" s="147" t="s">
        <v>4992</v>
      </c>
      <c r="G33" s="138">
        <v>577.26900000000001</v>
      </c>
      <c r="H33" s="135">
        <v>490.68800000000005</v>
      </c>
      <c r="I33" s="135">
        <v>404.08500000000004</v>
      </c>
      <c r="J33" s="101"/>
      <c r="K33" s="131"/>
      <c r="L33" s="103">
        <v>233</v>
      </c>
      <c r="M33" s="103" t="s">
        <v>12488</v>
      </c>
      <c r="N33" s="98" t="s">
        <v>9563</v>
      </c>
      <c r="O33" s="104" t="s">
        <v>12608</v>
      </c>
      <c r="P33" s="131" t="s">
        <v>12628</v>
      </c>
      <c r="Q33" s="116" t="s">
        <v>14285</v>
      </c>
      <c r="R33" s="104" t="s">
        <v>8904</v>
      </c>
      <c r="S33" s="100" t="s">
        <v>1163</v>
      </c>
      <c r="T33" s="113" t="s">
        <v>12385</v>
      </c>
      <c r="U33" s="98" t="s">
        <v>5359</v>
      </c>
      <c r="V33" s="104" t="s">
        <v>9204</v>
      </c>
      <c r="W33" s="105" t="s">
        <v>14431</v>
      </c>
      <c r="X33" s="174">
        <v>367.35</v>
      </c>
      <c r="Y33" s="174">
        <v>446.08</v>
      </c>
    </row>
    <row r="34" spans="1:25" s="63" customFormat="1" ht="15" customHeight="1" x14ac:dyDescent="0.3">
      <c r="A34" s="98" t="s">
        <v>9210</v>
      </c>
      <c r="B34" s="106" t="s">
        <v>9211</v>
      </c>
      <c r="C34" s="132" t="str">
        <f t="shared" si="0"/>
        <v>Product Info</v>
      </c>
      <c r="D34" s="137" t="s">
        <v>9212</v>
      </c>
      <c r="E34" s="131">
        <v>1</v>
      </c>
      <c r="F34" s="147" t="s">
        <v>4992</v>
      </c>
      <c r="G34" s="138">
        <v>908.82000000000016</v>
      </c>
      <c r="H34" s="135">
        <v>772.53</v>
      </c>
      <c r="I34" s="135">
        <v>636.17400000000009</v>
      </c>
      <c r="J34" s="101"/>
      <c r="K34" s="131"/>
      <c r="L34" s="103">
        <v>378</v>
      </c>
      <c r="M34" s="103" t="s">
        <v>12488</v>
      </c>
      <c r="N34" s="98" t="s">
        <v>9565</v>
      </c>
      <c r="O34" s="104" t="s">
        <v>12608</v>
      </c>
      <c r="P34" s="131" t="s">
        <v>12628</v>
      </c>
      <c r="Q34" s="116" t="s">
        <v>14285</v>
      </c>
      <c r="R34" s="104" t="s">
        <v>8904</v>
      </c>
      <c r="S34" s="100" t="s">
        <v>1163</v>
      </c>
      <c r="T34" s="113" t="s">
        <v>12387</v>
      </c>
      <c r="U34" s="98" t="s">
        <v>5359</v>
      </c>
      <c r="V34" s="104" t="s">
        <v>9210</v>
      </c>
      <c r="W34" s="105" t="s">
        <v>14431</v>
      </c>
      <c r="X34" s="174">
        <v>578.34</v>
      </c>
      <c r="Y34" s="174">
        <v>702.3</v>
      </c>
    </row>
    <row r="35" spans="1:25" s="63" customFormat="1" ht="15" customHeight="1" x14ac:dyDescent="0.3">
      <c r="A35" s="98" t="s">
        <v>9213</v>
      </c>
      <c r="B35" s="106" t="s">
        <v>9214</v>
      </c>
      <c r="C35" s="132" t="str">
        <f t="shared" si="0"/>
        <v>Product Info</v>
      </c>
      <c r="D35" s="137" t="s">
        <v>9215</v>
      </c>
      <c r="E35" s="131">
        <v>1</v>
      </c>
      <c r="F35" s="147" t="s">
        <v>4992</v>
      </c>
      <c r="G35" s="138">
        <v>944.08600000000001</v>
      </c>
      <c r="H35" s="135">
        <v>802.49400000000003</v>
      </c>
      <c r="I35" s="135">
        <v>660.85800000000006</v>
      </c>
      <c r="J35" s="101"/>
      <c r="K35" s="131"/>
      <c r="L35" s="103">
        <v>0</v>
      </c>
      <c r="M35" s="103">
        <v>0</v>
      </c>
      <c r="N35" s="98" t="s">
        <v>9566</v>
      </c>
      <c r="O35" s="104" t="s">
        <v>12608</v>
      </c>
      <c r="P35" s="131" t="s">
        <v>12628</v>
      </c>
      <c r="Q35" s="116" t="s">
        <v>14285</v>
      </c>
      <c r="R35" s="104" t="s">
        <v>8904</v>
      </c>
      <c r="S35" s="100" t="s">
        <v>1163</v>
      </c>
      <c r="T35" s="113" t="s">
        <v>12388</v>
      </c>
      <c r="U35" s="98" t="s">
        <v>5359</v>
      </c>
      <c r="V35" s="104" t="s">
        <v>9213</v>
      </c>
      <c r="W35" s="105" t="s">
        <v>14431</v>
      </c>
      <c r="X35" s="174">
        <v>600.78</v>
      </c>
      <c r="Y35" s="174">
        <v>729.54</v>
      </c>
    </row>
    <row r="36" spans="1:25" s="63" customFormat="1" ht="15" customHeight="1" x14ac:dyDescent="0.3">
      <c r="A36" s="83" t="s">
        <v>7419</v>
      </c>
      <c r="B36" s="84" t="s">
        <v>12440</v>
      </c>
      <c r="C36" s="140" t="str">
        <f t="shared" si="0"/>
        <v>Product Info</v>
      </c>
      <c r="D36" s="141" t="s">
        <v>8</v>
      </c>
      <c r="E36" s="139">
        <v>12</v>
      </c>
      <c r="F36" s="94" t="s">
        <v>2170</v>
      </c>
      <c r="G36" s="96">
        <v>9.0060000000000002</v>
      </c>
      <c r="H36" s="96">
        <v>6.3041999999999998</v>
      </c>
      <c r="I36" s="96">
        <v>6.3041999999999998</v>
      </c>
      <c r="J36" s="86"/>
      <c r="K36" s="94" t="s">
        <v>8905</v>
      </c>
      <c r="L36" s="87">
        <v>6.3E-2</v>
      </c>
      <c r="M36" s="87" t="s">
        <v>12487</v>
      </c>
      <c r="N36" s="83" t="s">
        <v>8763</v>
      </c>
      <c r="O36" s="88" t="s">
        <v>13916</v>
      </c>
      <c r="P36" s="139" t="s">
        <v>12552</v>
      </c>
      <c r="Q36" s="118" t="s">
        <v>9227</v>
      </c>
      <c r="R36" s="88" t="s">
        <v>8904</v>
      </c>
      <c r="S36" s="85" t="s">
        <v>1164</v>
      </c>
      <c r="T36" s="28" t="s">
        <v>9613</v>
      </c>
      <c r="U36" s="83" t="s">
        <v>5359</v>
      </c>
      <c r="V36" s="88" t="s">
        <v>7419</v>
      </c>
      <c r="W36" s="89" t="s">
        <v>14433</v>
      </c>
      <c r="X36" s="174">
        <v>4.3600000000000003</v>
      </c>
      <c r="Y36" s="174">
        <v>5.53</v>
      </c>
    </row>
    <row r="37" spans="1:25" s="1" customFormat="1" ht="15" customHeight="1" x14ac:dyDescent="0.3">
      <c r="A37" s="83" t="s">
        <v>6842</v>
      </c>
      <c r="B37" s="84" t="s">
        <v>12431</v>
      </c>
      <c r="C37" s="140" t="str">
        <f t="shared" si="0"/>
        <v>Product Info</v>
      </c>
      <c r="D37" s="141" t="s">
        <v>9</v>
      </c>
      <c r="E37" s="139">
        <v>12</v>
      </c>
      <c r="F37" s="94" t="s">
        <v>2170</v>
      </c>
      <c r="G37" s="96">
        <v>12.870599999999998</v>
      </c>
      <c r="H37" s="96">
        <v>9.0060000000000002</v>
      </c>
      <c r="I37" s="96">
        <v>9.0060000000000002</v>
      </c>
      <c r="J37" s="86"/>
      <c r="K37" s="139"/>
      <c r="L37" s="87">
        <v>2</v>
      </c>
      <c r="M37" s="87" t="s">
        <v>12488</v>
      </c>
      <c r="N37" s="83" t="s">
        <v>14489</v>
      </c>
      <c r="O37" s="88" t="s">
        <v>12608</v>
      </c>
      <c r="P37" s="139" t="s">
        <v>12552</v>
      </c>
      <c r="Q37" s="118" t="s">
        <v>9227</v>
      </c>
      <c r="R37" s="88" t="s">
        <v>8904</v>
      </c>
      <c r="S37" s="85" t="s">
        <v>1164</v>
      </c>
      <c r="T37" s="28" t="s">
        <v>9614</v>
      </c>
      <c r="U37" s="83" t="s">
        <v>5359</v>
      </c>
      <c r="V37" s="88" t="s">
        <v>6842</v>
      </c>
      <c r="W37" s="89" t="s">
        <v>14433</v>
      </c>
      <c r="X37" s="174">
        <v>6.22</v>
      </c>
      <c r="Y37" s="174">
        <v>7.9</v>
      </c>
    </row>
    <row r="38" spans="1:25" s="1" customFormat="1" ht="15" customHeight="1" x14ac:dyDescent="0.3">
      <c r="A38" s="83" t="s">
        <v>6843</v>
      </c>
      <c r="B38" s="84" t="s">
        <v>12441</v>
      </c>
      <c r="C38" s="140" t="str">
        <f t="shared" si="0"/>
        <v>Product Info</v>
      </c>
      <c r="D38" s="141" t="s">
        <v>10</v>
      </c>
      <c r="E38" s="139">
        <v>12</v>
      </c>
      <c r="F38" s="94" t="s">
        <v>2170</v>
      </c>
      <c r="G38" s="96">
        <v>15.720599999999997</v>
      </c>
      <c r="H38" s="96">
        <v>11.000999999999999</v>
      </c>
      <c r="I38" s="96">
        <v>11.000999999999999</v>
      </c>
      <c r="J38" s="86"/>
      <c r="K38" s="139"/>
      <c r="L38" s="87">
        <v>7.5999999999999998E-2</v>
      </c>
      <c r="M38" s="87" t="s">
        <v>12487</v>
      </c>
      <c r="N38" s="83" t="s">
        <v>8763</v>
      </c>
      <c r="O38" s="88" t="s">
        <v>13916</v>
      </c>
      <c r="P38" s="139" t="s">
        <v>12552</v>
      </c>
      <c r="Q38" s="118" t="s">
        <v>9227</v>
      </c>
      <c r="R38" s="88" t="s">
        <v>8904</v>
      </c>
      <c r="S38" s="85" t="s">
        <v>1164</v>
      </c>
      <c r="T38" s="28" t="s">
        <v>9615</v>
      </c>
      <c r="U38" s="83" t="s">
        <v>5359</v>
      </c>
      <c r="V38" s="88" t="s">
        <v>6843</v>
      </c>
      <c r="W38" s="89" t="s">
        <v>14433</v>
      </c>
      <c r="X38" s="174">
        <v>7.6</v>
      </c>
      <c r="Y38" s="174">
        <v>9.65</v>
      </c>
    </row>
    <row r="39" spans="1:25" s="1" customFormat="1" ht="15" customHeight="1" x14ac:dyDescent="0.3">
      <c r="A39" s="83" t="s">
        <v>6844</v>
      </c>
      <c r="B39" s="84" t="s">
        <v>12452</v>
      </c>
      <c r="C39" s="140" t="str">
        <f t="shared" si="0"/>
        <v>Product Info</v>
      </c>
      <c r="D39" s="141" t="s">
        <v>11</v>
      </c>
      <c r="E39" s="139">
        <v>12</v>
      </c>
      <c r="F39" s="94" t="s">
        <v>2170</v>
      </c>
      <c r="G39" s="96">
        <v>10.100399999999999</v>
      </c>
      <c r="H39" s="96">
        <v>7.0679999999999996</v>
      </c>
      <c r="I39" s="96">
        <v>7.0679999999999996</v>
      </c>
      <c r="J39" s="86"/>
      <c r="K39" s="94" t="s">
        <v>8905</v>
      </c>
      <c r="L39" s="87">
        <v>0.104</v>
      </c>
      <c r="M39" s="87" t="s">
        <v>12487</v>
      </c>
      <c r="N39" s="83" t="s">
        <v>8763</v>
      </c>
      <c r="O39" s="88" t="s">
        <v>13916</v>
      </c>
      <c r="P39" s="139" t="s">
        <v>12552</v>
      </c>
      <c r="Q39" s="118" t="s">
        <v>9227</v>
      </c>
      <c r="R39" s="88" t="s">
        <v>8904</v>
      </c>
      <c r="S39" s="85" t="s">
        <v>1164</v>
      </c>
      <c r="T39" s="28" t="s">
        <v>9616</v>
      </c>
      <c r="U39" s="83" t="s">
        <v>5359</v>
      </c>
      <c r="V39" s="88" t="s">
        <v>6844</v>
      </c>
      <c r="W39" s="89" t="s">
        <v>14433</v>
      </c>
      <c r="X39" s="174">
        <v>4.8899999999999997</v>
      </c>
      <c r="Y39" s="174">
        <v>6.2</v>
      </c>
    </row>
    <row r="40" spans="1:25" s="1" customFormat="1" ht="15" customHeight="1" x14ac:dyDescent="0.3">
      <c r="A40" s="83" t="s">
        <v>6845</v>
      </c>
      <c r="B40" s="84" t="s">
        <v>6846</v>
      </c>
      <c r="C40" s="140" t="str">
        <f t="shared" si="0"/>
        <v>Product Info</v>
      </c>
      <c r="D40" s="141" t="s">
        <v>12</v>
      </c>
      <c r="E40" s="139">
        <v>6</v>
      </c>
      <c r="F40" s="94" t="s">
        <v>2170</v>
      </c>
      <c r="G40" s="96">
        <v>11.776199999999999</v>
      </c>
      <c r="H40" s="96">
        <v>8.2422000000000004</v>
      </c>
      <c r="I40" s="96">
        <v>8.2422000000000004</v>
      </c>
      <c r="J40" s="86"/>
      <c r="K40" s="94" t="s">
        <v>8905</v>
      </c>
      <c r="L40" s="87">
        <v>6.3E-2</v>
      </c>
      <c r="M40" s="87" t="s">
        <v>12487</v>
      </c>
      <c r="N40" s="83" t="s">
        <v>8763</v>
      </c>
      <c r="O40" s="88" t="s">
        <v>13916</v>
      </c>
      <c r="P40" s="139" t="s">
        <v>12552</v>
      </c>
      <c r="Q40" s="118" t="s">
        <v>9227</v>
      </c>
      <c r="R40" s="88" t="s">
        <v>8904</v>
      </c>
      <c r="S40" s="85" t="s">
        <v>1164</v>
      </c>
      <c r="T40" s="28" t="s">
        <v>9617</v>
      </c>
      <c r="U40" s="83" t="s">
        <v>5359</v>
      </c>
      <c r="V40" s="88" t="s">
        <v>6845</v>
      </c>
      <c r="W40" s="89" t="s">
        <v>14433</v>
      </c>
      <c r="X40" s="174">
        <v>5.7</v>
      </c>
      <c r="Y40" s="174">
        <v>7.23</v>
      </c>
    </row>
    <row r="41" spans="1:25" s="1" customFormat="1" ht="15" customHeight="1" x14ac:dyDescent="0.3">
      <c r="A41" s="83" t="s">
        <v>2212</v>
      </c>
      <c r="B41" s="84" t="s">
        <v>2213</v>
      </c>
      <c r="C41" s="140" t="str">
        <f t="shared" si="0"/>
        <v>Product Info</v>
      </c>
      <c r="D41" s="141" t="s">
        <v>13</v>
      </c>
      <c r="E41" s="139">
        <v>6</v>
      </c>
      <c r="F41" s="94" t="s">
        <v>2170</v>
      </c>
      <c r="G41" s="96">
        <v>15.845999999999998</v>
      </c>
      <c r="H41" s="96">
        <v>11.0922</v>
      </c>
      <c r="I41" s="96">
        <v>11.0922</v>
      </c>
      <c r="J41" s="86"/>
      <c r="K41" s="139"/>
      <c r="L41" s="87">
        <v>7.5999999999999998E-2</v>
      </c>
      <c r="M41" s="87" t="s">
        <v>12487</v>
      </c>
      <c r="N41" s="83" t="s">
        <v>8763</v>
      </c>
      <c r="O41" s="88" t="s">
        <v>13916</v>
      </c>
      <c r="P41" s="139" t="s">
        <v>12552</v>
      </c>
      <c r="Q41" s="119" t="s">
        <v>14285</v>
      </c>
      <c r="R41" s="88" t="s">
        <v>8904</v>
      </c>
      <c r="S41" s="85" t="s">
        <v>1164</v>
      </c>
      <c r="T41" s="28" t="s">
        <v>9618</v>
      </c>
      <c r="U41" s="83" t="s">
        <v>5359</v>
      </c>
      <c r="V41" s="88" t="s">
        <v>2212</v>
      </c>
      <c r="W41" s="89" t="s">
        <v>14433</v>
      </c>
      <c r="X41" s="174">
        <v>7.66</v>
      </c>
      <c r="Y41" s="174">
        <v>9.73</v>
      </c>
    </row>
    <row r="42" spans="1:25" s="1" customFormat="1" ht="15" customHeight="1" x14ac:dyDescent="0.3">
      <c r="A42" s="83" t="s">
        <v>2214</v>
      </c>
      <c r="B42" s="84" t="s">
        <v>12446</v>
      </c>
      <c r="C42" s="140" t="str">
        <f t="shared" si="0"/>
        <v>Product Info</v>
      </c>
      <c r="D42" s="141" t="s">
        <v>14</v>
      </c>
      <c r="E42" s="139">
        <v>12</v>
      </c>
      <c r="F42" s="94" t="s">
        <v>2170</v>
      </c>
      <c r="G42" s="96">
        <v>14.4438</v>
      </c>
      <c r="H42" s="96">
        <v>10.111799999999999</v>
      </c>
      <c r="I42" s="96">
        <v>10.111799999999999</v>
      </c>
      <c r="J42" s="86"/>
      <c r="K42" s="139"/>
      <c r="L42" s="87">
        <v>0.104</v>
      </c>
      <c r="M42" s="87" t="s">
        <v>12487</v>
      </c>
      <c r="N42" s="83" t="s">
        <v>8763</v>
      </c>
      <c r="O42" s="88" t="s">
        <v>13916</v>
      </c>
      <c r="P42" s="139" t="s">
        <v>12552</v>
      </c>
      <c r="Q42" s="119" t="s">
        <v>14285</v>
      </c>
      <c r="R42" s="88" t="s">
        <v>8904</v>
      </c>
      <c r="S42" s="85" t="s">
        <v>1164</v>
      </c>
      <c r="T42" s="28" t="s">
        <v>9619</v>
      </c>
      <c r="U42" s="83" t="s">
        <v>5359</v>
      </c>
      <c r="V42" s="88" t="s">
        <v>2214</v>
      </c>
      <c r="W42" s="89" t="s">
        <v>14433</v>
      </c>
      <c r="X42" s="174">
        <v>6.99</v>
      </c>
      <c r="Y42" s="174">
        <v>8.8699999999999992</v>
      </c>
    </row>
    <row r="43" spans="1:25" s="1" customFormat="1" ht="15" customHeight="1" x14ac:dyDescent="0.3">
      <c r="A43" s="83" t="s">
        <v>1134</v>
      </c>
      <c r="B43" s="84" t="s">
        <v>184</v>
      </c>
      <c r="C43" s="140" t="str">
        <f t="shared" si="0"/>
        <v>Product Info</v>
      </c>
      <c r="D43" s="141" t="s">
        <v>15</v>
      </c>
      <c r="E43" s="139">
        <v>125</v>
      </c>
      <c r="F43" s="94" t="s">
        <v>2170</v>
      </c>
      <c r="G43" s="96">
        <v>8.8121999999999989</v>
      </c>
      <c r="H43" s="96">
        <v>6.1673999999999998</v>
      </c>
      <c r="I43" s="96">
        <v>6.1673999999999998</v>
      </c>
      <c r="J43" s="86"/>
      <c r="K43" s="139"/>
      <c r="L43" s="87">
        <v>4.7E-2</v>
      </c>
      <c r="M43" s="87" t="s">
        <v>12487</v>
      </c>
      <c r="N43" s="83" t="s">
        <v>8764</v>
      </c>
      <c r="O43" s="88" t="s">
        <v>13916</v>
      </c>
      <c r="P43" s="139" t="s">
        <v>12552</v>
      </c>
      <c r="Q43" s="119" t="s">
        <v>14285</v>
      </c>
      <c r="R43" s="88" t="s">
        <v>8904</v>
      </c>
      <c r="S43" s="85" t="s">
        <v>1164</v>
      </c>
      <c r="T43" s="28" t="s">
        <v>9620</v>
      </c>
      <c r="U43" s="83" t="s">
        <v>5359</v>
      </c>
      <c r="V43" s="88" t="s">
        <v>1134</v>
      </c>
      <c r="W43" s="89" t="s">
        <v>14433</v>
      </c>
      <c r="X43" s="174">
        <v>4.26</v>
      </c>
      <c r="Y43" s="174">
        <v>5.41</v>
      </c>
    </row>
    <row r="44" spans="1:25" s="1" customFormat="1" ht="15" customHeight="1" x14ac:dyDescent="0.3">
      <c r="A44" s="83" t="s">
        <v>2825</v>
      </c>
      <c r="B44" s="84" t="s">
        <v>12438</v>
      </c>
      <c r="C44" s="140" t="str">
        <f t="shared" si="0"/>
        <v>Product Info</v>
      </c>
      <c r="D44" s="141" t="s">
        <v>21</v>
      </c>
      <c r="E44" s="139">
        <v>12</v>
      </c>
      <c r="F44" s="94" t="s">
        <v>2170</v>
      </c>
      <c r="G44" s="96">
        <v>12.665399999999998</v>
      </c>
      <c r="H44" s="96">
        <v>8.8691999999999993</v>
      </c>
      <c r="I44" s="96">
        <v>8.8691999999999993</v>
      </c>
      <c r="J44" s="86"/>
      <c r="K44" s="94" t="s">
        <v>8905</v>
      </c>
      <c r="L44" s="87">
        <v>0.14199999999999999</v>
      </c>
      <c r="M44" s="87" t="s">
        <v>12487</v>
      </c>
      <c r="N44" s="83" t="s">
        <v>8763</v>
      </c>
      <c r="O44" s="88" t="s">
        <v>13916</v>
      </c>
      <c r="P44" s="139" t="s">
        <v>12552</v>
      </c>
      <c r="Q44" s="118" t="s">
        <v>9227</v>
      </c>
      <c r="R44" s="88" t="s">
        <v>8904</v>
      </c>
      <c r="S44" s="85" t="s">
        <v>1164</v>
      </c>
      <c r="T44" s="28" t="s">
        <v>9626</v>
      </c>
      <c r="U44" s="83" t="s">
        <v>5359</v>
      </c>
      <c r="V44" s="88" t="s">
        <v>2825</v>
      </c>
      <c r="W44" s="89" t="s">
        <v>14433</v>
      </c>
      <c r="X44" s="174">
        <v>6.13</v>
      </c>
      <c r="Y44" s="174">
        <v>7.78</v>
      </c>
    </row>
    <row r="45" spans="1:25" s="1" customFormat="1" ht="15" customHeight="1" x14ac:dyDescent="0.3">
      <c r="A45" s="83" t="s">
        <v>2076</v>
      </c>
      <c r="B45" s="84" t="s">
        <v>2077</v>
      </c>
      <c r="C45" s="140" t="str">
        <f t="shared" si="0"/>
        <v>Product Info</v>
      </c>
      <c r="D45" s="141" t="s">
        <v>22</v>
      </c>
      <c r="E45" s="139">
        <v>6</v>
      </c>
      <c r="F45" s="94" t="s">
        <v>2170</v>
      </c>
      <c r="G45" s="96">
        <v>14.626199999999999</v>
      </c>
      <c r="H45" s="96">
        <v>10.2372</v>
      </c>
      <c r="I45" s="96">
        <v>10.2372</v>
      </c>
      <c r="J45" s="86"/>
      <c r="K45" s="94" t="s">
        <v>8905</v>
      </c>
      <c r="L45" s="87">
        <v>0.14199999999999999</v>
      </c>
      <c r="M45" s="87" t="s">
        <v>12487</v>
      </c>
      <c r="N45" s="83" t="s">
        <v>8763</v>
      </c>
      <c r="O45" s="88" t="s">
        <v>13916</v>
      </c>
      <c r="P45" s="139" t="s">
        <v>12552</v>
      </c>
      <c r="Q45" s="118" t="s">
        <v>9227</v>
      </c>
      <c r="R45" s="88" t="s">
        <v>8904</v>
      </c>
      <c r="S45" s="85" t="s">
        <v>1164</v>
      </c>
      <c r="T45" s="28" t="s">
        <v>9627</v>
      </c>
      <c r="U45" s="83" t="s">
        <v>5359</v>
      </c>
      <c r="V45" s="88" t="s">
        <v>2076</v>
      </c>
      <c r="W45" s="89" t="s">
        <v>14433</v>
      </c>
      <c r="X45" s="174">
        <v>7.08</v>
      </c>
      <c r="Y45" s="174">
        <v>8.98</v>
      </c>
    </row>
    <row r="46" spans="1:25" s="1" customFormat="1" ht="15" customHeight="1" x14ac:dyDescent="0.3">
      <c r="A46" s="83" t="s">
        <v>2078</v>
      </c>
      <c r="B46" s="84" t="s">
        <v>2079</v>
      </c>
      <c r="C46" s="140" t="str">
        <f t="shared" si="0"/>
        <v>Product Info</v>
      </c>
      <c r="D46" s="141" t="s">
        <v>23</v>
      </c>
      <c r="E46" s="139">
        <v>6</v>
      </c>
      <c r="F46" s="94" t="s">
        <v>2170</v>
      </c>
      <c r="G46" s="96">
        <v>28.4316</v>
      </c>
      <c r="H46" s="96">
        <v>19.904399999999999</v>
      </c>
      <c r="I46" s="96">
        <v>19.904399999999999</v>
      </c>
      <c r="J46" s="86"/>
      <c r="K46" s="139"/>
      <c r="L46" s="87">
        <v>2.1</v>
      </c>
      <c r="M46" s="87" t="s">
        <v>12488</v>
      </c>
      <c r="N46" s="83" t="s">
        <v>14489</v>
      </c>
      <c r="O46" s="88" t="s">
        <v>12608</v>
      </c>
      <c r="P46" s="139" t="s">
        <v>12552</v>
      </c>
      <c r="Q46" s="118" t="s">
        <v>9227</v>
      </c>
      <c r="R46" s="88" t="s">
        <v>8904</v>
      </c>
      <c r="S46" s="85" t="s">
        <v>1164</v>
      </c>
      <c r="T46" s="28" t="s">
        <v>9628</v>
      </c>
      <c r="U46" s="83" t="s">
        <v>5359</v>
      </c>
      <c r="V46" s="88" t="s">
        <v>2078</v>
      </c>
      <c r="W46" s="89" t="s">
        <v>14433</v>
      </c>
      <c r="X46" s="174">
        <v>13.76</v>
      </c>
      <c r="Y46" s="174">
        <v>17.46</v>
      </c>
    </row>
    <row r="47" spans="1:25" s="1" customFormat="1" ht="15" customHeight="1" x14ac:dyDescent="0.3">
      <c r="A47" s="83" t="s">
        <v>2080</v>
      </c>
      <c r="B47" s="84" t="s">
        <v>2081</v>
      </c>
      <c r="C47" s="140" t="str">
        <f t="shared" si="0"/>
        <v>Product Info</v>
      </c>
      <c r="D47" s="141" t="s">
        <v>24</v>
      </c>
      <c r="E47" s="139">
        <v>12</v>
      </c>
      <c r="F47" s="94" t="s">
        <v>2170</v>
      </c>
      <c r="G47" s="96">
        <v>22.640399999999996</v>
      </c>
      <c r="H47" s="96">
        <v>15.845999999999998</v>
      </c>
      <c r="I47" s="96">
        <v>15.845999999999998</v>
      </c>
      <c r="J47" s="86"/>
      <c r="K47" s="94" t="s">
        <v>8905</v>
      </c>
      <c r="L47" s="87">
        <v>0.14499999999999999</v>
      </c>
      <c r="M47" s="87" t="s">
        <v>12487</v>
      </c>
      <c r="N47" s="83" t="s">
        <v>8763</v>
      </c>
      <c r="O47" s="88" t="s">
        <v>13916</v>
      </c>
      <c r="P47" s="139" t="s">
        <v>12552</v>
      </c>
      <c r="Q47" s="118" t="s">
        <v>9227</v>
      </c>
      <c r="R47" s="88" t="s">
        <v>8904</v>
      </c>
      <c r="S47" s="85" t="s">
        <v>1164</v>
      </c>
      <c r="T47" s="28" t="s">
        <v>9629</v>
      </c>
      <c r="U47" s="83" t="s">
        <v>5359</v>
      </c>
      <c r="V47" s="88" t="s">
        <v>2080</v>
      </c>
      <c r="W47" s="89" t="s">
        <v>14433</v>
      </c>
      <c r="X47" s="174">
        <v>10.95</v>
      </c>
      <c r="Y47" s="174">
        <v>13.9</v>
      </c>
    </row>
    <row r="48" spans="1:25" s="1" customFormat="1" ht="15" customHeight="1" x14ac:dyDescent="0.3">
      <c r="A48" s="83" t="s">
        <v>4831</v>
      </c>
      <c r="B48" s="84" t="s">
        <v>4832</v>
      </c>
      <c r="C48" s="140" t="str">
        <f t="shared" si="0"/>
        <v>Product Info</v>
      </c>
      <c r="D48" s="141" t="s">
        <v>25</v>
      </c>
      <c r="E48" s="139">
        <v>12</v>
      </c>
      <c r="F48" s="94" t="s">
        <v>2170</v>
      </c>
      <c r="G48" s="96">
        <v>23.369999999999997</v>
      </c>
      <c r="H48" s="96">
        <v>16.358999999999998</v>
      </c>
      <c r="I48" s="96">
        <v>16.358999999999998</v>
      </c>
      <c r="J48" s="86"/>
      <c r="K48" s="94" t="s">
        <v>8905</v>
      </c>
      <c r="L48" s="87">
        <v>0.16900000000000001</v>
      </c>
      <c r="M48" s="87" t="s">
        <v>12487</v>
      </c>
      <c r="N48" s="83" t="s">
        <v>8763</v>
      </c>
      <c r="O48" s="88" t="s">
        <v>13916</v>
      </c>
      <c r="P48" s="139" t="s">
        <v>12552</v>
      </c>
      <c r="Q48" s="118" t="s">
        <v>9227</v>
      </c>
      <c r="R48" s="88" t="s">
        <v>8904</v>
      </c>
      <c r="S48" s="85" t="s">
        <v>1164</v>
      </c>
      <c r="T48" s="28" t="s">
        <v>9630</v>
      </c>
      <c r="U48" s="83" t="s">
        <v>5359</v>
      </c>
      <c r="V48" s="88" t="s">
        <v>4831</v>
      </c>
      <c r="W48" s="89" t="s">
        <v>14433</v>
      </c>
      <c r="X48" s="174">
        <v>11.31</v>
      </c>
      <c r="Y48" s="174">
        <v>14.35</v>
      </c>
    </row>
    <row r="49" spans="1:25" s="1" customFormat="1" ht="15" customHeight="1" x14ac:dyDescent="0.3">
      <c r="A49" s="83" t="s">
        <v>4833</v>
      </c>
      <c r="B49" s="84" t="s">
        <v>4834</v>
      </c>
      <c r="C49" s="140" t="str">
        <f t="shared" si="0"/>
        <v>Product Info</v>
      </c>
      <c r="D49" s="141" t="s">
        <v>26</v>
      </c>
      <c r="E49" s="139">
        <v>6</v>
      </c>
      <c r="F49" s="94" t="s">
        <v>2170</v>
      </c>
      <c r="G49" s="96">
        <v>29.742599999999996</v>
      </c>
      <c r="H49" s="96">
        <v>20.816400000000002</v>
      </c>
      <c r="I49" s="96">
        <v>20.816400000000002</v>
      </c>
      <c r="J49" s="86"/>
      <c r="K49" s="139"/>
      <c r="L49" s="87">
        <v>0.16900000000000001</v>
      </c>
      <c r="M49" s="87" t="s">
        <v>12487</v>
      </c>
      <c r="N49" s="83" t="s">
        <v>8763</v>
      </c>
      <c r="O49" s="88" t="s">
        <v>13916</v>
      </c>
      <c r="P49" s="139" t="s">
        <v>12552</v>
      </c>
      <c r="Q49" s="118" t="s">
        <v>9227</v>
      </c>
      <c r="R49" s="88" t="s">
        <v>8904</v>
      </c>
      <c r="S49" s="85" t="s">
        <v>1164</v>
      </c>
      <c r="T49" s="28" t="s">
        <v>9631</v>
      </c>
      <c r="U49" s="83" t="s">
        <v>5359</v>
      </c>
      <c r="V49" s="88" t="s">
        <v>4833</v>
      </c>
      <c r="W49" s="89" t="s">
        <v>14433</v>
      </c>
      <c r="X49" s="174">
        <v>14.39</v>
      </c>
      <c r="Y49" s="174">
        <v>18.260000000000002</v>
      </c>
    </row>
    <row r="50" spans="1:25" s="1" customFormat="1" ht="15" customHeight="1" x14ac:dyDescent="0.3">
      <c r="A50" s="83" t="s">
        <v>5948</v>
      </c>
      <c r="B50" s="84" t="s">
        <v>12445</v>
      </c>
      <c r="C50" s="140" t="str">
        <f t="shared" si="0"/>
        <v>Product Info</v>
      </c>
      <c r="D50" s="141" t="s">
        <v>27</v>
      </c>
      <c r="E50" s="139">
        <v>12</v>
      </c>
      <c r="F50" s="94" t="s">
        <v>2170</v>
      </c>
      <c r="G50" s="96">
        <v>8.3219999999999992</v>
      </c>
      <c r="H50" s="96">
        <v>5.8254000000000001</v>
      </c>
      <c r="I50" s="96">
        <v>5.8254000000000001</v>
      </c>
      <c r="J50" s="86"/>
      <c r="K50" s="94" t="s">
        <v>8905</v>
      </c>
      <c r="L50" s="87">
        <v>9.5000000000000001E-2</v>
      </c>
      <c r="M50" s="87" t="s">
        <v>12487</v>
      </c>
      <c r="N50" s="83" t="s">
        <v>8769</v>
      </c>
      <c r="O50" s="88" t="s">
        <v>13916</v>
      </c>
      <c r="P50" s="139" t="s">
        <v>12552</v>
      </c>
      <c r="Q50" s="118" t="s">
        <v>9227</v>
      </c>
      <c r="R50" s="88" t="s">
        <v>8904</v>
      </c>
      <c r="S50" s="85" t="s">
        <v>1164</v>
      </c>
      <c r="T50" s="28" t="s">
        <v>9632</v>
      </c>
      <c r="U50" s="83" t="s">
        <v>5359</v>
      </c>
      <c r="V50" s="88" t="s">
        <v>5948</v>
      </c>
      <c r="W50" s="89" t="s">
        <v>14433</v>
      </c>
      <c r="X50" s="174">
        <v>4.0199999999999996</v>
      </c>
      <c r="Y50" s="174">
        <v>5.1100000000000003</v>
      </c>
    </row>
    <row r="51" spans="1:25" s="63" customFormat="1" ht="15" customHeight="1" x14ac:dyDescent="0.3">
      <c r="A51" s="83" t="s">
        <v>5949</v>
      </c>
      <c r="B51" s="84" t="s">
        <v>12435</v>
      </c>
      <c r="C51" s="140" t="str">
        <f t="shared" si="0"/>
        <v>Product Info</v>
      </c>
      <c r="D51" s="141" t="s">
        <v>28</v>
      </c>
      <c r="E51" s="139">
        <v>125</v>
      </c>
      <c r="F51" s="94" t="s">
        <v>2170</v>
      </c>
      <c r="G51" s="96">
        <v>8.2080000000000002</v>
      </c>
      <c r="H51" s="96">
        <v>5.7455999999999996</v>
      </c>
      <c r="I51" s="96">
        <v>5.7455999999999996</v>
      </c>
      <c r="J51" s="86"/>
      <c r="K51" s="139"/>
      <c r="L51" s="87">
        <v>9.2999999999999999E-2</v>
      </c>
      <c r="M51" s="87" t="s">
        <v>12487</v>
      </c>
      <c r="N51" s="83" t="s">
        <v>8770</v>
      </c>
      <c r="O51" s="88" t="s">
        <v>13916</v>
      </c>
      <c r="P51" s="139" t="s">
        <v>12552</v>
      </c>
      <c r="Q51" s="119" t="s">
        <v>14285</v>
      </c>
      <c r="R51" s="88" t="s">
        <v>8904</v>
      </c>
      <c r="S51" s="85" t="s">
        <v>1164</v>
      </c>
      <c r="T51" s="28" t="s">
        <v>9633</v>
      </c>
      <c r="U51" s="83" t="s">
        <v>5359</v>
      </c>
      <c r="V51" s="88" t="s">
        <v>5949</v>
      </c>
      <c r="W51" s="89" t="s">
        <v>14433</v>
      </c>
      <c r="X51" s="174">
        <v>3.98</v>
      </c>
      <c r="Y51" s="174">
        <v>5.04</v>
      </c>
    </row>
    <row r="52" spans="1:25" s="63" customFormat="1" ht="15" customHeight="1" x14ac:dyDescent="0.3">
      <c r="A52" s="83" t="s">
        <v>6156</v>
      </c>
      <c r="B52" s="84" t="s">
        <v>6157</v>
      </c>
      <c r="C52" s="140" t="str">
        <f t="shared" si="0"/>
        <v>Product Info</v>
      </c>
      <c r="D52" s="141" t="s">
        <v>29</v>
      </c>
      <c r="E52" s="139">
        <v>6</v>
      </c>
      <c r="F52" s="94" t="s">
        <v>2170</v>
      </c>
      <c r="G52" s="96">
        <v>10.0434</v>
      </c>
      <c r="H52" s="96">
        <v>7.0337999999999994</v>
      </c>
      <c r="I52" s="96">
        <v>7.0337999999999994</v>
      </c>
      <c r="J52" s="86"/>
      <c r="K52" s="139"/>
      <c r="L52" s="87">
        <v>9.5000000000000001E-2</v>
      </c>
      <c r="M52" s="87" t="s">
        <v>12487</v>
      </c>
      <c r="N52" s="83" t="s">
        <v>8769</v>
      </c>
      <c r="O52" s="88" t="s">
        <v>13916</v>
      </c>
      <c r="P52" s="139" t="s">
        <v>12552</v>
      </c>
      <c r="Q52" s="118" t="s">
        <v>9227</v>
      </c>
      <c r="R52" s="88" t="s">
        <v>8904</v>
      </c>
      <c r="S52" s="85" t="s">
        <v>1164</v>
      </c>
      <c r="T52" s="28" t="s">
        <v>9634</v>
      </c>
      <c r="U52" s="83" t="s">
        <v>5359</v>
      </c>
      <c r="V52" s="88" t="s">
        <v>6156</v>
      </c>
      <c r="W52" s="89" t="s">
        <v>14433</v>
      </c>
      <c r="X52" s="174">
        <v>4.8600000000000003</v>
      </c>
      <c r="Y52" s="174">
        <v>6.17</v>
      </c>
    </row>
    <row r="53" spans="1:25" s="63" customFormat="1" ht="72" x14ac:dyDescent="0.3">
      <c r="A53" s="83" t="s">
        <v>6158</v>
      </c>
      <c r="B53" s="84" t="s">
        <v>12449</v>
      </c>
      <c r="C53" s="140" t="str">
        <f t="shared" si="0"/>
        <v>Product Info</v>
      </c>
      <c r="D53" s="141" t="s">
        <v>30</v>
      </c>
      <c r="E53" s="139">
        <v>12</v>
      </c>
      <c r="F53" s="94" t="s">
        <v>2170</v>
      </c>
      <c r="G53" s="96">
        <v>13.030199999999999</v>
      </c>
      <c r="H53" s="96">
        <v>9.1199999999999992</v>
      </c>
      <c r="I53" s="96">
        <v>9.1199999999999992</v>
      </c>
      <c r="J53" s="86"/>
      <c r="K53" s="94" t="s">
        <v>8905</v>
      </c>
      <c r="L53" s="87">
        <v>0.105</v>
      </c>
      <c r="M53" s="87" t="s">
        <v>12487</v>
      </c>
      <c r="N53" s="83" t="s">
        <v>8769</v>
      </c>
      <c r="O53" s="88" t="s">
        <v>13916</v>
      </c>
      <c r="P53" s="139" t="s">
        <v>12552</v>
      </c>
      <c r="Q53" s="118" t="s">
        <v>9227</v>
      </c>
      <c r="R53" s="88" t="s">
        <v>8904</v>
      </c>
      <c r="S53" s="85" t="s">
        <v>1164</v>
      </c>
      <c r="T53" s="28" t="s">
        <v>9635</v>
      </c>
      <c r="U53" s="83" t="s">
        <v>5359</v>
      </c>
      <c r="V53" s="88" t="s">
        <v>6158</v>
      </c>
      <c r="W53" s="89" t="s">
        <v>14433</v>
      </c>
      <c r="X53" s="174">
        <v>6.3</v>
      </c>
      <c r="Y53" s="174">
        <v>8</v>
      </c>
    </row>
    <row r="54" spans="1:25" s="63" customFormat="1" ht="15" customHeight="1" x14ac:dyDescent="0.3">
      <c r="A54" s="83" t="s">
        <v>6521</v>
      </c>
      <c r="B54" s="84" t="s">
        <v>12437</v>
      </c>
      <c r="C54" s="140" t="str">
        <f t="shared" si="0"/>
        <v>Product Info</v>
      </c>
      <c r="D54" s="141" t="s">
        <v>31</v>
      </c>
      <c r="E54" s="139">
        <v>12</v>
      </c>
      <c r="F54" s="94" t="s">
        <v>2170</v>
      </c>
      <c r="G54" s="96">
        <v>6.851399999999999</v>
      </c>
      <c r="H54" s="96">
        <v>4.7993999999999994</v>
      </c>
      <c r="I54" s="96">
        <v>4.7993999999999994</v>
      </c>
      <c r="J54" s="86"/>
      <c r="K54" s="94" t="s">
        <v>8905</v>
      </c>
      <c r="L54" s="87">
        <v>8.8999999999999996E-2</v>
      </c>
      <c r="M54" s="87" t="s">
        <v>12487</v>
      </c>
      <c r="N54" s="83" t="s">
        <v>8769</v>
      </c>
      <c r="O54" s="88" t="s">
        <v>13916</v>
      </c>
      <c r="P54" s="139" t="s">
        <v>12552</v>
      </c>
      <c r="Q54" s="118" t="s">
        <v>9227</v>
      </c>
      <c r="R54" s="88" t="s">
        <v>8904</v>
      </c>
      <c r="S54" s="85" t="s">
        <v>1164</v>
      </c>
      <c r="T54" s="28" t="s">
        <v>9636</v>
      </c>
      <c r="U54" s="83" t="s">
        <v>5359</v>
      </c>
      <c r="V54" s="88" t="s">
        <v>6521</v>
      </c>
      <c r="W54" s="89" t="s">
        <v>14433</v>
      </c>
      <c r="X54" s="174">
        <v>3.32</v>
      </c>
      <c r="Y54" s="174">
        <v>4.21</v>
      </c>
    </row>
    <row r="55" spans="1:25" s="63" customFormat="1" ht="15" customHeight="1" x14ac:dyDescent="0.3">
      <c r="A55" s="83" t="s">
        <v>4022</v>
      </c>
      <c r="B55" s="84" t="s">
        <v>4023</v>
      </c>
      <c r="C55" s="140" t="str">
        <f t="shared" si="0"/>
        <v>Product Info</v>
      </c>
      <c r="D55" s="141" t="s">
        <v>32</v>
      </c>
      <c r="E55" s="139">
        <v>6</v>
      </c>
      <c r="F55" s="94" t="s">
        <v>2170</v>
      </c>
      <c r="G55" s="96">
        <v>9.621599999999999</v>
      </c>
      <c r="H55" s="96">
        <v>6.7373999999999992</v>
      </c>
      <c r="I55" s="96">
        <v>6.7373999999999992</v>
      </c>
      <c r="J55" s="86"/>
      <c r="K55" s="139"/>
      <c r="L55" s="87">
        <v>9.0999999999999998E-2</v>
      </c>
      <c r="M55" s="87" t="s">
        <v>12487</v>
      </c>
      <c r="N55" s="83" t="s">
        <v>8769</v>
      </c>
      <c r="O55" s="88" t="s">
        <v>13916</v>
      </c>
      <c r="P55" s="139" t="s">
        <v>12552</v>
      </c>
      <c r="Q55" s="119" t="s">
        <v>14285</v>
      </c>
      <c r="R55" s="88" t="s">
        <v>8904</v>
      </c>
      <c r="S55" s="85" t="s">
        <v>1164</v>
      </c>
      <c r="T55" s="28" t="s">
        <v>9637</v>
      </c>
      <c r="U55" s="83" t="s">
        <v>5359</v>
      </c>
      <c r="V55" s="88" t="s">
        <v>4022</v>
      </c>
      <c r="W55" s="89" t="s">
        <v>14433</v>
      </c>
      <c r="X55" s="174">
        <v>4.66</v>
      </c>
      <c r="Y55" s="174">
        <v>5.91</v>
      </c>
    </row>
    <row r="56" spans="1:25" s="63" customFormat="1" ht="15" customHeight="1" x14ac:dyDescent="0.3">
      <c r="A56" s="83" t="s">
        <v>4028</v>
      </c>
      <c r="B56" s="84" t="s">
        <v>4029</v>
      </c>
      <c r="C56" s="140" t="str">
        <f t="shared" si="0"/>
        <v>Product Info</v>
      </c>
      <c r="D56" s="141" t="s">
        <v>33</v>
      </c>
      <c r="E56" s="139">
        <v>6</v>
      </c>
      <c r="F56" s="94" t="s">
        <v>2170</v>
      </c>
      <c r="G56" s="96">
        <v>14.033399999999999</v>
      </c>
      <c r="H56" s="96">
        <v>9.8267999999999986</v>
      </c>
      <c r="I56" s="96">
        <v>9.8267999999999986</v>
      </c>
      <c r="J56" s="86"/>
      <c r="K56" s="139"/>
      <c r="L56" s="87">
        <v>9.6000000000000002E-2</v>
      </c>
      <c r="M56" s="87" t="s">
        <v>12487</v>
      </c>
      <c r="N56" s="83" t="s">
        <v>8769</v>
      </c>
      <c r="O56" s="88" t="s">
        <v>13916</v>
      </c>
      <c r="P56" s="139" t="s">
        <v>12552</v>
      </c>
      <c r="Q56" s="119" t="s">
        <v>14285</v>
      </c>
      <c r="R56" s="88" t="s">
        <v>8904</v>
      </c>
      <c r="S56" s="85" t="s">
        <v>1164</v>
      </c>
      <c r="T56" s="28" t="s">
        <v>9638</v>
      </c>
      <c r="U56" s="83" t="s">
        <v>5359</v>
      </c>
      <c r="V56" s="88" t="s">
        <v>4028</v>
      </c>
      <c r="W56" s="89" t="s">
        <v>14433</v>
      </c>
      <c r="X56" s="174">
        <v>6.79</v>
      </c>
      <c r="Y56" s="174">
        <v>8.6199999999999992</v>
      </c>
    </row>
    <row r="57" spans="1:25" s="63" customFormat="1" ht="15" customHeight="1" x14ac:dyDescent="0.3">
      <c r="A57" s="83" t="s">
        <v>1126</v>
      </c>
      <c r="B57" s="84" t="s">
        <v>1127</v>
      </c>
      <c r="C57" s="140" t="str">
        <f t="shared" si="0"/>
        <v>Product Info</v>
      </c>
      <c r="D57" s="141" t="s">
        <v>34</v>
      </c>
      <c r="E57" s="139">
        <v>125</v>
      </c>
      <c r="F57" s="94" t="s">
        <v>2170</v>
      </c>
      <c r="G57" s="96">
        <v>16.529999999999998</v>
      </c>
      <c r="H57" s="96">
        <v>11.571</v>
      </c>
      <c r="I57" s="96">
        <v>11.571</v>
      </c>
      <c r="J57" s="86"/>
      <c r="K57" s="139"/>
      <c r="L57" s="87">
        <v>9.4E-2</v>
      </c>
      <c r="M57" s="87" t="s">
        <v>12487</v>
      </c>
      <c r="N57" s="83" t="s">
        <v>8770</v>
      </c>
      <c r="O57" s="88" t="s">
        <v>13916</v>
      </c>
      <c r="P57" s="139" t="s">
        <v>12552</v>
      </c>
      <c r="Q57" s="119" t="s">
        <v>14285</v>
      </c>
      <c r="R57" s="88" t="s">
        <v>8904</v>
      </c>
      <c r="S57" s="85" t="s">
        <v>1164</v>
      </c>
      <c r="T57" s="28" t="s">
        <v>9639</v>
      </c>
      <c r="U57" s="83" t="s">
        <v>5359</v>
      </c>
      <c r="V57" s="88" t="s">
        <v>1126</v>
      </c>
      <c r="W57" s="89" t="s">
        <v>14433</v>
      </c>
      <c r="X57" s="174">
        <v>8</v>
      </c>
      <c r="Y57" s="174">
        <v>10.15</v>
      </c>
    </row>
    <row r="58" spans="1:25" s="63" customFormat="1" ht="15" customHeight="1" x14ac:dyDescent="0.3">
      <c r="A58" s="83" t="s">
        <v>4042</v>
      </c>
      <c r="B58" s="84" t="s">
        <v>4043</v>
      </c>
      <c r="C58" s="140" t="str">
        <f t="shared" si="0"/>
        <v>Product Info</v>
      </c>
      <c r="D58" s="141" t="s">
        <v>35</v>
      </c>
      <c r="E58" s="139">
        <v>6</v>
      </c>
      <c r="F58" s="94" t="s">
        <v>2170</v>
      </c>
      <c r="G58" s="96">
        <v>17.430599999999998</v>
      </c>
      <c r="H58" s="96">
        <v>12.197999999999999</v>
      </c>
      <c r="I58" s="96">
        <v>12.197999999999999</v>
      </c>
      <c r="J58" s="86"/>
      <c r="K58" s="94" t="s">
        <v>8905</v>
      </c>
      <c r="L58" s="87">
        <v>9.6000000000000002E-2</v>
      </c>
      <c r="M58" s="87" t="s">
        <v>12487</v>
      </c>
      <c r="N58" s="83" t="s">
        <v>8769</v>
      </c>
      <c r="O58" s="88" t="s">
        <v>13916</v>
      </c>
      <c r="P58" s="139" t="s">
        <v>12552</v>
      </c>
      <c r="Q58" s="118" t="s">
        <v>9227</v>
      </c>
      <c r="R58" s="88" t="s">
        <v>8904</v>
      </c>
      <c r="S58" s="85" t="s">
        <v>1164</v>
      </c>
      <c r="T58" s="28" t="s">
        <v>9640</v>
      </c>
      <c r="U58" s="83" t="s">
        <v>5359</v>
      </c>
      <c r="V58" s="88" t="s">
        <v>4042</v>
      </c>
      <c r="W58" s="89" t="s">
        <v>14433</v>
      </c>
      <c r="X58" s="174">
        <v>8.43</v>
      </c>
      <c r="Y58" s="174">
        <v>10.7</v>
      </c>
    </row>
    <row r="59" spans="1:25" s="63" customFormat="1" ht="15" customHeight="1" x14ac:dyDescent="0.3">
      <c r="A59" s="83" t="s">
        <v>4921</v>
      </c>
      <c r="B59" s="84" t="s">
        <v>12439</v>
      </c>
      <c r="C59" s="140" t="str">
        <f t="shared" si="0"/>
        <v>Product Info</v>
      </c>
      <c r="D59" s="141" t="s">
        <v>40</v>
      </c>
      <c r="E59" s="139">
        <v>12</v>
      </c>
      <c r="F59" s="94" t="s">
        <v>2170</v>
      </c>
      <c r="G59" s="96">
        <v>9.69</v>
      </c>
      <c r="H59" s="96">
        <v>6.7829999999999995</v>
      </c>
      <c r="I59" s="96">
        <v>6.7829999999999995</v>
      </c>
      <c r="J59" s="86"/>
      <c r="K59" s="94" t="s">
        <v>8905</v>
      </c>
      <c r="L59" s="87">
        <v>9.8000000000000004E-2</v>
      </c>
      <c r="M59" s="87" t="s">
        <v>12487</v>
      </c>
      <c r="N59" s="83" t="s">
        <v>8763</v>
      </c>
      <c r="O59" s="88" t="s">
        <v>13916</v>
      </c>
      <c r="P59" s="139" t="s">
        <v>12552</v>
      </c>
      <c r="Q59" s="118" t="s">
        <v>9227</v>
      </c>
      <c r="R59" s="88" t="s">
        <v>8904</v>
      </c>
      <c r="S59" s="85" t="s">
        <v>1164</v>
      </c>
      <c r="T59" s="28" t="s">
        <v>9645</v>
      </c>
      <c r="U59" s="83" t="s">
        <v>5359</v>
      </c>
      <c r="V59" s="88" t="s">
        <v>4921</v>
      </c>
      <c r="W59" s="89" t="s">
        <v>14433</v>
      </c>
      <c r="X59" s="174">
        <v>4.6900000000000004</v>
      </c>
      <c r="Y59" s="174">
        <v>5.95</v>
      </c>
    </row>
    <row r="60" spans="1:25" s="63" customFormat="1" ht="15" customHeight="1" x14ac:dyDescent="0.3">
      <c r="A60" s="83" t="s">
        <v>4047</v>
      </c>
      <c r="B60" s="84" t="s">
        <v>4048</v>
      </c>
      <c r="C60" s="140" t="str">
        <f t="shared" si="0"/>
        <v>Product Info</v>
      </c>
      <c r="D60" s="141" t="s">
        <v>41</v>
      </c>
      <c r="E60" s="139">
        <v>6</v>
      </c>
      <c r="F60" s="94" t="s">
        <v>2170</v>
      </c>
      <c r="G60" s="96">
        <v>11.3544</v>
      </c>
      <c r="H60" s="96">
        <v>7.9457999999999993</v>
      </c>
      <c r="I60" s="96">
        <v>7.9457999999999993</v>
      </c>
      <c r="J60" s="86"/>
      <c r="K60" s="94" t="s">
        <v>8905</v>
      </c>
      <c r="L60" s="87">
        <v>9.8000000000000004E-2</v>
      </c>
      <c r="M60" s="87" t="s">
        <v>12487</v>
      </c>
      <c r="N60" s="83" t="s">
        <v>8763</v>
      </c>
      <c r="O60" s="88" t="s">
        <v>13916</v>
      </c>
      <c r="P60" s="139" t="s">
        <v>12552</v>
      </c>
      <c r="Q60" s="118" t="s">
        <v>9227</v>
      </c>
      <c r="R60" s="88" t="s">
        <v>8904</v>
      </c>
      <c r="S60" s="85" t="s">
        <v>1164</v>
      </c>
      <c r="T60" s="28" t="s">
        <v>9646</v>
      </c>
      <c r="U60" s="83" t="s">
        <v>5359</v>
      </c>
      <c r="V60" s="88" t="s">
        <v>4047</v>
      </c>
      <c r="W60" s="89" t="s">
        <v>14433</v>
      </c>
      <c r="X60" s="174">
        <v>5.5</v>
      </c>
      <c r="Y60" s="174">
        <v>6.97</v>
      </c>
    </row>
    <row r="61" spans="1:25" s="63" customFormat="1" ht="15" customHeight="1" x14ac:dyDescent="0.3">
      <c r="A61" s="83" t="s">
        <v>2104</v>
      </c>
      <c r="B61" s="84" t="s">
        <v>2105</v>
      </c>
      <c r="C61" s="140" t="str">
        <f t="shared" si="0"/>
        <v>Product Info</v>
      </c>
      <c r="D61" s="141" t="s">
        <v>42</v>
      </c>
      <c r="E61" s="139">
        <v>6</v>
      </c>
      <c r="F61" s="94" t="s">
        <v>2170</v>
      </c>
      <c r="G61" s="96">
        <v>19.38</v>
      </c>
      <c r="H61" s="96">
        <v>13.565999999999999</v>
      </c>
      <c r="I61" s="96">
        <v>13.565999999999999</v>
      </c>
      <c r="J61" s="86"/>
      <c r="K61" s="139"/>
      <c r="L61" s="87">
        <v>0.219</v>
      </c>
      <c r="M61" s="87" t="s">
        <v>12488</v>
      </c>
      <c r="N61" s="83" t="s">
        <v>8771</v>
      </c>
      <c r="O61" s="88" t="s">
        <v>13914</v>
      </c>
      <c r="P61" s="139" t="s">
        <v>12552</v>
      </c>
      <c r="Q61" s="119" t="s">
        <v>14285</v>
      </c>
      <c r="R61" s="88" t="s">
        <v>8904</v>
      </c>
      <c r="S61" s="85" t="s">
        <v>1164</v>
      </c>
      <c r="T61" s="28" t="s">
        <v>9647</v>
      </c>
      <c r="U61" s="83" t="s">
        <v>5359</v>
      </c>
      <c r="V61" s="88" t="s">
        <v>2104</v>
      </c>
      <c r="W61" s="89" t="s">
        <v>14433</v>
      </c>
      <c r="X61" s="174">
        <v>9.3800000000000008</v>
      </c>
      <c r="Y61" s="174">
        <v>11.9</v>
      </c>
    </row>
    <row r="62" spans="1:25" s="63" customFormat="1" ht="15" customHeight="1" x14ac:dyDescent="0.3">
      <c r="A62" s="83" t="s">
        <v>2110</v>
      </c>
      <c r="B62" s="84" t="s">
        <v>12448</v>
      </c>
      <c r="C62" s="140" t="str">
        <f t="shared" si="0"/>
        <v>Product Info</v>
      </c>
      <c r="D62" s="141" t="s">
        <v>46</v>
      </c>
      <c r="E62" s="139">
        <v>12</v>
      </c>
      <c r="F62" s="94" t="s">
        <v>2170</v>
      </c>
      <c r="G62" s="96">
        <v>11.126399999999999</v>
      </c>
      <c r="H62" s="96">
        <v>7.7861999999999991</v>
      </c>
      <c r="I62" s="96">
        <v>7.7861999999999991</v>
      </c>
      <c r="J62" s="86"/>
      <c r="K62" s="94" t="s">
        <v>8905</v>
      </c>
      <c r="L62" s="87">
        <v>0.11899999999999999</v>
      </c>
      <c r="M62" s="87" t="s">
        <v>12487</v>
      </c>
      <c r="N62" s="83" t="s">
        <v>8769</v>
      </c>
      <c r="O62" s="88" t="s">
        <v>13916</v>
      </c>
      <c r="P62" s="139" t="s">
        <v>12552</v>
      </c>
      <c r="Q62" s="118" t="s">
        <v>9227</v>
      </c>
      <c r="R62" s="88" t="s">
        <v>8904</v>
      </c>
      <c r="S62" s="85" t="s">
        <v>1164</v>
      </c>
      <c r="T62" s="28" t="s">
        <v>9651</v>
      </c>
      <c r="U62" s="83" t="s">
        <v>5359</v>
      </c>
      <c r="V62" s="88" t="s">
        <v>2110</v>
      </c>
      <c r="W62" s="89" t="s">
        <v>14433</v>
      </c>
      <c r="X62" s="174">
        <v>5.38</v>
      </c>
      <c r="Y62" s="174">
        <v>6.83</v>
      </c>
    </row>
    <row r="63" spans="1:25" s="63" customFormat="1" ht="15" customHeight="1" x14ac:dyDescent="0.3">
      <c r="A63" s="83" t="s">
        <v>2111</v>
      </c>
      <c r="B63" s="84" t="s">
        <v>2112</v>
      </c>
      <c r="C63" s="140" t="str">
        <f t="shared" si="0"/>
        <v>Product Info</v>
      </c>
      <c r="D63" s="141" t="s">
        <v>47</v>
      </c>
      <c r="E63" s="139">
        <v>6</v>
      </c>
      <c r="F63" s="94" t="s">
        <v>2170</v>
      </c>
      <c r="G63" s="96">
        <v>14.056199999999999</v>
      </c>
      <c r="H63" s="96">
        <v>9.8382000000000005</v>
      </c>
      <c r="I63" s="96">
        <v>9.8382000000000005</v>
      </c>
      <c r="J63" s="86"/>
      <c r="K63" s="94" t="s">
        <v>8905</v>
      </c>
      <c r="L63" s="87">
        <v>0.11899999999999999</v>
      </c>
      <c r="M63" s="87" t="s">
        <v>12487</v>
      </c>
      <c r="N63" s="83" t="s">
        <v>8769</v>
      </c>
      <c r="O63" s="88" t="s">
        <v>13916</v>
      </c>
      <c r="P63" s="139" t="s">
        <v>12552</v>
      </c>
      <c r="Q63" s="118" t="s">
        <v>9227</v>
      </c>
      <c r="R63" s="88" t="s">
        <v>8904</v>
      </c>
      <c r="S63" s="85" t="s">
        <v>1164</v>
      </c>
      <c r="T63" s="28" t="s">
        <v>9652</v>
      </c>
      <c r="U63" s="83" t="s">
        <v>5359</v>
      </c>
      <c r="V63" s="88" t="s">
        <v>2111</v>
      </c>
      <c r="W63" s="89" t="s">
        <v>14433</v>
      </c>
      <c r="X63" s="174">
        <v>6.8</v>
      </c>
      <c r="Y63" s="174">
        <v>8.6300000000000008</v>
      </c>
    </row>
    <row r="64" spans="1:25" s="63" customFormat="1" ht="15" customHeight="1" x14ac:dyDescent="0.3">
      <c r="A64" s="83" t="s">
        <v>2113</v>
      </c>
      <c r="B64" s="84" t="s">
        <v>2114</v>
      </c>
      <c r="C64" s="140" t="str">
        <f t="shared" si="0"/>
        <v>Product Info</v>
      </c>
      <c r="D64" s="141" t="s">
        <v>48</v>
      </c>
      <c r="E64" s="139">
        <v>1</v>
      </c>
      <c r="F64" s="94" t="s">
        <v>2170</v>
      </c>
      <c r="G64" s="96">
        <v>21.431999999999999</v>
      </c>
      <c r="H64" s="96">
        <v>15.0024</v>
      </c>
      <c r="I64" s="96">
        <v>15.0024</v>
      </c>
      <c r="J64" s="86"/>
      <c r="K64" s="139"/>
      <c r="L64" s="87">
        <v>0.3</v>
      </c>
      <c r="M64" s="87" t="s">
        <v>12488</v>
      </c>
      <c r="N64" s="83" t="s">
        <v>13070</v>
      </c>
      <c r="O64" s="88" t="s">
        <v>13912</v>
      </c>
      <c r="P64" s="139" t="s">
        <v>12552</v>
      </c>
      <c r="Q64" s="119" t="s">
        <v>14285</v>
      </c>
      <c r="R64" s="88" t="s">
        <v>8904</v>
      </c>
      <c r="S64" s="85" t="s">
        <v>1164</v>
      </c>
      <c r="T64" s="28" t="s">
        <v>9653</v>
      </c>
      <c r="U64" s="83" t="s">
        <v>5359</v>
      </c>
      <c r="V64" s="88" t="s">
        <v>2113</v>
      </c>
      <c r="W64" s="89" t="s">
        <v>14433</v>
      </c>
      <c r="X64" s="174">
        <v>10.38</v>
      </c>
      <c r="Y64" s="174">
        <v>13.16</v>
      </c>
    </row>
    <row r="65" spans="1:25" s="63" customFormat="1" ht="15" customHeight="1" x14ac:dyDescent="0.3">
      <c r="A65" s="83" t="s">
        <v>5813</v>
      </c>
      <c r="B65" s="84" t="s">
        <v>2556</v>
      </c>
      <c r="C65" s="140" t="str">
        <f t="shared" si="0"/>
        <v>Product Info</v>
      </c>
      <c r="D65" s="141" t="s">
        <v>49</v>
      </c>
      <c r="E65" s="139">
        <v>12</v>
      </c>
      <c r="F65" s="94" t="s">
        <v>2170</v>
      </c>
      <c r="G65" s="96">
        <v>22.526399999999999</v>
      </c>
      <c r="H65" s="96">
        <v>15.7662</v>
      </c>
      <c r="I65" s="96">
        <v>15.7662</v>
      </c>
      <c r="J65" s="86"/>
      <c r="K65" s="139"/>
      <c r="L65" s="87">
        <v>0.25</v>
      </c>
      <c r="M65" s="87" t="s">
        <v>12488</v>
      </c>
      <c r="N65" s="83" t="s">
        <v>8772</v>
      </c>
      <c r="O65" s="88" t="s">
        <v>12608</v>
      </c>
      <c r="P65" s="139" t="s">
        <v>12552</v>
      </c>
      <c r="Q65" s="119" t="s">
        <v>14285</v>
      </c>
      <c r="R65" s="88" t="s">
        <v>8904</v>
      </c>
      <c r="S65" s="85" t="s">
        <v>1164</v>
      </c>
      <c r="T65" s="28" t="s">
        <v>9654</v>
      </c>
      <c r="U65" s="83" t="s">
        <v>5359</v>
      </c>
      <c r="V65" s="88" t="s">
        <v>5813</v>
      </c>
      <c r="W65" s="89" t="s">
        <v>14433</v>
      </c>
      <c r="X65" s="174">
        <v>10.9</v>
      </c>
      <c r="Y65" s="174">
        <v>13.83</v>
      </c>
    </row>
    <row r="66" spans="1:25" s="63" customFormat="1" ht="15" customHeight="1" x14ac:dyDescent="0.3">
      <c r="A66" s="83" t="s">
        <v>4353</v>
      </c>
      <c r="B66" s="84" t="s">
        <v>4354</v>
      </c>
      <c r="C66" s="140" t="str">
        <f t="shared" si="0"/>
        <v>Product Info</v>
      </c>
      <c r="D66" s="141" t="s">
        <v>54</v>
      </c>
      <c r="E66" s="139">
        <v>12</v>
      </c>
      <c r="F66" s="94" t="s">
        <v>2170</v>
      </c>
      <c r="G66" s="96">
        <v>10.3284</v>
      </c>
      <c r="H66" s="96">
        <v>7.2275999999999989</v>
      </c>
      <c r="I66" s="96">
        <v>7.2275999999999989</v>
      </c>
      <c r="J66" s="86"/>
      <c r="K66" s="94" t="s">
        <v>8905</v>
      </c>
      <c r="L66" s="87">
        <v>7.9000000000000001E-2</v>
      </c>
      <c r="M66" s="87" t="s">
        <v>12487</v>
      </c>
      <c r="N66" s="83" t="s">
        <v>8763</v>
      </c>
      <c r="O66" s="88" t="s">
        <v>13916</v>
      </c>
      <c r="P66" s="139" t="s">
        <v>12552</v>
      </c>
      <c r="Q66" s="118" t="s">
        <v>9227</v>
      </c>
      <c r="R66" s="88" t="s">
        <v>8904</v>
      </c>
      <c r="S66" s="85" t="s">
        <v>1164</v>
      </c>
      <c r="T66" s="28" t="s">
        <v>9659</v>
      </c>
      <c r="U66" s="83" t="s">
        <v>5359</v>
      </c>
      <c r="V66" s="88" t="s">
        <v>4353</v>
      </c>
      <c r="W66" s="89" t="s">
        <v>14433</v>
      </c>
      <c r="X66" s="174">
        <v>5</v>
      </c>
      <c r="Y66" s="174">
        <v>6.34</v>
      </c>
    </row>
    <row r="67" spans="1:25" s="1" customFormat="1" ht="15" customHeight="1" x14ac:dyDescent="0.3">
      <c r="A67" s="83" t="s">
        <v>4355</v>
      </c>
      <c r="B67" s="84" t="s">
        <v>4356</v>
      </c>
      <c r="C67" s="140" t="str">
        <f t="shared" si="0"/>
        <v>Product Info</v>
      </c>
      <c r="D67" s="141" t="s">
        <v>55</v>
      </c>
      <c r="E67" s="139">
        <v>12</v>
      </c>
      <c r="F67" s="94" t="s">
        <v>2170</v>
      </c>
      <c r="G67" s="96">
        <v>15.127799999999999</v>
      </c>
      <c r="H67" s="96">
        <v>10.590599999999998</v>
      </c>
      <c r="I67" s="96">
        <v>10.590599999999998</v>
      </c>
      <c r="J67" s="86"/>
      <c r="K67" s="139"/>
      <c r="L67" s="87">
        <v>7.9000000000000001E-2</v>
      </c>
      <c r="M67" s="87" t="s">
        <v>12487</v>
      </c>
      <c r="N67" s="83" t="s">
        <v>8763</v>
      </c>
      <c r="O67" s="88" t="s">
        <v>13916</v>
      </c>
      <c r="P67" s="139" t="s">
        <v>12552</v>
      </c>
      <c r="Q67" s="119" t="s">
        <v>14285</v>
      </c>
      <c r="R67" s="88" t="s">
        <v>8904</v>
      </c>
      <c r="S67" s="85" t="s">
        <v>1164</v>
      </c>
      <c r="T67" s="28" t="s">
        <v>9660</v>
      </c>
      <c r="U67" s="83" t="s">
        <v>5359</v>
      </c>
      <c r="V67" s="88" t="s">
        <v>4355</v>
      </c>
      <c r="W67" s="89" t="s">
        <v>14433</v>
      </c>
      <c r="X67" s="174">
        <v>7.32</v>
      </c>
      <c r="Y67" s="174">
        <v>9.2899999999999991</v>
      </c>
    </row>
    <row r="68" spans="1:25" s="1" customFormat="1" ht="15" customHeight="1" x14ac:dyDescent="0.3">
      <c r="A68" s="151" t="s">
        <v>14502</v>
      </c>
      <c r="B68" s="152" t="s">
        <v>14503</v>
      </c>
      <c r="C68" s="153" t="str">
        <f t="shared" si="0"/>
        <v>Product Info</v>
      </c>
      <c r="D68" s="154" t="s">
        <v>14517</v>
      </c>
      <c r="E68" s="155">
        <v>1</v>
      </c>
      <c r="F68" s="155" t="s">
        <v>4992</v>
      </c>
      <c r="G68" s="156">
        <v>282.58</v>
      </c>
      <c r="H68" s="156">
        <v>240.19</v>
      </c>
      <c r="I68" s="156">
        <v>198</v>
      </c>
      <c r="J68" s="157"/>
      <c r="K68" s="155"/>
      <c r="L68" s="158">
        <v>0</v>
      </c>
      <c r="M68" s="158"/>
      <c r="N68" s="159"/>
      <c r="O68" s="159" t="s">
        <v>12608</v>
      </c>
      <c r="P68" s="97">
        <v>752</v>
      </c>
      <c r="Q68" s="120"/>
      <c r="R68" s="78" t="s">
        <v>8904</v>
      </c>
      <c r="S68" s="81" t="s">
        <v>1163</v>
      </c>
      <c r="T68" s="110" t="s">
        <v>14504</v>
      </c>
      <c r="U68" s="111" t="s">
        <v>5359</v>
      </c>
      <c r="V68" s="82" t="s">
        <v>14502</v>
      </c>
      <c r="W68" s="79" t="s">
        <v>14283</v>
      </c>
      <c r="X68" s="174">
        <v>178.2</v>
      </c>
      <c r="Y68" s="174">
        <v>240.19</v>
      </c>
    </row>
    <row r="69" spans="1:25" s="63" customFormat="1" ht="15" customHeight="1" x14ac:dyDescent="0.3">
      <c r="A69" s="151" t="s">
        <v>14510</v>
      </c>
      <c r="B69" s="152" t="s">
        <v>14511</v>
      </c>
      <c r="C69" s="153" t="str">
        <f t="shared" si="0"/>
        <v>Product Info</v>
      </c>
      <c r="D69" s="160" t="s">
        <v>14896</v>
      </c>
      <c r="E69" s="161">
        <v>3</v>
      </c>
      <c r="F69" s="155" t="s">
        <v>4992</v>
      </c>
      <c r="G69" s="156">
        <v>383.67</v>
      </c>
      <c r="H69" s="156">
        <v>326.12</v>
      </c>
      <c r="I69" s="156">
        <f>G69*0.7</f>
        <v>268.56900000000002</v>
      </c>
      <c r="J69" s="157"/>
      <c r="K69" s="155"/>
      <c r="L69" s="158">
        <v>0</v>
      </c>
      <c r="M69" s="158"/>
      <c r="N69" s="159"/>
      <c r="O69" s="159"/>
      <c r="P69" s="97">
        <v>753</v>
      </c>
      <c r="Q69" s="120"/>
      <c r="R69" s="78" t="s">
        <v>8904</v>
      </c>
      <c r="S69" s="81" t="s">
        <v>1163</v>
      </c>
      <c r="T69" s="110" t="s">
        <v>14512</v>
      </c>
      <c r="U69" s="111" t="s">
        <v>5359</v>
      </c>
      <c r="V69" s="82" t="s">
        <v>14510</v>
      </c>
      <c r="W69" s="79" t="s">
        <v>14283</v>
      </c>
      <c r="X69" s="174">
        <v>241.71</v>
      </c>
      <c r="Y69" s="182">
        <v>326.12</v>
      </c>
    </row>
    <row r="70" spans="1:25" s="63" customFormat="1" ht="15" customHeight="1" x14ac:dyDescent="0.3">
      <c r="A70" s="152" t="s">
        <v>14872</v>
      </c>
      <c r="B70" s="152" t="s">
        <v>14508</v>
      </c>
      <c r="C70" s="153" t="str">
        <f t="shared" ref="C70:C133" si="1">HYPERLINK(T70,U70)</f>
        <v>Product Info</v>
      </c>
      <c r="D70" s="160" t="s">
        <v>14896</v>
      </c>
      <c r="E70" s="155">
        <v>3</v>
      </c>
      <c r="F70" s="155" t="s">
        <v>4992</v>
      </c>
      <c r="G70" s="156">
        <v>124.46</v>
      </c>
      <c r="H70" s="156">
        <v>105.79</v>
      </c>
      <c r="I70" s="156">
        <v>87.12</v>
      </c>
      <c r="J70" s="157"/>
      <c r="K70" s="155"/>
      <c r="L70" s="158">
        <v>0</v>
      </c>
      <c r="M70" s="158"/>
      <c r="N70" s="159"/>
      <c r="O70" s="159"/>
      <c r="P70" s="97">
        <v>753</v>
      </c>
      <c r="Q70" s="120"/>
      <c r="R70" s="78" t="s">
        <v>8904</v>
      </c>
      <c r="S70" s="81" t="s">
        <v>1163</v>
      </c>
      <c r="T70" s="110" t="s">
        <v>14509</v>
      </c>
      <c r="U70" s="111" t="s">
        <v>5359</v>
      </c>
      <c r="V70" s="82" t="s">
        <v>14874</v>
      </c>
      <c r="W70" s="79" t="s">
        <v>14283</v>
      </c>
      <c r="X70" s="174">
        <v>78.41</v>
      </c>
      <c r="Y70" s="174">
        <v>105.79</v>
      </c>
    </row>
    <row r="71" spans="1:25" s="1" customFormat="1" ht="15" customHeight="1" x14ac:dyDescent="0.3">
      <c r="A71" s="151" t="s">
        <v>14505</v>
      </c>
      <c r="B71" s="152" t="s">
        <v>14506</v>
      </c>
      <c r="C71" s="153" t="str">
        <f t="shared" si="1"/>
        <v>Product Info</v>
      </c>
      <c r="D71" s="160" t="s">
        <v>14898</v>
      </c>
      <c r="E71" s="155">
        <v>3</v>
      </c>
      <c r="F71" s="155" t="s">
        <v>4992</v>
      </c>
      <c r="G71" s="156">
        <v>108.96</v>
      </c>
      <c r="H71" s="156">
        <v>92.62</v>
      </c>
      <c r="I71" s="156">
        <v>76.27</v>
      </c>
      <c r="J71" s="157"/>
      <c r="K71" s="155"/>
      <c r="L71" s="158">
        <v>7</v>
      </c>
      <c r="M71" s="158" t="s">
        <v>14396</v>
      </c>
      <c r="N71" s="159" t="s">
        <v>9334</v>
      </c>
      <c r="O71" s="159" t="s">
        <v>13914</v>
      </c>
      <c r="P71" s="97">
        <v>752</v>
      </c>
      <c r="Q71" s="120"/>
      <c r="R71" s="78" t="s">
        <v>8904</v>
      </c>
      <c r="S71" s="81" t="s">
        <v>1163</v>
      </c>
      <c r="T71" s="110" t="s">
        <v>14507</v>
      </c>
      <c r="U71" s="111" t="s">
        <v>5359</v>
      </c>
      <c r="V71" s="82" t="s">
        <v>14505</v>
      </c>
      <c r="W71" s="79" t="s">
        <v>14283</v>
      </c>
      <c r="X71" s="174">
        <v>68.64</v>
      </c>
      <c r="Y71" s="174">
        <v>92.62</v>
      </c>
    </row>
    <row r="72" spans="1:25" s="1" customFormat="1" ht="15" customHeight="1" x14ac:dyDescent="0.3">
      <c r="A72" s="151" t="s">
        <v>14897</v>
      </c>
      <c r="B72" s="152" t="s">
        <v>14500</v>
      </c>
      <c r="C72" s="153" t="str">
        <f t="shared" si="1"/>
        <v>Product Info</v>
      </c>
      <c r="D72" s="160" t="s">
        <v>14899</v>
      </c>
      <c r="E72" s="162">
        <v>3</v>
      </c>
      <c r="F72" s="155" t="s">
        <v>4992</v>
      </c>
      <c r="G72" s="156">
        <v>17.11</v>
      </c>
      <c r="H72" s="156">
        <v>14.54</v>
      </c>
      <c r="I72" s="156">
        <v>11.98</v>
      </c>
      <c r="J72" s="157"/>
      <c r="K72" s="155"/>
      <c r="L72" s="158"/>
      <c r="M72" s="158"/>
      <c r="N72" s="159"/>
      <c r="O72" s="159"/>
      <c r="P72" s="97">
        <v>761</v>
      </c>
      <c r="Q72" s="120"/>
      <c r="R72" s="78" t="s">
        <v>8904</v>
      </c>
      <c r="S72" s="81" t="s">
        <v>1163</v>
      </c>
      <c r="T72" s="81" t="s">
        <v>14501</v>
      </c>
      <c r="U72" s="111" t="s">
        <v>5359</v>
      </c>
      <c r="V72" s="184" t="s">
        <v>14873</v>
      </c>
      <c r="W72" s="79" t="s">
        <v>14283</v>
      </c>
      <c r="X72" s="174">
        <v>11.5</v>
      </c>
      <c r="Y72" s="174">
        <v>14.54</v>
      </c>
    </row>
    <row r="73" spans="1:25" s="1" customFormat="1" ht="15" customHeight="1" x14ac:dyDescent="0.3">
      <c r="A73" s="165" t="s">
        <v>14853</v>
      </c>
      <c r="B73" s="168" t="s">
        <v>14855</v>
      </c>
      <c r="C73" s="153" t="str">
        <f t="shared" si="1"/>
        <v>Product Info</v>
      </c>
      <c r="D73" s="159" t="s">
        <v>14870</v>
      </c>
      <c r="E73" s="164">
        <v>1</v>
      </c>
      <c r="F73" s="161" t="s">
        <v>4992</v>
      </c>
      <c r="G73" s="167">
        <v>117.74285714285715</v>
      </c>
      <c r="H73" s="156">
        <f>G73*0.85</f>
        <v>100.08142857142857</v>
      </c>
      <c r="I73" s="156">
        <v>82.42</v>
      </c>
      <c r="J73" s="168"/>
      <c r="K73" s="161"/>
      <c r="L73" s="168">
        <v>0.3</v>
      </c>
      <c r="M73" s="168" t="s">
        <v>12487</v>
      </c>
      <c r="N73" s="159"/>
      <c r="O73" s="159" t="s">
        <v>13912</v>
      </c>
      <c r="P73" s="142" t="s">
        <v>12629</v>
      </c>
      <c r="Q73" s="175"/>
      <c r="R73" s="78" t="s">
        <v>8904</v>
      </c>
      <c r="S73" s="81" t="s">
        <v>1163</v>
      </c>
      <c r="T73" s="177"/>
      <c r="U73" s="111" t="s">
        <v>5359</v>
      </c>
      <c r="V73" s="179" t="s">
        <v>14853</v>
      </c>
      <c r="W73" s="79" t="s">
        <v>14433</v>
      </c>
      <c r="X73" s="174">
        <v>75.002200000000002</v>
      </c>
      <c r="Y73" s="174">
        <v>94.783000000000001</v>
      </c>
    </row>
    <row r="74" spans="1:25" customFormat="1" ht="15" customHeight="1" x14ac:dyDescent="0.3">
      <c r="A74" s="165" t="s">
        <v>14854</v>
      </c>
      <c r="B74" s="168" t="s">
        <v>14856</v>
      </c>
      <c r="C74" s="153" t="str">
        <f t="shared" si="1"/>
        <v>Product Info</v>
      </c>
      <c r="D74" s="159" t="s">
        <v>14871</v>
      </c>
      <c r="E74" s="164">
        <v>1</v>
      </c>
      <c r="F74" s="161" t="s">
        <v>4992</v>
      </c>
      <c r="G74" s="167">
        <v>258.20000000000005</v>
      </c>
      <c r="H74" s="156">
        <f>G74*0.85</f>
        <v>219.47000000000003</v>
      </c>
      <c r="I74" s="156">
        <v>180.74</v>
      </c>
      <c r="J74" s="168"/>
      <c r="K74" s="161"/>
      <c r="L74" s="168">
        <v>0.3</v>
      </c>
      <c r="M74" s="168" t="s">
        <v>12487</v>
      </c>
      <c r="N74" s="159"/>
      <c r="O74" s="159" t="s">
        <v>13912</v>
      </c>
      <c r="P74" s="142" t="s">
        <v>12629</v>
      </c>
      <c r="Q74" s="184"/>
      <c r="R74" s="78" t="s">
        <v>8904</v>
      </c>
      <c r="S74" s="81" t="s">
        <v>1163</v>
      </c>
      <c r="T74" s="184"/>
      <c r="U74" s="111" t="s">
        <v>5359</v>
      </c>
      <c r="V74" s="185" t="s">
        <v>14854</v>
      </c>
      <c r="W74" s="79" t="s">
        <v>14433</v>
      </c>
      <c r="X74" s="174">
        <v>164.47340000000003</v>
      </c>
      <c r="Y74" s="174">
        <v>207.851</v>
      </c>
    </row>
    <row r="75" spans="1:25" customFormat="1" ht="15" customHeight="1" x14ac:dyDescent="0.3">
      <c r="A75" s="165" t="s">
        <v>14834</v>
      </c>
      <c r="B75" s="165" t="s">
        <v>14833</v>
      </c>
      <c r="C75" s="153" t="str">
        <f t="shared" si="1"/>
        <v>Product Info</v>
      </c>
      <c r="D75" s="159" t="s">
        <v>14864</v>
      </c>
      <c r="E75" s="164">
        <v>1</v>
      </c>
      <c r="F75" s="161" t="s">
        <v>4992</v>
      </c>
      <c r="G75" s="166">
        <v>768.74285714285713</v>
      </c>
      <c r="H75" s="167">
        <v>653.43142857142857</v>
      </c>
      <c r="I75" s="156">
        <v>538.12</v>
      </c>
      <c r="J75" s="168"/>
      <c r="K75" s="161"/>
      <c r="L75" s="168">
        <v>20</v>
      </c>
      <c r="M75" s="168" t="s">
        <v>12488</v>
      </c>
      <c r="N75" s="159" t="s">
        <v>14877</v>
      </c>
      <c r="O75" s="159" t="s">
        <v>13912</v>
      </c>
      <c r="P75" s="142">
        <v>750</v>
      </c>
      <c r="Q75" s="184"/>
      <c r="R75" s="78" t="s">
        <v>8904</v>
      </c>
      <c r="S75" s="81" t="s">
        <v>1163</v>
      </c>
      <c r="T75" s="184"/>
      <c r="U75" s="111" t="s">
        <v>5359</v>
      </c>
      <c r="V75" s="185" t="s">
        <v>14834</v>
      </c>
      <c r="W75" s="79" t="s">
        <v>14284</v>
      </c>
      <c r="X75" s="174">
        <v>477.58150000000001</v>
      </c>
      <c r="Y75" s="174">
        <v>651.12519999999995</v>
      </c>
    </row>
    <row r="76" spans="1:25" customFormat="1" ht="15" customHeight="1" x14ac:dyDescent="0.3">
      <c r="A76" s="165" t="s">
        <v>14832</v>
      </c>
      <c r="B76" s="165" t="s">
        <v>14831</v>
      </c>
      <c r="C76" s="153" t="str">
        <f t="shared" si="1"/>
        <v>Product Info</v>
      </c>
      <c r="D76" s="159" t="s">
        <v>14865</v>
      </c>
      <c r="E76" s="164">
        <v>1</v>
      </c>
      <c r="F76" s="161" t="s">
        <v>4992</v>
      </c>
      <c r="G76" s="166">
        <v>1043.1428571428573</v>
      </c>
      <c r="H76" s="167">
        <v>886.67142857142869</v>
      </c>
      <c r="I76" s="156">
        <v>730.2</v>
      </c>
      <c r="J76" s="168"/>
      <c r="K76" s="161"/>
      <c r="L76" s="168">
        <v>20</v>
      </c>
      <c r="M76" s="168" t="s">
        <v>12488</v>
      </c>
      <c r="N76" s="159" t="s">
        <v>14877</v>
      </c>
      <c r="O76" s="159" t="s">
        <v>13912</v>
      </c>
      <c r="P76" s="142">
        <v>750</v>
      </c>
      <c r="Q76" s="184"/>
      <c r="R76" s="78" t="s">
        <v>8904</v>
      </c>
      <c r="S76" s="81" t="s">
        <v>1163</v>
      </c>
      <c r="T76" s="184"/>
      <c r="U76" s="111" t="s">
        <v>5359</v>
      </c>
      <c r="V76" s="185" t="s">
        <v>14832</v>
      </c>
      <c r="W76" s="79" t="s">
        <v>14284</v>
      </c>
      <c r="X76" s="174">
        <v>648.05250000000001</v>
      </c>
      <c r="Y76" s="174">
        <v>883.54200000000003</v>
      </c>
    </row>
    <row r="77" spans="1:25" customFormat="1" ht="15" customHeight="1" x14ac:dyDescent="0.3">
      <c r="A77" s="165" t="s">
        <v>14830</v>
      </c>
      <c r="B77" s="165" t="s">
        <v>14829</v>
      </c>
      <c r="C77" s="153" t="str">
        <f t="shared" si="1"/>
        <v>Product Info</v>
      </c>
      <c r="D77" s="159" t="s">
        <v>14866</v>
      </c>
      <c r="E77" s="164">
        <v>1</v>
      </c>
      <c r="F77" s="161" t="s">
        <v>4992</v>
      </c>
      <c r="G77" s="166">
        <v>1213.7857142857142</v>
      </c>
      <c r="H77" s="167">
        <v>1031.7178571428572</v>
      </c>
      <c r="I77" s="156">
        <v>849.65</v>
      </c>
      <c r="J77" s="168"/>
      <c r="K77" s="161"/>
      <c r="L77" s="168">
        <v>18</v>
      </c>
      <c r="M77" s="168" t="s">
        <v>12488</v>
      </c>
      <c r="N77" s="159" t="s">
        <v>14877</v>
      </c>
      <c r="O77" s="159" t="s">
        <v>13912</v>
      </c>
      <c r="P77" s="142">
        <v>750</v>
      </c>
      <c r="Q77" s="184"/>
      <c r="R77" s="78" t="s">
        <v>8904</v>
      </c>
      <c r="S77" s="81" t="s">
        <v>1163</v>
      </c>
      <c r="T77" s="184"/>
      <c r="U77" s="111" t="s">
        <v>5359</v>
      </c>
      <c r="V77" s="185" t="s">
        <v>14830</v>
      </c>
      <c r="W77" s="79" t="s">
        <v>14284</v>
      </c>
      <c r="X77" s="174">
        <v>754.06437499999993</v>
      </c>
      <c r="Y77" s="174">
        <v>1028.0764999999999</v>
      </c>
    </row>
    <row r="78" spans="1:25" customFormat="1" ht="15" customHeight="1" x14ac:dyDescent="0.3">
      <c r="A78" s="165" t="s">
        <v>14852</v>
      </c>
      <c r="B78" s="165" t="s">
        <v>14851</v>
      </c>
      <c r="C78" s="153" t="str">
        <f t="shared" si="1"/>
        <v>Product Info</v>
      </c>
      <c r="D78" s="163" t="s">
        <v>14930</v>
      </c>
      <c r="E78" s="164">
        <v>1</v>
      </c>
      <c r="F78" s="161" t="s">
        <v>4992</v>
      </c>
      <c r="G78" s="166">
        <v>142.11428571428573</v>
      </c>
      <c r="H78" s="167">
        <v>120.79714285714287</v>
      </c>
      <c r="I78" s="156">
        <v>99.48</v>
      </c>
      <c r="J78" s="168"/>
      <c r="K78" s="161"/>
      <c r="L78" s="168">
        <v>6</v>
      </c>
      <c r="M78" s="168" t="s">
        <v>12488</v>
      </c>
      <c r="N78" s="159" t="s">
        <v>14256</v>
      </c>
      <c r="O78" s="159" t="s">
        <v>13912</v>
      </c>
      <c r="P78" s="142">
        <v>750</v>
      </c>
      <c r="Q78" s="184"/>
      <c r="R78" s="78" t="s">
        <v>8904</v>
      </c>
      <c r="S78" s="81" t="s">
        <v>1163</v>
      </c>
      <c r="T78" s="184"/>
      <c r="U78" s="111" t="s">
        <v>5359</v>
      </c>
      <c r="V78" s="185" t="s">
        <v>14852</v>
      </c>
      <c r="W78" s="79" t="s">
        <v>14284</v>
      </c>
      <c r="X78" s="174">
        <v>95.500799999999998</v>
      </c>
      <c r="Y78" s="174">
        <v>120.798564</v>
      </c>
    </row>
    <row r="79" spans="1:25" customFormat="1" ht="15" customHeight="1" x14ac:dyDescent="0.3">
      <c r="A79" s="165" t="s">
        <v>14850</v>
      </c>
      <c r="B79" s="165" t="s">
        <v>14849</v>
      </c>
      <c r="C79" s="153" t="str">
        <f t="shared" si="1"/>
        <v>Product Info</v>
      </c>
      <c r="D79" s="163" t="s">
        <v>14931</v>
      </c>
      <c r="E79" s="164">
        <v>1</v>
      </c>
      <c r="F79" s="161" t="s">
        <v>4992</v>
      </c>
      <c r="G79" s="166">
        <v>113.48571428571429</v>
      </c>
      <c r="H79" s="167">
        <v>96.462857142857146</v>
      </c>
      <c r="I79" s="156">
        <v>79.44</v>
      </c>
      <c r="J79" s="168"/>
      <c r="K79" s="161"/>
      <c r="L79" s="168">
        <v>4</v>
      </c>
      <c r="M79" s="168" t="s">
        <v>12488</v>
      </c>
      <c r="N79" s="159" t="s">
        <v>12529</v>
      </c>
      <c r="O79" s="159" t="s">
        <v>13912</v>
      </c>
      <c r="P79" s="142">
        <v>751</v>
      </c>
      <c r="Q79" s="184"/>
      <c r="R79" s="78" t="s">
        <v>8904</v>
      </c>
      <c r="S79" s="81" t="s">
        <v>1163</v>
      </c>
      <c r="T79" s="184"/>
      <c r="U79" s="111" t="s">
        <v>5359</v>
      </c>
      <c r="V79" s="185" t="s">
        <v>14850</v>
      </c>
      <c r="W79" s="79" t="s">
        <v>14284</v>
      </c>
      <c r="X79" s="174">
        <v>71.495999999999995</v>
      </c>
      <c r="Y79" s="174">
        <v>88.972800000000007</v>
      </c>
    </row>
    <row r="80" spans="1:25" customFormat="1" ht="15" customHeight="1" x14ac:dyDescent="0.3">
      <c r="A80" s="165" t="s">
        <v>14848</v>
      </c>
      <c r="B80" s="165" t="s">
        <v>14847</v>
      </c>
      <c r="C80" s="153" t="str">
        <f t="shared" si="1"/>
        <v>Product Info</v>
      </c>
      <c r="D80" s="159" t="s">
        <v>14857</v>
      </c>
      <c r="E80" s="164">
        <v>1</v>
      </c>
      <c r="F80" s="161" t="s">
        <v>4992</v>
      </c>
      <c r="G80" s="166">
        <v>314.12857142857149</v>
      </c>
      <c r="H80" s="167">
        <v>267.00928571428574</v>
      </c>
      <c r="I80" s="156">
        <v>219.89</v>
      </c>
      <c r="J80" s="168"/>
      <c r="K80" s="161"/>
      <c r="L80" s="168">
        <v>4</v>
      </c>
      <c r="M80" s="168" t="s">
        <v>12488</v>
      </c>
      <c r="N80" s="159" t="s">
        <v>13076</v>
      </c>
      <c r="O80" s="159" t="s">
        <v>13912</v>
      </c>
      <c r="P80" s="142">
        <v>751</v>
      </c>
      <c r="Q80" s="184"/>
      <c r="R80" s="78" t="s">
        <v>8904</v>
      </c>
      <c r="S80" s="81" t="s">
        <v>1163</v>
      </c>
      <c r="T80" s="184"/>
      <c r="U80" s="111" t="s">
        <v>5359</v>
      </c>
      <c r="V80" s="185" t="s">
        <v>14848</v>
      </c>
      <c r="W80" s="79" t="s">
        <v>14284</v>
      </c>
      <c r="X80" s="174">
        <v>197.90099999999998</v>
      </c>
      <c r="Y80" s="174">
        <v>246.27680000000001</v>
      </c>
    </row>
    <row r="81" spans="1:25" customFormat="1" ht="15" customHeight="1" x14ac:dyDescent="0.3">
      <c r="A81" s="165" t="s">
        <v>14846</v>
      </c>
      <c r="B81" s="165" t="s">
        <v>14845</v>
      </c>
      <c r="C81" s="153" t="str">
        <f t="shared" si="1"/>
        <v>Product Info</v>
      </c>
      <c r="D81" s="159" t="s">
        <v>14858</v>
      </c>
      <c r="E81" s="164">
        <v>1</v>
      </c>
      <c r="F81" s="161" t="s">
        <v>4992</v>
      </c>
      <c r="G81" s="166">
        <v>388.85714285714283</v>
      </c>
      <c r="H81" s="167">
        <v>330.52857142857141</v>
      </c>
      <c r="I81" s="156">
        <v>272.2</v>
      </c>
      <c r="J81" s="168"/>
      <c r="K81" s="161"/>
      <c r="L81" s="168">
        <v>4</v>
      </c>
      <c r="M81" s="168" t="s">
        <v>12488</v>
      </c>
      <c r="N81" s="159" t="s">
        <v>13076</v>
      </c>
      <c r="O81" s="159" t="s">
        <v>13912</v>
      </c>
      <c r="P81" s="142">
        <v>751</v>
      </c>
      <c r="Q81" s="184"/>
      <c r="R81" s="78" t="s">
        <v>8904</v>
      </c>
      <c r="S81" s="81" t="s">
        <v>1163</v>
      </c>
      <c r="T81" s="184"/>
      <c r="U81" s="111" t="s">
        <v>5359</v>
      </c>
      <c r="V81" s="185" t="s">
        <v>14846</v>
      </c>
      <c r="W81" s="79" t="s">
        <v>14284</v>
      </c>
      <c r="X81" s="174">
        <v>244.98</v>
      </c>
      <c r="Y81" s="174">
        <v>304.86400000000003</v>
      </c>
    </row>
    <row r="82" spans="1:25" customFormat="1" ht="15" customHeight="1" x14ac:dyDescent="0.3">
      <c r="A82" s="165" t="s">
        <v>14844</v>
      </c>
      <c r="B82" s="165" t="s">
        <v>14843</v>
      </c>
      <c r="C82" s="153" t="str">
        <f t="shared" si="1"/>
        <v>Product Info</v>
      </c>
      <c r="D82" s="159" t="s">
        <v>14859</v>
      </c>
      <c r="E82" s="164">
        <v>1</v>
      </c>
      <c r="F82" s="161" t="s">
        <v>4992</v>
      </c>
      <c r="G82" s="166">
        <v>419.8857142857143</v>
      </c>
      <c r="H82" s="167">
        <v>356.90285714285716</v>
      </c>
      <c r="I82" s="156">
        <v>293.92</v>
      </c>
      <c r="J82" s="168"/>
      <c r="K82" s="161"/>
      <c r="L82" s="168">
        <v>4</v>
      </c>
      <c r="M82" s="168" t="s">
        <v>12488</v>
      </c>
      <c r="N82" s="159" t="s">
        <v>13076</v>
      </c>
      <c r="O82" s="159" t="s">
        <v>13912</v>
      </c>
      <c r="P82" s="142">
        <v>751</v>
      </c>
      <c r="Q82" s="184"/>
      <c r="R82" s="78" t="s">
        <v>8904</v>
      </c>
      <c r="S82" s="81" t="s">
        <v>1163</v>
      </c>
      <c r="T82" s="184"/>
      <c r="U82" s="111" t="s">
        <v>5359</v>
      </c>
      <c r="V82" s="185" t="s">
        <v>14844</v>
      </c>
      <c r="W82" s="79" t="s">
        <v>14284</v>
      </c>
      <c r="X82" s="174">
        <v>264.52800000000002</v>
      </c>
      <c r="Y82" s="174">
        <v>329.19040000000007</v>
      </c>
    </row>
    <row r="83" spans="1:25" customFormat="1" ht="15" customHeight="1" x14ac:dyDescent="0.3">
      <c r="A83" s="165" t="s">
        <v>14842</v>
      </c>
      <c r="B83" s="165" t="s">
        <v>14841</v>
      </c>
      <c r="C83" s="153" t="str">
        <f t="shared" si="1"/>
        <v>Product Info</v>
      </c>
      <c r="D83" s="159" t="s">
        <v>14860</v>
      </c>
      <c r="E83" s="164">
        <v>1</v>
      </c>
      <c r="F83" s="161" t="s">
        <v>4992</v>
      </c>
      <c r="G83" s="166">
        <v>455.47142857142859</v>
      </c>
      <c r="H83" s="167">
        <v>387.15071428571429</v>
      </c>
      <c r="I83" s="156">
        <v>318.83</v>
      </c>
      <c r="J83" s="168"/>
      <c r="K83" s="161"/>
      <c r="L83" s="168">
        <v>4</v>
      </c>
      <c r="M83" s="168" t="s">
        <v>12488</v>
      </c>
      <c r="N83" s="159" t="s">
        <v>13076</v>
      </c>
      <c r="O83" s="159" t="s">
        <v>13912</v>
      </c>
      <c r="P83" s="142">
        <v>751</v>
      </c>
      <c r="Q83" s="184"/>
      <c r="R83" s="78" t="s">
        <v>8904</v>
      </c>
      <c r="S83" s="81" t="s">
        <v>1163</v>
      </c>
      <c r="T83" s="184"/>
      <c r="U83" s="111" t="s">
        <v>5359</v>
      </c>
      <c r="V83" s="185" t="s">
        <v>14842</v>
      </c>
      <c r="W83" s="79" t="s">
        <v>14284</v>
      </c>
      <c r="X83" s="174">
        <v>286.947</v>
      </c>
      <c r="Y83" s="174">
        <v>357.08960000000002</v>
      </c>
    </row>
    <row r="84" spans="1:25" customFormat="1" ht="15" customHeight="1" x14ac:dyDescent="0.3">
      <c r="A84" s="165" t="s">
        <v>14840</v>
      </c>
      <c r="B84" s="165" t="s">
        <v>14839</v>
      </c>
      <c r="C84" s="153" t="str">
        <f t="shared" si="1"/>
        <v>Product Info</v>
      </c>
      <c r="D84" s="159" t="s">
        <v>14861</v>
      </c>
      <c r="E84" s="164">
        <v>1</v>
      </c>
      <c r="F84" s="161" t="s">
        <v>4992</v>
      </c>
      <c r="G84" s="166">
        <v>716.24285714285713</v>
      </c>
      <c r="H84" s="167">
        <v>608.80642857142857</v>
      </c>
      <c r="I84" s="156">
        <v>501.37</v>
      </c>
      <c r="J84" s="168"/>
      <c r="K84" s="161"/>
      <c r="L84" s="168">
        <v>4</v>
      </c>
      <c r="M84" s="168" t="s">
        <v>12488</v>
      </c>
      <c r="N84" s="159" t="s">
        <v>13076</v>
      </c>
      <c r="O84" s="159" t="s">
        <v>13912</v>
      </c>
      <c r="P84" s="142">
        <v>751</v>
      </c>
      <c r="Q84" s="184"/>
      <c r="R84" s="78" t="s">
        <v>8904</v>
      </c>
      <c r="S84" s="81" t="s">
        <v>1163</v>
      </c>
      <c r="T84" s="184"/>
      <c r="U84" s="111" t="s">
        <v>5359</v>
      </c>
      <c r="V84" s="185" t="s">
        <v>14840</v>
      </c>
      <c r="W84" s="79" t="s">
        <v>14284</v>
      </c>
      <c r="X84" s="174">
        <v>451.233</v>
      </c>
      <c r="Y84" s="174">
        <v>561.53440000000001</v>
      </c>
    </row>
    <row r="85" spans="1:25" customFormat="1" ht="15" customHeight="1" x14ac:dyDescent="0.3">
      <c r="A85" s="151" t="s">
        <v>14514</v>
      </c>
      <c r="B85" s="152" t="s">
        <v>14515</v>
      </c>
      <c r="C85" s="180" t="str">
        <f t="shared" si="1"/>
        <v>Product Info</v>
      </c>
      <c r="D85" s="181" t="s">
        <v>14883</v>
      </c>
      <c r="E85" s="161">
        <v>1</v>
      </c>
      <c r="F85" s="155" t="s">
        <v>4992</v>
      </c>
      <c r="G85" s="156">
        <v>244.82</v>
      </c>
      <c r="H85" s="156">
        <v>208.1</v>
      </c>
      <c r="I85" s="156">
        <v>171.37</v>
      </c>
      <c r="J85" s="157"/>
      <c r="K85" s="155"/>
      <c r="L85" s="158"/>
      <c r="M85" s="158"/>
      <c r="N85" s="158"/>
      <c r="O85" s="151"/>
      <c r="P85" s="97">
        <v>753</v>
      </c>
      <c r="Q85" s="176"/>
      <c r="R85" s="78" t="s">
        <v>8904</v>
      </c>
      <c r="S85" s="10" t="s">
        <v>1163</v>
      </c>
      <c r="T85" s="58" t="s">
        <v>14516</v>
      </c>
      <c r="U85" s="20" t="s">
        <v>5359</v>
      </c>
      <c r="V85" s="176"/>
      <c r="W85" s="79"/>
      <c r="X85" s="174">
        <v>154.233</v>
      </c>
      <c r="Y85" s="182">
        <v>208.1</v>
      </c>
    </row>
    <row r="86" spans="1:25" customFormat="1" ht="15" customHeight="1" x14ac:dyDescent="0.3">
      <c r="A86" s="151" t="s">
        <v>14819</v>
      </c>
      <c r="B86" s="152" t="s">
        <v>14820</v>
      </c>
      <c r="C86" s="153" t="str">
        <f t="shared" si="1"/>
        <v>Product Info</v>
      </c>
      <c r="D86" s="163" t="s">
        <v>14881</v>
      </c>
      <c r="E86" s="164">
        <v>3</v>
      </c>
      <c r="F86" s="155" t="s">
        <v>4992</v>
      </c>
      <c r="G86" s="156">
        <v>362.77</v>
      </c>
      <c r="H86" s="156">
        <v>308.35000000000002</v>
      </c>
      <c r="I86" s="156">
        <f>G86*0.7</f>
        <v>253.93899999999996</v>
      </c>
      <c r="J86" s="157"/>
      <c r="K86" s="155"/>
      <c r="L86" s="158">
        <v>0</v>
      </c>
      <c r="M86" s="158">
        <v>0</v>
      </c>
      <c r="N86" s="159"/>
      <c r="O86" s="159"/>
      <c r="P86" s="97">
        <v>753</v>
      </c>
      <c r="Q86" s="176"/>
      <c r="R86" s="78" t="s">
        <v>8904</v>
      </c>
      <c r="S86" s="81" t="s">
        <v>1163</v>
      </c>
      <c r="T86" s="178"/>
      <c r="U86" s="111" t="s">
        <v>5359</v>
      </c>
      <c r="V86" s="178" t="s">
        <v>14819</v>
      </c>
      <c r="W86" s="79" t="s">
        <v>14283</v>
      </c>
      <c r="X86" s="174">
        <v>228.54509999999996</v>
      </c>
      <c r="Y86" s="182">
        <v>308.35000000000002</v>
      </c>
    </row>
    <row r="87" spans="1:25" customFormat="1" ht="15" customHeight="1" x14ac:dyDescent="0.3">
      <c r="A87" s="165" t="s">
        <v>14826</v>
      </c>
      <c r="B87" s="165" t="s">
        <v>14825</v>
      </c>
      <c r="C87" s="153" t="str">
        <f t="shared" si="1"/>
        <v>Product Info</v>
      </c>
      <c r="D87" s="159" t="s">
        <v>14868</v>
      </c>
      <c r="E87" s="164">
        <v>1</v>
      </c>
      <c r="F87" s="161" t="s">
        <v>4992</v>
      </c>
      <c r="G87" s="166">
        <v>236.81428571428577</v>
      </c>
      <c r="H87" s="167">
        <v>201.29214285714289</v>
      </c>
      <c r="I87" s="156">
        <v>165.77</v>
      </c>
      <c r="J87" s="168"/>
      <c r="K87" s="161"/>
      <c r="L87" s="168">
        <v>8</v>
      </c>
      <c r="M87" s="168" t="s">
        <v>12488</v>
      </c>
      <c r="N87" s="159" t="s">
        <v>13077</v>
      </c>
      <c r="O87" s="159" t="s">
        <v>13912</v>
      </c>
      <c r="P87" s="142">
        <v>751</v>
      </c>
      <c r="Q87" s="184"/>
      <c r="R87" s="78" t="s">
        <v>8904</v>
      </c>
      <c r="S87" s="81" t="s">
        <v>1163</v>
      </c>
      <c r="T87" s="184"/>
      <c r="U87" s="111" t="s">
        <v>5359</v>
      </c>
      <c r="V87" s="185" t="s">
        <v>14826</v>
      </c>
      <c r="W87" s="79" t="s">
        <v>14284</v>
      </c>
      <c r="X87" s="174">
        <v>143.44999999999999</v>
      </c>
      <c r="Y87" s="174">
        <v>178.06600000000003</v>
      </c>
    </row>
    <row r="88" spans="1:25" customFormat="1" ht="15" customHeight="1" x14ac:dyDescent="0.3">
      <c r="A88" s="165" t="s">
        <v>14828</v>
      </c>
      <c r="B88" s="165" t="s">
        <v>14827</v>
      </c>
      <c r="C88" s="153" t="str">
        <f t="shared" si="1"/>
        <v>Product Info</v>
      </c>
      <c r="D88" s="159" t="s">
        <v>14867</v>
      </c>
      <c r="E88" s="164">
        <v>1</v>
      </c>
      <c r="F88" s="161" t="s">
        <v>4992</v>
      </c>
      <c r="G88" s="166">
        <v>173.55714285714285</v>
      </c>
      <c r="H88" s="167">
        <v>147.52357142857142</v>
      </c>
      <c r="I88" s="156">
        <v>121.49</v>
      </c>
      <c r="J88" s="168"/>
      <c r="K88" s="161"/>
      <c r="L88" s="168">
        <v>8</v>
      </c>
      <c r="M88" s="168" t="s">
        <v>12488</v>
      </c>
      <c r="N88" s="159" t="s">
        <v>13077</v>
      </c>
      <c r="O88" s="159" t="s">
        <v>13912</v>
      </c>
      <c r="P88" s="142">
        <v>751</v>
      </c>
      <c r="Q88" s="184"/>
      <c r="R88" s="78" t="s">
        <v>8904</v>
      </c>
      <c r="S88" s="81" t="s">
        <v>1163</v>
      </c>
      <c r="T88" s="184"/>
      <c r="U88" s="111" t="s">
        <v>5359</v>
      </c>
      <c r="V88" s="185" t="s">
        <v>14828</v>
      </c>
      <c r="W88" s="79" t="s">
        <v>14284</v>
      </c>
      <c r="X88" s="174">
        <v>105.69629999999999</v>
      </c>
      <c r="Y88" s="174">
        <v>129.99430000000001</v>
      </c>
    </row>
    <row r="89" spans="1:25" customFormat="1" ht="15" customHeight="1" x14ac:dyDescent="0.3">
      <c r="A89" s="165" t="s">
        <v>14822</v>
      </c>
      <c r="B89" s="165" t="s">
        <v>14821</v>
      </c>
      <c r="C89" s="153" t="str">
        <f t="shared" si="1"/>
        <v>Product Info</v>
      </c>
      <c r="D89" s="159" t="s">
        <v>14869</v>
      </c>
      <c r="E89" s="164">
        <v>1</v>
      </c>
      <c r="F89" s="161" t="s">
        <v>4992</v>
      </c>
      <c r="G89" s="166">
        <v>207.17142857142861</v>
      </c>
      <c r="H89" s="167">
        <v>176.09571428571431</v>
      </c>
      <c r="I89" s="156">
        <v>145.02000000000001</v>
      </c>
      <c r="J89" s="168"/>
      <c r="K89" s="161"/>
      <c r="L89" s="168">
        <v>1</v>
      </c>
      <c r="M89" s="168" t="s">
        <v>12488</v>
      </c>
      <c r="N89" s="159" t="s">
        <v>14878</v>
      </c>
      <c r="O89" s="159" t="s">
        <v>13912</v>
      </c>
      <c r="P89" s="142">
        <v>751</v>
      </c>
      <c r="Q89" s="184"/>
      <c r="R89" s="78" t="s">
        <v>8904</v>
      </c>
      <c r="S89" s="81" t="s">
        <v>1163</v>
      </c>
      <c r="T89" s="184"/>
      <c r="U89" s="111" t="s">
        <v>5359</v>
      </c>
      <c r="V89" s="185" t="s">
        <v>14822</v>
      </c>
      <c r="W89" s="79" t="s">
        <v>14284</v>
      </c>
      <c r="X89" s="174">
        <v>125.5</v>
      </c>
      <c r="Y89" s="174">
        <v>155.77440000000001</v>
      </c>
    </row>
    <row r="90" spans="1:25" customFormat="1" ht="15" customHeight="1" x14ac:dyDescent="0.3">
      <c r="A90" s="165" t="s">
        <v>14824</v>
      </c>
      <c r="B90" s="165" t="s">
        <v>14823</v>
      </c>
      <c r="C90" s="153" t="str">
        <f t="shared" si="1"/>
        <v>Product Info</v>
      </c>
      <c r="D90" s="163" t="s">
        <v>14932</v>
      </c>
      <c r="E90" s="164">
        <v>1</v>
      </c>
      <c r="F90" s="161" t="s">
        <v>4992</v>
      </c>
      <c r="G90" s="166">
        <v>143.91428571428571</v>
      </c>
      <c r="H90" s="167">
        <v>122.32714285714285</v>
      </c>
      <c r="I90" s="156">
        <v>100.74</v>
      </c>
      <c r="J90" s="168"/>
      <c r="K90" s="161"/>
      <c r="L90" s="168">
        <v>1</v>
      </c>
      <c r="M90" s="168" t="s">
        <v>12488</v>
      </c>
      <c r="N90" s="159" t="s">
        <v>14878</v>
      </c>
      <c r="O90" s="159" t="s">
        <v>13912</v>
      </c>
      <c r="P90" s="142">
        <v>751</v>
      </c>
      <c r="Q90" s="184"/>
      <c r="R90" s="78" t="s">
        <v>8904</v>
      </c>
      <c r="S90" s="81" t="s">
        <v>1163</v>
      </c>
      <c r="T90" s="184"/>
      <c r="U90" s="111" t="s">
        <v>5359</v>
      </c>
      <c r="V90" s="185" t="s">
        <v>14824</v>
      </c>
      <c r="W90" s="79" t="s">
        <v>14284</v>
      </c>
      <c r="X90" s="174">
        <v>87.643799999999999</v>
      </c>
      <c r="Y90" s="174">
        <v>107.79179999999999</v>
      </c>
    </row>
    <row r="91" spans="1:25" customFormat="1" ht="15" customHeight="1" x14ac:dyDescent="0.3">
      <c r="A91" s="165" t="s">
        <v>14838</v>
      </c>
      <c r="B91" s="165" t="s">
        <v>14837</v>
      </c>
      <c r="C91" s="153" t="str">
        <f t="shared" si="1"/>
        <v>Product Info</v>
      </c>
      <c r="D91" s="159" t="s">
        <v>14862</v>
      </c>
      <c r="E91" s="164">
        <v>1</v>
      </c>
      <c r="F91" s="161" t="s">
        <v>4992</v>
      </c>
      <c r="G91" s="166">
        <v>319.8857142857143</v>
      </c>
      <c r="H91" s="167">
        <v>271.90285714285716</v>
      </c>
      <c r="I91" s="156">
        <v>223.92</v>
      </c>
      <c r="J91" s="168"/>
      <c r="K91" s="161"/>
      <c r="L91" s="168">
        <v>6</v>
      </c>
      <c r="M91" s="168" t="s">
        <v>12488</v>
      </c>
      <c r="N91" s="159" t="s">
        <v>14875</v>
      </c>
      <c r="O91" s="159" t="s">
        <v>13912</v>
      </c>
      <c r="P91" s="142">
        <v>751</v>
      </c>
      <c r="Q91" s="184"/>
      <c r="R91" s="78" t="s">
        <v>8904</v>
      </c>
      <c r="S91" s="81" t="s">
        <v>1163</v>
      </c>
      <c r="T91" s="184"/>
      <c r="U91" s="111" t="s">
        <v>5359</v>
      </c>
      <c r="V91" s="185" t="s">
        <v>14838</v>
      </c>
      <c r="W91" s="79" t="s">
        <v>14284</v>
      </c>
      <c r="X91" s="174">
        <v>206.00639999999999</v>
      </c>
      <c r="Y91" s="174">
        <v>270.94319999999999</v>
      </c>
    </row>
    <row r="92" spans="1:25" s="1" customFormat="1" ht="15" customHeight="1" x14ac:dyDescent="0.25">
      <c r="A92" s="20" t="s">
        <v>13690</v>
      </c>
      <c r="B92" s="16" t="s">
        <v>13691</v>
      </c>
      <c r="C92" s="71" t="str">
        <f t="shared" si="1"/>
        <v>Product Info</v>
      </c>
      <c r="D92" s="144" t="s">
        <v>14882</v>
      </c>
      <c r="E92" s="143">
        <v>1</v>
      </c>
      <c r="F92" s="12" t="s">
        <v>4992</v>
      </c>
      <c r="G92" s="38">
        <v>16.02</v>
      </c>
      <c r="H92" s="38">
        <v>13.61</v>
      </c>
      <c r="I92" s="38">
        <v>11.21</v>
      </c>
      <c r="J92" s="39"/>
      <c r="K92" s="143"/>
      <c r="L92" s="22">
        <v>4</v>
      </c>
      <c r="M92" s="22" t="s">
        <v>12488</v>
      </c>
      <c r="N92" s="20" t="s">
        <v>14489</v>
      </c>
      <c r="O92" s="16" t="s">
        <v>13912</v>
      </c>
      <c r="P92" s="143">
        <v>819</v>
      </c>
      <c r="Q92" s="121" t="s">
        <v>14285</v>
      </c>
      <c r="R92" s="16" t="s">
        <v>8904</v>
      </c>
      <c r="S92" s="10" t="s">
        <v>1163</v>
      </c>
      <c r="T92" s="28" t="s">
        <v>13883</v>
      </c>
      <c r="U92" s="20" t="s">
        <v>5359</v>
      </c>
      <c r="V92" s="16" t="s">
        <v>14106</v>
      </c>
      <c r="W92" s="16" t="s">
        <v>13938</v>
      </c>
      <c r="X92" s="174">
        <v>10.76</v>
      </c>
      <c r="Y92" s="174">
        <v>13.61</v>
      </c>
    </row>
    <row r="93" spans="1:25" s="1" customFormat="1" ht="15" customHeight="1" x14ac:dyDescent="0.25">
      <c r="A93" s="29" t="s">
        <v>13939</v>
      </c>
      <c r="B93" s="37" t="s">
        <v>13940</v>
      </c>
      <c r="C93" s="71" t="str">
        <f t="shared" si="1"/>
        <v>Product Info</v>
      </c>
      <c r="D93" s="93" t="s">
        <v>14690</v>
      </c>
      <c r="E93" s="143">
        <v>1</v>
      </c>
      <c r="F93" s="143" t="s">
        <v>2170</v>
      </c>
      <c r="G93" s="38">
        <v>1045.27</v>
      </c>
      <c r="H93" s="38">
        <v>888.51</v>
      </c>
      <c r="I93" s="38">
        <v>731.69</v>
      </c>
      <c r="J93" s="39"/>
      <c r="K93" s="143"/>
      <c r="L93" s="22">
        <v>15.5</v>
      </c>
      <c r="M93" s="22" t="s">
        <v>12488</v>
      </c>
      <c r="N93" s="20" t="s">
        <v>9442</v>
      </c>
      <c r="O93" s="16" t="s">
        <v>12608</v>
      </c>
      <c r="P93" s="143">
        <v>752</v>
      </c>
      <c r="Q93" s="121" t="s">
        <v>14285</v>
      </c>
      <c r="R93" s="16" t="s">
        <v>8904</v>
      </c>
      <c r="S93" s="10" t="s">
        <v>1163</v>
      </c>
      <c r="T93" s="15" t="s">
        <v>14462</v>
      </c>
      <c r="U93" s="20" t="s">
        <v>5359</v>
      </c>
      <c r="V93" s="20" t="s">
        <v>13939</v>
      </c>
      <c r="W93" s="20" t="s">
        <v>14283</v>
      </c>
      <c r="X93" s="174">
        <v>658.52</v>
      </c>
      <c r="Y93" s="174">
        <v>888.51</v>
      </c>
    </row>
    <row r="94" spans="1:25" s="1" customFormat="1" ht="15" customHeight="1" x14ac:dyDescent="0.25">
      <c r="A94" s="20" t="s">
        <v>13244</v>
      </c>
      <c r="B94" s="42" t="s">
        <v>13245</v>
      </c>
      <c r="C94" s="71" t="str">
        <f t="shared" si="1"/>
        <v>Product Info</v>
      </c>
      <c r="D94" s="93" t="s">
        <v>14633</v>
      </c>
      <c r="E94" s="143">
        <v>1</v>
      </c>
      <c r="F94" s="12" t="s">
        <v>4992</v>
      </c>
      <c r="G94" s="38">
        <v>419.9</v>
      </c>
      <c r="H94" s="38">
        <v>356.93</v>
      </c>
      <c r="I94" s="38">
        <v>293.93</v>
      </c>
      <c r="J94" s="39"/>
      <c r="K94" s="143"/>
      <c r="L94" s="22">
        <v>1.4</v>
      </c>
      <c r="M94" s="22" t="s">
        <v>12487</v>
      </c>
      <c r="N94" s="20" t="s">
        <v>14489</v>
      </c>
      <c r="O94" s="16" t="s">
        <v>13912</v>
      </c>
      <c r="P94" s="143">
        <v>751</v>
      </c>
      <c r="Q94" s="122" t="s">
        <v>12421</v>
      </c>
      <c r="R94" s="16" t="s">
        <v>8904</v>
      </c>
      <c r="S94" s="10" t="s">
        <v>1163</v>
      </c>
      <c r="T94" s="28" t="s">
        <v>13264</v>
      </c>
      <c r="U94" s="20" t="s">
        <v>5359</v>
      </c>
      <c r="V94" s="11" t="s">
        <v>13244</v>
      </c>
      <c r="W94" s="11" t="s">
        <v>14284</v>
      </c>
      <c r="X94" s="174">
        <v>264.54000000000002</v>
      </c>
      <c r="Y94" s="174">
        <v>328.37560000000002</v>
      </c>
    </row>
    <row r="95" spans="1:25" s="1" customFormat="1" ht="15" customHeight="1" x14ac:dyDescent="0.25">
      <c r="A95" s="20" t="s">
        <v>13246</v>
      </c>
      <c r="B95" s="42" t="s">
        <v>13247</v>
      </c>
      <c r="C95" s="71" t="str">
        <f t="shared" si="1"/>
        <v>Product Info</v>
      </c>
      <c r="D95" s="93" t="s">
        <v>14634</v>
      </c>
      <c r="E95" s="143">
        <v>1</v>
      </c>
      <c r="F95" s="12" t="s">
        <v>4992</v>
      </c>
      <c r="G95" s="38">
        <v>355.1</v>
      </c>
      <c r="H95" s="38">
        <v>301.85000000000002</v>
      </c>
      <c r="I95" s="38">
        <v>248.57</v>
      </c>
      <c r="J95" s="39"/>
      <c r="K95" s="143"/>
      <c r="L95" s="22">
        <v>1.4</v>
      </c>
      <c r="M95" s="22" t="s">
        <v>12487</v>
      </c>
      <c r="N95" s="20" t="s">
        <v>14489</v>
      </c>
      <c r="O95" s="16" t="s">
        <v>13912</v>
      </c>
      <c r="P95" s="143">
        <v>751</v>
      </c>
      <c r="Q95" s="122" t="s">
        <v>12421</v>
      </c>
      <c r="R95" s="16" t="s">
        <v>8904</v>
      </c>
      <c r="S95" s="10" t="s">
        <v>1163</v>
      </c>
      <c r="T95" s="28" t="s">
        <v>13265</v>
      </c>
      <c r="U95" s="20" t="s">
        <v>5359</v>
      </c>
      <c r="V95" s="11" t="s">
        <v>13246</v>
      </c>
      <c r="W95" s="11" t="s">
        <v>14284</v>
      </c>
      <c r="X95" s="174">
        <v>223.71</v>
      </c>
      <c r="Y95" s="174">
        <v>277.70200000000006</v>
      </c>
    </row>
    <row r="96" spans="1:25" s="1" customFormat="1" ht="15" customHeight="1" x14ac:dyDescent="0.25">
      <c r="A96" s="20" t="s">
        <v>14252</v>
      </c>
      <c r="B96" s="46" t="s">
        <v>13275</v>
      </c>
      <c r="C96" s="71" t="str">
        <f t="shared" si="1"/>
        <v>Product Info</v>
      </c>
      <c r="D96" s="93" t="s">
        <v>14635</v>
      </c>
      <c r="E96" s="143">
        <v>1</v>
      </c>
      <c r="F96" s="143" t="s">
        <v>4992</v>
      </c>
      <c r="G96" s="38">
        <v>415.7</v>
      </c>
      <c r="H96" s="38">
        <v>353.36</v>
      </c>
      <c r="I96" s="38">
        <v>290.99</v>
      </c>
      <c r="J96" s="39"/>
      <c r="K96" s="143"/>
      <c r="L96" s="22">
        <v>1.4</v>
      </c>
      <c r="M96" s="22" t="s">
        <v>12487</v>
      </c>
      <c r="N96" s="20" t="s">
        <v>9342</v>
      </c>
      <c r="O96" s="16" t="s">
        <v>13912</v>
      </c>
      <c r="P96" s="143">
        <v>751</v>
      </c>
      <c r="Q96" s="121" t="s">
        <v>14285</v>
      </c>
      <c r="R96" s="16" t="s">
        <v>8904</v>
      </c>
      <c r="S96" s="10" t="s">
        <v>1163</v>
      </c>
      <c r="T96" s="28" t="s">
        <v>14303</v>
      </c>
      <c r="U96" s="20" t="s">
        <v>5359</v>
      </c>
      <c r="V96" s="20" t="s">
        <v>14252</v>
      </c>
      <c r="W96" s="20" t="s">
        <v>14284</v>
      </c>
      <c r="X96" s="174">
        <v>261.89</v>
      </c>
      <c r="Y96" s="174">
        <v>325.09120000000001</v>
      </c>
    </row>
    <row r="97" spans="1:25" s="1" customFormat="1" ht="15" customHeight="1" x14ac:dyDescent="0.25">
      <c r="A97" s="20" t="s">
        <v>13282</v>
      </c>
      <c r="B97" s="42" t="s">
        <v>13276</v>
      </c>
      <c r="C97" s="71" t="str">
        <f t="shared" si="1"/>
        <v>Product Info</v>
      </c>
      <c r="D97" s="93" t="s">
        <v>14636</v>
      </c>
      <c r="E97" s="143">
        <v>1</v>
      </c>
      <c r="F97" s="12" t="s">
        <v>4992</v>
      </c>
      <c r="G97" s="38">
        <v>436.86</v>
      </c>
      <c r="H97" s="38">
        <v>371.34</v>
      </c>
      <c r="I97" s="38">
        <v>305.8</v>
      </c>
      <c r="J97" s="39"/>
      <c r="K97" s="143"/>
      <c r="L97" s="22">
        <v>1.4</v>
      </c>
      <c r="M97" s="22" t="s">
        <v>12487</v>
      </c>
      <c r="N97" s="20" t="s">
        <v>9342</v>
      </c>
      <c r="O97" s="16" t="s">
        <v>13912</v>
      </c>
      <c r="P97" s="143">
        <v>751</v>
      </c>
      <c r="Q97" s="122" t="s">
        <v>12421</v>
      </c>
      <c r="R97" s="16" t="s">
        <v>8904</v>
      </c>
      <c r="S97" s="10" t="s">
        <v>1163</v>
      </c>
      <c r="T97" s="28" t="s">
        <v>13284</v>
      </c>
      <c r="U97" s="20" t="s">
        <v>5359</v>
      </c>
      <c r="V97" s="11" t="s">
        <v>13282</v>
      </c>
      <c r="W97" s="11" t="s">
        <v>14284</v>
      </c>
      <c r="X97" s="174">
        <v>275.22000000000003</v>
      </c>
      <c r="Y97" s="174">
        <v>341.63279999999997</v>
      </c>
    </row>
    <row r="98" spans="1:25" s="1" customFormat="1" ht="15" customHeight="1" x14ac:dyDescent="0.25">
      <c r="A98" s="20" t="s">
        <v>14213</v>
      </c>
      <c r="B98" s="37" t="s">
        <v>14214</v>
      </c>
      <c r="C98" s="71" t="str">
        <f t="shared" si="1"/>
        <v>Product Info</v>
      </c>
      <c r="D98" s="93" t="s">
        <v>14637</v>
      </c>
      <c r="E98" s="143">
        <v>1</v>
      </c>
      <c r="F98" s="143" t="s">
        <v>4992</v>
      </c>
      <c r="G98" s="38">
        <v>259.24</v>
      </c>
      <c r="H98" s="38">
        <v>220.36</v>
      </c>
      <c r="I98" s="38">
        <v>181.47</v>
      </c>
      <c r="J98" s="39"/>
      <c r="K98" s="143"/>
      <c r="L98" s="22">
        <v>4</v>
      </c>
      <c r="M98" s="22" t="s">
        <v>12488</v>
      </c>
      <c r="N98" s="20" t="s">
        <v>13076</v>
      </c>
      <c r="O98" s="16" t="s">
        <v>13912</v>
      </c>
      <c r="P98" s="143">
        <v>751</v>
      </c>
      <c r="Q98" s="122" t="s">
        <v>12421</v>
      </c>
      <c r="R98" s="16" t="s">
        <v>8904</v>
      </c>
      <c r="S98" s="10" t="s">
        <v>1163</v>
      </c>
      <c r="T98" s="15" t="s">
        <v>14306</v>
      </c>
      <c r="U98" s="20" t="s">
        <v>5359</v>
      </c>
      <c r="V98" s="20" t="s">
        <v>14213</v>
      </c>
      <c r="W98" s="20" t="s">
        <v>14284</v>
      </c>
      <c r="X98" s="174">
        <v>163.32</v>
      </c>
      <c r="Y98" s="174">
        <v>202.73120000000003</v>
      </c>
    </row>
    <row r="99" spans="1:25" s="1" customFormat="1" ht="15" customHeight="1" x14ac:dyDescent="0.25">
      <c r="A99" s="20" t="s">
        <v>14215</v>
      </c>
      <c r="B99" s="37" t="s">
        <v>14216</v>
      </c>
      <c r="C99" s="71" t="str">
        <f t="shared" si="1"/>
        <v>Product Info</v>
      </c>
      <c r="D99" s="93" t="s">
        <v>14638</v>
      </c>
      <c r="E99" s="143">
        <v>1</v>
      </c>
      <c r="F99" s="143" t="s">
        <v>4992</v>
      </c>
      <c r="G99" s="38">
        <v>579.19000000000005</v>
      </c>
      <c r="H99" s="38">
        <v>492.33</v>
      </c>
      <c r="I99" s="38">
        <v>405.43</v>
      </c>
      <c r="J99" s="39"/>
      <c r="K99" s="143"/>
      <c r="L99" s="22">
        <v>4</v>
      </c>
      <c r="M99" s="22" t="s">
        <v>12488</v>
      </c>
      <c r="N99" s="20" t="s">
        <v>12529</v>
      </c>
      <c r="O99" s="16" t="s">
        <v>13912</v>
      </c>
      <c r="P99" s="143">
        <v>751</v>
      </c>
      <c r="Q99" s="122" t="s">
        <v>12421</v>
      </c>
      <c r="R99" s="16" t="s">
        <v>8904</v>
      </c>
      <c r="S99" s="10" t="s">
        <v>1163</v>
      </c>
      <c r="T99" s="15" t="s">
        <v>14327</v>
      </c>
      <c r="U99" s="20" t="s">
        <v>5359</v>
      </c>
      <c r="V99" s="20" t="s">
        <v>14215</v>
      </c>
      <c r="W99" s="20" t="s">
        <v>14284</v>
      </c>
      <c r="X99" s="174">
        <v>364.89</v>
      </c>
      <c r="Y99" s="174">
        <v>452.9436</v>
      </c>
    </row>
    <row r="100" spans="1:25" s="1" customFormat="1" ht="15" customHeight="1" x14ac:dyDescent="0.25">
      <c r="A100" s="20" t="s">
        <v>14217</v>
      </c>
      <c r="B100" s="37" t="s">
        <v>14218</v>
      </c>
      <c r="C100" s="71" t="str">
        <f t="shared" si="1"/>
        <v>Product Info</v>
      </c>
      <c r="D100" s="93" t="s">
        <v>14639</v>
      </c>
      <c r="E100" s="143">
        <v>1</v>
      </c>
      <c r="F100" s="143" t="s">
        <v>4992</v>
      </c>
      <c r="G100" s="38">
        <v>610.1</v>
      </c>
      <c r="H100" s="38">
        <v>518.6</v>
      </c>
      <c r="I100" s="38">
        <v>427.07</v>
      </c>
      <c r="J100" s="39"/>
      <c r="K100" s="143"/>
      <c r="L100" s="22">
        <v>4</v>
      </c>
      <c r="M100" s="22" t="s">
        <v>12488</v>
      </c>
      <c r="N100" s="20" t="s">
        <v>12529</v>
      </c>
      <c r="O100" s="16" t="s">
        <v>13912</v>
      </c>
      <c r="P100" s="143">
        <v>751</v>
      </c>
      <c r="Q100" s="122" t="s">
        <v>12421</v>
      </c>
      <c r="R100" s="16" t="s">
        <v>8904</v>
      </c>
      <c r="S100" s="10" t="s">
        <v>1163</v>
      </c>
      <c r="T100" s="15" t="s">
        <v>14329</v>
      </c>
      <c r="U100" s="20" t="s">
        <v>5359</v>
      </c>
      <c r="V100" s="20" t="s">
        <v>14217</v>
      </c>
      <c r="W100" s="20" t="s">
        <v>14284</v>
      </c>
      <c r="X100" s="174">
        <v>384.36</v>
      </c>
      <c r="Y100" s="174">
        <v>477.11200000000002</v>
      </c>
    </row>
    <row r="101" spans="1:25" s="1" customFormat="1" ht="15" customHeight="1" x14ac:dyDescent="0.25">
      <c r="A101" s="20" t="s">
        <v>14219</v>
      </c>
      <c r="B101" s="37" t="s">
        <v>14220</v>
      </c>
      <c r="C101" s="71" t="str">
        <f t="shared" si="1"/>
        <v>Product Info</v>
      </c>
      <c r="D101" s="93" t="s">
        <v>14640</v>
      </c>
      <c r="E101" s="143">
        <v>1</v>
      </c>
      <c r="F101" s="143" t="s">
        <v>4992</v>
      </c>
      <c r="G101" s="38">
        <v>285.91000000000003</v>
      </c>
      <c r="H101" s="38">
        <v>243.04</v>
      </c>
      <c r="I101" s="38">
        <v>200.14</v>
      </c>
      <c r="J101" s="39"/>
      <c r="K101" s="143"/>
      <c r="L101" s="22">
        <v>4</v>
      </c>
      <c r="M101" s="22" t="s">
        <v>12488</v>
      </c>
      <c r="N101" s="20" t="s">
        <v>9389</v>
      </c>
      <c r="O101" s="16" t="s">
        <v>13912</v>
      </c>
      <c r="P101" s="143">
        <v>751</v>
      </c>
      <c r="Q101" s="122" t="s">
        <v>12421</v>
      </c>
      <c r="R101" s="16" t="s">
        <v>8904</v>
      </c>
      <c r="S101" s="10" t="s">
        <v>1163</v>
      </c>
      <c r="T101" s="15" t="s">
        <v>14308</v>
      </c>
      <c r="U101" s="20" t="s">
        <v>5359</v>
      </c>
      <c r="V101" s="20" t="s">
        <v>14219</v>
      </c>
      <c r="W101" s="20" t="s">
        <v>14284</v>
      </c>
      <c r="X101" s="174">
        <v>180.13</v>
      </c>
      <c r="Y101" s="174">
        <v>223.5968</v>
      </c>
    </row>
    <row r="102" spans="1:25" s="1" customFormat="1" ht="15" customHeight="1" x14ac:dyDescent="0.25">
      <c r="A102" s="20" t="s">
        <v>14221</v>
      </c>
      <c r="B102" s="37" t="s">
        <v>14222</v>
      </c>
      <c r="C102" s="71" t="str">
        <f t="shared" si="1"/>
        <v>Product Info</v>
      </c>
      <c r="D102" s="93" t="s">
        <v>14641</v>
      </c>
      <c r="E102" s="143">
        <v>1</v>
      </c>
      <c r="F102" s="143" t="s">
        <v>4992</v>
      </c>
      <c r="G102" s="38">
        <v>636.79999999999995</v>
      </c>
      <c r="H102" s="38">
        <v>541.29999999999995</v>
      </c>
      <c r="I102" s="38">
        <v>445.76</v>
      </c>
      <c r="J102" s="39"/>
      <c r="K102" s="143"/>
      <c r="L102" s="22">
        <v>4</v>
      </c>
      <c r="M102" s="22" t="s">
        <v>12488</v>
      </c>
      <c r="N102" s="20" t="s">
        <v>12529</v>
      </c>
      <c r="O102" s="16" t="s">
        <v>13912</v>
      </c>
      <c r="P102" s="143">
        <v>751</v>
      </c>
      <c r="Q102" s="122" t="s">
        <v>12421</v>
      </c>
      <c r="R102" s="16" t="s">
        <v>8904</v>
      </c>
      <c r="S102" s="10" t="s">
        <v>1163</v>
      </c>
      <c r="T102" s="15" t="s">
        <v>14331</v>
      </c>
      <c r="U102" s="20" t="s">
        <v>5359</v>
      </c>
      <c r="V102" s="20" t="s">
        <v>14221</v>
      </c>
      <c r="W102" s="20" t="s">
        <v>14284</v>
      </c>
      <c r="X102" s="174">
        <v>401.18</v>
      </c>
      <c r="Y102" s="174">
        <v>497.99599999999998</v>
      </c>
    </row>
    <row r="103" spans="1:25" s="1" customFormat="1" ht="15" customHeight="1" x14ac:dyDescent="0.25">
      <c r="A103" s="20" t="s">
        <v>14223</v>
      </c>
      <c r="B103" s="37" t="s">
        <v>14224</v>
      </c>
      <c r="C103" s="71" t="str">
        <f t="shared" si="1"/>
        <v>Product Info</v>
      </c>
      <c r="D103" s="93" t="s">
        <v>14642</v>
      </c>
      <c r="E103" s="143">
        <v>1</v>
      </c>
      <c r="F103" s="143" t="s">
        <v>4992</v>
      </c>
      <c r="G103" s="38">
        <v>383.81</v>
      </c>
      <c r="H103" s="38">
        <v>326.25</v>
      </c>
      <c r="I103" s="38">
        <v>268.67</v>
      </c>
      <c r="J103" s="39"/>
      <c r="K103" s="143"/>
      <c r="L103" s="22">
        <v>4</v>
      </c>
      <c r="M103" s="22" t="s">
        <v>12488</v>
      </c>
      <c r="N103" s="20" t="s">
        <v>12529</v>
      </c>
      <c r="O103" s="16" t="s">
        <v>13912</v>
      </c>
      <c r="P103" s="143">
        <v>751</v>
      </c>
      <c r="Q103" s="122" t="s">
        <v>12421</v>
      </c>
      <c r="R103" s="16" t="s">
        <v>8904</v>
      </c>
      <c r="S103" s="10" t="s">
        <v>1163</v>
      </c>
      <c r="T103" s="15" t="s">
        <v>14333</v>
      </c>
      <c r="U103" s="20" t="s">
        <v>5359</v>
      </c>
      <c r="V103" s="20" t="s">
        <v>14223</v>
      </c>
      <c r="W103" s="20" t="s">
        <v>14284</v>
      </c>
      <c r="X103" s="174">
        <v>241.8</v>
      </c>
      <c r="Y103" s="174">
        <v>300.15000000000003</v>
      </c>
    </row>
    <row r="104" spans="1:25" s="1" customFormat="1" ht="15" customHeight="1" x14ac:dyDescent="0.25">
      <c r="A104" s="20" t="s">
        <v>14225</v>
      </c>
      <c r="B104" s="37" t="s">
        <v>14226</v>
      </c>
      <c r="C104" s="71" t="str">
        <f t="shared" si="1"/>
        <v>Product Info</v>
      </c>
      <c r="D104" s="93" t="s">
        <v>14643</v>
      </c>
      <c r="E104" s="143">
        <v>1</v>
      </c>
      <c r="F104" s="143" t="s">
        <v>4992</v>
      </c>
      <c r="G104" s="38">
        <v>365.97</v>
      </c>
      <c r="H104" s="38">
        <v>311.08999999999997</v>
      </c>
      <c r="I104" s="38">
        <v>256.18</v>
      </c>
      <c r="J104" s="39"/>
      <c r="K104" s="143"/>
      <c r="L104" s="22">
        <v>4</v>
      </c>
      <c r="M104" s="22" t="s">
        <v>12488</v>
      </c>
      <c r="N104" s="20" t="s">
        <v>12529</v>
      </c>
      <c r="O104" s="16" t="s">
        <v>13912</v>
      </c>
      <c r="P104" s="143">
        <v>751</v>
      </c>
      <c r="Q104" s="122" t="s">
        <v>12421</v>
      </c>
      <c r="R104" s="16" t="s">
        <v>8904</v>
      </c>
      <c r="S104" s="10" t="s">
        <v>1163</v>
      </c>
      <c r="T104" s="15" t="s">
        <v>14310</v>
      </c>
      <c r="U104" s="20" t="s">
        <v>5359</v>
      </c>
      <c r="V104" s="20" t="s">
        <v>14225</v>
      </c>
      <c r="W104" s="20" t="s">
        <v>14284</v>
      </c>
      <c r="X104" s="174">
        <v>230.56</v>
      </c>
      <c r="Y104" s="174">
        <v>286.20279999999997</v>
      </c>
    </row>
    <row r="105" spans="1:25" s="1" customFormat="1" ht="15" customHeight="1" x14ac:dyDescent="0.25">
      <c r="A105" s="20" t="s">
        <v>14227</v>
      </c>
      <c r="B105" s="37" t="s">
        <v>14228</v>
      </c>
      <c r="C105" s="71" t="str">
        <f t="shared" si="1"/>
        <v>Product Info</v>
      </c>
      <c r="D105" s="93" t="s">
        <v>14644</v>
      </c>
      <c r="E105" s="143">
        <v>1</v>
      </c>
      <c r="F105" s="143" t="s">
        <v>4992</v>
      </c>
      <c r="G105" s="38">
        <v>851</v>
      </c>
      <c r="H105" s="38">
        <v>723.38</v>
      </c>
      <c r="I105" s="38">
        <v>595.70000000000005</v>
      </c>
      <c r="J105" s="39"/>
      <c r="K105" s="143"/>
      <c r="L105" s="22">
        <v>4</v>
      </c>
      <c r="M105" s="22" t="s">
        <v>12488</v>
      </c>
      <c r="N105" s="20" t="s">
        <v>12529</v>
      </c>
      <c r="O105" s="16" t="s">
        <v>13912</v>
      </c>
      <c r="P105" s="143">
        <v>751</v>
      </c>
      <c r="Q105" s="122" t="s">
        <v>12421</v>
      </c>
      <c r="R105" s="16" t="s">
        <v>8904</v>
      </c>
      <c r="S105" s="10" t="s">
        <v>1163</v>
      </c>
      <c r="T105" s="15" t="s">
        <v>14335</v>
      </c>
      <c r="U105" s="20" t="s">
        <v>5359</v>
      </c>
      <c r="V105" s="20" t="s">
        <v>14227</v>
      </c>
      <c r="W105" s="20" t="s">
        <v>14284</v>
      </c>
      <c r="X105" s="174">
        <v>536.13</v>
      </c>
      <c r="Y105" s="174">
        <v>665.50959999999998</v>
      </c>
    </row>
    <row r="106" spans="1:25" s="1" customFormat="1" ht="15" customHeight="1" x14ac:dyDescent="0.25">
      <c r="A106" s="47" t="s">
        <v>14231</v>
      </c>
      <c r="B106" s="48" t="s">
        <v>14232</v>
      </c>
      <c r="C106" s="71" t="str">
        <f t="shared" si="1"/>
        <v>Product Info</v>
      </c>
      <c r="D106" s="93" t="s">
        <v>14645</v>
      </c>
      <c r="E106" s="143">
        <v>1</v>
      </c>
      <c r="F106" s="148" t="s">
        <v>4992</v>
      </c>
      <c r="G106" s="38">
        <v>100.33</v>
      </c>
      <c r="H106" s="38">
        <v>85.28</v>
      </c>
      <c r="I106" s="38">
        <v>70.23</v>
      </c>
      <c r="J106" s="39"/>
      <c r="K106" s="143"/>
      <c r="L106" s="50">
        <v>4</v>
      </c>
      <c r="M106" s="50" t="s">
        <v>12488</v>
      </c>
      <c r="N106" s="20" t="s">
        <v>12529</v>
      </c>
      <c r="O106" s="16" t="s">
        <v>13912</v>
      </c>
      <c r="P106" s="143">
        <v>751</v>
      </c>
      <c r="Q106" s="121" t="s">
        <v>14285</v>
      </c>
      <c r="R106" s="49" t="s">
        <v>8904</v>
      </c>
      <c r="S106" s="18" t="s">
        <v>1163</v>
      </c>
      <c r="T106" s="15" t="s">
        <v>14358</v>
      </c>
      <c r="U106" s="47" t="s">
        <v>5359</v>
      </c>
      <c r="V106" s="47" t="s">
        <v>14231</v>
      </c>
      <c r="W106" s="47" t="s">
        <v>14284</v>
      </c>
      <c r="X106" s="174">
        <v>63.21</v>
      </c>
      <c r="Y106" s="174">
        <v>78.457599999999999</v>
      </c>
    </row>
    <row r="107" spans="1:25" s="1" customFormat="1" ht="15" customHeight="1" x14ac:dyDescent="0.25">
      <c r="A107" s="47" t="s">
        <v>14233</v>
      </c>
      <c r="B107" s="48" t="s">
        <v>14234</v>
      </c>
      <c r="C107" s="71" t="str">
        <f t="shared" si="1"/>
        <v>Product Info</v>
      </c>
      <c r="D107" s="93" t="s">
        <v>14646</v>
      </c>
      <c r="E107" s="143">
        <v>1</v>
      </c>
      <c r="F107" s="148" t="s">
        <v>4992</v>
      </c>
      <c r="G107" s="38">
        <v>128.41</v>
      </c>
      <c r="H107" s="38">
        <v>109.16</v>
      </c>
      <c r="I107" s="38">
        <v>89.89</v>
      </c>
      <c r="J107" s="39"/>
      <c r="K107" s="143"/>
      <c r="L107" s="50">
        <v>4</v>
      </c>
      <c r="M107" s="50" t="s">
        <v>12488</v>
      </c>
      <c r="N107" s="20" t="s">
        <v>12529</v>
      </c>
      <c r="O107" s="16" t="s">
        <v>13912</v>
      </c>
      <c r="P107" s="143">
        <v>751</v>
      </c>
      <c r="Q107" s="121" t="s">
        <v>14285</v>
      </c>
      <c r="R107" s="49" t="s">
        <v>8904</v>
      </c>
      <c r="S107" s="18" t="s">
        <v>1163</v>
      </c>
      <c r="T107" s="15" t="s">
        <v>14359</v>
      </c>
      <c r="U107" s="47" t="s">
        <v>5359</v>
      </c>
      <c r="V107" s="47" t="s">
        <v>14233</v>
      </c>
      <c r="W107" s="47" t="s">
        <v>14284</v>
      </c>
      <c r="X107" s="174">
        <v>80.900000000000006</v>
      </c>
      <c r="Y107" s="174">
        <v>100.4272</v>
      </c>
    </row>
    <row r="108" spans="1:25" s="63" customFormat="1" ht="15" customHeight="1" x14ac:dyDescent="0.25">
      <c r="A108" s="20" t="s">
        <v>14123</v>
      </c>
      <c r="B108" s="37" t="s">
        <v>14124</v>
      </c>
      <c r="C108" s="71" t="str">
        <f t="shared" si="1"/>
        <v>Product Info</v>
      </c>
      <c r="D108" s="93" t="s">
        <v>14647</v>
      </c>
      <c r="E108" s="143">
        <v>1</v>
      </c>
      <c r="F108" s="143" t="s">
        <v>4992</v>
      </c>
      <c r="G108" s="38">
        <v>150.56</v>
      </c>
      <c r="H108" s="38">
        <v>127.98</v>
      </c>
      <c r="I108" s="38">
        <v>105.39</v>
      </c>
      <c r="J108" s="39"/>
      <c r="K108" s="143"/>
      <c r="L108" s="22">
        <v>4</v>
      </c>
      <c r="M108" s="22" t="s">
        <v>12488</v>
      </c>
      <c r="N108" s="20" t="s">
        <v>12529</v>
      </c>
      <c r="O108" s="16" t="s">
        <v>13912</v>
      </c>
      <c r="P108" s="143">
        <v>751</v>
      </c>
      <c r="Q108" s="121" t="s">
        <v>14285</v>
      </c>
      <c r="R108" s="20" t="s">
        <v>8904</v>
      </c>
      <c r="S108" s="10" t="s">
        <v>1163</v>
      </c>
      <c r="T108" s="15" t="s">
        <v>14442</v>
      </c>
      <c r="U108" s="20" t="s">
        <v>5359</v>
      </c>
      <c r="V108" s="20" t="s">
        <v>14410</v>
      </c>
      <c r="W108" s="10" t="s">
        <v>14284</v>
      </c>
      <c r="X108" s="174">
        <v>94.85</v>
      </c>
      <c r="Y108" s="174">
        <v>117.74160000000001</v>
      </c>
    </row>
    <row r="109" spans="1:25" s="63" customFormat="1" ht="15" customHeight="1" x14ac:dyDescent="0.25">
      <c r="A109" s="20" t="s">
        <v>13718</v>
      </c>
      <c r="B109" s="16" t="s">
        <v>13719</v>
      </c>
      <c r="C109" s="71" t="str">
        <f t="shared" si="1"/>
        <v>Product Info</v>
      </c>
      <c r="D109" s="93" t="s">
        <v>14648</v>
      </c>
      <c r="E109" s="143">
        <v>1</v>
      </c>
      <c r="F109" s="12" t="s">
        <v>4992</v>
      </c>
      <c r="G109" s="38">
        <v>1.07</v>
      </c>
      <c r="H109" s="38">
        <v>0.91</v>
      </c>
      <c r="I109" s="38">
        <v>0.75</v>
      </c>
      <c r="J109" s="39"/>
      <c r="K109" s="143"/>
      <c r="L109" s="22">
        <v>4</v>
      </c>
      <c r="M109" s="22" t="s">
        <v>12488</v>
      </c>
      <c r="N109" s="20" t="s">
        <v>14489</v>
      </c>
      <c r="O109" s="16" t="s">
        <v>13912</v>
      </c>
      <c r="P109" s="143">
        <v>819</v>
      </c>
      <c r="Q109" s="122" t="s">
        <v>9227</v>
      </c>
      <c r="R109" s="16" t="s">
        <v>8904</v>
      </c>
      <c r="S109" s="10" t="s">
        <v>1163</v>
      </c>
      <c r="T109" s="28" t="s">
        <v>13897</v>
      </c>
      <c r="U109" s="20" t="s">
        <v>5359</v>
      </c>
      <c r="V109" s="16" t="s">
        <v>14120</v>
      </c>
      <c r="W109" s="16" t="s">
        <v>13938</v>
      </c>
      <c r="X109" s="174">
        <v>0.72</v>
      </c>
      <c r="Y109" s="174">
        <v>0.91</v>
      </c>
    </row>
    <row r="110" spans="1:25" s="63" customFormat="1" ht="15" customHeight="1" x14ac:dyDescent="0.25">
      <c r="A110" s="20" t="s">
        <v>13721</v>
      </c>
      <c r="B110" s="16" t="s">
        <v>13728</v>
      </c>
      <c r="C110" s="71" t="str">
        <f t="shared" si="1"/>
        <v>Product Info</v>
      </c>
      <c r="D110" s="93" t="s">
        <v>14649</v>
      </c>
      <c r="E110" s="143">
        <v>1</v>
      </c>
      <c r="F110" s="12" t="s">
        <v>4992</v>
      </c>
      <c r="G110" s="38">
        <v>52.57</v>
      </c>
      <c r="H110" s="38">
        <v>44.69</v>
      </c>
      <c r="I110" s="38">
        <v>36.799999999999997</v>
      </c>
      <c r="J110" s="39"/>
      <c r="K110" s="143"/>
      <c r="L110" s="22">
        <v>4</v>
      </c>
      <c r="M110" s="22" t="s">
        <v>12488</v>
      </c>
      <c r="N110" s="20" t="s">
        <v>14489</v>
      </c>
      <c r="O110" s="16" t="s">
        <v>13912</v>
      </c>
      <c r="P110" s="143">
        <v>758</v>
      </c>
      <c r="Q110" s="121" t="s">
        <v>14285</v>
      </c>
      <c r="R110" s="16" t="s">
        <v>9235</v>
      </c>
      <c r="S110" s="10" t="s">
        <v>1163</v>
      </c>
      <c r="T110" s="28" t="s">
        <v>13732</v>
      </c>
      <c r="U110" s="20" t="s">
        <v>5359</v>
      </c>
      <c r="V110" s="16" t="s">
        <v>13941</v>
      </c>
      <c r="W110" s="11" t="s">
        <v>14433</v>
      </c>
      <c r="X110" s="174">
        <v>29.44</v>
      </c>
      <c r="Y110" s="174">
        <v>36.799999999999997</v>
      </c>
    </row>
    <row r="111" spans="1:25" s="63" customFormat="1" ht="15" customHeight="1" x14ac:dyDescent="0.25">
      <c r="A111" s="20" t="s">
        <v>13720</v>
      </c>
      <c r="B111" s="29" t="s">
        <v>13729</v>
      </c>
      <c r="C111" s="71" t="str">
        <f t="shared" si="1"/>
        <v>Product Info</v>
      </c>
      <c r="D111" s="93" t="s">
        <v>14650</v>
      </c>
      <c r="E111" s="143">
        <v>1</v>
      </c>
      <c r="F111" s="12" t="s">
        <v>4992</v>
      </c>
      <c r="G111" s="38">
        <v>376.29</v>
      </c>
      <c r="H111" s="38">
        <v>319.85000000000002</v>
      </c>
      <c r="I111" s="38">
        <v>263.39999999999998</v>
      </c>
      <c r="J111" s="39"/>
      <c r="K111" s="143"/>
      <c r="L111" s="22">
        <v>0</v>
      </c>
      <c r="M111" s="22" t="s">
        <v>12487</v>
      </c>
      <c r="N111" s="20" t="s">
        <v>14491</v>
      </c>
      <c r="O111" s="16" t="s">
        <v>13912</v>
      </c>
      <c r="P111" s="143">
        <v>758</v>
      </c>
      <c r="Q111" s="121" t="s">
        <v>14285</v>
      </c>
      <c r="R111" s="16" t="s">
        <v>9235</v>
      </c>
      <c r="S111" s="10" t="s">
        <v>1163</v>
      </c>
      <c r="T111" s="28" t="s">
        <v>13733</v>
      </c>
      <c r="U111" s="20" t="s">
        <v>5359</v>
      </c>
      <c r="V111" s="16" t="s">
        <v>14127</v>
      </c>
      <c r="W111" s="11" t="s">
        <v>14433</v>
      </c>
      <c r="X111" s="174">
        <v>250.23</v>
      </c>
      <c r="Y111" s="174">
        <v>319.85000000000002</v>
      </c>
    </row>
    <row r="112" spans="1:25" s="63" customFormat="1" ht="15" customHeight="1" x14ac:dyDescent="0.25">
      <c r="A112" s="20" t="s">
        <v>13686</v>
      </c>
      <c r="B112" s="16" t="s">
        <v>13687</v>
      </c>
      <c r="C112" s="71" t="str">
        <f t="shared" si="1"/>
        <v>Product Info</v>
      </c>
      <c r="D112" s="93" t="s">
        <v>14651</v>
      </c>
      <c r="E112" s="143">
        <v>1</v>
      </c>
      <c r="F112" s="12" t="s">
        <v>4992</v>
      </c>
      <c r="G112" s="38">
        <v>104.37</v>
      </c>
      <c r="H112" s="38">
        <v>88.72</v>
      </c>
      <c r="I112" s="38">
        <v>73.06</v>
      </c>
      <c r="J112" s="39"/>
      <c r="K112" s="143"/>
      <c r="L112" s="22">
        <v>4</v>
      </c>
      <c r="M112" s="22" t="s">
        <v>12488</v>
      </c>
      <c r="N112" s="20" t="s">
        <v>14489</v>
      </c>
      <c r="O112" s="16" t="s">
        <v>13912</v>
      </c>
      <c r="P112" s="143">
        <v>819</v>
      </c>
      <c r="Q112" s="122" t="s">
        <v>9227</v>
      </c>
      <c r="R112" s="16" t="s">
        <v>8904</v>
      </c>
      <c r="S112" s="10" t="s">
        <v>1163</v>
      </c>
      <c r="T112" s="28" t="s">
        <v>13881</v>
      </c>
      <c r="U112" s="20" t="s">
        <v>5359</v>
      </c>
      <c r="V112" s="16" t="s">
        <v>14104</v>
      </c>
      <c r="W112" s="16" t="s">
        <v>13938</v>
      </c>
      <c r="X112" s="174">
        <v>70.14</v>
      </c>
      <c r="Y112" s="174">
        <v>88.72</v>
      </c>
    </row>
    <row r="113" spans="1:25" s="63" customFormat="1" ht="15" customHeight="1" x14ac:dyDescent="0.25">
      <c r="A113" s="20" t="s">
        <v>13692</v>
      </c>
      <c r="B113" s="16" t="s">
        <v>13693</v>
      </c>
      <c r="C113" s="71" t="str">
        <f t="shared" si="1"/>
        <v>Product Info</v>
      </c>
      <c r="D113" s="93" t="s">
        <v>14652</v>
      </c>
      <c r="E113" s="143">
        <v>1</v>
      </c>
      <c r="F113" s="12" t="s">
        <v>4992</v>
      </c>
      <c r="G113" s="38">
        <v>10.82</v>
      </c>
      <c r="H113" s="38">
        <v>9.1999999999999993</v>
      </c>
      <c r="I113" s="38">
        <v>7.58</v>
      </c>
      <c r="J113" s="39"/>
      <c r="K113" s="143"/>
      <c r="L113" s="22">
        <v>4</v>
      </c>
      <c r="M113" s="22" t="s">
        <v>12488</v>
      </c>
      <c r="N113" s="20" t="s">
        <v>14489</v>
      </c>
      <c r="O113" s="16" t="s">
        <v>13912</v>
      </c>
      <c r="P113" s="143">
        <v>819</v>
      </c>
      <c r="Q113" s="122" t="s">
        <v>9227</v>
      </c>
      <c r="R113" s="16" t="s">
        <v>8904</v>
      </c>
      <c r="S113" s="10" t="s">
        <v>1163</v>
      </c>
      <c r="T113" s="28" t="s">
        <v>13884</v>
      </c>
      <c r="U113" s="20" t="s">
        <v>5359</v>
      </c>
      <c r="V113" s="16" t="s">
        <v>14107</v>
      </c>
      <c r="W113" s="16" t="s">
        <v>13938</v>
      </c>
      <c r="X113" s="174">
        <v>7.28</v>
      </c>
      <c r="Y113" s="174">
        <v>9.1999999999999993</v>
      </c>
    </row>
    <row r="114" spans="1:25" s="63" customFormat="1" ht="15" customHeight="1" x14ac:dyDescent="0.25">
      <c r="A114" s="20" t="s">
        <v>13694</v>
      </c>
      <c r="B114" s="16" t="s">
        <v>13695</v>
      </c>
      <c r="C114" s="71" t="str">
        <f t="shared" si="1"/>
        <v>Product Info</v>
      </c>
      <c r="D114" s="93" t="s">
        <v>14653</v>
      </c>
      <c r="E114" s="143">
        <v>1</v>
      </c>
      <c r="F114" s="12" t="s">
        <v>4992</v>
      </c>
      <c r="G114" s="38">
        <v>0.76</v>
      </c>
      <c r="H114" s="38">
        <v>0.65</v>
      </c>
      <c r="I114" s="38">
        <v>0.53</v>
      </c>
      <c r="J114" s="39"/>
      <c r="K114" s="143"/>
      <c r="L114" s="22">
        <v>4</v>
      </c>
      <c r="M114" s="22" t="s">
        <v>12488</v>
      </c>
      <c r="N114" s="20" t="s">
        <v>14489</v>
      </c>
      <c r="O114" s="16" t="s">
        <v>13912</v>
      </c>
      <c r="P114" s="143">
        <v>819</v>
      </c>
      <c r="Q114" s="122" t="s">
        <v>9227</v>
      </c>
      <c r="R114" s="16" t="s">
        <v>8904</v>
      </c>
      <c r="S114" s="10" t="s">
        <v>1163</v>
      </c>
      <c r="T114" s="28" t="s">
        <v>13885</v>
      </c>
      <c r="U114" s="20" t="s">
        <v>5359</v>
      </c>
      <c r="V114" s="16" t="s">
        <v>14108</v>
      </c>
      <c r="W114" s="16" t="s">
        <v>13938</v>
      </c>
      <c r="X114" s="174">
        <v>0.51</v>
      </c>
      <c r="Y114" s="174">
        <v>0.65</v>
      </c>
    </row>
    <row r="115" spans="1:25" s="63" customFormat="1" ht="15" customHeight="1" x14ac:dyDescent="0.25">
      <c r="A115" s="20" t="s">
        <v>13446</v>
      </c>
      <c r="B115" s="16" t="s">
        <v>13447</v>
      </c>
      <c r="C115" s="71" t="str">
        <f t="shared" si="1"/>
        <v>Product Info</v>
      </c>
      <c r="D115" s="93" t="s">
        <v>14654</v>
      </c>
      <c r="E115" s="143">
        <v>1</v>
      </c>
      <c r="F115" s="12" t="s">
        <v>4992</v>
      </c>
      <c r="G115" s="38">
        <v>105.29</v>
      </c>
      <c r="H115" s="38">
        <v>89.5</v>
      </c>
      <c r="I115" s="38">
        <v>73.7</v>
      </c>
      <c r="J115" s="39"/>
      <c r="K115" s="143"/>
      <c r="L115" s="22">
        <v>4</v>
      </c>
      <c r="M115" s="22" t="s">
        <v>12488</v>
      </c>
      <c r="N115" s="20" t="s">
        <v>9261</v>
      </c>
      <c r="O115" s="16" t="s">
        <v>13912</v>
      </c>
      <c r="P115" s="143">
        <v>819</v>
      </c>
      <c r="Q115" s="122" t="s">
        <v>9227</v>
      </c>
      <c r="R115" s="16" t="s">
        <v>8904</v>
      </c>
      <c r="S115" s="10" t="s">
        <v>1163</v>
      </c>
      <c r="T115" s="28" t="s">
        <v>13762</v>
      </c>
      <c r="U115" s="20" t="s">
        <v>5359</v>
      </c>
      <c r="V115" s="16" t="s">
        <v>13968</v>
      </c>
      <c r="W115" s="16" t="s">
        <v>13938</v>
      </c>
      <c r="X115" s="174">
        <v>70.75</v>
      </c>
      <c r="Y115" s="174">
        <v>89.5</v>
      </c>
    </row>
    <row r="116" spans="1:25" s="63" customFormat="1" ht="15" customHeight="1" x14ac:dyDescent="0.25">
      <c r="A116" s="20" t="s">
        <v>13420</v>
      </c>
      <c r="B116" s="16" t="s">
        <v>13421</v>
      </c>
      <c r="C116" s="71" t="str">
        <f t="shared" si="1"/>
        <v>Product Info</v>
      </c>
      <c r="D116" s="93" t="s">
        <v>14655</v>
      </c>
      <c r="E116" s="143">
        <v>1</v>
      </c>
      <c r="F116" s="12" t="s">
        <v>4992</v>
      </c>
      <c r="G116" s="38">
        <v>105.29</v>
      </c>
      <c r="H116" s="38">
        <v>89.5</v>
      </c>
      <c r="I116" s="38">
        <v>73.7</v>
      </c>
      <c r="J116" s="39"/>
      <c r="K116" s="143"/>
      <c r="L116" s="22">
        <v>4</v>
      </c>
      <c r="M116" s="22" t="s">
        <v>12488</v>
      </c>
      <c r="N116" s="20" t="s">
        <v>9261</v>
      </c>
      <c r="O116" s="16" t="s">
        <v>13912</v>
      </c>
      <c r="P116" s="143">
        <v>819</v>
      </c>
      <c r="Q116" s="122" t="s">
        <v>9227</v>
      </c>
      <c r="R116" s="16" t="s">
        <v>8904</v>
      </c>
      <c r="S116" s="10" t="s">
        <v>1163</v>
      </c>
      <c r="T116" s="28" t="s">
        <v>13749</v>
      </c>
      <c r="U116" s="20" t="s">
        <v>5359</v>
      </c>
      <c r="V116" s="16" t="s">
        <v>13955</v>
      </c>
      <c r="W116" s="16" t="s">
        <v>13938</v>
      </c>
      <c r="X116" s="174">
        <v>70.75</v>
      </c>
      <c r="Y116" s="174">
        <v>89.5</v>
      </c>
    </row>
    <row r="117" spans="1:25" s="63" customFormat="1" ht="15" customHeight="1" x14ac:dyDescent="0.25">
      <c r="A117" s="20" t="s">
        <v>13428</v>
      </c>
      <c r="B117" s="16" t="s">
        <v>13429</v>
      </c>
      <c r="C117" s="71" t="str">
        <f t="shared" si="1"/>
        <v>Product Info</v>
      </c>
      <c r="D117" s="93" t="s">
        <v>14656</v>
      </c>
      <c r="E117" s="143">
        <v>1</v>
      </c>
      <c r="F117" s="12" t="s">
        <v>4992</v>
      </c>
      <c r="G117" s="38">
        <v>105.29</v>
      </c>
      <c r="H117" s="38">
        <v>89.5</v>
      </c>
      <c r="I117" s="38">
        <v>73.7</v>
      </c>
      <c r="J117" s="39"/>
      <c r="K117" s="143"/>
      <c r="L117" s="22">
        <v>4</v>
      </c>
      <c r="M117" s="22" t="s">
        <v>12488</v>
      </c>
      <c r="N117" s="20" t="s">
        <v>9261</v>
      </c>
      <c r="O117" s="16" t="s">
        <v>13912</v>
      </c>
      <c r="P117" s="143">
        <v>819</v>
      </c>
      <c r="Q117" s="122" t="s">
        <v>9227</v>
      </c>
      <c r="R117" s="16" t="s">
        <v>8904</v>
      </c>
      <c r="S117" s="10" t="s">
        <v>1163</v>
      </c>
      <c r="T117" s="28" t="s">
        <v>13753</v>
      </c>
      <c r="U117" s="20" t="s">
        <v>5359</v>
      </c>
      <c r="V117" s="16" t="s">
        <v>13959</v>
      </c>
      <c r="W117" s="16" t="s">
        <v>13938</v>
      </c>
      <c r="X117" s="174">
        <v>70.75</v>
      </c>
      <c r="Y117" s="174">
        <v>89.5</v>
      </c>
    </row>
    <row r="118" spans="1:25" s="63" customFormat="1" ht="15" customHeight="1" x14ac:dyDescent="0.25">
      <c r="A118" s="20" t="s">
        <v>13444</v>
      </c>
      <c r="B118" s="16" t="s">
        <v>13445</v>
      </c>
      <c r="C118" s="71" t="str">
        <f t="shared" si="1"/>
        <v>Product Info</v>
      </c>
      <c r="D118" s="93" t="s">
        <v>14657</v>
      </c>
      <c r="E118" s="143">
        <v>1</v>
      </c>
      <c r="F118" s="12" t="s">
        <v>4992</v>
      </c>
      <c r="G118" s="38">
        <v>105.29</v>
      </c>
      <c r="H118" s="38">
        <v>89.5</v>
      </c>
      <c r="I118" s="38">
        <v>73.7</v>
      </c>
      <c r="J118" s="39"/>
      <c r="K118" s="143"/>
      <c r="L118" s="22">
        <v>4</v>
      </c>
      <c r="M118" s="22" t="s">
        <v>12488</v>
      </c>
      <c r="N118" s="20" t="s">
        <v>9261</v>
      </c>
      <c r="O118" s="16" t="s">
        <v>13912</v>
      </c>
      <c r="P118" s="143">
        <v>819</v>
      </c>
      <c r="Q118" s="121" t="s">
        <v>14285</v>
      </c>
      <c r="R118" s="16" t="s">
        <v>8904</v>
      </c>
      <c r="S118" s="10" t="s">
        <v>1163</v>
      </c>
      <c r="T118" s="28" t="s">
        <v>13761</v>
      </c>
      <c r="U118" s="20" t="s">
        <v>5359</v>
      </c>
      <c r="V118" s="16" t="s">
        <v>13967</v>
      </c>
      <c r="W118" s="16" t="s">
        <v>13938</v>
      </c>
      <c r="X118" s="174">
        <v>70.75</v>
      </c>
      <c r="Y118" s="174">
        <v>89.5</v>
      </c>
    </row>
    <row r="119" spans="1:25" s="63" customFormat="1" ht="15" customHeight="1" x14ac:dyDescent="0.25">
      <c r="A119" s="20" t="s">
        <v>13432</v>
      </c>
      <c r="B119" s="16" t="s">
        <v>13433</v>
      </c>
      <c r="C119" s="71" t="str">
        <f t="shared" si="1"/>
        <v>Product Info</v>
      </c>
      <c r="D119" s="93" t="s">
        <v>14658</v>
      </c>
      <c r="E119" s="143">
        <v>1</v>
      </c>
      <c r="F119" s="12" t="s">
        <v>4992</v>
      </c>
      <c r="G119" s="38">
        <v>105.29</v>
      </c>
      <c r="H119" s="38">
        <v>89.5</v>
      </c>
      <c r="I119" s="38">
        <v>73.7</v>
      </c>
      <c r="J119" s="39"/>
      <c r="K119" s="143"/>
      <c r="L119" s="22">
        <v>4</v>
      </c>
      <c r="M119" s="22" t="s">
        <v>12488</v>
      </c>
      <c r="N119" s="20" t="s">
        <v>9261</v>
      </c>
      <c r="O119" s="16" t="s">
        <v>13912</v>
      </c>
      <c r="P119" s="143">
        <v>819</v>
      </c>
      <c r="Q119" s="122" t="s">
        <v>9227</v>
      </c>
      <c r="R119" s="16" t="s">
        <v>8904</v>
      </c>
      <c r="S119" s="10" t="s">
        <v>1163</v>
      </c>
      <c r="T119" s="28" t="s">
        <v>13755</v>
      </c>
      <c r="U119" s="20" t="s">
        <v>5359</v>
      </c>
      <c r="V119" s="16" t="s">
        <v>13961</v>
      </c>
      <c r="W119" s="16" t="s">
        <v>13938</v>
      </c>
      <c r="X119" s="174">
        <v>70.75</v>
      </c>
      <c r="Y119" s="174">
        <v>89.5</v>
      </c>
    </row>
    <row r="120" spans="1:25" s="63" customFormat="1" ht="15" customHeight="1" x14ac:dyDescent="0.25">
      <c r="A120" s="20" t="s">
        <v>13434</v>
      </c>
      <c r="B120" s="16" t="s">
        <v>13435</v>
      </c>
      <c r="C120" s="71" t="str">
        <f t="shared" si="1"/>
        <v>Product Info</v>
      </c>
      <c r="D120" s="93" t="s">
        <v>14659</v>
      </c>
      <c r="E120" s="143">
        <v>1</v>
      </c>
      <c r="F120" s="12" t="s">
        <v>4992</v>
      </c>
      <c r="G120" s="38">
        <v>105.29</v>
      </c>
      <c r="H120" s="38">
        <v>89.5</v>
      </c>
      <c r="I120" s="38">
        <v>73.7</v>
      </c>
      <c r="J120" s="39"/>
      <c r="K120" s="143"/>
      <c r="L120" s="22">
        <v>4</v>
      </c>
      <c r="M120" s="22" t="s">
        <v>12488</v>
      </c>
      <c r="N120" s="20" t="s">
        <v>9261</v>
      </c>
      <c r="O120" s="16" t="s">
        <v>13912</v>
      </c>
      <c r="P120" s="143">
        <v>819</v>
      </c>
      <c r="Q120" s="122" t="s">
        <v>9227</v>
      </c>
      <c r="R120" s="16" t="s">
        <v>8904</v>
      </c>
      <c r="S120" s="10" t="s">
        <v>1163</v>
      </c>
      <c r="T120" s="28" t="s">
        <v>13756</v>
      </c>
      <c r="U120" s="20" t="s">
        <v>5359</v>
      </c>
      <c r="V120" s="16" t="s">
        <v>13962</v>
      </c>
      <c r="W120" s="16" t="s">
        <v>13938</v>
      </c>
      <c r="X120" s="174">
        <v>70.75</v>
      </c>
      <c r="Y120" s="174">
        <v>89.5</v>
      </c>
    </row>
    <row r="121" spans="1:25" s="1" customFormat="1" ht="15" customHeight="1" x14ac:dyDescent="0.25">
      <c r="A121" s="20" t="s">
        <v>13440</v>
      </c>
      <c r="B121" s="16" t="s">
        <v>13441</v>
      </c>
      <c r="C121" s="71" t="str">
        <f t="shared" si="1"/>
        <v>Product Info</v>
      </c>
      <c r="D121" s="93" t="s">
        <v>14660</v>
      </c>
      <c r="E121" s="143">
        <v>1</v>
      </c>
      <c r="F121" s="12" t="s">
        <v>4992</v>
      </c>
      <c r="G121" s="38">
        <v>105.29</v>
      </c>
      <c r="H121" s="38">
        <v>89.5</v>
      </c>
      <c r="I121" s="38">
        <v>73.7</v>
      </c>
      <c r="J121" s="39"/>
      <c r="K121" s="143"/>
      <c r="L121" s="22">
        <v>4</v>
      </c>
      <c r="M121" s="22" t="s">
        <v>12488</v>
      </c>
      <c r="N121" s="20" t="s">
        <v>9261</v>
      </c>
      <c r="O121" s="16" t="s">
        <v>13912</v>
      </c>
      <c r="P121" s="143">
        <v>819</v>
      </c>
      <c r="Q121" s="121" t="s">
        <v>14285</v>
      </c>
      <c r="R121" s="16" t="s">
        <v>8904</v>
      </c>
      <c r="S121" s="10" t="s">
        <v>1163</v>
      </c>
      <c r="T121" s="28" t="s">
        <v>13759</v>
      </c>
      <c r="U121" s="20" t="s">
        <v>5359</v>
      </c>
      <c r="V121" s="16" t="s">
        <v>13965</v>
      </c>
      <c r="W121" s="16" t="s">
        <v>13938</v>
      </c>
      <c r="X121" s="174">
        <v>70.75</v>
      </c>
      <c r="Y121" s="174">
        <v>89.5</v>
      </c>
    </row>
    <row r="122" spans="1:25" s="1" customFormat="1" ht="15" customHeight="1" x14ac:dyDescent="0.25">
      <c r="A122" s="20" t="s">
        <v>13422</v>
      </c>
      <c r="B122" s="16" t="s">
        <v>13423</v>
      </c>
      <c r="C122" s="71" t="str">
        <f t="shared" si="1"/>
        <v>Product Info</v>
      </c>
      <c r="D122" s="93" t="s">
        <v>14661</v>
      </c>
      <c r="E122" s="143">
        <v>1</v>
      </c>
      <c r="F122" s="12" t="s">
        <v>4992</v>
      </c>
      <c r="G122" s="38">
        <v>105.29</v>
      </c>
      <c r="H122" s="38">
        <v>89.5</v>
      </c>
      <c r="I122" s="38">
        <v>73.7</v>
      </c>
      <c r="J122" s="39"/>
      <c r="K122" s="143"/>
      <c r="L122" s="22">
        <v>4</v>
      </c>
      <c r="M122" s="22" t="s">
        <v>12488</v>
      </c>
      <c r="N122" s="20" t="s">
        <v>9261</v>
      </c>
      <c r="O122" s="16" t="s">
        <v>13912</v>
      </c>
      <c r="P122" s="143">
        <v>819</v>
      </c>
      <c r="Q122" s="121" t="s">
        <v>14285</v>
      </c>
      <c r="R122" s="16" t="s">
        <v>8904</v>
      </c>
      <c r="S122" s="10" t="s">
        <v>1163</v>
      </c>
      <c r="T122" s="28" t="s">
        <v>13750</v>
      </c>
      <c r="U122" s="20" t="s">
        <v>5359</v>
      </c>
      <c r="V122" s="16" t="s">
        <v>13956</v>
      </c>
      <c r="W122" s="16" t="s">
        <v>13938</v>
      </c>
      <c r="X122" s="174">
        <v>70.75</v>
      </c>
      <c r="Y122" s="174">
        <v>89.5</v>
      </c>
    </row>
    <row r="123" spans="1:25" s="1" customFormat="1" ht="15" customHeight="1" x14ac:dyDescent="0.25">
      <c r="A123" s="20" t="s">
        <v>13430</v>
      </c>
      <c r="B123" s="16" t="s">
        <v>13431</v>
      </c>
      <c r="C123" s="71" t="str">
        <f t="shared" si="1"/>
        <v>Product Info</v>
      </c>
      <c r="D123" s="93" t="s">
        <v>14662</v>
      </c>
      <c r="E123" s="143">
        <v>1</v>
      </c>
      <c r="F123" s="12" t="s">
        <v>4992</v>
      </c>
      <c r="G123" s="38">
        <v>105.29</v>
      </c>
      <c r="H123" s="38">
        <v>89.5</v>
      </c>
      <c r="I123" s="38">
        <v>73.7</v>
      </c>
      <c r="J123" s="39"/>
      <c r="K123" s="143"/>
      <c r="L123" s="22">
        <v>4</v>
      </c>
      <c r="M123" s="22" t="s">
        <v>12488</v>
      </c>
      <c r="N123" s="20" t="s">
        <v>9261</v>
      </c>
      <c r="O123" s="16" t="s">
        <v>13912</v>
      </c>
      <c r="P123" s="143">
        <v>819</v>
      </c>
      <c r="Q123" s="121" t="s">
        <v>14285</v>
      </c>
      <c r="R123" s="16" t="s">
        <v>8904</v>
      </c>
      <c r="S123" s="10" t="s">
        <v>1163</v>
      </c>
      <c r="T123" s="28" t="s">
        <v>13754</v>
      </c>
      <c r="U123" s="20" t="s">
        <v>5359</v>
      </c>
      <c r="V123" s="16" t="s">
        <v>13960</v>
      </c>
      <c r="W123" s="16" t="s">
        <v>13938</v>
      </c>
      <c r="X123" s="174">
        <v>70.75</v>
      </c>
      <c r="Y123" s="174">
        <v>89.5</v>
      </c>
    </row>
    <row r="124" spans="1:25" s="1" customFormat="1" ht="15" customHeight="1" x14ac:dyDescent="0.25">
      <c r="A124" s="20" t="s">
        <v>13448</v>
      </c>
      <c r="B124" s="16" t="s">
        <v>13449</v>
      </c>
      <c r="C124" s="71" t="str">
        <f t="shared" si="1"/>
        <v>Product Info</v>
      </c>
      <c r="D124" s="93" t="s">
        <v>14663</v>
      </c>
      <c r="E124" s="143">
        <v>1</v>
      </c>
      <c r="F124" s="12" t="s">
        <v>4992</v>
      </c>
      <c r="G124" s="38">
        <v>105.29</v>
      </c>
      <c r="H124" s="38">
        <v>89.5</v>
      </c>
      <c r="I124" s="38">
        <v>73.7</v>
      </c>
      <c r="J124" s="39"/>
      <c r="K124" s="143"/>
      <c r="L124" s="22">
        <v>4</v>
      </c>
      <c r="M124" s="22" t="s">
        <v>12488</v>
      </c>
      <c r="N124" s="20" t="s">
        <v>9261</v>
      </c>
      <c r="O124" s="16" t="s">
        <v>13912</v>
      </c>
      <c r="P124" s="143">
        <v>819</v>
      </c>
      <c r="Q124" s="121" t="s">
        <v>14285</v>
      </c>
      <c r="R124" s="16" t="s">
        <v>8904</v>
      </c>
      <c r="S124" s="10" t="s">
        <v>1163</v>
      </c>
      <c r="T124" s="28" t="s">
        <v>13763</v>
      </c>
      <c r="U124" s="20" t="s">
        <v>5359</v>
      </c>
      <c r="V124" s="16" t="s">
        <v>13969</v>
      </c>
      <c r="W124" s="16" t="s">
        <v>13938</v>
      </c>
      <c r="X124" s="174">
        <v>70.75</v>
      </c>
      <c r="Y124" s="174">
        <v>89.5</v>
      </c>
    </row>
    <row r="125" spans="1:25" s="1" customFormat="1" ht="15" customHeight="1" x14ac:dyDescent="0.25">
      <c r="A125" s="20" t="s">
        <v>13442</v>
      </c>
      <c r="B125" s="16" t="s">
        <v>13443</v>
      </c>
      <c r="C125" s="71" t="str">
        <f t="shared" si="1"/>
        <v>Product Info</v>
      </c>
      <c r="D125" s="93" t="s">
        <v>14664</v>
      </c>
      <c r="E125" s="143">
        <v>1</v>
      </c>
      <c r="F125" s="12" t="s">
        <v>4992</v>
      </c>
      <c r="G125" s="38">
        <v>105.29</v>
      </c>
      <c r="H125" s="38">
        <v>89.5</v>
      </c>
      <c r="I125" s="38">
        <v>73.7</v>
      </c>
      <c r="J125" s="39"/>
      <c r="K125" s="143"/>
      <c r="L125" s="22">
        <v>4</v>
      </c>
      <c r="M125" s="22" t="s">
        <v>12488</v>
      </c>
      <c r="N125" s="20" t="s">
        <v>9261</v>
      </c>
      <c r="O125" s="16" t="s">
        <v>13912</v>
      </c>
      <c r="P125" s="143">
        <v>819</v>
      </c>
      <c r="Q125" s="121" t="s">
        <v>14285</v>
      </c>
      <c r="R125" s="16" t="s">
        <v>8904</v>
      </c>
      <c r="S125" s="10" t="s">
        <v>1163</v>
      </c>
      <c r="T125" s="28" t="s">
        <v>13760</v>
      </c>
      <c r="U125" s="20" t="s">
        <v>5359</v>
      </c>
      <c r="V125" s="16" t="s">
        <v>13966</v>
      </c>
      <c r="W125" s="16" t="s">
        <v>13938</v>
      </c>
      <c r="X125" s="174">
        <v>70.75</v>
      </c>
      <c r="Y125" s="174">
        <v>89.5</v>
      </c>
    </row>
    <row r="126" spans="1:25" s="1" customFormat="1" ht="15" customHeight="1" x14ac:dyDescent="0.25">
      <c r="A126" s="20" t="s">
        <v>13426</v>
      </c>
      <c r="B126" s="16" t="s">
        <v>13427</v>
      </c>
      <c r="C126" s="71" t="str">
        <f t="shared" si="1"/>
        <v>Product Info</v>
      </c>
      <c r="D126" s="93" t="s">
        <v>14665</v>
      </c>
      <c r="E126" s="143">
        <v>1</v>
      </c>
      <c r="F126" s="12" t="s">
        <v>4992</v>
      </c>
      <c r="G126" s="38">
        <v>105.29</v>
      </c>
      <c r="H126" s="38">
        <v>89.5</v>
      </c>
      <c r="I126" s="38">
        <v>73.7</v>
      </c>
      <c r="J126" s="39"/>
      <c r="K126" s="143"/>
      <c r="L126" s="22">
        <v>4</v>
      </c>
      <c r="M126" s="22" t="s">
        <v>12488</v>
      </c>
      <c r="N126" s="20" t="s">
        <v>9261</v>
      </c>
      <c r="O126" s="16" t="s">
        <v>13912</v>
      </c>
      <c r="P126" s="143">
        <v>819</v>
      </c>
      <c r="Q126" s="121" t="s">
        <v>14285</v>
      </c>
      <c r="R126" s="16" t="s">
        <v>8904</v>
      </c>
      <c r="S126" s="10" t="s">
        <v>1163</v>
      </c>
      <c r="T126" s="28" t="s">
        <v>13752</v>
      </c>
      <c r="U126" s="20" t="s">
        <v>5359</v>
      </c>
      <c r="V126" s="16" t="s">
        <v>13958</v>
      </c>
      <c r="W126" s="16" t="s">
        <v>13938</v>
      </c>
      <c r="X126" s="174">
        <v>70.75</v>
      </c>
      <c r="Y126" s="174">
        <v>89.5</v>
      </c>
    </row>
    <row r="127" spans="1:25" s="1" customFormat="1" ht="15" customHeight="1" x14ac:dyDescent="0.25">
      <c r="A127" s="20" t="s">
        <v>13450</v>
      </c>
      <c r="B127" s="16" t="s">
        <v>13451</v>
      </c>
      <c r="C127" s="71" t="str">
        <f t="shared" si="1"/>
        <v>Product Info</v>
      </c>
      <c r="D127" s="93" t="s">
        <v>14666</v>
      </c>
      <c r="E127" s="143">
        <v>1</v>
      </c>
      <c r="F127" s="12" t="s">
        <v>4992</v>
      </c>
      <c r="G127" s="38">
        <v>105.29</v>
      </c>
      <c r="H127" s="38">
        <v>89.5</v>
      </c>
      <c r="I127" s="38">
        <v>73.7</v>
      </c>
      <c r="J127" s="39"/>
      <c r="K127" s="143"/>
      <c r="L127" s="22">
        <v>4</v>
      </c>
      <c r="M127" s="22" t="s">
        <v>12488</v>
      </c>
      <c r="N127" s="20" t="s">
        <v>9261</v>
      </c>
      <c r="O127" s="16" t="s">
        <v>13912</v>
      </c>
      <c r="P127" s="143">
        <v>819</v>
      </c>
      <c r="Q127" s="121" t="s">
        <v>14285</v>
      </c>
      <c r="R127" s="16" t="s">
        <v>8904</v>
      </c>
      <c r="S127" s="10" t="s">
        <v>1163</v>
      </c>
      <c r="T127" s="28" t="s">
        <v>13764</v>
      </c>
      <c r="U127" s="20" t="s">
        <v>5359</v>
      </c>
      <c r="V127" s="16" t="s">
        <v>13970</v>
      </c>
      <c r="W127" s="16" t="s">
        <v>13938</v>
      </c>
      <c r="X127" s="174">
        <v>70.75</v>
      </c>
      <c r="Y127" s="174">
        <v>89.5</v>
      </c>
    </row>
    <row r="128" spans="1:25" s="1" customFormat="1" ht="15" customHeight="1" x14ac:dyDescent="0.25">
      <c r="A128" s="20" t="s">
        <v>13436</v>
      </c>
      <c r="B128" s="16" t="s">
        <v>13437</v>
      </c>
      <c r="C128" s="71" t="str">
        <f t="shared" si="1"/>
        <v>Product Info</v>
      </c>
      <c r="D128" s="93" t="s">
        <v>14667</v>
      </c>
      <c r="E128" s="143">
        <v>1</v>
      </c>
      <c r="F128" s="12" t="s">
        <v>4992</v>
      </c>
      <c r="G128" s="38">
        <v>105.29</v>
      </c>
      <c r="H128" s="38">
        <v>89.5</v>
      </c>
      <c r="I128" s="38">
        <v>73.7</v>
      </c>
      <c r="J128" s="39"/>
      <c r="K128" s="143"/>
      <c r="L128" s="22">
        <v>4</v>
      </c>
      <c r="M128" s="22" t="s">
        <v>12488</v>
      </c>
      <c r="N128" s="20" t="s">
        <v>9261</v>
      </c>
      <c r="O128" s="16" t="s">
        <v>13912</v>
      </c>
      <c r="P128" s="143">
        <v>819</v>
      </c>
      <c r="Q128" s="122" t="s">
        <v>9227</v>
      </c>
      <c r="R128" s="16" t="s">
        <v>8904</v>
      </c>
      <c r="S128" s="10" t="s">
        <v>1163</v>
      </c>
      <c r="T128" s="28" t="s">
        <v>13757</v>
      </c>
      <c r="U128" s="20" t="s">
        <v>5359</v>
      </c>
      <c r="V128" s="16" t="s">
        <v>13963</v>
      </c>
      <c r="W128" s="16" t="s">
        <v>13938</v>
      </c>
      <c r="X128" s="174">
        <v>70.75</v>
      </c>
      <c r="Y128" s="174">
        <v>89.5</v>
      </c>
    </row>
    <row r="129" spans="1:25" s="1" customFormat="1" ht="15" customHeight="1" x14ac:dyDescent="0.25">
      <c r="A129" s="20" t="s">
        <v>13438</v>
      </c>
      <c r="B129" s="16" t="s">
        <v>13439</v>
      </c>
      <c r="C129" s="71" t="str">
        <f t="shared" si="1"/>
        <v>Product Info</v>
      </c>
      <c r="D129" s="93" t="s">
        <v>14668</v>
      </c>
      <c r="E129" s="143">
        <v>1</v>
      </c>
      <c r="F129" s="12" t="s">
        <v>4992</v>
      </c>
      <c r="G129" s="38">
        <v>105.29</v>
      </c>
      <c r="H129" s="38">
        <v>89.5</v>
      </c>
      <c r="I129" s="38">
        <v>73.7</v>
      </c>
      <c r="J129" s="39"/>
      <c r="K129" s="143"/>
      <c r="L129" s="22">
        <v>4</v>
      </c>
      <c r="M129" s="22" t="s">
        <v>12488</v>
      </c>
      <c r="N129" s="20" t="s">
        <v>9261</v>
      </c>
      <c r="O129" s="16" t="s">
        <v>13912</v>
      </c>
      <c r="P129" s="143">
        <v>819</v>
      </c>
      <c r="Q129" s="122" t="s">
        <v>9227</v>
      </c>
      <c r="R129" s="16" t="s">
        <v>8904</v>
      </c>
      <c r="S129" s="10" t="s">
        <v>1163</v>
      </c>
      <c r="T129" s="28" t="s">
        <v>13758</v>
      </c>
      <c r="U129" s="20" t="s">
        <v>5359</v>
      </c>
      <c r="V129" s="16" t="s">
        <v>13964</v>
      </c>
      <c r="W129" s="16" t="s">
        <v>13938</v>
      </c>
      <c r="X129" s="174">
        <v>70.75</v>
      </c>
      <c r="Y129" s="174">
        <v>89.5</v>
      </c>
    </row>
    <row r="130" spans="1:25" s="1" customFormat="1" ht="15" customHeight="1" x14ac:dyDescent="0.25">
      <c r="A130" s="20" t="s">
        <v>13470</v>
      </c>
      <c r="B130" s="16" t="s">
        <v>13471</v>
      </c>
      <c r="C130" s="71" t="str">
        <f t="shared" si="1"/>
        <v>Product Info</v>
      </c>
      <c r="D130" s="93" t="s">
        <v>14669</v>
      </c>
      <c r="E130" s="143">
        <v>1</v>
      </c>
      <c r="F130" s="12" t="s">
        <v>4992</v>
      </c>
      <c r="G130" s="38">
        <v>105.29</v>
      </c>
      <c r="H130" s="38">
        <v>89.5</v>
      </c>
      <c r="I130" s="38">
        <v>73.7</v>
      </c>
      <c r="J130" s="39"/>
      <c r="K130" s="143"/>
      <c r="L130" s="22">
        <v>4</v>
      </c>
      <c r="M130" s="22" t="s">
        <v>12488</v>
      </c>
      <c r="N130" s="20" t="s">
        <v>14489</v>
      </c>
      <c r="O130" s="16" t="s">
        <v>13912</v>
      </c>
      <c r="P130" s="143">
        <v>819</v>
      </c>
      <c r="Q130" s="121" t="s">
        <v>14285</v>
      </c>
      <c r="R130" s="16" t="s">
        <v>8904</v>
      </c>
      <c r="S130" s="10" t="s">
        <v>1163</v>
      </c>
      <c r="T130" s="28" t="s">
        <v>13774</v>
      </c>
      <c r="U130" s="20" t="s">
        <v>5359</v>
      </c>
      <c r="V130" s="16" t="s">
        <v>13980</v>
      </c>
      <c r="W130" s="16" t="s">
        <v>13938</v>
      </c>
      <c r="X130" s="174">
        <v>70.75</v>
      </c>
      <c r="Y130" s="174">
        <v>89.5</v>
      </c>
    </row>
    <row r="131" spans="1:25" s="1" customFormat="1" ht="15" customHeight="1" x14ac:dyDescent="0.25">
      <c r="A131" s="20" t="s">
        <v>13456</v>
      </c>
      <c r="B131" s="16" t="s">
        <v>13457</v>
      </c>
      <c r="C131" s="71" t="str">
        <f t="shared" si="1"/>
        <v>Product Info</v>
      </c>
      <c r="D131" s="93" t="s">
        <v>14670</v>
      </c>
      <c r="E131" s="143">
        <v>1</v>
      </c>
      <c r="F131" s="12" t="s">
        <v>4992</v>
      </c>
      <c r="G131" s="38">
        <v>105.29</v>
      </c>
      <c r="H131" s="38">
        <v>89.5</v>
      </c>
      <c r="I131" s="38">
        <v>73.7</v>
      </c>
      <c r="J131" s="39"/>
      <c r="K131" s="143"/>
      <c r="L131" s="22">
        <v>4</v>
      </c>
      <c r="M131" s="22" t="s">
        <v>12488</v>
      </c>
      <c r="N131" s="20" t="s">
        <v>14489</v>
      </c>
      <c r="O131" s="16" t="s">
        <v>13912</v>
      </c>
      <c r="P131" s="143">
        <v>819</v>
      </c>
      <c r="Q131" s="121" t="s">
        <v>14285</v>
      </c>
      <c r="R131" s="16" t="s">
        <v>8904</v>
      </c>
      <c r="S131" s="10" t="s">
        <v>1163</v>
      </c>
      <c r="T131" s="28" t="s">
        <v>13767</v>
      </c>
      <c r="U131" s="20" t="s">
        <v>5359</v>
      </c>
      <c r="V131" s="16" t="s">
        <v>13973</v>
      </c>
      <c r="W131" s="16" t="s">
        <v>13938</v>
      </c>
      <c r="X131" s="174">
        <v>70.75</v>
      </c>
      <c r="Y131" s="174">
        <v>89.5</v>
      </c>
    </row>
    <row r="132" spans="1:25" s="1" customFormat="1" ht="15" customHeight="1" x14ac:dyDescent="0.25">
      <c r="A132" s="20" t="s">
        <v>13460</v>
      </c>
      <c r="B132" s="16" t="s">
        <v>13461</v>
      </c>
      <c r="C132" s="71" t="str">
        <f t="shared" si="1"/>
        <v>Product Info</v>
      </c>
      <c r="D132" s="93" t="s">
        <v>14671</v>
      </c>
      <c r="E132" s="143">
        <v>1</v>
      </c>
      <c r="F132" s="12" t="s">
        <v>4992</v>
      </c>
      <c r="G132" s="38">
        <v>105.29</v>
      </c>
      <c r="H132" s="38">
        <v>89.5</v>
      </c>
      <c r="I132" s="38">
        <v>73.7</v>
      </c>
      <c r="J132" s="39"/>
      <c r="K132" s="143"/>
      <c r="L132" s="22">
        <v>4</v>
      </c>
      <c r="M132" s="22" t="s">
        <v>12488</v>
      </c>
      <c r="N132" s="20" t="s">
        <v>14489</v>
      </c>
      <c r="O132" s="16" t="s">
        <v>13912</v>
      </c>
      <c r="P132" s="143">
        <v>819</v>
      </c>
      <c r="Q132" s="121" t="s">
        <v>14285</v>
      </c>
      <c r="R132" s="16" t="s">
        <v>8904</v>
      </c>
      <c r="S132" s="10" t="s">
        <v>1163</v>
      </c>
      <c r="T132" s="28" t="s">
        <v>13769</v>
      </c>
      <c r="U132" s="20" t="s">
        <v>5359</v>
      </c>
      <c r="V132" s="16" t="s">
        <v>13975</v>
      </c>
      <c r="W132" s="16" t="s">
        <v>13938</v>
      </c>
      <c r="X132" s="174">
        <v>70.75</v>
      </c>
      <c r="Y132" s="174">
        <v>89.5</v>
      </c>
    </row>
    <row r="133" spans="1:25" s="1" customFormat="1" ht="15" customHeight="1" x14ac:dyDescent="0.25">
      <c r="A133" s="20" t="s">
        <v>13464</v>
      </c>
      <c r="B133" s="16" t="s">
        <v>13465</v>
      </c>
      <c r="C133" s="71" t="str">
        <f t="shared" si="1"/>
        <v>Product Info</v>
      </c>
      <c r="D133" s="93" t="s">
        <v>14672</v>
      </c>
      <c r="E133" s="143">
        <v>1</v>
      </c>
      <c r="F133" s="12" t="s">
        <v>4992</v>
      </c>
      <c r="G133" s="38">
        <v>105.29</v>
      </c>
      <c r="H133" s="38">
        <v>89.5</v>
      </c>
      <c r="I133" s="38">
        <v>73.7</v>
      </c>
      <c r="J133" s="39"/>
      <c r="K133" s="143"/>
      <c r="L133" s="22">
        <v>4</v>
      </c>
      <c r="M133" s="22" t="s">
        <v>12488</v>
      </c>
      <c r="N133" s="20" t="s">
        <v>14489</v>
      </c>
      <c r="O133" s="16" t="s">
        <v>13912</v>
      </c>
      <c r="P133" s="143">
        <v>819</v>
      </c>
      <c r="Q133" s="121" t="s">
        <v>14285</v>
      </c>
      <c r="R133" s="16" t="s">
        <v>8904</v>
      </c>
      <c r="S133" s="10" t="s">
        <v>1163</v>
      </c>
      <c r="T133" s="28" t="s">
        <v>13771</v>
      </c>
      <c r="U133" s="20" t="s">
        <v>5359</v>
      </c>
      <c r="V133" s="16" t="s">
        <v>13977</v>
      </c>
      <c r="W133" s="16" t="s">
        <v>13938</v>
      </c>
      <c r="X133" s="174">
        <v>70.75</v>
      </c>
      <c r="Y133" s="174">
        <v>89.5</v>
      </c>
    </row>
    <row r="134" spans="1:25" s="1" customFormat="1" ht="15" customHeight="1" x14ac:dyDescent="0.25">
      <c r="A134" s="20" t="s">
        <v>13462</v>
      </c>
      <c r="B134" s="16" t="s">
        <v>13463</v>
      </c>
      <c r="C134" s="71" t="str">
        <f t="shared" ref="C134:C197" si="2">HYPERLINK(T134,U134)</f>
        <v>Product Info</v>
      </c>
      <c r="D134" s="93" t="s">
        <v>14673</v>
      </c>
      <c r="E134" s="143">
        <v>1</v>
      </c>
      <c r="F134" s="12" t="s">
        <v>4992</v>
      </c>
      <c r="G134" s="38">
        <v>105.29</v>
      </c>
      <c r="H134" s="38">
        <v>89.5</v>
      </c>
      <c r="I134" s="38">
        <v>73.7</v>
      </c>
      <c r="J134" s="39"/>
      <c r="K134" s="143"/>
      <c r="L134" s="22">
        <v>4</v>
      </c>
      <c r="M134" s="22" t="s">
        <v>12488</v>
      </c>
      <c r="N134" s="20" t="s">
        <v>14489</v>
      </c>
      <c r="O134" s="16" t="s">
        <v>13912</v>
      </c>
      <c r="P134" s="143">
        <v>819</v>
      </c>
      <c r="Q134" s="121" t="s">
        <v>14285</v>
      </c>
      <c r="R134" s="16" t="s">
        <v>8904</v>
      </c>
      <c r="S134" s="10" t="s">
        <v>1163</v>
      </c>
      <c r="T134" s="28" t="s">
        <v>13770</v>
      </c>
      <c r="U134" s="20" t="s">
        <v>5359</v>
      </c>
      <c r="V134" s="16" t="s">
        <v>13976</v>
      </c>
      <c r="W134" s="16" t="s">
        <v>13938</v>
      </c>
      <c r="X134" s="174">
        <v>70.75</v>
      </c>
      <c r="Y134" s="174">
        <v>89.5</v>
      </c>
    </row>
    <row r="135" spans="1:25" s="1" customFormat="1" ht="15" customHeight="1" x14ac:dyDescent="0.25">
      <c r="A135" s="20" t="s">
        <v>13468</v>
      </c>
      <c r="B135" s="16" t="s">
        <v>13469</v>
      </c>
      <c r="C135" s="71" t="str">
        <f t="shared" si="2"/>
        <v>Product Info</v>
      </c>
      <c r="D135" s="93" t="s">
        <v>14674</v>
      </c>
      <c r="E135" s="143">
        <v>1</v>
      </c>
      <c r="F135" s="12" t="s">
        <v>4992</v>
      </c>
      <c r="G135" s="38">
        <v>105.29</v>
      </c>
      <c r="H135" s="38">
        <v>89.5</v>
      </c>
      <c r="I135" s="38">
        <v>73.7</v>
      </c>
      <c r="J135" s="39"/>
      <c r="K135" s="143"/>
      <c r="L135" s="22">
        <v>4</v>
      </c>
      <c r="M135" s="22" t="s">
        <v>12488</v>
      </c>
      <c r="N135" s="20" t="s">
        <v>14489</v>
      </c>
      <c r="O135" s="16" t="s">
        <v>13912</v>
      </c>
      <c r="P135" s="143">
        <v>819</v>
      </c>
      <c r="Q135" s="121" t="s">
        <v>14285</v>
      </c>
      <c r="R135" s="16" t="s">
        <v>8904</v>
      </c>
      <c r="S135" s="10" t="s">
        <v>1163</v>
      </c>
      <c r="T135" s="28" t="s">
        <v>13773</v>
      </c>
      <c r="U135" s="20" t="s">
        <v>5359</v>
      </c>
      <c r="V135" s="16" t="s">
        <v>13979</v>
      </c>
      <c r="W135" s="16" t="s">
        <v>13938</v>
      </c>
      <c r="X135" s="174">
        <v>70.75</v>
      </c>
      <c r="Y135" s="174">
        <v>89.5</v>
      </c>
    </row>
    <row r="136" spans="1:25" s="1" customFormat="1" ht="15" customHeight="1" x14ac:dyDescent="0.25">
      <c r="A136" s="20" t="s">
        <v>13454</v>
      </c>
      <c r="B136" s="16" t="s">
        <v>13455</v>
      </c>
      <c r="C136" s="71" t="str">
        <f t="shared" si="2"/>
        <v>Product Info</v>
      </c>
      <c r="D136" s="93" t="s">
        <v>14675</v>
      </c>
      <c r="E136" s="143">
        <v>1</v>
      </c>
      <c r="F136" s="12" t="s">
        <v>4992</v>
      </c>
      <c r="G136" s="38">
        <v>105.29</v>
      </c>
      <c r="H136" s="38">
        <v>89.5</v>
      </c>
      <c r="I136" s="38">
        <v>73.7</v>
      </c>
      <c r="J136" s="39"/>
      <c r="K136" s="143"/>
      <c r="L136" s="22">
        <v>4</v>
      </c>
      <c r="M136" s="22" t="s">
        <v>12488</v>
      </c>
      <c r="N136" s="20" t="s">
        <v>14489</v>
      </c>
      <c r="O136" s="16" t="s">
        <v>13912</v>
      </c>
      <c r="P136" s="143">
        <v>819</v>
      </c>
      <c r="Q136" s="121" t="s">
        <v>14285</v>
      </c>
      <c r="R136" s="16" t="s">
        <v>8904</v>
      </c>
      <c r="S136" s="10" t="s">
        <v>1163</v>
      </c>
      <c r="T136" s="28" t="s">
        <v>13766</v>
      </c>
      <c r="U136" s="20" t="s">
        <v>5359</v>
      </c>
      <c r="V136" s="16" t="s">
        <v>13972</v>
      </c>
      <c r="W136" s="16" t="s">
        <v>13938</v>
      </c>
      <c r="X136" s="174">
        <v>70.75</v>
      </c>
      <c r="Y136" s="174">
        <v>89.5</v>
      </c>
    </row>
    <row r="137" spans="1:25" s="1" customFormat="1" ht="15" customHeight="1" x14ac:dyDescent="0.25">
      <c r="A137" s="20" t="s">
        <v>13458</v>
      </c>
      <c r="B137" s="16" t="s">
        <v>13459</v>
      </c>
      <c r="C137" s="71" t="str">
        <f t="shared" si="2"/>
        <v>Product Info</v>
      </c>
      <c r="D137" s="93" t="s">
        <v>14676</v>
      </c>
      <c r="E137" s="143">
        <v>1</v>
      </c>
      <c r="F137" s="12" t="s">
        <v>4992</v>
      </c>
      <c r="G137" s="38">
        <v>105.29</v>
      </c>
      <c r="H137" s="38">
        <v>89.5</v>
      </c>
      <c r="I137" s="38">
        <v>73.7</v>
      </c>
      <c r="J137" s="39"/>
      <c r="K137" s="143"/>
      <c r="L137" s="22">
        <v>4</v>
      </c>
      <c r="M137" s="22" t="s">
        <v>12488</v>
      </c>
      <c r="N137" s="20" t="s">
        <v>14489</v>
      </c>
      <c r="O137" s="16" t="s">
        <v>13912</v>
      </c>
      <c r="P137" s="143">
        <v>819</v>
      </c>
      <c r="Q137" s="121" t="s">
        <v>14285</v>
      </c>
      <c r="R137" s="16" t="s">
        <v>8904</v>
      </c>
      <c r="S137" s="10" t="s">
        <v>1163</v>
      </c>
      <c r="T137" s="28" t="s">
        <v>13768</v>
      </c>
      <c r="U137" s="20" t="s">
        <v>5359</v>
      </c>
      <c r="V137" s="16" t="s">
        <v>13974</v>
      </c>
      <c r="W137" s="16" t="s">
        <v>13938</v>
      </c>
      <c r="X137" s="174">
        <v>70.75</v>
      </c>
      <c r="Y137" s="174">
        <v>89.5</v>
      </c>
    </row>
    <row r="138" spans="1:25" s="1" customFormat="1" ht="15" customHeight="1" x14ac:dyDescent="0.25">
      <c r="A138" s="20" t="s">
        <v>13472</v>
      </c>
      <c r="B138" s="16" t="s">
        <v>13473</v>
      </c>
      <c r="C138" s="71" t="str">
        <f t="shared" si="2"/>
        <v>Product Info</v>
      </c>
      <c r="D138" s="93" t="s">
        <v>14677</v>
      </c>
      <c r="E138" s="143">
        <v>1</v>
      </c>
      <c r="F138" s="12" t="s">
        <v>4992</v>
      </c>
      <c r="G138" s="38">
        <v>105.29</v>
      </c>
      <c r="H138" s="38">
        <v>89.5</v>
      </c>
      <c r="I138" s="38">
        <v>73.7</v>
      </c>
      <c r="J138" s="39"/>
      <c r="K138" s="143"/>
      <c r="L138" s="22">
        <v>4</v>
      </c>
      <c r="M138" s="22" t="s">
        <v>12488</v>
      </c>
      <c r="N138" s="20" t="s">
        <v>14489</v>
      </c>
      <c r="O138" s="16" t="s">
        <v>13912</v>
      </c>
      <c r="P138" s="143">
        <v>819</v>
      </c>
      <c r="Q138" s="121" t="s">
        <v>14285</v>
      </c>
      <c r="R138" s="16" t="s">
        <v>8904</v>
      </c>
      <c r="S138" s="10" t="s">
        <v>1163</v>
      </c>
      <c r="T138" s="28" t="s">
        <v>13775</v>
      </c>
      <c r="U138" s="20" t="s">
        <v>5359</v>
      </c>
      <c r="V138" s="16" t="s">
        <v>13981</v>
      </c>
      <c r="W138" s="16" t="s">
        <v>13938</v>
      </c>
      <c r="X138" s="174">
        <v>70.75</v>
      </c>
      <c r="Y138" s="174">
        <v>89.5</v>
      </c>
    </row>
    <row r="139" spans="1:25" s="1" customFormat="1" ht="15" customHeight="1" x14ac:dyDescent="0.25">
      <c r="A139" s="20" t="s">
        <v>13466</v>
      </c>
      <c r="B139" s="16" t="s">
        <v>13467</v>
      </c>
      <c r="C139" s="71" t="str">
        <f t="shared" si="2"/>
        <v>Product Info</v>
      </c>
      <c r="D139" s="93" t="s">
        <v>14678</v>
      </c>
      <c r="E139" s="143">
        <v>1</v>
      </c>
      <c r="F139" s="12" t="s">
        <v>4992</v>
      </c>
      <c r="G139" s="38">
        <v>105.29</v>
      </c>
      <c r="H139" s="38">
        <v>89.5</v>
      </c>
      <c r="I139" s="38">
        <v>73.7</v>
      </c>
      <c r="J139" s="39"/>
      <c r="K139" s="143"/>
      <c r="L139" s="22">
        <v>4</v>
      </c>
      <c r="M139" s="22" t="s">
        <v>12488</v>
      </c>
      <c r="N139" s="20" t="s">
        <v>14489</v>
      </c>
      <c r="O139" s="16" t="s">
        <v>13912</v>
      </c>
      <c r="P139" s="143">
        <v>819</v>
      </c>
      <c r="Q139" s="121" t="s">
        <v>14285</v>
      </c>
      <c r="R139" s="16" t="s">
        <v>8904</v>
      </c>
      <c r="S139" s="10" t="s">
        <v>1163</v>
      </c>
      <c r="T139" s="28" t="s">
        <v>13772</v>
      </c>
      <c r="U139" s="20" t="s">
        <v>5359</v>
      </c>
      <c r="V139" s="16" t="s">
        <v>13978</v>
      </c>
      <c r="W139" s="16" t="s">
        <v>13938</v>
      </c>
      <c r="X139" s="174">
        <v>70.75</v>
      </c>
      <c r="Y139" s="174">
        <v>89.5</v>
      </c>
    </row>
    <row r="140" spans="1:25" s="1" customFormat="1" ht="15" customHeight="1" x14ac:dyDescent="0.25">
      <c r="A140" s="20" t="s">
        <v>13452</v>
      </c>
      <c r="B140" s="16" t="s">
        <v>13453</v>
      </c>
      <c r="C140" s="71" t="str">
        <f t="shared" si="2"/>
        <v>Product Info</v>
      </c>
      <c r="D140" s="93" t="s">
        <v>14679</v>
      </c>
      <c r="E140" s="143">
        <v>1</v>
      </c>
      <c r="F140" s="12" t="s">
        <v>4992</v>
      </c>
      <c r="G140" s="38">
        <v>105.29</v>
      </c>
      <c r="H140" s="38">
        <v>89.5</v>
      </c>
      <c r="I140" s="38">
        <v>73.7</v>
      </c>
      <c r="J140" s="39"/>
      <c r="K140" s="143"/>
      <c r="L140" s="22">
        <v>4</v>
      </c>
      <c r="M140" s="22" t="s">
        <v>12488</v>
      </c>
      <c r="N140" s="20" t="s">
        <v>14489</v>
      </c>
      <c r="O140" s="16" t="s">
        <v>13912</v>
      </c>
      <c r="P140" s="143">
        <v>819</v>
      </c>
      <c r="Q140" s="121" t="s">
        <v>14285</v>
      </c>
      <c r="R140" s="16" t="s">
        <v>8904</v>
      </c>
      <c r="S140" s="10" t="s">
        <v>1163</v>
      </c>
      <c r="T140" s="28" t="s">
        <v>13765</v>
      </c>
      <c r="U140" s="20" t="s">
        <v>5359</v>
      </c>
      <c r="V140" s="16" t="s">
        <v>13971</v>
      </c>
      <c r="W140" s="16" t="s">
        <v>13938</v>
      </c>
      <c r="X140" s="174">
        <v>70.75</v>
      </c>
      <c r="Y140" s="174">
        <v>89.5</v>
      </c>
    </row>
    <row r="141" spans="1:25" s="1" customFormat="1" ht="15" customHeight="1" x14ac:dyDescent="0.25">
      <c r="A141" s="20" t="s">
        <v>13688</v>
      </c>
      <c r="B141" s="16" t="s">
        <v>13689</v>
      </c>
      <c r="C141" s="71" t="str">
        <f t="shared" si="2"/>
        <v>Product Info</v>
      </c>
      <c r="D141" s="93" t="s">
        <v>14680</v>
      </c>
      <c r="E141" s="143">
        <v>1</v>
      </c>
      <c r="F141" s="12" t="s">
        <v>4992</v>
      </c>
      <c r="G141" s="38">
        <v>146.12</v>
      </c>
      <c r="H141" s="38">
        <v>124.21</v>
      </c>
      <c r="I141" s="38">
        <v>102.28</v>
      </c>
      <c r="J141" s="39"/>
      <c r="K141" s="143"/>
      <c r="L141" s="22">
        <v>4</v>
      </c>
      <c r="M141" s="22" t="s">
        <v>12488</v>
      </c>
      <c r="N141" s="20" t="s">
        <v>14489</v>
      </c>
      <c r="O141" s="16" t="s">
        <v>13912</v>
      </c>
      <c r="P141" s="143">
        <v>819</v>
      </c>
      <c r="Q141" s="121" t="s">
        <v>14285</v>
      </c>
      <c r="R141" s="16" t="s">
        <v>8904</v>
      </c>
      <c r="S141" s="10" t="s">
        <v>1163</v>
      </c>
      <c r="T141" s="28" t="s">
        <v>13882</v>
      </c>
      <c r="U141" s="20" t="s">
        <v>5359</v>
      </c>
      <c r="V141" s="16" t="s">
        <v>14105</v>
      </c>
      <c r="W141" s="16" t="s">
        <v>13938</v>
      </c>
      <c r="X141" s="174">
        <v>98.19</v>
      </c>
      <c r="Y141" s="174">
        <v>124.21</v>
      </c>
    </row>
    <row r="142" spans="1:25" s="1" customFormat="1" ht="15" customHeight="1" x14ac:dyDescent="0.25">
      <c r="A142" s="20" t="s">
        <v>13696</v>
      </c>
      <c r="B142" s="16" t="s">
        <v>13697</v>
      </c>
      <c r="C142" s="71" t="str">
        <f t="shared" si="2"/>
        <v>Product Info</v>
      </c>
      <c r="D142" s="93" t="s">
        <v>14681</v>
      </c>
      <c r="E142" s="143">
        <v>1</v>
      </c>
      <c r="F142" s="12" t="s">
        <v>4992</v>
      </c>
      <c r="G142" s="38">
        <v>67.44</v>
      </c>
      <c r="H142" s="38">
        <v>57.33</v>
      </c>
      <c r="I142" s="38">
        <v>47.21</v>
      </c>
      <c r="J142" s="39"/>
      <c r="K142" s="143"/>
      <c r="L142" s="22">
        <v>4</v>
      </c>
      <c r="M142" s="22" t="s">
        <v>12488</v>
      </c>
      <c r="N142" s="20" t="s">
        <v>14489</v>
      </c>
      <c r="O142" s="16" t="s">
        <v>13912</v>
      </c>
      <c r="P142" s="143">
        <v>819</v>
      </c>
      <c r="Q142" s="122" t="s">
        <v>9227</v>
      </c>
      <c r="R142" s="16" t="s">
        <v>8904</v>
      </c>
      <c r="S142" s="10" t="s">
        <v>1163</v>
      </c>
      <c r="T142" s="28" t="s">
        <v>13886</v>
      </c>
      <c r="U142" s="20" t="s">
        <v>5359</v>
      </c>
      <c r="V142" s="16" t="s">
        <v>14109</v>
      </c>
      <c r="W142" s="16" t="s">
        <v>13938</v>
      </c>
      <c r="X142" s="174">
        <v>45.32</v>
      </c>
      <c r="Y142" s="174">
        <v>57.33</v>
      </c>
    </row>
    <row r="143" spans="1:25" s="1" customFormat="1" ht="15" customHeight="1" x14ac:dyDescent="0.25">
      <c r="A143" s="20" t="s">
        <v>13698</v>
      </c>
      <c r="B143" s="16" t="s">
        <v>13699</v>
      </c>
      <c r="C143" s="71" t="str">
        <f t="shared" si="2"/>
        <v>Product Info</v>
      </c>
      <c r="D143" s="93" t="s">
        <v>14682</v>
      </c>
      <c r="E143" s="143">
        <v>1</v>
      </c>
      <c r="F143" s="12" t="s">
        <v>4992</v>
      </c>
      <c r="G143" s="38">
        <v>70.650000000000006</v>
      </c>
      <c r="H143" s="38">
        <v>60.06</v>
      </c>
      <c r="I143" s="38">
        <v>49.46</v>
      </c>
      <c r="J143" s="39"/>
      <c r="K143" s="143"/>
      <c r="L143" s="22">
        <v>4</v>
      </c>
      <c r="M143" s="22" t="s">
        <v>12488</v>
      </c>
      <c r="N143" s="20" t="s">
        <v>14489</v>
      </c>
      <c r="O143" s="16" t="s">
        <v>13912</v>
      </c>
      <c r="P143" s="143">
        <v>819</v>
      </c>
      <c r="Q143" s="122" t="s">
        <v>9227</v>
      </c>
      <c r="R143" s="16" t="s">
        <v>8904</v>
      </c>
      <c r="S143" s="10" t="s">
        <v>1163</v>
      </c>
      <c r="T143" s="28" t="s">
        <v>13887</v>
      </c>
      <c r="U143" s="20" t="s">
        <v>5359</v>
      </c>
      <c r="V143" s="16" t="s">
        <v>14110</v>
      </c>
      <c r="W143" s="16" t="s">
        <v>13938</v>
      </c>
      <c r="X143" s="174">
        <v>47.48</v>
      </c>
      <c r="Y143" s="174">
        <v>60.06</v>
      </c>
    </row>
    <row r="144" spans="1:25" s="1" customFormat="1" ht="15" customHeight="1" x14ac:dyDescent="0.25">
      <c r="A144" s="20" t="s">
        <v>13476</v>
      </c>
      <c r="B144" s="16" t="s">
        <v>13477</v>
      </c>
      <c r="C144" s="71" t="str">
        <f t="shared" si="2"/>
        <v>Product Info</v>
      </c>
      <c r="D144" s="93" t="s">
        <v>14683</v>
      </c>
      <c r="E144" s="143">
        <v>1</v>
      </c>
      <c r="F144" s="12" t="s">
        <v>4992</v>
      </c>
      <c r="G144" s="38">
        <v>105.29</v>
      </c>
      <c r="H144" s="38">
        <v>89.5</v>
      </c>
      <c r="I144" s="38">
        <v>73.7</v>
      </c>
      <c r="J144" s="39"/>
      <c r="K144" s="143"/>
      <c r="L144" s="22">
        <v>4</v>
      </c>
      <c r="M144" s="22" t="s">
        <v>12488</v>
      </c>
      <c r="N144" s="20" t="s">
        <v>14489</v>
      </c>
      <c r="O144" s="16" t="s">
        <v>13912</v>
      </c>
      <c r="P144" s="143">
        <v>819</v>
      </c>
      <c r="Q144" s="121" t="s">
        <v>14285</v>
      </c>
      <c r="R144" s="16" t="s">
        <v>8904</v>
      </c>
      <c r="S144" s="10" t="s">
        <v>1163</v>
      </c>
      <c r="T144" s="28" t="s">
        <v>13777</v>
      </c>
      <c r="U144" s="20" t="s">
        <v>5359</v>
      </c>
      <c r="V144" s="16" t="s">
        <v>13983</v>
      </c>
      <c r="W144" s="16" t="s">
        <v>13938</v>
      </c>
      <c r="X144" s="174">
        <v>70.75</v>
      </c>
      <c r="Y144" s="174">
        <v>89.5</v>
      </c>
    </row>
    <row r="145" spans="1:25" s="1" customFormat="1" ht="15" customHeight="1" x14ac:dyDescent="0.25">
      <c r="A145" s="20" t="s">
        <v>13478</v>
      </c>
      <c r="B145" s="16" t="s">
        <v>13479</v>
      </c>
      <c r="C145" s="71" t="str">
        <f t="shared" si="2"/>
        <v>Product Info</v>
      </c>
      <c r="D145" s="93" t="s">
        <v>14684</v>
      </c>
      <c r="E145" s="143">
        <v>1</v>
      </c>
      <c r="F145" s="12" t="s">
        <v>4992</v>
      </c>
      <c r="G145" s="38">
        <v>105.29</v>
      </c>
      <c r="H145" s="38">
        <v>89.5</v>
      </c>
      <c r="I145" s="38">
        <v>73.7</v>
      </c>
      <c r="J145" s="39"/>
      <c r="K145" s="143"/>
      <c r="L145" s="22">
        <v>4</v>
      </c>
      <c r="M145" s="22" t="s">
        <v>12488</v>
      </c>
      <c r="N145" s="20" t="s">
        <v>14489</v>
      </c>
      <c r="O145" s="16" t="s">
        <v>13912</v>
      </c>
      <c r="P145" s="143">
        <v>819</v>
      </c>
      <c r="Q145" s="121" t="s">
        <v>14285</v>
      </c>
      <c r="R145" s="16" t="s">
        <v>8904</v>
      </c>
      <c r="S145" s="10" t="s">
        <v>1163</v>
      </c>
      <c r="T145" s="28" t="s">
        <v>13777</v>
      </c>
      <c r="U145" s="20" t="s">
        <v>5359</v>
      </c>
      <c r="V145" s="16" t="s">
        <v>13984</v>
      </c>
      <c r="W145" s="16" t="s">
        <v>13938</v>
      </c>
      <c r="X145" s="174">
        <v>70.75</v>
      </c>
      <c r="Y145" s="174">
        <v>89.5</v>
      </c>
    </row>
    <row r="146" spans="1:25" s="1" customFormat="1" ht="15" customHeight="1" x14ac:dyDescent="0.25">
      <c r="A146" s="20" t="s">
        <v>13474</v>
      </c>
      <c r="B146" s="16" t="s">
        <v>13475</v>
      </c>
      <c r="C146" s="71" t="str">
        <f t="shared" si="2"/>
        <v>Product Info</v>
      </c>
      <c r="D146" s="93" t="s">
        <v>14685</v>
      </c>
      <c r="E146" s="143">
        <v>1</v>
      </c>
      <c r="F146" s="12" t="s">
        <v>4992</v>
      </c>
      <c r="G146" s="38">
        <v>105.29</v>
      </c>
      <c r="H146" s="38">
        <v>89.5</v>
      </c>
      <c r="I146" s="38">
        <v>73.7</v>
      </c>
      <c r="J146" s="39"/>
      <c r="K146" s="143"/>
      <c r="L146" s="22">
        <v>4</v>
      </c>
      <c r="M146" s="22" t="s">
        <v>12488</v>
      </c>
      <c r="N146" s="20" t="s">
        <v>14489</v>
      </c>
      <c r="O146" s="16" t="s">
        <v>13912</v>
      </c>
      <c r="P146" s="143">
        <v>819</v>
      </c>
      <c r="Q146" s="121" t="s">
        <v>14285</v>
      </c>
      <c r="R146" s="16" t="s">
        <v>8904</v>
      </c>
      <c r="S146" s="10" t="s">
        <v>1163</v>
      </c>
      <c r="T146" s="28" t="s">
        <v>13776</v>
      </c>
      <c r="U146" s="20" t="s">
        <v>5359</v>
      </c>
      <c r="V146" s="16" t="s">
        <v>13982</v>
      </c>
      <c r="W146" s="16" t="s">
        <v>13938</v>
      </c>
      <c r="X146" s="174">
        <v>70.75</v>
      </c>
      <c r="Y146" s="174">
        <v>89.5</v>
      </c>
    </row>
    <row r="147" spans="1:25" s="1" customFormat="1" ht="15" customHeight="1" x14ac:dyDescent="0.25">
      <c r="A147" s="20" t="s">
        <v>13480</v>
      </c>
      <c r="B147" s="16" t="s">
        <v>13481</v>
      </c>
      <c r="C147" s="71" t="str">
        <f t="shared" si="2"/>
        <v>Product Info</v>
      </c>
      <c r="D147" s="93" t="s">
        <v>14686</v>
      </c>
      <c r="E147" s="143">
        <v>1</v>
      </c>
      <c r="F147" s="12" t="s">
        <v>4992</v>
      </c>
      <c r="G147" s="38">
        <v>105.29</v>
      </c>
      <c r="H147" s="38">
        <v>89.5</v>
      </c>
      <c r="I147" s="38">
        <v>73.7</v>
      </c>
      <c r="J147" s="39"/>
      <c r="K147" s="143"/>
      <c r="L147" s="22">
        <v>4</v>
      </c>
      <c r="M147" s="22" t="s">
        <v>12488</v>
      </c>
      <c r="N147" s="20" t="s">
        <v>14489</v>
      </c>
      <c r="O147" s="16" t="s">
        <v>13912</v>
      </c>
      <c r="P147" s="143">
        <v>819</v>
      </c>
      <c r="Q147" s="121" t="s">
        <v>14285</v>
      </c>
      <c r="R147" s="16" t="s">
        <v>8904</v>
      </c>
      <c r="S147" s="10" t="s">
        <v>1163</v>
      </c>
      <c r="T147" s="28" t="s">
        <v>13778</v>
      </c>
      <c r="U147" s="20" t="s">
        <v>5359</v>
      </c>
      <c r="V147" s="16" t="s">
        <v>13985</v>
      </c>
      <c r="W147" s="16" t="s">
        <v>13938</v>
      </c>
      <c r="X147" s="174">
        <v>70.75</v>
      </c>
      <c r="Y147" s="174">
        <v>89.5</v>
      </c>
    </row>
    <row r="148" spans="1:25" s="1" customFormat="1" ht="15" customHeight="1" x14ac:dyDescent="0.25">
      <c r="A148" s="10" t="s">
        <v>13950</v>
      </c>
      <c r="B148" s="52" t="s">
        <v>13951</v>
      </c>
      <c r="C148" s="71" t="str">
        <f t="shared" si="2"/>
        <v>Product Info</v>
      </c>
      <c r="D148" s="93" t="s">
        <v>14687</v>
      </c>
      <c r="E148" s="143">
        <v>1</v>
      </c>
      <c r="F148" s="12" t="s">
        <v>4992</v>
      </c>
      <c r="G148" s="38">
        <v>658.3</v>
      </c>
      <c r="H148" s="38">
        <v>559.57000000000005</v>
      </c>
      <c r="I148" s="38">
        <v>460.81</v>
      </c>
      <c r="J148" s="39"/>
      <c r="K148" s="143"/>
      <c r="L148" s="13">
        <v>2</v>
      </c>
      <c r="M148" s="13" t="s">
        <v>12487</v>
      </c>
      <c r="N148" s="20" t="s">
        <v>12606</v>
      </c>
      <c r="O148" s="16"/>
      <c r="P148" s="143">
        <v>748</v>
      </c>
      <c r="Q148" s="121" t="s">
        <v>14285</v>
      </c>
      <c r="R148" s="16" t="s">
        <v>8904</v>
      </c>
      <c r="S148" s="10" t="s">
        <v>1163</v>
      </c>
      <c r="T148" s="15" t="s">
        <v>14487</v>
      </c>
      <c r="U148" s="20" t="s">
        <v>5359</v>
      </c>
      <c r="V148" s="14" t="s">
        <v>13950</v>
      </c>
      <c r="W148" s="11" t="s">
        <v>14399</v>
      </c>
      <c r="X148" s="174">
        <v>442.38</v>
      </c>
      <c r="Y148" s="174">
        <v>559.57000000000005</v>
      </c>
    </row>
    <row r="149" spans="1:25" s="1" customFormat="1" ht="15" customHeight="1" x14ac:dyDescent="0.25">
      <c r="A149" s="10" t="s">
        <v>13948</v>
      </c>
      <c r="B149" s="52" t="s">
        <v>13949</v>
      </c>
      <c r="C149" s="71" t="str">
        <f t="shared" si="2"/>
        <v>Product Info</v>
      </c>
      <c r="D149" s="93" t="s">
        <v>14688</v>
      </c>
      <c r="E149" s="143">
        <v>1</v>
      </c>
      <c r="F149" s="12" t="s">
        <v>4992</v>
      </c>
      <c r="G149" s="38">
        <v>672.8</v>
      </c>
      <c r="H149" s="38">
        <v>571.9</v>
      </c>
      <c r="I149" s="38">
        <v>470.96</v>
      </c>
      <c r="J149" s="39"/>
      <c r="K149" s="143"/>
      <c r="L149" s="13">
        <v>7.0000000000000007E-2</v>
      </c>
      <c r="M149" s="13" t="s">
        <v>12487</v>
      </c>
      <c r="N149" s="20" t="s">
        <v>14485</v>
      </c>
      <c r="O149" s="16"/>
      <c r="P149" s="143">
        <v>748</v>
      </c>
      <c r="Q149" s="121" t="s">
        <v>14285</v>
      </c>
      <c r="R149" s="16" t="s">
        <v>8904</v>
      </c>
      <c r="S149" s="10" t="s">
        <v>1163</v>
      </c>
      <c r="T149" s="15" t="s">
        <v>14486</v>
      </c>
      <c r="U149" s="20" t="s">
        <v>5359</v>
      </c>
      <c r="V149" s="14" t="s">
        <v>13948</v>
      </c>
      <c r="W149" s="11" t="s">
        <v>14399</v>
      </c>
      <c r="X149" s="174">
        <v>452.12</v>
      </c>
      <c r="Y149" s="174">
        <v>571.9</v>
      </c>
    </row>
    <row r="150" spans="1:25" s="1" customFormat="1" ht="15" customHeight="1" x14ac:dyDescent="0.25">
      <c r="A150" s="20" t="s">
        <v>14130</v>
      </c>
      <c r="B150" s="16" t="s">
        <v>14246</v>
      </c>
      <c r="C150" s="71" t="str">
        <f t="shared" si="2"/>
        <v>Product Info</v>
      </c>
      <c r="D150" s="93" t="s">
        <v>14689</v>
      </c>
      <c r="E150" s="143">
        <v>1</v>
      </c>
      <c r="F150" s="143" t="s">
        <v>4992</v>
      </c>
      <c r="G150" s="38">
        <v>1653.53</v>
      </c>
      <c r="H150" s="38">
        <v>1405.55</v>
      </c>
      <c r="I150" s="38">
        <v>1157.47</v>
      </c>
      <c r="J150" s="39"/>
      <c r="K150" s="143"/>
      <c r="L150" s="22">
        <v>10</v>
      </c>
      <c r="M150" s="22" t="s">
        <v>12488</v>
      </c>
      <c r="N150" s="20" t="s">
        <v>9494</v>
      </c>
      <c r="O150" s="16" t="s">
        <v>13912</v>
      </c>
      <c r="P150" s="143">
        <v>752</v>
      </c>
      <c r="Q150" s="121" t="s">
        <v>14285</v>
      </c>
      <c r="R150" s="16" t="s">
        <v>8904</v>
      </c>
      <c r="S150" s="10" t="s">
        <v>1163</v>
      </c>
      <c r="T150" s="15" t="s">
        <v>14298</v>
      </c>
      <c r="U150" s="20" t="s">
        <v>5359</v>
      </c>
      <c r="V150" s="20" t="s">
        <v>14130</v>
      </c>
      <c r="W150" s="20" t="s">
        <v>14283</v>
      </c>
      <c r="X150" s="174">
        <v>1041.72</v>
      </c>
      <c r="Y150" s="174">
        <v>1405.55</v>
      </c>
    </row>
    <row r="151" spans="1:25" s="1" customFormat="1" ht="15" customHeight="1" x14ac:dyDescent="0.25">
      <c r="A151" s="20" t="s">
        <v>14087</v>
      </c>
      <c r="B151" s="37" t="s">
        <v>14088</v>
      </c>
      <c r="C151" s="71" t="str">
        <f t="shared" si="2"/>
        <v>Product Info</v>
      </c>
      <c r="D151" s="93" t="s">
        <v>14691</v>
      </c>
      <c r="E151" s="143">
        <v>1</v>
      </c>
      <c r="F151" s="143" t="s">
        <v>4992</v>
      </c>
      <c r="G151" s="38">
        <v>1291.9100000000001</v>
      </c>
      <c r="H151" s="38">
        <v>1098.17</v>
      </c>
      <c r="I151" s="38">
        <v>904.34</v>
      </c>
      <c r="J151" s="39"/>
      <c r="K151" s="143"/>
      <c r="L151" s="22">
        <v>8.1</v>
      </c>
      <c r="M151" s="22" t="s">
        <v>12488</v>
      </c>
      <c r="N151" s="20" t="s">
        <v>14492</v>
      </c>
      <c r="O151" s="16" t="s">
        <v>13912</v>
      </c>
      <c r="P151" s="143">
        <v>752</v>
      </c>
      <c r="Q151" s="121" t="s">
        <v>14285</v>
      </c>
      <c r="R151" s="16" t="s">
        <v>8904</v>
      </c>
      <c r="S151" s="10" t="s">
        <v>1163</v>
      </c>
      <c r="T151" s="15" t="s">
        <v>14426</v>
      </c>
      <c r="U151" s="20" t="s">
        <v>5359</v>
      </c>
      <c r="V151" s="20" t="s">
        <v>14087</v>
      </c>
      <c r="W151" s="20" t="s">
        <v>14283</v>
      </c>
      <c r="X151" s="174">
        <v>813.91</v>
      </c>
      <c r="Y151" s="174">
        <v>1098.17</v>
      </c>
    </row>
    <row r="152" spans="1:25" s="1" customFormat="1" ht="15" customHeight="1" x14ac:dyDescent="0.25">
      <c r="A152" s="20" t="s">
        <v>8575</v>
      </c>
      <c r="B152" s="14" t="s">
        <v>8186</v>
      </c>
      <c r="C152" s="71" t="str">
        <f t="shared" si="2"/>
        <v>Product Info</v>
      </c>
      <c r="D152" s="93" t="s">
        <v>14692</v>
      </c>
      <c r="E152" s="143">
        <v>1</v>
      </c>
      <c r="F152" s="12" t="s">
        <v>4992</v>
      </c>
      <c r="G152" s="38">
        <v>1446.93</v>
      </c>
      <c r="H152" s="38">
        <f>I152</f>
        <v>1012.85</v>
      </c>
      <c r="I152" s="38">
        <v>1012.85</v>
      </c>
      <c r="J152" s="39"/>
      <c r="K152" s="143"/>
      <c r="L152" s="22">
        <v>0</v>
      </c>
      <c r="M152" s="22">
        <v>0</v>
      </c>
      <c r="N152" s="20" t="s">
        <v>14489</v>
      </c>
      <c r="O152" s="16">
        <v>0</v>
      </c>
      <c r="P152" s="143" t="s">
        <v>12555</v>
      </c>
      <c r="Q152" s="121" t="s">
        <v>14285</v>
      </c>
      <c r="R152" s="16" t="s">
        <v>8904</v>
      </c>
      <c r="S152" s="10" t="s">
        <v>194</v>
      </c>
      <c r="T152" s="28" t="s">
        <v>11897</v>
      </c>
      <c r="U152" s="20" t="s">
        <v>5359</v>
      </c>
      <c r="V152" s="16" t="s">
        <v>8575</v>
      </c>
      <c r="W152" s="11" t="s">
        <v>14433</v>
      </c>
      <c r="X152" s="174">
        <v>988</v>
      </c>
      <c r="Y152" s="174">
        <v>1012.85</v>
      </c>
    </row>
    <row r="153" spans="1:25" s="1" customFormat="1" ht="15" customHeight="1" x14ac:dyDescent="0.25">
      <c r="A153" s="20" t="s">
        <v>13414</v>
      </c>
      <c r="B153" s="16" t="s">
        <v>13415</v>
      </c>
      <c r="C153" s="71" t="str">
        <f t="shared" si="2"/>
        <v>Product Info</v>
      </c>
      <c r="D153" s="93" t="s">
        <v>14693</v>
      </c>
      <c r="E153" s="143">
        <v>1</v>
      </c>
      <c r="F153" s="12" t="s">
        <v>4992</v>
      </c>
      <c r="G153" s="38">
        <v>7.0000000000000007E-2</v>
      </c>
      <c r="H153" s="38">
        <v>0.06</v>
      </c>
      <c r="I153" s="38">
        <v>0.05</v>
      </c>
      <c r="J153" s="39"/>
      <c r="K153" s="143"/>
      <c r="L153" s="22">
        <v>4</v>
      </c>
      <c r="M153" s="22" t="s">
        <v>12488</v>
      </c>
      <c r="N153" s="20" t="s">
        <v>14489</v>
      </c>
      <c r="O153" s="16" t="s">
        <v>13912</v>
      </c>
      <c r="P153" s="143">
        <v>819</v>
      </c>
      <c r="Q153" s="122" t="s">
        <v>9227</v>
      </c>
      <c r="R153" s="16" t="s">
        <v>8904</v>
      </c>
      <c r="S153" s="10" t="s">
        <v>1163</v>
      </c>
      <c r="T153" s="28" t="s">
        <v>13747</v>
      </c>
      <c r="U153" s="20" t="s">
        <v>5359</v>
      </c>
      <c r="V153" s="16" t="s">
        <v>13935</v>
      </c>
      <c r="W153" s="16" t="s">
        <v>13938</v>
      </c>
      <c r="X153" s="174">
        <v>0.05</v>
      </c>
      <c r="Y153" s="174">
        <v>0.06</v>
      </c>
    </row>
    <row r="154" spans="1:25" s="1" customFormat="1" ht="15" customHeight="1" x14ac:dyDescent="0.25">
      <c r="A154" s="20" t="s">
        <v>13412</v>
      </c>
      <c r="B154" s="16" t="s">
        <v>13413</v>
      </c>
      <c r="C154" s="71" t="str">
        <f t="shared" si="2"/>
        <v>Product Info</v>
      </c>
      <c r="D154" s="93" t="s">
        <v>14694</v>
      </c>
      <c r="E154" s="143">
        <v>1</v>
      </c>
      <c r="F154" s="12" t="s">
        <v>4992</v>
      </c>
      <c r="G154" s="38">
        <v>7.0000000000000007E-2</v>
      </c>
      <c r="H154" s="38">
        <v>0.06</v>
      </c>
      <c r="I154" s="38">
        <v>0.05</v>
      </c>
      <c r="J154" s="39"/>
      <c r="K154" s="143"/>
      <c r="L154" s="22">
        <v>4</v>
      </c>
      <c r="M154" s="22" t="s">
        <v>12488</v>
      </c>
      <c r="N154" s="20" t="s">
        <v>14489</v>
      </c>
      <c r="O154" s="16" t="s">
        <v>13912</v>
      </c>
      <c r="P154" s="143">
        <v>819</v>
      </c>
      <c r="Q154" s="122" t="s">
        <v>9227</v>
      </c>
      <c r="R154" s="16" t="s">
        <v>8904</v>
      </c>
      <c r="S154" s="10" t="s">
        <v>1163</v>
      </c>
      <c r="T154" s="28" t="s">
        <v>13746</v>
      </c>
      <c r="U154" s="20" t="s">
        <v>5359</v>
      </c>
      <c r="V154" s="16" t="s">
        <v>13934</v>
      </c>
      <c r="W154" s="16" t="s">
        <v>13938</v>
      </c>
      <c r="X154" s="174">
        <v>0.05</v>
      </c>
      <c r="Y154" s="174">
        <v>0.06</v>
      </c>
    </row>
    <row r="155" spans="1:25" s="1" customFormat="1" ht="15" customHeight="1" x14ac:dyDescent="0.25">
      <c r="A155" s="20" t="s">
        <v>13410</v>
      </c>
      <c r="B155" s="16" t="s">
        <v>13411</v>
      </c>
      <c r="C155" s="71" t="str">
        <f t="shared" si="2"/>
        <v>Product Info</v>
      </c>
      <c r="D155" s="93" t="s">
        <v>14695</v>
      </c>
      <c r="E155" s="143">
        <v>1</v>
      </c>
      <c r="F155" s="12" t="s">
        <v>4992</v>
      </c>
      <c r="G155" s="38">
        <v>7.0000000000000007E-2</v>
      </c>
      <c r="H155" s="38">
        <v>0.06</v>
      </c>
      <c r="I155" s="38">
        <v>0.05</v>
      </c>
      <c r="J155" s="39"/>
      <c r="K155" s="143"/>
      <c r="L155" s="22">
        <v>4</v>
      </c>
      <c r="M155" s="22" t="s">
        <v>12488</v>
      </c>
      <c r="N155" s="20" t="s">
        <v>14489</v>
      </c>
      <c r="O155" s="16" t="s">
        <v>13912</v>
      </c>
      <c r="P155" s="143">
        <v>819</v>
      </c>
      <c r="Q155" s="122" t="s">
        <v>9227</v>
      </c>
      <c r="R155" s="16" t="s">
        <v>8904</v>
      </c>
      <c r="S155" s="10" t="s">
        <v>1163</v>
      </c>
      <c r="T155" s="28" t="s">
        <v>13745</v>
      </c>
      <c r="U155" s="20" t="s">
        <v>5359</v>
      </c>
      <c r="V155" s="16" t="s">
        <v>13933</v>
      </c>
      <c r="W155" s="16" t="s">
        <v>13938</v>
      </c>
      <c r="X155" s="174">
        <v>0.05</v>
      </c>
      <c r="Y155" s="174">
        <v>0.06</v>
      </c>
    </row>
    <row r="156" spans="1:25" s="1" customFormat="1" ht="15" customHeight="1" x14ac:dyDescent="0.25">
      <c r="A156" s="20" t="s">
        <v>13712</v>
      </c>
      <c r="B156" s="16" t="s">
        <v>13713</v>
      </c>
      <c r="C156" s="71" t="str">
        <f t="shared" si="2"/>
        <v>Product Info</v>
      </c>
      <c r="D156" s="93" t="s">
        <v>14696</v>
      </c>
      <c r="E156" s="143">
        <v>1</v>
      </c>
      <c r="F156" s="12" t="s">
        <v>4992</v>
      </c>
      <c r="G156" s="38">
        <v>313.11</v>
      </c>
      <c r="H156" s="38">
        <v>266.16000000000003</v>
      </c>
      <c r="I156" s="38">
        <v>219.18</v>
      </c>
      <c r="J156" s="39"/>
      <c r="K156" s="143"/>
      <c r="L156" s="22">
        <v>4</v>
      </c>
      <c r="M156" s="22" t="s">
        <v>12488</v>
      </c>
      <c r="N156" s="20" t="s">
        <v>14489</v>
      </c>
      <c r="O156" s="16" t="s">
        <v>13912</v>
      </c>
      <c r="P156" s="143">
        <v>819</v>
      </c>
      <c r="Q156" s="122" t="s">
        <v>9227</v>
      </c>
      <c r="R156" s="16" t="s">
        <v>8904</v>
      </c>
      <c r="S156" s="10" t="s">
        <v>1163</v>
      </c>
      <c r="T156" s="28" t="s">
        <v>13894</v>
      </c>
      <c r="U156" s="20" t="s">
        <v>5359</v>
      </c>
      <c r="V156" s="16" t="s">
        <v>14117</v>
      </c>
      <c r="W156" s="16" t="s">
        <v>13938</v>
      </c>
      <c r="X156" s="174">
        <v>210.41</v>
      </c>
      <c r="Y156" s="174">
        <v>266.16000000000003</v>
      </c>
    </row>
    <row r="157" spans="1:25" s="1" customFormat="1" ht="15" customHeight="1" x14ac:dyDescent="0.25">
      <c r="A157" s="20" t="s">
        <v>13714</v>
      </c>
      <c r="B157" s="16" t="s">
        <v>13715</v>
      </c>
      <c r="C157" s="71" t="str">
        <f t="shared" si="2"/>
        <v>Product Info</v>
      </c>
      <c r="D157" s="93" t="s">
        <v>14697</v>
      </c>
      <c r="E157" s="143">
        <v>1</v>
      </c>
      <c r="F157" s="12" t="s">
        <v>4992</v>
      </c>
      <c r="G157" s="38">
        <v>317.13</v>
      </c>
      <c r="H157" s="38">
        <v>269.57</v>
      </c>
      <c r="I157" s="38">
        <v>221.99</v>
      </c>
      <c r="J157" s="39"/>
      <c r="K157" s="143"/>
      <c r="L157" s="22">
        <v>4</v>
      </c>
      <c r="M157" s="22" t="s">
        <v>12488</v>
      </c>
      <c r="N157" s="20" t="s">
        <v>14489</v>
      </c>
      <c r="O157" s="16" t="s">
        <v>13912</v>
      </c>
      <c r="P157" s="143">
        <v>819</v>
      </c>
      <c r="Q157" s="122" t="s">
        <v>9227</v>
      </c>
      <c r="R157" s="16" t="s">
        <v>8904</v>
      </c>
      <c r="S157" s="10" t="s">
        <v>1163</v>
      </c>
      <c r="T157" s="28" t="s">
        <v>13895</v>
      </c>
      <c r="U157" s="20" t="s">
        <v>5359</v>
      </c>
      <c r="V157" s="16" t="s">
        <v>14118</v>
      </c>
      <c r="W157" s="16" t="s">
        <v>13938</v>
      </c>
      <c r="X157" s="174">
        <v>213.11</v>
      </c>
      <c r="Y157" s="174">
        <v>269.57</v>
      </c>
    </row>
    <row r="158" spans="1:25" s="1" customFormat="1" ht="15" customHeight="1" x14ac:dyDescent="0.25">
      <c r="A158" s="20" t="s">
        <v>14237</v>
      </c>
      <c r="B158" s="37" t="s">
        <v>14238</v>
      </c>
      <c r="C158" s="71" t="str">
        <f t="shared" si="2"/>
        <v>Product Info</v>
      </c>
      <c r="D158" s="93" t="s">
        <v>14698</v>
      </c>
      <c r="E158" s="143">
        <v>1</v>
      </c>
      <c r="F158" s="143" t="s">
        <v>4992</v>
      </c>
      <c r="G158" s="38">
        <v>369.34</v>
      </c>
      <c r="H158" s="38">
        <v>313.95</v>
      </c>
      <c r="I158" s="38">
        <v>258.54000000000002</v>
      </c>
      <c r="J158" s="39"/>
      <c r="K158" s="143"/>
      <c r="L158" s="22">
        <v>8</v>
      </c>
      <c r="M158" s="22" t="s">
        <v>12488</v>
      </c>
      <c r="N158" s="20" t="s">
        <v>9362</v>
      </c>
      <c r="O158" s="16" t="s">
        <v>13912</v>
      </c>
      <c r="P158" s="143">
        <v>751</v>
      </c>
      <c r="Q158" s="121" t="s">
        <v>14285</v>
      </c>
      <c r="R158" s="16" t="s">
        <v>8904</v>
      </c>
      <c r="S158" s="10" t="s">
        <v>1163</v>
      </c>
      <c r="T158" s="15" t="s">
        <v>14300</v>
      </c>
      <c r="U158" s="20" t="s">
        <v>5359</v>
      </c>
      <c r="V158" s="20" t="s">
        <v>14237</v>
      </c>
      <c r="W158" s="20" t="s">
        <v>14284</v>
      </c>
      <c r="X158" s="174">
        <v>232.69</v>
      </c>
      <c r="Y158" s="174">
        <v>288.834</v>
      </c>
    </row>
    <row r="159" spans="1:25" s="1" customFormat="1" ht="15" customHeight="1" x14ac:dyDescent="0.25">
      <c r="A159" s="20" t="s">
        <v>14239</v>
      </c>
      <c r="B159" s="37" t="s">
        <v>14240</v>
      </c>
      <c r="C159" s="71" t="str">
        <f t="shared" si="2"/>
        <v>Product Info</v>
      </c>
      <c r="D159" s="93" t="s">
        <v>14699</v>
      </c>
      <c r="E159" s="143">
        <v>1</v>
      </c>
      <c r="F159" s="143" t="s">
        <v>4992</v>
      </c>
      <c r="G159" s="38">
        <v>404.03</v>
      </c>
      <c r="H159" s="38">
        <v>343.44</v>
      </c>
      <c r="I159" s="38">
        <v>282.82</v>
      </c>
      <c r="J159" s="39"/>
      <c r="K159" s="143"/>
      <c r="L159" s="22">
        <v>8</v>
      </c>
      <c r="M159" s="22" t="s">
        <v>12488</v>
      </c>
      <c r="N159" s="20" t="s">
        <v>13077</v>
      </c>
      <c r="O159" s="16" t="s">
        <v>13912</v>
      </c>
      <c r="P159" s="143">
        <v>751</v>
      </c>
      <c r="Q159" s="121" t="s">
        <v>14285</v>
      </c>
      <c r="R159" s="16" t="s">
        <v>8904</v>
      </c>
      <c r="S159" s="10" t="s">
        <v>1163</v>
      </c>
      <c r="T159" s="15" t="s">
        <v>14301</v>
      </c>
      <c r="U159" s="20" t="s">
        <v>5359</v>
      </c>
      <c r="V159" s="20" t="s">
        <v>14239</v>
      </c>
      <c r="W159" s="20" t="s">
        <v>14284</v>
      </c>
      <c r="X159" s="174">
        <v>254.54</v>
      </c>
      <c r="Y159" s="174">
        <v>315.96480000000003</v>
      </c>
    </row>
    <row r="160" spans="1:25" s="1" customFormat="1" ht="15" customHeight="1" x14ac:dyDescent="0.25">
      <c r="A160" s="20" t="s">
        <v>14241</v>
      </c>
      <c r="B160" s="37" t="s">
        <v>14242</v>
      </c>
      <c r="C160" s="71" t="str">
        <f t="shared" si="2"/>
        <v>Product Info</v>
      </c>
      <c r="D160" s="93" t="s">
        <v>14700</v>
      </c>
      <c r="E160" s="143">
        <v>1</v>
      </c>
      <c r="F160" s="143" t="s">
        <v>4992</v>
      </c>
      <c r="G160" s="38">
        <v>510.54</v>
      </c>
      <c r="H160" s="38">
        <v>433.98</v>
      </c>
      <c r="I160" s="38">
        <v>357.38</v>
      </c>
      <c r="J160" s="39"/>
      <c r="K160" s="143"/>
      <c r="L160" s="22">
        <v>8</v>
      </c>
      <c r="M160" s="22" t="s">
        <v>12488</v>
      </c>
      <c r="N160" s="20" t="s">
        <v>13077</v>
      </c>
      <c r="O160" s="16" t="s">
        <v>13912</v>
      </c>
      <c r="P160" s="143">
        <v>751</v>
      </c>
      <c r="Q160" s="121" t="s">
        <v>14285</v>
      </c>
      <c r="R160" s="16" t="s">
        <v>8904</v>
      </c>
      <c r="S160" s="10" t="s">
        <v>1163</v>
      </c>
      <c r="T160" s="15" t="s">
        <v>14302</v>
      </c>
      <c r="U160" s="20" t="s">
        <v>5359</v>
      </c>
      <c r="V160" s="20" t="s">
        <v>14241</v>
      </c>
      <c r="W160" s="20" t="s">
        <v>14284</v>
      </c>
      <c r="X160" s="174">
        <v>321.64</v>
      </c>
      <c r="Y160" s="174">
        <v>399.26160000000004</v>
      </c>
    </row>
    <row r="161" spans="1:25" s="1" customFormat="1" ht="15" customHeight="1" x14ac:dyDescent="0.25">
      <c r="A161" s="20" t="s">
        <v>13488</v>
      </c>
      <c r="B161" s="16" t="s">
        <v>13489</v>
      </c>
      <c r="C161" s="71" t="str">
        <f t="shared" si="2"/>
        <v>Product Info</v>
      </c>
      <c r="D161" s="93" t="s">
        <v>14701</v>
      </c>
      <c r="E161" s="143">
        <v>1</v>
      </c>
      <c r="F161" s="12" t="s">
        <v>4992</v>
      </c>
      <c r="G161" s="38">
        <v>105.29</v>
      </c>
      <c r="H161" s="38">
        <v>89.5</v>
      </c>
      <c r="I161" s="38">
        <v>73.7</v>
      </c>
      <c r="J161" s="39"/>
      <c r="K161" s="143"/>
      <c r="L161" s="22">
        <v>4</v>
      </c>
      <c r="M161" s="22" t="s">
        <v>12488</v>
      </c>
      <c r="N161" s="20" t="s">
        <v>14489</v>
      </c>
      <c r="O161" s="16" t="s">
        <v>13912</v>
      </c>
      <c r="P161" s="143">
        <v>819</v>
      </c>
      <c r="Q161" s="121" t="s">
        <v>14285</v>
      </c>
      <c r="R161" s="16" t="s">
        <v>8904</v>
      </c>
      <c r="S161" s="10" t="s">
        <v>1163</v>
      </c>
      <c r="T161" s="28" t="s">
        <v>13782</v>
      </c>
      <c r="U161" s="20" t="s">
        <v>5359</v>
      </c>
      <c r="V161" s="16" t="s">
        <v>13989</v>
      </c>
      <c r="W161" s="16" t="s">
        <v>13938</v>
      </c>
      <c r="X161" s="174">
        <v>70.75</v>
      </c>
      <c r="Y161" s="174">
        <v>89.5</v>
      </c>
    </row>
    <row r="162" spans="1:25" s="1" customFormat="1" ht="15" customHeight="1" x14ac:dyDescent="0.25">
      <c r="A162" s="20" t="s">
        <v>13482</v>
      </c>
      <c r="B162" s="16" t="s">
        <v>13483</v>
      </c>
      <c r="C162" s="71" t="str">
        <f t="shared" si="2"/>
        <v>Product Info</v>
      </c>
      <c r="D162" s="93" t="s">
        <v>14702</v>
      </c>
      <c r="E162" s="143">
        <v>1</v>
      </c>
      <c r="F162" s="12" t="s">
        <v>4992</v>
      </c>
      <c r="G162" s="38">
        <v>105.29</v>
      </c>
      <c r="H162" s="38">
        <v>89.5</v>
      </c>
      <c r="I162" s="38">
        <v>73.7</v>
      </c>
      <c r="J162" s="39"/>
      <c r="K162" s="143"/>
      <c r="L162" s="22">
        <v>4</v>
      </c>
      <c r="M162" s="22" t="s">
        <v>12488</v>
      </c>
      <c r="N162" s="20" t="s">
        <v>14489</v>
      </c>
      <c r="O162" s="16" t="s">
        <v>13912</v>
      </c>
      <c r="P162" s="143">
        <v>819</v>
      </c>
      <c r="Q162" s="121" t="s">
        <v>14285</v>
      </c>
      <c r="R162" s="16" t="s">
        <v>8904</v>
      </c>
      <c r="S162" s="10" t="s">
        <v>1163</v>
      </c>
      <c r="T162" s="28" t="s">
        <v>13779</v>
      </c>
      <c r="U162" s="20" t="s">
        <v>5359</v>
      </c>
      <c r="V162" s="16" t="s">
        <v>13986</v>
      </c>
      <c r="W162" s="16" t="s">
        <v>13938</v>
      </c>
      <c r="X162" s="174">
        <v>70.75</v>
      </c>
      <c r="Y162" s="174">
        <v>89.5</v>
      </c>
    </row>
    <row r="163" spans="1:25" s="1" customFormat="1" ht="15" customHeight="1" x14ac:dyDescent="0.25">
      <c r="A163" s="20" t="s">
        <v>13484</v>
      </c>
      <c r="B163" s="16" t="s">
        <v>13485</v>
      </c>
      <c r="C163" s="71" t="str">
        <f t="shared" si="2"/>
        <v>Product Info</v>
      </c>
      <c r="D163" s="93" t="s">
        <v>14703</v>
      </c>
      <c r="E163" s="143">
        <v>1</v>
      </c>
      <c r="F163" s="12" t="s">
        <v>4992</v>
      </c>
      <c r="G163" s="38">
        <v>105.29</v>
      </c>
      <c r="H163" s="38">
        <v>89.5</v>
      </c>
      <c r="I163" s="38">
        <v>73.7</v>
      </c>
      <c r="J163" s="39"/>
      <c r="K163" s="143"/>
      <c r="L163" s="22">
        <v>4</v>
      </c>
      <c r="M163" s="22" t="s">
        <v>12488</v>
      </c>
      <c r="N163" s="20" t="s">
        <v>14489</v>
      </c>
      <c r="O163" s="16" t="s">
        <v>13912</v>
      </c>
      <c r="P163" s="143">
        <v>819</v>
      </c>
      <c r="Q163" s="121" t="s">
        <v>14285</v>
      </c>
      <c r="R163" s="16" t="s">
        <v>8904</v>
      </c>
      <c r="S163" s="10" t="s">
        <v>1163</v>
      </c>
      <c r="T163" s="28" t="s">
        <v>13780</v>
      </c>
      <c r="U163" s="20" t="s">
        <v>5359</v>
      </c>
      <c r="V163" s="16" t="s">
        <v>13987</v>
      </c>
      <c r="W163" s="16" t="s">
        <v>13938</v>
      </c>
      <c r="X163" s="174">
        <v>70.75</v>
      </c>
      <c r="Y163" s="174">
        <v>89.5</v>
      </c>
    </row>
    <row r="164" spans="1:25" s="1" customFormat="1" ht="15" customHeight="1" x14ac:dyDescent="0.25">
      <c r="A164" s="20" t="s">
        <v>13498</v>
      </c>
      <c r="B164" s="16" t="s">
        <v>13499</v>
      </c>
      <c r="C164" s="71" t="str">
        <f t="shared" si="2"/>
        <v>Product Info</v>
      </c>
      <c r="D164" s="93" t="s">
        <v>14704</v>
      </c>
      <c r="E164" s="143">
        <v>1</v>
      </c>
      <c r="F164" s="12" t="s">
        <v>4992</v>
      </c>
      <c r="G164" s="38">
        <v>105.29</v>
      </c>
      <c r="H164" s="38">
        <v>89.5</v>
      </c>
      <c r="I164" s="38">
        <v>73.7</v>
      </c>
      <c r="J164" s="39"/>
      <c r="K164" s="143"/>
      <c r="L164" s="22">
        <v>4</v>
      </c>
      <c r="M164" s="22" t="s">
        <v>12488</v>
      </c>
      <c r="N164" s="20" t="s">
        <v>14489</v>
      </c>
      <c r="O164" s="16" t="s">
        <v>13912</v>
      </c>
      <c r="P164" s="143">
        <v>819</v>
      </c>
      <c r="Q164" s="121" t="s">
        <v>14285</v>
      </c>
      <c r="R164" s="16" t="s">
        <v>8904</v>
      </c>
      <c r="S164" s="10" t="s">
        <v>1163</v>
      </c>
      <c r="T164" s="28" t="s">
        <v>13787</v>
      </c>
      <c r="U164" s="20" t="s">
        <v>5359</v>
      </c>
      <c r="V164" s="16" t="s">
        <v>13994</v>
      </c>
      <c r="W164" s="16" t="s">
        <v>13938</v>
      </c>
      <c r="X164" s="174">
        <v>70.75</v>
      </c>
      <c r="Y164" s="174">
        <v>89.5</v>
      </c>
    </row>
    <row r="165" spans="1:25" s="1" customFormat="1" ht="15" customHeight="1" x14ac:dyDescent="0.25">
      <c r="A165" s="20" t="s">
        <v>13496</v>
      </c>
      <c r="B165" s="16" t="s">
        <v>13497</v>
      </c>
      <c r="C165" s="71" t="str">
        <f t="shared" si="2"/>
        <v>Product Info</v>
      </c>
      <c r="D165" s="93" t="s">
        <v>14705</v>
      </c>
      <c r="E165" s="143">
        <v>1</v>
      </c>
      <c r="F165" s="12" t="s">
        <v>4992</v>
      </c>
      <c r="G165" s="38">
        <v>105.29</v>
      </c>
      <c r="H165" s="38">
        <v>89.5</v>
      </c>
      <c r="I165" s="38">
        <v>73.7</v>
      </c>
      <c r="J165" s="39"/>
      <c r="K165" s="143"/>
      <c r="L165" s="22">
        <v>4</v>
      </c>
      <c r="M165" s="22" t="s">
        <v>12488</v>
      </c>
      <c r="N165" s="20" t="s">
        <v>14489</v>
      </c>
      <c r="O165" s="16" t="s">
        <v>13912</v>
      </c>
      <c r="P165" s="143">
        <v>819</v>
      </c>
      <c r="Q165" s="121" t="s">
        <v>14285</v>
      </c>
      <c r="R165" s="16" t="s">
        <v>8904</v>
      </c>
      <c r="S165" s="10" t="s">
        <v>1163</v>
      </c>
      <c r="T165" s="28" t="s">
        <v>13786</v>
      </c>
      <c r="U165" s="20" t="s">
        <v>5359</v>
      </c>
      <c r="V165" s="16" t="s">
        <v>13993</v>
      </c>
      <c r="W165" s="16" t="s">
        <v>13938</v>
      </c>
      <c r="X165" s="174">
        <v>70.75</v>
      </c>
      <c r="Y165" s="174">
        <v>89.5</v>
      </c>
    </row>
    <row r="166" spans="1:25" s="1" customFormat="1" ht="15" customHeight="1" x14ac:dyDescent="0.25">
      <c r="A166" s="20" t="s">
        <v>13416</v>
      </c>
      <c r="B166" s="16" t="s">
        <v>13417</v>
      </c>
      <c r="C166" s="71" t="str">
        <f t="shared" si="2"/>
        <v>Product Info</v>
      </c>
      <c r="D166" s="93" t="s">
        <v>14706</v>
      </c>
      <c r="E166" s="143">
        <v>1</v>
      </c>
      <c r="F166" s="12" t="s">
        <v>4992</v>
      </c>
      <c r="G166" s="38">
        <v>105.29</v>
      </c>
      <c r="H166" s="38">
        <v>89.5</v>
      </c>
      <c r="I166" s="38">
        <v>73.7</v>
      </c>
      <c r="J166" s="39"/>
      <c r="K166" s="143"/>
      <c r="L166" s="22">
        <v>4</v>
      </c>
      <c r="M166" s="22" t="s">
        <v>12488</v>
      </c>
      <c r="N166" s="20" t="s">
        <v>14489</v>
      </c>
      <c r="O166" s="16" t="s">
        <v>13912</v>
      </c>
      <c r="P166" s="143">
        <v>819</v>
      </c>
      <c r="Q166" s="121" t="s">
        <v>14285</v>
      </c>
      <c r="R166" s="16" t="s">
        <v>8904</v>
      </c>
      <c r="S166" s="10" t="s">
        <v>1163</v>
      </c>
      <c r="T166" s="28" t="s">
        <v>13748</v>
      </c>
      <c r="U166" s="20" t="s">
        <v>5359</v>
      </c>
      <c r="V166" s="16" t="s">
        <v>13953</v>
      </c>
      <c r="W166" s="16" t="s">
        <v>13938</v>
      </c>
      <c r="X166" s="174">
        <v>70.75</v>
      </c>
      <c r="Y166" s="174">
        <v>89.5</v>
      </c>
    </row>
    <row r="167" spans="1:25" s="1" customFormat="1" ht="15" customHeight="1" x14ac:dyDescent="0.25">
      <c r="A167" s="20" t="s">
        <v>13490</v>
      </c>
      <c r="B167" s="16" t="s">
        <v>13491</v>
      </c>
      <c r="C167" s="71" t="str">
        <f t="shared" si="2"/>
        <v>Product Info</v>
      </c>
      <c r="D167" s="93" t="s">
        <v>14707</v>
      </c>
      <c r="E167" s="143">
        <v>1</v>
      </c>
      <c r="F167" s="12" t="s">
        <v>4992</v>
      </c>
      <c r="G167" s="38">
        <v>105.29</v>
      </c>
      <c r="H167" s="38">
        <v>89.5</v>
      </c>
      <c r="I167" s="38">
        <v>73.7</v>
      </c>
      <c r="J167" s="39"/>
      <c r="K167" s="143"/>
      <c r="L167" s="22">
        <v>4</v>
      </c>
      <c r="M167" s="22" t="s">
        <v>12488</v>
      </c>
      <c r="N167" s="20" t="s">
        <v>14489</v>
      </c>
      <c r="O167" s="16" t="s">
        <v>13912</v>
      </c>
      <c r="P167" s="143">
        <v>819</v>
      </c>
      <c r="Q167" s="121" t="s">
        <v>14285</v>
      </c>
      <c r="R167" s="16" t="s">
        <v>8904</v>
      </c>
      <c r="S167" s="10" t="s">
        <v>1163</v>
      </c>
      <c r="T167" s="28" t="s">
        <v>13783</v>
      </c>
      <c r="U167" s="20" t="s">
        <v>5359</v>
      </c>
      <c r="V167" s="16" t="s">
        <v>13990</v>
      </c>
      <c r="W167" s="16" t="s">
        <v>13938</v>
      </c>
      <c r="X167" s="174">
        <v>70.75</v>
      </c>
      <c r="Y167" s="174">
        <v>89.5</v>
      </c>
    </row>
    <row r="168" spans="1:25" s="1" customFormat="1" ht="15" customHeight="1" x14ac:dyDescent="0.25">
      <c r="A168" s="20" t="s">
        <v>13492</v>
      </c>
      <c r="B168" s="16" t="s">
        <v>13493</v>
      </c>
      <c r="C168" s="71" t="str">
        <f t="shared" si="2"/>
        <v>Product Info</v>
      </c>
      <c r="D168" s="93" t="s">
        <v>14708</v>
      </c>
      <c r="E168" s="143">
        <v>1</v>
      </c>
      <c r="F168" s="12" t="s">
        <v>4992</v>
      </c>
      <c r="G168" s="38">
        <v>105.29</v>
      </c>
      <c r="H168" s="38">
        <v>89.5</v>
      </c>
      <c r="I168" s="38">
        <v>73.7</v>
      </c>
      <c r="J168" s="39"/>
      <c r="K168" s="143"/>
      <c r="L168" s="22">
        <v>4</v>
      </c>
      <c r="M168" s="22" t="s">
        <v>12488</v>
      </c>
      <c r="N168" s="20" t="s">
        <v>14489</v>
      </c>
      <c r="O168" s="16" t="s">
        <v>13912</v>
      </c>
      <c r="P168" s="143">
        <v>819</v>
      </c>
      <c r="Q168" s="121" t="s">
        <v>14285</v>
      </c>
      <c r="R168" s="16" t="s">
        <v>8904</v>
      </c>
      <c r="S168" s="10" t="s">
        <v>1163</v>
      </c>
      <c r="T168" s="28" t="s">
        <v>13784</v>
      </c>
      <c r="U168" s="20" t="s">
        <v>5359</v>
      </c>
      <c r="V168" s="16" t="s">
        <v>13991</v>
      </c>
      <c r="W168" s="16" t="s">
        <v>13938</v>
      </c>
      <c r="X168" s="174">
        <v>70.75</v>
      </c>
      <c r="Y168" s="174">
        <v>89.5</v>
      </c>
    </row>
    <row r="169" spans="1:25" s="1" customFormat="1" ht="15" customHeight="1" x14ac:dyDescent="0.25">
      <c r="A169" s="20" t="s">
        <v>13494</v>
      </c>
      <c r="B169" s="16" t="s">
        <v>13495</v>
      </c>
      <c r="C169" s="71" t="str">
        <f t="shared" si="2"/>
        <v>Product Info</v>
      </c>
      <c r="D169" s="93" t="s">
        <v>14709</v>
      </c>
      <c r="E169" s="143">
        <v>1</v>
      </c>
      <c r="F169" s="12" t="s">
        <v>4992</v>
      </c>
      <c r="G169" s="38">
        <v>105.29</v>
      </c>
      <c r="H169" s="38">
        <v>89.5</v>
      </c>
      <c r="I169" s="38">
        <v>73.7</v>
      </c>
      <c r="J169" s="39"/>
      <c r="K169" s="143"/>
      <c r="L169" s="22">
        <v>4</v>
      </c>
      <c r="M169" s="22" t="s">
        <v>12488</v>
      </c>
      <c r="N169" s="20" t="s">
        <v>14489</v>
      </c>
      <c r="O169" s="16" t="s">
        <v>13912</v>
      </c>
      <c r="P169" s="143">
        <v>819</v>
      </c>
      <c r="Q169" s="121" t="s">
        <v>14285</v>
      </c>
      <c r="R169" s="16" t="s">
        <v>8904</v>
      </c>
      <c r="S169" s="10" t="s">
        <v>1163</v>
      </c>
      <c r="T169" s="28" t="s">
        <v>13785</v>
      </c>
      <c r="U169" s="20" t="s">
        <v>5359</v>
      </c>
      <c r="V169" s="16" t="s">
        <v>13992</v>
      </c>
      <c r="W169" s="16" t="s">
        <v>13938</v>
      </c>
      <c r="X169" s="174">
        <v>70.75</v>
      </c>
      <c r="Y169" s="174">
        <v>89.5</v>
      </c>
    </row>
    <row r="170" spans="1:25" s="1" customFormat="1" ht="15" customHeight="1" x14ac:dyDescent="0.25">
      <c r="A170" s="20" t="s">
        <v>13486</v>
      </c>
      <c r="B170" s="16" t="s">
        <v>13487</v>
      </c>
      <c r="C170" s="71" t="str">
        <f t="shared" si="2"/>
        <v>Product Info</v>
      </c>
      <c r="D170" s="93" t="s">
        <v>14710</v>
      </c>
      <c r="E170" s="143">
        <v>1</v>
      </c>
      <c r="F170" s="12" t="s">
        <v>4992</v>
      </c>
      <c r="G170" s="38">
        <v>105.29</v>
      </c>
      <c r="H170" s="38">
        <v>89.5</v>
      </c>
      <c r="I170" s="38">
        <v>73.7</v>
      </c>
      <c r="J170" s="39"/>
      <c r="K170" s="143"/>
      <c r="L170" s="22">
        <v>4</v>
      </c>
      <c r="M170" s="22" t="s">
        <v>12488</v>
      </c>
      <c r="N170" s="20" t="s">
        <v>14489</v>
      </c>
      <c r="O170" s="16" t="s">
        <v>13912</v>
      </c>
      <c r="P170" s="143">
        <v>819</v>
      </c>
      <c r="Q170" s="121" t="s">
        <v>14285</v>
      </c>
      <c r="R170" s="16" t="s">
        <v>8904</v>
      </c>
      <c r="S170" s="10" t="s">
        <v>1163</v>
      </c>
      <c r="T170" s="28" t="s">
        <v>13781</v>
      </c>
      <c r="U170" s="20" t="s">
        <v>5359</v>
      </c>
      <c r="V170" s="16" t="s">
        <v>13988</v>
      </c>
      <c r="W170" s="16" t="s">
        <v>13938</v>
      </c>
      <c r="X170" s="174">
        <v>70.75</v>
      </c>
      <c r="Y170" s="174">
        <v>89.5</v>
      </c>
    </row>
    <row r="171" spans="1:25" s="1" customFormat="1" ht="15" customHeight="1" x14ac:dyDescent="0.25">
      <c r="A171" s="20" t="s">
        <v>13510</v>
      </c>
      <c r="B171" s="16" t="s">
        <v>13511</v>
      </c>
      <c r="C171" s="71" t="str">
        <f t="shared" si="2"/>
        <v>Product Info</v>
      </c>
      <c r="D171" s="93" t="s">
        <v>14711</v>
      </c>
      <c r="E171" s="143">
        <v>1</v>
      </c>
      <c r="F171" s="12" t="s">
        <v>4992</v>
      </c>
      <c r="G171" s="38">
        <v>105.29</v>
      </c>
      <c r="H171" s="38">
        <v>89.5</v>
      </c>
      <c r="I171" s="38">
        <v>73.7</v>
      </c>
      <c r="J171" s="39"/>
      <c r="K171" s="143"/>
      <c r="L171" s="22">
        <v>4</v>
      </c>
      <c r="M171" s="22" t="s">
        <v>12488</v>
      </c>
      <c r="N171" s="20" t="s">
        <v>14489</v>
      </c>
      <c r="O171" s="16" t="s">
        <v>13912</v>
      </c>
      <c r="P171" s="143">
        <v>819</v>
      </c>
      <c r="Q171" s="122" t="s">
        <v>9227</v>
      </c>
      <c r="R171" s="16" t="s">
        <v>8904</v>
      </c>
      <c r="S171" s="10" t="s">
        <v>1163</v>
      </c>
      <c r="T171" s="28" t="s">
        <v>13793</v>
      </c>
      <c r="U171" s="20" t="s">
        <v>5359</v>
      </c>
      <c r="V171" s="16" t="s">
        <v>14000</v>
      </c>
      <c r="W171" s="16" t="s">
        <v>13938</v>
      </c>
      <c r="X171" s="174">
        <v>70.75</v>
      </c>
      <c r="Y171" s="174">
        <v>89.5</v>
      </c>
    </row>
    <row r="172" spans="1:25" s="1" customFormat="1" ht="15" customHeight="1" x14ac:dyDescent="0.25">
      <c r="A172" s="20" t="s">
        <v>13502</v>
      </c>
      <c r="B172" s="16" t="s">
        <v>13503</v>
      </c>
      <c r="C172" s="71" t="str">
        <f t="shared" si="2"/>
        <v>Product Info</v>
      </c>
      <c r="D172" s="93" t="s">
        <v>14712</v>
      </c>
      <c r="E172" s="143">
        <v>1</v>
      </c>
      <c r="F172" s="12" t="s">
        <v>4992</v>
      </c>
      <c r="G172" s="38">
        <v>105.29</v>
      </c>
      <c r="H172" s="38">
        <v>89.5</v>
      </c>
      <c r="I172" s="38">
        <v>73.7</v>
      </c>
      <c r="J172" s="39"/>
      <c r="K172" s="143"/>
      <c r="L172" s="22">
        <v>4</v>
      </c>
      <c r="M172" s="22" t="s">
        <v>12488</v>
      </c>
      <c r="N172" s="20" t="s">
        <v>14489</v>
      </c>
      <c r="O172" s="16" t="s">
        <v>13912</v>
      </c>
      <c r="P172" s="143">
        <v>819</v>
      </c>
      <c r="Q172" s="122" t="s">
        <v>9227</v>
      </c>
      <c r="R172" s="16" t="s">
        <v>8904</v>
      </c>
      <c r="S172" s="10" t="s">
        <v>1163</v>
      </c>
      <c r="T172" s="28" t="s">
        <v>13789</v>
      </c>
      <c r="U172" s="20" t="s">
        <v>5359</v>
      </c>
      <c r="V172" s="16" t="s">
        <v>13996</v>
      </c>
      <c r="W172" s="16" t="s">
        <v>13938</v>
      </c>
      <c r="X172" s="174">
        <v>70.75</v>
      </c>
      <c r="Y172" s="174">
        <v>89.5</v>
      </c>
    </row>
    <row r="173" spans="1:25" s="1" customFormat="1" ht="15" customHeight="1" x14ac:dyDescent="0.25">
      <c r="A173" s="20" t="s">
        <v>13512</v>
      </c>
      <c r="B173" s="16" t="s">
        <v>13513</v>
      </c>
      <c r="C173" s="71" t="str">
        <f t="shared" si="2"/>
        <v>Product Info</v>
      </c>
      <c r="D173" s="93" t="s">
        <v>14713</v>
      </c>
      <c r="E173" s="143">
        <v>1</v>
      </c>
      <c r="F173" s="12" t="s">
        <v>4992</v>
      </c>
      <c r="G173" s="38">
        <v>105.29</v>
      </c>
      <c r="H173" s="38">
        <v>89.5</v>
      </c>
      <c r="I173" s="38">
        <v>73.7</v>
      </c>
      <c r="J173" s="39"/>
      <c r="K173" s="143"/>
      <c r="L173" s="22">
        <v>4</v>
      </c>
      <c r="M173" s="22" t="s">
        <v>12488</v>
      </c>
      <c r="N173" s="20" t="s">
        <v>14489</v>
      </c>
      <c r="O173" s="16" t="s">
        <v>13912</v>
      </c>
      <c r="P173" s="143">
        <v>819</v>
      </c>
      <c r="Q173" s="121" t="s">
        <v>14285</v>
      </c>
      <c r="R173" s="16" t="s">
        <v>8904</v>
      </c>
      <c r="S173" s="10" t="s">
        <v>1163</v>
      </c>
      <c r="T173" s="28" t="s">
        <v>13794</v>
      </c>
      <c r="U173" s="20" t="s">
        <v>5359</v>
      </c>
      <c r="V173" s="16" t="s">
        <v>14001</v>
      </c>
      <c r="W173" s="16" t="s">
        <v>13938</v>
      </c>
      <c r="X173" s="174">
        <v>70.75</v>
      </c>
      <c r="Y173" s="174">
        <v>89.5</v>
      </c>
    </row>
    <row r="174" spans="1:25" s="1" customFormat="1" ht="15" customHeight="1" x14ac:dyDescent="0.25">
      <c r="A174" s="20" t="s">
        <v>13504</v>
      </c>
      <c r="B174" s="16" t="s">
        <v>13505</v>
      </c>
      <c r="C174" s="71" t="str">
        <f t="shared" si="2"/>
        <v>Product Info</v>
      </c>
      <c r="D174" s="93" t="s">
        <v>14714</v>
      </c>
      <c r="E174" s="143">
        <v>1</v>
      </c>
      <c r="F174" s="12" t="s">
        <v>4992</v>
      </c>
      <c r="G174" s="38">
        <v>105.29</v>
      </c>
      <c r="H174" s="38">
        <v>89.5</v>
      </c>
      <c r="I174" s="38">
        <v>73.7</v>
      </c>
      <c r="J174" s="39"/>
      <c r="K174" s="143"/>
      <c r="L174" s="22">
        <v>4</v>
      </c>
      <c r="M174" s="22" t="s">
        <v>12488</v>
      </c>
      <c r="N174" s="20" t="s">
        <v>14489</v>
      </c>
      <c r="O174" s="16" t="s">
        <v>13912</v>
      </c>
      <c r="P174" s="143">
        <v>819</v>
      </c>
      <c r="Q174" s="122" t="s">
        <v>9227</v>
      </c>
      <c r="R174" s="16" t="s">
        <v>8904</v>
      </c>
      <c r="S174" s="10" t="s">
        <v>1163</v>
      </c>
      <c r="T174" s="28" t="s">
        <v>13790</v>
      </c>
      <c r="U174" s="20" t="s">
        <v>5359</v>
      </c>
      <c r="V174" s="16" t="s">
        <v>13997</v>
      </c>
      <c r="W174" s="16" t="s">
        <v>13938</v>
      </c>
      <c r="X174" s="174">
        <v>70.75</v>
      </c>
      <c r="Y174" s="174">
        <v>89.5</v>
      </c>
    </row>
    <row r="175" spans="1:25" s="1" customFormat="1" ht="15" customHeight="1" x14ac:dyDescent="0.25">
      <c r="A175" s="20" t="s">
        <v>13388</v>
      </c>
      <c r="B175" s="16" t="s">
        <v>13389</v>
      </c>
      <c r="C175" s="71" t="str">
        <f t="shared" si="2"/>
        <v>Product Info</v>
      </c>
      <c r="D175" s="93" t="s">
        <v>14518</v>
      </c>
      <c r="E175" s="143">
        <v>1</v>
      </c>
      <c r="F175" s="12" t="s">
        <v>4992</v>
      </c>
      <c r="G175" s="38">
        <v>18.829999999999998</v>
      </c>
      <c r="H175" s="38">
        <v>16</v>
      </c>
      <c r="I175" s="38">
        <v>13.18</v>
      </c>
      <c r="J175" s="39"/>
      <c r="K175" s="143"/>
      <c r="L175" s="22">
        <v>0.35</v>
      </c>
      <c r="M175" s="22" t="s">
        <v>12488</v>
      </c>
      <c r="N175" s="20" t="s">
        <v>14259</v>
      </c>
      <c r="O175" s="16" t="s">
        <v>13912</v>
      </c>
      <c r="P175" s="143">
        <v>814</v>
      </c>
      <c r="Q175" s="122" t="s">
        <v>9227</v>
      </c>
      <c r="R175" s="16" t="s">
        <v>9235</v>
      </c>
      <c r="S175" s="10" t="s">
        <v>1163</v>
      </c>
      <c r="T175" s="28" t="s">
        <v>13734</v>
      </c>
      <c r="U175" s="20" t="s">
        <v>5359</v>
      </c>
      <c r="V175" s="16" t="s">
        <v>13936</v>
      </c>
      <c r="W175" s="11" t="s">
        <v>13938</v>
      </c>
      <c r="X175" s="174">
        <v>12.13</v>
      </c>
      <c r="Y175" s="174">
        <v>16</v>
      </c>
    </row>
    <row r="176" spans="1:25" s="1" customFormat="1" ht="15" customHeight="1" x14ac:dyDescent="0.25">
      <c r="A176" s="20" t="s">
        <v>13418</v>
      </c>
      <c r="B176" s="16" t="s">
        <v>13419</v>
      </c>
      <c r="C176" s="71" t="str">
        <f t="shared" si="2"/>
        <v>Product Info</v>
      </c>
      <c r="D176" s="93" t="s">
        <v>14519</v>
      </c>
      <c r="E176" s="143">
        <v>1</v>
      </c>
      <c r="F176" s="12" t="s">
        <v>4992</v>
      </c>
      <c r="G176" s="38">
        <v>105.29</v>
      </c>
      <c r="H176" s="38">
        <v>89.5</v>
      </c>
      <c r="I176" s="38">
        <v>73.7</v>
      </c>
      <c r="J176" s="39"/>
      <c r="K176" s="143"/>
      <c r="L176" s="22">
        <v>4</v>
      </c>
      <c r="M176" s="22" t="s">
        <v>12488</v>
      </c>
      <c r="N176" s="20" t="s">
        <v>14489</v>
      </c>
      <c r="O176" s="16" t="s">
        <v>13912</v>
      </c>
      <c r="P176" s="143">
        <v>819</v>
      </c>
      <c r="Q176" s="121" t="s">
        <v>14285</v>
      </c>
      <c r="R176" s="16" t="s">
        <v>8904</v>
      </c>
      <c r="S176" s="10" t="s">
        <v>1163</v>
      </c>
      <c r="T176" s="28" t="s">
        <v>14437</v>
      </c>
      <c r="U176" s="20" t="s">
        <v>5359</v>
      </c>
      <c r="V176" s="16" t="s">
        <v>13954</v>
      </c>
      <c r="W176" s="16" t="s">
        <v>13938</v>
      </c>
      <c r="X176" s="174">
        <v>70.75</v>
      </c>
      <c r="Y176" s="174">
        <v>89.5</v>
      </c>
    </row>
    <row r="177" spans="1:25" s="1" customFormat="1" ht="15" customHeight="1" x14ac:dyDescent="0.25">
      <c r="A177" s="20" t="s">
        <v>13716</v>
      </c>
      <c r="B177" s="16" t="s">
        <v>13717</v>
      </c>
      <c r="C177" s="71" t="str">
        <f t="shared" si="2"/>
        <v>Product Info</v>
      </c>
      <c r="D177" s="93" t="s">
        <v>14520</v>
      </c>
      <c r="E177" s="143">
        <v>1</v>
      </c>
      <c r="F177" s="12" t="s">
        <v>4992</v>
      </c>
      <c r="G177" s="38">
        <v>124.44</v>
      </c>
      <c r="H177" s="38">
        <v>105.78</v>
      </c>
      <c r="I177" s="38">
        <v>87.11</v>
      </c>
      <c r="J177" s="39"/>
      <c r="K177" s="143"/>
      <c r="L177" s="22">
        <v>4</v>
      </c>
      <c r="M177" s="22" t="s">
        <v>12488</v>
      </c>
      <c r="N177" s="20" t="s">
        <v>14489</v>
      </c>
      <c r="O177" s="16" t="s">
        <v>13912</v>
      </c>
      <c r="P177" s="143">
        <v>819</v>
      </c>
      <c r="Q177" s="121" t="s">
        <v>14285</v>
      </c>
      <c r="R177" s="16" t="s">
        <v>8904</v>
      </c>
      <c r="S177" s="10" t="s">
        <v>1163</v>
      </c>
      <c r="T177" s="28" t="s">
        <v>13896</v>
      </c>
      <c r="U177" s="20" t="s">
        <v>5359</v>
      </c>
      <c r="V177" s="16" t="s">
        <v>14119</v>
      </c>
      <c r="W177" s="16" t="s">
        <v>13938</v>
      </c>
      <c r="X177" s="174">
        <v>83.63</v>
      </c>
      <c r="Y177" s="174">
        <v>105.78</v>
      </c>
    </row>
    <row r="178" spans="1:25" s="1" customFormat="1" ht="15" customHeight="1" x14ac:dyDescent="0.25">
      <c r="A178" s="20" t="s">
        <v>12493</v>
      </c>
      <c r="B178" s="20" t="s">
        <v>12494</v>
      </c>
      <c r="C178" s="71" t="str">
        <f t="shared" si="2"/>
        <v>Product Info</v>
      </c>
      <c r="D178" s="93" t="s">
        <v>14521</v>
      </c>
      <c r="E178" s="143">
        <v>1</v>
      </c>
      <c r="F178" s="143" t="s">
        <v>4992</v>
      </c>
      <c r="G178" s="38">
        <v>1286.3599999999999</v>
      </c>
      <c r="H178" s="38">
        <v>1093.44</v>
      </c>
      <c r="I178" s="38">
        <v>900.45</v>
      </c>
      <c r="J178" s="39">
        <v>20</v>
      </c>
      <c r="K178" s="143"/>
      <c r="L178" s="22">
        <v>5.5</v>
      </c>
      <c r="M178" s="22" t="s">
        <v>12488</v>
      </c>
      <c r="N178" s="20" t="s">
        <v>9344</v>
      </c>
      <c r="O178" s="16" t="s">
        <v>12608</v>
      </c>
      <c r="P178" s="143">
        <v>750</v>
      </c>
      <c r="Q178" s="121" t="s">
        <v>14285</v>
      </c>
      <c r="R178" s="16" t="s">
        <v>8904</v>
      </c>
      <c r="S178" s="10" t="s">
        <v>1163</v>
      </c>
      <c r="T178" s="15" t="s">
        <v>14289</v>
      </c>
      <c r="U178" s="20" t="s">
        <v>5359</v>
      </c>
      <c r="V178" s="20" t="s">
        <v>12493</v>
      </c>
      <c r="W178" s="20" t="s">
        <v>14284</v>
      </c>
      <c r="X178" s="174">
        <v>864.43</v>
      </c>
      <c r="Y178" s="174">
        <v>1093.44</v>
      </c>
    </row>
    <row r="179" spans="1:25" s="1" customFormat="1" ht="15" customHeight="1" x14ac:dyDescent="0.25">
      <c r="A179" s="20" t="s">
        <v>12495</v>
      </c>
      <c r="B179" s="20" t="s">
        <v>12496</v>
      </c>
      <c r="C179" s="71" t="str">
        <f t="shared" si="2"/>
        <v>Product Info</v>
      </c>
      <c r="D179" s="93" t="s">
        <v>14522</v>
      </c>
      <c r="E179" s="143">
        <v>1</v>
      </c>
      <c r="F179" s="143" t="s">
        <v>4992</v>
      </c>
      <c r="G179" s="38">
        <v>1141.0899999999999</v>
      </c>
      <c r="H179" s="38">
        <v>969.96</v>
      </c>
      <c r="I179" s="38">
        <v>798.76</v>
      </c>
      <c r="J179" s="39">
        <v>20</v>
      </c>
      <c r="K179" s="143"/>
      <c r="L179" s="22">
        <v>6.5</v>
      </c>
      <c r="M179" s="22" t="s">
        <v>12488</v>
      </c>
      <c r="N179" s="20" t="s">
        <v>9344</v>
      </c>
      <c r="O179" s="16" t="s">
        <v>12608</v>
      </c>
      <c r="P179" s="143">
        <v>750</v>
      </c>
      <c r="Q179" s="121" t="s">
        <v>14285</v>
      </c>
      <c r="R179" s="16" t="s">
        <v>8904</v>
      </c>
      <c r="S179" s="10" t="s">
        <v>1163</v>
      </c>
      <c r="T179" s="15" t="s">
        <v>14290</v>
      </c>
      <c r="U179" s="20" t="s">
        <v>5359</v>
      </c>
      <c r="V179" s="20" t="s">
        <v>12495</v>
      </c>
      <c r="W179" s="20" t="s">
        <v>14284</v>
      </c>
      <c r="X179" s="174">
        <v>766.81</v>
      </c>
      <c r="Y179" s="174">
        <v>969.96</v>
      </c>
    </row>
    <row r="180" spans="1:25" s="1" customFormat="1" ht="15" customHeight="1" x14ac:dyDescent="0.25">
      <c r="A180" s="20" t="s">
        <v>12497</v>
      </c>
      <c r="B180" s="20" t="s">
        <v>12498</v>
      </c>
      <c r="C180" s="71" t="str">
        <f t="shared" si="2"/>
        <v>Product Info</v>
      </c>
      <c r="D180" s="93" t="s">
        <v>14523</v>
      </c>
      <c r="E180" s="143">
        <v>1</v>
      </c>
      <c r="F180" s="143" t="s">
        <v>4992</v>
      </c>
      <c r="G180" s="38">
        <v>1482.51</v>
      </c>
      <c r="H180" s="38">
        <v>1260.18</v>
      </c>
      <c r="I180" s="38">
        <v>1037.76</v>
      </c>
      <c r="J180" s="39">
        <v>20</v>
      </c>
      <c r="K180" s="143"/>
      <c r="L180" s="22">
        <v>7.5</v>
      </c>
      <c r="M180" s="22" t="s">
        <v>12488</v>
      </c>
      <c r="N180" s="20" t="s">
        <v>9345</v>
      </c>
      <c r="O180" s="16" t="s">
        <v>12608</v>
      </c>
      <c r="P180" s="143">
        <v>750</v>
      </c>
      <c r="Q180" s="121" t="s">
        <v>14285</v>
      </c>
      <c r="R180" s="16" t="s">
        <v>8904</v>
      </c>
      <c r="S180" s="10" t="s">
        <v>1163</v>
      </c>
      <c r="T180" s="15" t="s">
        <v>14291</v>
      </c>
      <c r="U180" s="20" t="s">
        <v>5359</v>
      </c>
      <c r="V180" s="20" t="s">
        <v>12497</v>
      </c>
      <c r="W180" s="20" t="s">
        <v>14284</v>
      </c>
      <c r="X180" s="174">
        <v>996.25</v>
      </c>
      <c r="Y180" s="174">
        <v>1260.18</v>
      </c>
    </row>
    <row r="181" spans="1:25" s="1" customFormat="1" ht="15" customHeight="1" x14ac:dyDescent="0.25">
      <c r="A181" s="20" t="s">
        <v>13944</v>
      </c>
      <c r="B181" s="29" t="s">
        <v>14247</v>
      </c>
      <c r="C181" s="71" t="str">
        <f t="shared" si="2"/>
        <v>Product Info</v>
      </c>
      <c r="D181" s="93" t="s">
        <v>14524</v>
      </c>
      <c r="E181" s="143">
        <v>1</v>
      </c>
      <c r="F181" s="143" t="s">
        <v>4992</v>
      </c>
      <c r="G181" s="38">
        <v>1670.16</v>
      </c>
      <c r="H181" s="38">
        <v>1419.68</v>
      </c>
      <c r="I181" s="38">
        <v>1169.1099999999999</v>
      </c>
      <c r="J181" s="39">
        <v>20</v>
      </c>
      <c r="K181" s="143"/>
      <c r="L181" s="22">
        <v>8</v>
      </c>
      <c r="M181" s="22" t="s">
        <v>12488</v>
      </c>
      <c r="N181" s="20" t="s">
        <v>9345</v>
      </c>
      <c r="O181" s="16" t="s">
        <v>12608</v>
      </c>
      <c r="P181" s="143">
        <v>750</v>
      </c>
      <c r="Q181" s="121" t="s">
        <v>14285</v>
      </c>
      <c r="R181" s="16" t="s">
        <v>8904</v>
      </c>
      <c r="S181" s="10" t="s">
        <v>1163</v>
      </c>
      <c r="T181" s="15" t="s">
        <v>14297</v>
      </c>
      <c r="U181" s="20" t="s">
        <v>5359</v>
      </c>
      <c r="V181" s="20" t="s">
        <v>13944</v>
      </c>
      <c r="W181" s="20" t="s">
        <v>14284</v>
      </c>
      <c r="X181" s="174">
        <v>1122.3499999999999</v>
      </c>
      <c r="Y181" s="174">
        <v>1419.68</v>
      </c>
    </row>
    <row r="182" spans="1:25" s="1" customFormat="1" ht="15" customHeight="1" x14ac:dyDescent="0.25">
      <c r="A182" s="20" t="s">
        <v>13945</v>
      </c>
      <c r="B182" s="29" t="s">
        <v>14248</v>
      </c>
      <c r="C182" s="71" t="str">
        <f t="shared" si="2"/>
        <v>Product Info</v>
      </c>
      <c r="D182" s="93" t="s">
        <v>14525</v>
      </c>
      <c r="E182" s="143">
        <v>1</v>
      </c>
      <c r="F182" s="143" t="s">
        <v>4992</v>
      </c>
      <c r="G182" s="38">
        <v>1472.51</v>
      </c>
      <c r="H182" s="38">
        <v>1251.68</v>
      </c>
      <c r="I182" s="38">
        <v>1030.76</v>
      </c>
      <c r="J182" s="39"/>
      <c r="K182" s="143"/>
      <c r="L182" s="22">
        <v>5.5</v>
      </c>
      <c r="M182" s="22" t="s">
        <v>12488</v>
      </c>
      <c r="N182" s="20" t="s">
        <v>9344</v>
      </c>
      <c r="O182" s="16" t="s">
        <v>12608</v>
      </c>
      <c r="P182" s="143">
        <v>750</v>
      </c>
      <c r="Q182" s="121" t="s">
        <v>14285</v>
      </c>
      <c r="R182" s="16" t="s">
        <v>8904</v>
      </c>
      <c r="S182" s="10" t="s">
        <v>1163</v>
      </c>
      <c r="T182" s="15" t="s">
        <v>14295</v>
      </c>
      <c r="U182" s="20" t="s">
        <v>5359</v>
      </c>
      <c r="V182" s="20" t="s">
        <v>13945</v>
      </c>
      <c r="W182" s="20" t="s">
        <v>14284</v>
      </c>
      <c r="X182" s="174">
        <v>989.53</v>
      </c>
      <c r="Y182" s="174">
        <v>1251.68</v>
      </c>
    </row>
    <row r="183" spans="1:25" s="1" customFormat="1" ht="15" customHeight="1" x14ac:dyDescent="0.25">
      <c r="A183" s="20" t="s">
        <v>13946</v>
      </c>
      <c r="B183" s="44" t="s">
        <v>14249</v>
      </c>
      <c r="C183" s="71" t="str">
        <f t="shared" si="2"/>
        <v>Product Info</v>
      </c>
      <c r="D183" s="93" t="s">
        <v>14526</v>
      </c>
      <c r="E183" s="143">
        <v>1</v>
      </c>
      <c r="F183" s="143" t="s">
        <v>4992</v>
      </c>
      <c r="G183" s="38">
        <v>1679.21</v>
      </c>
      <c r="H183" s="38">
        <v>1427.38</v>
      </c>
      <c r="I183" s="38">
        <v>1175.45</v>
      </c>
      <c r="J183" s="39"/>
      <c r="K183" s="143"/>
      <c r="L183" s="22">
        <v>6.5</v>
      </c>
      <c r="M183" s="22" t="s">
        <v>12488</v>
      </c>
      <c r="N183" s="20" t="s">
        <v>9345</v>
      </c>
      <c r="O183" s="16" t="s">
        <v>12608</v>
      </c>
      <c r="P183" s="143">
        <v>750</v>
      </c>
      <c r="Q183" s="121" t="s">
        <v>14285</v>
      </c>
      <c r="R183" s="16" t="s">
        <v>8904</v>
      </c>
      <c r="S183" s="10" t="s">
        <v>1163</v>
      </c>
      <c r="T183" s="15" t="s">
        <v>14362</v>
      </c>
      <c r="U183" s="20" t="s">
        <v>5359</v>
      </c>
      <c r="V183" s="20" t="s">
        <v>13946</v>
      </c>
      <c r="W183" s="20" t="s">
        <v>14284</v>
      </c>
      <c r="X183" s="174">
        <v>1128.43</v>
      </c>
      <c r="Y183" s="174">
        <v>1427.38</v>
      </c>
    </row>
    <row r="184" spans="1:25" s="1" customFormat="1" ht="15" customHeight="1" x14ac:dyDescent="0.25">
      <c r="A184" s="20" t="s">
        <v>13947</v>
      </c>
      <c r="B184" s="44" t="s">
        <v>14250</v>
      </c>
      <c r="C184" s="71" t="str">
        <f t="shared" si="2"/>
        <v>Product Info</v>
      </c>
      <c r="D184" s="93" t="s">
        <v>14527</v>
      </c>
      <c r="E184" s="143">
        <v>1</v>
      </c>
      <c r="F184" s="143" t="s">
        <v>4992</v>
      </c>
      <c r="G184" s="38">
        <v>1969.44</v>
      </c>
      <c r="H184" s="38">
        <v>1674.09</v>
      </c>
      <c r="I184" s="38">
        <v>1378.61</v>
      </c>
      <c r="J184" s="39"/>
      <c r="K184" s="143"/>
      <c r="L184" s="22">
        <v>8</v>
      </c>
      <c r="M184" s="22" t="s">
        <v>12488</v>
      </c>
      <c r="N184" s="20" t="s">
        <v>9345</v>
      </c>
      <c r="O184" s="16" t="s">
        <v>12608</v>
      </c>
      <c r="P184" s="143">
        <v>750</v>
      </c>
      <c r="Q184" s="121" t="s">
        <v>14285</v>
      </c>
      <c r="R184" s="16" t="s">
        <v>8904</v>
      </c>
      <c r="S184" s="10" t="s">
        <v>1163</v>
      </c>
      <c r="T184" s="15" t="s">
        <v>14361</v>
      </c>
      <c r="U184" s="20" t="s">
        <v>5359</v>
      </c>
      <c r="V184" s="20" t="s">
        <v>13947</v>
      </c>
      <c r="W184" s="20" t="s">
        <v>14284</v>
      </c>
      <c r="X184" s="174">
        <v>1323.47</v>
      </c>
      <c r="Y184" s="174">
        <v>1674.09</v>
      </c>
    </row>
    <row r="185" spans="1:25" s="1" customFormat="1" ht="15" customHeight="1" x14ac:dyDescent="0.25">
      <c r="A185" s="20" t="s">
        <v>12500</v>
      </c>
      <c r="B185" s="20" t="s">
        <v>12501</v>
      </c>
      <c r="C185" s="71" t="str">
        <f t="shared" si="2"/>
        <v>Product Info</v>
      </c>
      <c r="D185" s="93" t="s">
        <v>14528</v>
      </c>
      <c r="E185" s="143">
        <v>1</v>
      </c>
      <c r="F185" s="143" t="s">
        <v>4992</v>
      </c>
      <c r="G185" s="38">
        <v>3464.93</v>
      </c>
      <c r="H185" s="38">
        <v>2945.29</v>
      </c>
      <c r="I185" s="38">
        <v>2425.4499999999998</v>
      </c>
      <c r="J185" s="39">
        <v>10</v>
      </c>
      <c r="K185" s="143"/>
      <c r="L185" s="22">
        <v>10</v>
      </c>
      <c r="M185" s="22" t="s">
        <v>12488</v>
      </c>
      <c r="N185" s="20" t="s">
        <v>14253</v>
      </c>
      <c r="O185" s="16" t="s">
        <v>13912</v>
      </c>
      <c r="P185" s="143">
        <v>750</v>
      </c>
      <c r="Q185" s="121" t="s">
        <v>14285</v>
      </c>
      <c r="R185" s="16" t="s">
        <v>8904</v>
      </c>
      <c r="S185" s="10" t="s">
        <v>1163</v>
      </c>
      <c r="T185" s="15" t="s">
        <v>14292</v>
      </c>
      <c r="U185" s="20" t="s">
        <v>5359</v>
      </c>
      <c r="V185" s="20" t="s">
        <v>12500</v>
      </c>
      <c r="W185" s="20" t="s">
        <v>14284</v>
      </c>
      <c r="X185" s="174">
        <v>2328.4299999999998</v>
      </c>
      <c r="Y185" s="174">
        <v>2945.29</v>
      </c>
    </row>
    <row r="186" spans="1:25" s="1" customFormat="1" ht="15" customHeight="1" x14ac:dyDescent="0.25">
      <c r="A186" s="20" t="s">
        <v>12504</v>
      </c>
      <c r="B186" s="20" t="s">
        <v>12505</v>
      </c>
      <c r="C186" s="71" t="str">
        <f t="shared" si="2"/>
        <v>Product Info</v>
      </c>
      <c r="D186" s="93" t="s">
        <v>14529</v>
      </c>
      <c r="E186" s="143">
        <v>1</v>
      </c>
      <c r="F186" s="143" t="s">
        <v>4992</v>
      </c>
      <c r="G186" s="38">
        <v>3744</v>
      </c>
      <c r="H186" s="38">
        <v>3182.51</v>
      </c>
      <c r="I186" s="38">
        <v>2620.8000000000002</v>
      </c>
      <c r="J186" s="39">
        <v>10</v>
      </c>
      <c r="K186" s="143"/>
      <c r="L186" s="22">
        <v>10.5</v>
      </c>
      <c r="M186" s="22" t="s">
        <v>12488</v>
      </c>
      <c r="N186" s="20" t="s">
        <v>14254</v>
      </c>
      <c r="O186" s="16" t="s">
        <v>12608</v>
      </c>
      <c r="P186" s="143">
        <v>750</v>
      </c>
      <c r="Q186" s="121" t="s">
        <v>14285</v>
      </c>
      <c r="R186" s="16" t="s">
        <v>8904</v>
      </c>
      <c r="S186" s="10" t="s">
        <v>1163</v>
      </c>
      <c r="T186" s="15" t="s">
        <v>14293</v>
      </c>
      <c r="U186" s="20" t="s">
        <v>5359</v>
      </c>
      <c r="V186" s="20" t="s">
        <v>12504</v>
      </c>
      <c r="W186" s="20" t="s">
        <v>14284</v>
      </c>
      <c r="X186" s="174">
        <v>2515.9699999999998</v>
      </c>
      <c r="Y186" s="174">
        <v>3182.51</v>
      </c>
    </row>
    <row r="187" spans="1:25" s="1" customFormat="1" ht="15" customHeight="1" x14ac:dyDescent="0.25">
      <c r="A187" s="20" t="s">
        <v>12506</v>
      </c>
      <c r="B187" s="20" t="s">
        <v>12507</v>
      </c>
      <c r="C187" s="71" t="str">
        <f t="shared" si="2"/>
        <v>Product Info</v>
      </c>
      <c r="D187" s="93" t="s">
        <v>14530</v>
      </c>
      <c r="E187" s="143">
        <v>1</v>
      </c>
      <c r="F187" s="143" t="s">
        <v>4992</v>
      </c>
      <c r="G187" s="38">
        <v>3520.4</v>
      </c>
      <c r="H187" s="38">
        <v>2992.45</v>
      </c>
      <c r="I187" s="38">
        <v>2464.2800000000002</v>
      </c>
      <c r="J187" s="39">
        <v>10</v>
      </c>
      <c r="K187" s="143"/>
      <c r="L187" s="22">
        <v>10.5</v>
      </c>
      <c r="M187" s="22" t="s">
        <v>12488</v>
      </c>
      <c r="N187" s="20" t="s">
        <v>14255</v>
      </c>
      <c r="O187" s="16" t="s">
        <v>12608</v>
      </c>
      <c r="P187" s="143">
        <v>750</v>
      </c>
      <c r="Q187" s="121" t="s">
        <v>14285</v>
      </c>
      <c r="R187" s="16" t="s">
        <v>8904</v>
      </c>
      <c r="S187" s="10" t="s">
        <v>1163</v>
      </c>
      <c r="T187" s="15" t="s">
        <v>14294</v>
      </c>
      <c r="U187" s="20" t="s">
        <v>5359</v>
      </c>
      <c r="V187" s="20" t="s">
        <v>12506</v>
      </c>
      <c r="W187" s="20" t="s">
        <v>14284</v>
      </c>
      <c r="X187" s="174">
        <v>2365.71</v>
      </c>
      <c r="Y187" s="174">
        <v>2992.45</v>
      </c>
    </row>
    <row r="188" spans="1:25" s="1" customFormat="1" ht="15" customHeight="1" x14ac:dyDescent="0.25">
      <c r="A188" s="20" t="s">
        <v>12508</v>
      </c>
      <c r="B188" s="20" t="s">
        <v>12509</v>
      </c>
      <c r="C188" s="71" t="str">
        <f t="shared" si="2"/>
        <v>Product Info</v>
      </c>
      <c r="D188" s="93" t="s">
        <v>14531</v>
      </c>
      <c r="E188" s="143">
        <v>1</v>
      </c>
      <c r="F188" s="143" t="s">
        <v>4992</v>
      </c>
      <c r="G188" s="38">
        <v>3967.59</v>
      </c>
      <c r="H188" s="38">
        <v>3372.57</v>
      </c>
      <c r="I188" s="38">
        <v>2777.31</v>
      </c>
      <c r="J188" s="39"/>
      <c r="K188" s="143"/>
      <c r="L188" s="22">
        <v>10.5</v>
      </c>
      <c r="M188" s="22" t="s">
        <v>12488</v>
      </c>
      <c r="N188" s="20" t="s">
        <v>14254</v>
      </c>
      <c r="O188" s="16" t="s">
        <v>12608</v>
      </c>
      <c r="P188" s="143">
        <v>750</v>
      </c>
      <c r="Q188" s="121" t="s">
        <v>14285</v>
      </c>
      <c r="R188" s="16" t="s">
        <v>8904</v>
      </c>
      <c r="S188" s="10" t="s">
        <v>1163</v>
      </c>
      <c r="T188" s="15" t="s">
        <v>14296</v>
      </c>
      <c r="U188" s="20" t="s">
        <v>5359</v>
      </c>
      <c r="V188" s="20" t="s">
        <v>12508</v>
      </c>
      <c r="W188" s="20" t="s">
        <v>14284</v>
      </c>
      <c r="X188" s="174">
        <v>2666.22</v>
      </c>
      <c r="Y188" s="174">
        <v>3372.57</v>
      </c>
    </row>
    <row r="189" spans="1:25" s="1" customFormat="1" ht="15" customHeight="1" x14ac:dyDescent="0.25">
      <c r="A189" s="20" t="s">
        <v>13304</v>
      </c>
      <c r="B189" s="20" t="s">
        <v>13305</v>
      </c>
      <c r="C189" s="71" t="str">
        <f t="shared" si="2"/>
        <v>Product Info</v>
      </c>
      <c r="D189" s="93" t="s">
        <v>14532</v>
      </c>
      <c r="E189" s="143">
        <v>1</v>
      </c>
      <c r="F189" s="12" t="s">
        <v>4992</v>
      </c>
      <c r="G189" s="38">
        <v>84.71</v>
      </c>
      <c r="H189" s="38">
        <v>72.010000000000005</v>
      </c>
      <c r="I189" s="38">
        <v>59.3</v>
      </c>
      <c r="J189" s="39"/>
      <c r="K189" s="143"/>
      <c r="L189" s="22">
        <v>0.3</v>
      </c>
      <c r="M189" s="22" t="s">
        <v>12487</v>
      </c>
      <c r="N189" s="20" t="s">
        <v>14489</v>
      </c>
      <c r="O189" s="16" t="s">
        <v>13912</v>
      </c>
      <c r="P189" s="143" t="s">
        <v>12629</v>
      </c>
      <c r="Q189" s="121" t="s">
        <v>14285</v>
      </c>
      <c r="R189" s="16" t="s">
        <v>8904</v>
      </c>
      <c r="S189" s="10" t="s">
        <v>1163</v>
      </c>
      <c r="T189" s="15" t="s">
        <v>13306</v>
      </c>
      <c r="U189" s="20" t="s">
        <v>5359</v>
      </c>
      <c r="V189" s="11" t="s">
        <v>13304</v>
      </c>
      <c r="W189" s="11" t="s">
        <v>14433</v>
      </c>
      <c r="X189" s="174">
        <v>53.96</v>
      </c>
      <c r="Y189" s="174">
        <v>68.409500000000008</v>
      </c>
    </row>
    <row r="190" spans="1:25" s="1" customFormat="1" ht="15" customHeight="1" x14ac:dyDescent="0.25">
      <c r="A190" s="20" t="s">
        <v>13684</v>
      </c>
      <c r="B190" s="16" t="s">
        <v>13685</v>
      </c>
      <c r="C190" s="71" t="str">
        <f t="shared" si="2"/>
        <v>Product Info</v>
      </c>
      <c r="D190" s="93" t="s">
        <v>14533</v>
      </c>
      <c r="E190" s="143">
        <v>1</v>
      </c>
      <c r="F190" s="12" t="s">
        <v>4992</v>
      </c>
      <c r="G190" s="38">
        <v>9.23</v>
      </c>
      <c r="H190" s="38">
        <v>7.85</v>
      </c>
      <c r="I190" s="38">
        <v>6.46</v>
      </c>
      <c r="J190" s="39"/>
      <c r="K190" s="143"/>
      <c r="L190" s="22">
        <v>4</v>
      </c>
      <c r="M190" s="22" t="s">
        <v>12488</v>
      </c>
      <c r="N190" s="20" t="s">
        <v>14489</v>
      </c>
      <c r="O190" s="16" t="s">
        <v>13912</v>
      </c>
      <c r="P190" s="143">
        <v>819</v>
      </c>
      <c r="Q190" s="122" t="s">
        <v>9227</v>
      </c>
      <c r="R190" s="16" t="s">
        <v>8904</v>
      </c>
      <c r="S190" s="10" t="s">
        <v>1163</v>
      </c>
      <c r="T190" s="28" t="s">
        <v>13880</v>
      </c>
      <c r="U190" s="20" t="s">
        <v>5359</v>
      </c>
      <c r="V190" s="16" t="s">
        <v>14103</v>
      </c>
      <c r="W190" s="16" t="s">
        <v>13938</v>
      </c>
      <c r="X190" s="174">
        <v>6.2</v>
      </c>
      <c r="Y190" s="174">
        <v>7.85</v>
      </c>
    </row>
    <row r="191" spans="1:25" s="1" customFormat="1" ht="15" customHeight="1" x14ac:dyDescent="0.25">
      <c r="A191" s="20" t="s">
        <v>13708</v>
      </c>
      <c r="B191" s="16" t="s">
        <v>13709</v>
      </c>
      <c r="C191" s="71" t="str">
        <f t="shared" si="2"/>
        <v>Product Info</v>
      </c>
      <c r="D191" s="93" t="s">
        <v>14534</v>
      </c>
      <c r="E191" s="143">
        <v>1</v>
      </c>
      <c r="F191" s="12" t="s">
        <v>4992</v>
      </c>
      <c r="G191" s="38">
        <v>46.2</v>
      </c>
      <c r="H191" s="38">
        <v>39.270000000000003</v>
      </c>
      <c r="I191" s="38">
        <v>32.340000000000003</v>
      </c>
      <c r="J191" s="39"/>
      <c r="K191" s="143"/>
      <c r="L191" s="22">
        <v>4</v>
      </c>
      <c r="M191" s="22" t="s">
        <v>12488</v>
      </c>
      <c r="N191" s="20" t="s">
        <v>14489</v>
      </c>
      <c r="O191" s="16" t="s">
        <v>13912</v>
      </c>
      <c r="P191" s="143">
        <v>819</v>
      </c>
      <c r="Q191" s="122" t="s">
        <v>9227</v>
      </c>
      <c r="R191" s="16" t="s">
        <v>8904</v>
      </c>
      <c r="S191" s="10" t="s">
        <v>1163</v>
      </c>
      <c r="T191" s="28" t="s">
        <v>13892</v>
      </c>
      <c r="U191" s="20" t="s">
        <v>5359</v>
      </c>
      <c r="V191" s="16" t="s">
        <v>14115</v>
      </c>
      <c r="W191" s="16" t="s">
        <v>13938</v>
      </c>
      <c r="X191" s="174">
        <v>31.05</v>
      </c>
      <c r="Y191" s="174">
        <v>39.270000000000003</v>
      </c>
    </row>
    <row r="192" spans="1:25" s="1" customFormat="1" ht="15" customHeight="1" x14ac:dyDescent="0.25">
      <c r="A192" s="20" t="s">
        <v>13710</v>
      </c>
      <c r="B192" s="16" t="s">
        <v>13711</v>
      </c>
      <c r="C192" s="71" t="str">
        <f t="shared" si="2"/>
        <v>Product Info</v>
      </c>
      <c r="D192" s="93" t="s">
        <v>14535</v>
      </c>
      <c r="E192" s="143">
        <v>1</v>
      </c>
      <c r="F192" s="12" t="s">
        <v>4992</v>
      </c>
      <c r="G192" s="38">
        <v>54.11</v>
      </c>
      <c r="H192" s="38">
        <v>46</v>
      </c>
      <c r="I192" s="38">
        <v>37.880000000000003</v>
      </c>
      <c r="J192" s="39"/>
      <c r="K192" s="143"/>
      <c r="L192" s="22">
        <v>4</v>
      </c>
      <c r="M192" s="22" t="s">
        <v>12488</v>
      </c>
      <c r="N192" s="20" t="s">
        <v>14489</v>
      </c>
      <c r="O192" s="16" t="s">
        <v>13912</v>
      </c>
      <c r="P192" s="143">
        <v>819</v>
      </c>
      <c r="Q192" s="122" t="s">
        <v>9227</v>
      </c>
      <c r="R192" s="16" t="s">
        <v>8904</v>
      </c>
      <c r="S192" s="10" t="s">
        <v>1163</v>
      </c>
      <c r="T192" s="28" t="s">
        <v>13893</v>
      </c>
      <c r="U192" s="20" t="s">
        <v>5359</v>
      </c>
      <c r="V192" s="16" t="s">
        <v>14116</v>
      </c>
      <c r="W192" s="16" t="s">
        <v>13938</v>
      </c>
      <c r="X192" s="174">
        <v>36.36</v>
      </c>
      <c r="Y192" s="174">
        <v>46</v>
      </c>
    </row>
    <row r="193" spans="1:25" s="1" customFormat="1" ht="15" customHeight="1" x14ac:dyDescent="0.25">
      <c r="A193" s="20" t="s">
        <v>13700</v>
      </c>
      <c r="B193" s="16" t="s">
        <v>13701</v>
      </c>
      <c r="C193" s="71" t="str">
        <f t="shared" si="2"/>
        <v>Product Info</v>
      </c>
      <c r="D193" s="93" t="s">
        <v>14536</v>
      </c>
      <c r="E193" s="143">
        <v>1</v>
      </c>
      <c r="F193" s="12" t="s">
        <v>4992</v>
      </c>
      <c r="G193" s="38">
        <v>138.88999999999999</v>
      </c>
      <c r="H193" s="38">
        <v>118.06</v>
      </c>
      <c r="I193" s="38">
        <v>97.23</v>
      </c>
      <c r="J193" s="39"/>
      <c r="K193" s="143"/>
      <c r="L193" s="22">
        <v>4</v>
      </c>
      <c r="M193" s="22" t="s">
        <v>12488</v>
      </c>
      <c r="N193" s="20" t="s">
        <v>14489</v>
      </c>
      <c r="O193" s="16" t="s">
        <v>13912</v>
      </c>
      <c r="P193" s="143">
        <v>819</v>
      </c>
      <c r="Q193" s="122" t="s">
        <v>9227</v>
      </c>
      <c r="R193" s="16" t="s">
        <v>8904</v>
      </c>
      <c r="S193" s="10" t="s">
        <v>1163</v>
      </c>
      <c r="T193" s="28" t="s">
        <v>13888</v>
      </c>
      <c r="U193" s="20" t="s">
        <v>5359</v>
      </c>
      <c r="V193" s="16" t="s">
        <v>14111</v>
      </c>
      <c r="W193" s="16" t="s">
        <v>13938</v>
      </c>
      <c r="X193" s="174">
        <v>93.34</v>
      </c>
      <c r="Y193" s="174">
        <v>118.06</v>
      </c>
    </row>
    <row r="194" spans="1:25" s="1" customFormat="1" ht="15" customHeight="1" x14ac:dyDescent="0.25">
      <c r="A194" s="20" t="s">
        <v>13702</v>
      </c>
      <c r="B194" s="16" t="s">
        <v>13703</v>
      </c>
      <c r="C194" s="71" t="str">
        <f t="shared" si="2"/>
        <v>Product Info</v>
      </c>
      <c r="D194" s="93" t="s">
        <v>14537</v>
      </c>
      <c r="E194" s="143">
        <v>1</v>
      </c>
      <c r="F194" s="12" t="s">
        <v>4992</v>
      </c>
      <c r="G194" s="38">
        <v>143.71</v>
      </c>
      <c r="H194" s="38">
        <v>122.16</v>
      </c>
      <c r="I194" s="38">
        <v>100.6</v>
      </c>
      <c r="J194" s="39"/>
      <c r="K194" s="143"/>
      <c r="L194" s="22">
        <v>4</v>
      </c>
      <c r="M194" s="22" t="s">
        <v>12488</v>
      </c>
      <c r="N194" s="20" t="s">
        <v>14489</v>
      </c>
      <c r="O194" s="16" t="s">
        <v>13912</v>
      </c>
      <c r="P194" s="143">
        <v>819</v>
      </c>
      <c r="Q194" s="122" t="s">
        <v>9227</v>
      </c>
      <c r="R194" s="16" t="s">
        <v>8904</v>
      </c>
      <c r="S194" s="10" t="s">
        <v>1163</v>
      </c>
      <c r="T194" s="28" t="s">
        <v>13889</v>
      </c>
      <c r="U194" s="20" t="s">
        <v>5359</v>
      </c>
      <c r="V194" s="16" t="s">
        <v>14112</v>
      </c>
      <c r="W194" s="16" t="s">
        <v>13938</v>
      </c>
      <c r="X194" s="174">
        <v>96.58</v>
      </c>
      <c r="Y194" s="174">
        <v>122.16</v>
      </c>
    </row>
    <row r="195" spans="1:25" s="1" customFormat="1" ht="15" customHeight="1" x14ac:dyDescent="0.25">
      <c r="A195" s="20" t="s">
        <v>13704</v>
      </c>
      <c r="B195" s="16" t="s">
        <v>13705</v>
      </c>
      <c r="C195" s="71" t="str">
        <f t="shared" si="2"/>
        <v>Product Info</v>
      </c>
      <c r="D195" s="93" t="s">
        <v>14538</v>
      </c>
      <c r="E195" s="143">
        <v>1</v>
      </c>
      <c r="F195" s="12" t="s">
        <v>4992</v>
      </c>
      <c r="G195" s="38">
        <v>138.88999999999999</v>
      </c>
      <c r="H195" s="38">
        <v>118.06</v>
      </c>
      <c r="I195" s="38">
        <v>97.23</v>
      </c>
      <c r="J195" s="39"/>
      <c r="K195" s="143"/>
      <c r="L195" s="22">
        <v>4</v>
      </c>
      <c r="M195" s="22" t="s">
        <v>12488</v>
      </c>
      <c r="N195" s="20" t="s">
        <v>14489</v>
      </c>
      <c r="O195" s="16" t="s">
        <v>13912</v>
      </c>
      <c r="P195" s="143">
        <v>819</v>
      </c>
      <c r="Q195" s="122" t="s">
        <v>9227</v>
      </c>
      <c r="R195" s="16" t="s">
        <v>8904</v>
      </c>
      <c r="S195" s="10" t="s">
        <v>1163</v>
      </c>
      <c r="T195" s="28" t="s">
        <v>13890</v>
      </c>
      <c r="U195" s="20" t="s">
        <v>5359</v>
      </c>
      <c r="V195" s="16" t="s">
        <v>14113</v>
      </c>
      <c r="W195" s="16" t="s">
        <v>13938</v>
      </c>
      <c r="X195" s="174">
        <v>93.34</v>
      </c>
      <c r="Y195" s="174">
        <v>118.06</v>
      </c>
    </row>
    <row r="196" spans="1:25" s="1" customFormat="1" ht="15" customHeight="1" x14ac:dyDescent="0.25">
      <c r="A196" s="20" t="s">
        <v>13706</v>
      </c>
      <c r="B196" s="16" t="s">
        <v>13707</v>
      </c>
      <c r="C196" s="71" t="str">
        <f t="shared" si="2"/>
        <v>Product Info</v>
      </c>
      <c r="D196" s="93" t="s">
        <v>14539</v>
      </c>
      <c r="E196" s="143">
        <v>1</v>
      </c>
      <c r="F196" s="12" t="s">
        <v>4992</v>
      </c>
      <c r="G196" s="38">
        <v>144.51</v>
      </c>
      <c r="H196" s="38">
        <v>122.84</v>
      </c>
      <c r="I196" s="38">
        <v>101.16</v>
      </c>
      <c r="J196" s="39"/>
      <c r="K196" s="143"/>
      <c r="L196" s="22">
        <v>4</v>
      </c>
      <c r="M196" s="22" t="s">
        <v>12488</v>
      </c>
      <c r="N196" s="20" t="s">
        <v>14489</v>
      </c>
      <c r="O196" s="16" t="s">
        <v>13912</v>
      </c>
      <c r="P196" s="143">
        <v>819</v>
      </c>
      <c r="Q196" s="122" t="s">
        <v>9227</v>
      </c>
      <c r="R196" s="16" t="s">
        <v>8904</v>
      </c>
      <c r="S196" s="10" t="s">
        <v>1163</v>
      </c>
      <c r="T196" s="28" t="s">
        <v>13891</v>
      </c>
      <c r="U196" s="20" t="s">
        <v>5359</v>
      </c>
      <c r="V196" s="16" t="s">
        <v>14114</v>
      </c>
      <c r="W196" s="16" t="s">
        <v>13938</v>
      </c>
      <c r="X196" s="174">
        <v>97.11</v>
      </c>
      <c r="Y196" s="174">
        <v>122.84</v>
      </c>
    </row>
    <row r="197" spans="1:25" s="1" customFormat="1" ht="15" customHeight="1" x14ac:dyDescent="0.25">
      <c r="A197" s="20" t="s">
        <v>13289</v>
      </c>
      <c r="B197" s="29" t="s">
        <v>13287</v>
      </c>
      <c r="C197" s="71" t="str">
        <f t="shared" si="2"/>
        <v>Product Info</v>
      </c>
      <c r="D197" s="93" t="s">
        <v>14540</v>
      </c>
      <c r="E197" s="143">
        <v>1</v>
      </c>
      <c r="F197" s="12" t="s">
        <v>4992</v>
      </c>
      <c r="G197" s="38">
        <v>403.46</v>
      </c>
      <c r="H197" s="38">
        <v>342.95</v>
      </c>
      <c r="I197" s="38">
        <v>282.42</v>
      </c>
      <c r="J197" s="39"/>
      <c r="K197" s="143"/>
      <c r="L197" s="22">
        <v>5</v>
      </c>
      <c r="M197" s="22" t="s">
        <v>12488</v>
      </c>
      <c r="N197" s="20" t="s">
        <v>14271</v>
      </c>
      <c r="O197" s="16" t="s">
        <v>13912</v>
      </c>
      <c r="P197" s="143">
        <v>750</v>
      </c>
      <c r="Q197" s="121" t="s">
        <v>14285</v>
      </c>
      <c r="R197" s="16" t="s">
        <v>9235</v>
      </c>
      <c r="S197" s="10" t="s">
        <v>1163</v>
      </c>
      <c r="T197" s="15" t="s">
        <v>13292</v>
      </c>
      <c r="U197" s="20" t="s">
        <v>5359</v>
      </c>
      <c r="V197" s="11" t="s">
        <v>13289</v>
      </c>
      <c r="W197" s="11" t="s">
        <v>14284</v>
      </c>
      <c r="X197" s="174">
        <v>271.12</v>
      </c>
      <c r="Y197" s="174">
        <v>342.95</v>
      </c>
    </row>
    <row r="198" spans="1:25" s="1" customFormat="1" ht="15" customHeight="1" x14ac:dyDescent="0.25">
      <c r="A198" s="20" t="s">
        <v>13288</v>
      </c>
      <c r="B198" s="29" t="s">
        <v>13286</v>
      </c>
      <c r="C198" s="71" t="str">
        <f t="shared" ref="C198:C261" si="3">HYPERLINK(T198,U198)</f>
        <v>Product Info</v>
      </c>
      <c r="D198" s="93" t="s">
        <v>14541</v>
      </c>
      <c r="E198" s="143">
        <v>1</v>
      </c>
      <c r="F198" s="12" t="s">
        <v>4992</v>
      </c>
      <c r="G198" s="38">
        <v>492.96</v>
      </c>
      <c r="H198" s="38">
        <v>419.03</v>
      </c>
      <c r="I198" s="38">
        <v>345.07</v>
      </c>
      <c r="J198" s="39"/>
      <c r="K198" s="143"/>
      <c r="L198" s="22">
        <v>6</v>
      </c>
      <c r="M198" s="22" t="s">
        <v>12488</v>
      </c>
      <c r="N198" s="20" t="s">
        <v>14272</v>
      </c>
      <c r="O198" s="16" t="s">
        <v>13912</v>
      </c>
      <c r="P198" s="143">
        <v>750</v>
      </c>
      <c r="Q198" s="121" t="s">
        <v>14285</v>
      </c>
      <c r="R198" s="16" t="s">
        <v>9235</v>
      </c>
      <c r="S198" s="10" t="s">
        <v>1163</v>
      </c>
      <c r="T198" s="15" t="s">
        <v>13291</v>
      </c>
      <c r="U198" s="20" t="s">
        <v>5359</v>
      </c>
      <c r="V198" s="11" t="s">
        <v>13290</v>
      </c>
      <c r="W198" s="11" t="s">
        <v>14284</v>
      </c>
      <c r="X198" s="174">
        <v>331.27</v>
      </c>
      <c r="Y198" s="174">
        <v>419.03</v>
      </c>
    </row>
    <row r="199" spans="1:25" s="1" customFormat="1" ht="15" customHeight="1" x14ac:dyDescent="0.25">
      <c r="A199" s="20" t="s">
        <v>12510</v>
      </c>
      <c r="B199" s="16" t="s">
        <v>12511</v>
      </c>
      <c r="C199" s="71" t="str">
        <f t="shared" si="3"/>
        <v>Product Info</v>
      </c>
      <c r="D199" s="93" t="s">
        <v>14542</v>
      </c>
      <c r="E199" s="143">
        <v>1</v>
      </c>
      <c r="F199" s="12" t="s">
        <v>4992</v>
      </c>
      <c r="G199" s="38">
        <v>669.76</v>
      </c>
      <c r="H199" s="38">
        <v>569.30999999999995</v>
      </c>
      <c r="I199" s="38">
        <v>468.83</v>
      </c>
      <c r="J199" s="39"/>
      <c r="K199" s="143"/>
      <c r="L199" s="22">
        <v>10</v>
      </c>
      <c r="M199" s="22" t="s">
        <v>12488</v>
      </c>
      <c r="N199" s="20" t="s">
        <v>9342</v>
      </c>
      <c r="O199" s="16" t="s">
        <v>13912</v>
      </c>
      <c r="P199" s="143">
        <v>750</v>
      </c>
      <c r="Q199" s="121" t="s">
        <v>14285</v>
      </c>
      <c r="R199" s="16" t="s">
        <v>9235</v>
      </c>
      <c r="S199" s="10" t="s">
        <v>1163</v>
      </c>
      <c r="T199" s="28" t="s">
        <v>13731</v>
      </c>
      <c r="U199" s="20" t="s">
        <v>5359</v>
      </c>
      <c r="V199" s="16" t="s">
        <v>14132</v>
      </c>
      <c r="W199" s="11" t="s">
        <v>14284</v>
      </c>
      <c r="X199" s="174">
        <v>450.08</v>
      </c>
      <c r="Y199" s="174">
        <v>569.30999999999995</v>
      </c>
    </row>
    <row r="200" spans="1:25" s="1" customFormat="1" ht="15" customHeight="1" x14ac:dyDescent="0.25">
      <c r="A200" s="20" t="s">
        <v>13364</v>
      </c>
      <c r="B200" s="20" t="s">
        <v>13365</v>
      </c>
      <c r="C200" s="71" t="str">
        <f t="shared" si="3"/>
        <v>Product Info</v>
      </c>
      <c r="D200" s="93" t="s">
        <v>14543</v>
      </c>
      <c r="E200" s="143">
        <v>1</v>
      </c>
      <c r="F200" s="143" t="s">
        <v>4992</v>
      </c>
      <c r="G200" s="38">
        <v>117.37</v>
      </c>
      <c r="H200" s="38">
        <v>99.77</v>
      </c>
      <c r="I200" s="38">
        <v>82.16</v>
      </c>
      <c r="J200" s="39"/>
      <c r="K200" s="143"/>
      <c r="L200" s="22">
        <v>6</v>
      </c>
      <c r="M200" s="22" t="s">
        <v>12488</v>
      </c>
      <c r="N200" s="20" t="s">
        <v>14256</v>
      </c>
      <c r="O200" s="16" t="s">
        <v>13912</v>
      </c>
      <c r="P200" s="143">
        <v>750</v>
      </c>
      <c r="Q200" s="122" t="s">
        <v>12421</v>
      </c>
      <c r="R200" s="16" t="s">
        <v>9235</v>
      </c>
      <c r="S200" s="10" t="s">
        <v>1163</v>
      </c>
      <c r="T200" s="15" t="s">
        <v>13898</v>
      </c>
      <c r="U200" s="20" t="s">
        <v>5359</v>
      </c>
      <c r="V200" s="20" t="s">
        <v>13364</v>
      </c>
      <c r="W200" s="20" t="s">
        <v>13913</v>
      </c>
      <c r="X200" s="174">
        <v>78.87</v>
      </c>
      <c r="Y200" s="174">
        <v>99.77</v>
      </c>
    </row>
    <row r="201" spans="1:25" s="1" customFormat="1" ht="15" customHeight="1" x14ac:dyDescent="0.25">
      <c r="A201" s="20" t="s">
        <v>14380</v>
      </c>
      <c r="B201" s="37" t="s">
        <v>14381</v>
      </c>
      <c r="C201" s="71" t="str">
        <f t="shared" si="3"/>
        <v>Product Info</v>
      </c>
      <c r="D201" s="93" t="s">
        <v>14544</v>
      </c>
      <c r="E201" s="143">
        <v>1</v>
      </c>
      <c r="F201" s="143" t="s">
        <v>4992</v>
      </c>
      <c r="G201" s="38">
        <v>125.26</v>
      </c>
      <c r="H201" s="38">
        <v>106.47</v>
      </c>
      <c r="I201" s="38">
        <v>87.68</v>
      </c>
      <c r="J201" s="39"/>
      <c r="K201" s="143"/>
      <c r="L201" s="22">
        <v>6</v>
      </c>
      <c r="M201" s="22" t="s">
        <v>12488</v>
      </c>
      <c r="N201" s="20" t="s">
        <v>14256</v>
      </c>
      <c r="O201" s="16" t="s">
        <v>13912</v>
      </c>
      <c r="P201" s="143">
        <v>750</v>
      </c>
      <c r="Q201" s="121" t="s">
        <v>14285</v>
      </c>
      <c r="R201" s="16" t="s">
        <v>9235</v>
      </c>
      <c r="S201" s="10" t="s">
        <v>1163</v>
      </c>
      <c r="T201" s="15" t="s">
        <v>14439</v>
      </c>
      <c r="U201" s="20" t="s">
        <v>5359</v>
      </c>
      <c r="V201" s="20" t="s">
        <v>14415</v>
      </c>
      <c r="W201" s="10" t="s">
        <v>14284</v>
      </c>
      <c r="X201" s="174">
        <v>84.17</v>
      </c>
      <c r="Y201" s="174">
        <v>106.47</v>
      </c>
    </row>
    <row r="202" spans="1:25" s="1" customFormat="1" ht="15" customHeight="1" x14ac:dyDescent="0.25">
      <c r="A202" s="20" t="s">
        <v>13366</v>
      </c>
      <c r="B202" s="20" t="s">
        <v>13367</v>
      </c>
      <c r="C202" s="71" t="str">
        <f t="shared" si="3"/>
        <v>Product Info</v>
      </c>
      <c r="D202" s="93" t="s">
        <v>14545</v>
      </c>
      <c r="E202" s="143">
        <v>1</v>
      </c>
      <c r="F202" s="143" t="s">
        <v>4992</v>
      </c>
      <c r="G202" s="38">
        <v>128.19999999999999</v>
      </c>
      <c r="H202" s="38">
        <v>108.97</v>
      </c>
      <c r="I202" s="38">
        <v>89.74</v>
      </c>
      <c r="J202" s="39"/>
      <c r="K202" s="143"/>
      <c r="L202" s="22">
        <v>6</v>
      </c>
      <c r="M202" s="22" t="s">
        <v>12488</v>
      </c>
      <c r="N202" s="20" t="s">
        <v>14256</v>
      </c>
      <c r="O202" s="16" t="s">
        <v>13912</v>
      </c>
      <c r="P202" s="143">
        <v>750</v>
      </c>
      <c r="Q202" s="122" t="s">
        <v>12421</v>
      </c>
      <c r="R202" s="16" t="s">
        <v>9235</v>
      </c>
      <c r="S202" s="10" t="s">
        <v>1163</v>
      </c>
      <c r="T202" s="15" t="s">
        <v>13899</v>
      </c>
      <c r="U202" s="20" t="s">
        <v>5359</v>
      </c>
      <c r="V202" s="20" t="s">
        <v>13366</v>
      </c>
      <c r="W202" s="20" t="s">
        <v>13913</v>
      </c>
      <c r="X202" s="174">
        <v>86.15</v>
      </c>
      <c r="Y202" s="174">
        <v>108.97</v>
      </c>
    </row>
    <row r="203" spans="1:25" s="1" customFormat="1" ht="15" customHeight="1" x14ac:dyDescent="0.25">
      <c r="A203" s="20" t="s">
        <v>13368</v>
      </c>
      <c r="B203" s="20" t="s">
        <v>13369</v>
      </c>
      <c r="C203" s="71" t="str">
        <f t="shared" si="3"/>
        <v>Product Info</v>
      </c>
      <c r="D203" s="93" t="s">
        <v>14546</v>
      </c>
      <c r="E203" s="143">
        <v>1</v>
      </c>
      <c r="F203" s="143" t="s">
        <v>4992</v>
      </c>
      <c r="G203" s="38">
        <v>136.57</v>
      </c>
      <c r="H203" s="38">
        <v>116.09</v>
      </c>
      <c r="I203" s="38">
        <v>95.6</v>
      </c>
      <c r="J203" s="39"/>
      <c r="K203" s="143"/>
      <c r="L203" s="22">
        <v>6</v>
      </c>
      <c r="M203" s="22" t="s">
        <v>12488</v>
      </c>
      <c r="N203" s="20" t="s">
        <v>14256</v>
      </c>
      <c r="O203" s="16" t="s">
        <v>13912</v>
      </c>
      <c r="P203" s="143">
        <v>750</v>
      </c>
      <c r="Q203" s="122" t="s">
        <v>12421</v>
      </c>
      <c r="R203" s="16" t="s">
        <v>9235</v>
      </c>
      <c r="S203" s="10" t="s">
        <v>1163</v>
      </c>
      <c r="T203" s="15" t="s">
        <v>13900</v>
      </c>
      <c r="U203" s="20" t="s">
        <v>5359</v>
      </c>
      <c r="V203" s="20" t="s">
        <v>13368</v>
      </c>
      <c r="W203" s="20" t="s">
        <v>13913</v>
      </c>
      <c r="X203" s="174">
        <v>91.78</v>
      </c>
      <c r="Y203" s="174">
        <v>116.09</v>
      </c>
    </row>
    <row r="204" spans="1:25" s="1" customFormat="1" ht="15" customHeight="1" x14ac:dyDescent="0.25">
      <c r="A204" s="20" t="s">
        <v>13370</v>
      </c>
      <c r="B204" s="16" t="s">
        <v>13371</v>
      </c>
      <c r="C204" s="71" t="str">
        <f t="shared" si="3"/>
        <v>Product Info</v>
      </c>
      <c r="D204" s="93" t="s">
        <v>14547</v>
      </c>
      <c r="E204" s="143">
        <v>1</v>
      </c>
      <c r="F204" s="12" t="s">
        <v>4992</v>
      </c>
      <c r="G204" s="38">
        <v>146.71</v>
      </c>
      <c r="H204" s="38">
        <v>124.71</v>
      </c>
      <c r="I204" s="38">
        <v>102.7</v>
      </c>
      <c r="J204" s="39"/>
      <c r="K204" s="143"/>
      <c r="L204" s="22">
        <v>6</v>
      </c>
      <c r="M204" s="22" t="s">
        <v>12488</v>
      </c>
      <c r="N204" s="20" t="s">
        <v>14256</v>
      </c>
      <c r="O204" s="16" t="s">
        <v>13912</v>
      </c>
      <c r="P204" s="143">
        <v>750</v>
      </c>
      <c r="Q204" s="122" t="s">
        <v>12421</v>
      </c>
      <c r="R204" s="16" t="s">
        <v>9235</v>
      </c>
      <c r="S204" s="10" t="s">
        <v>1163</v>
      </c>
      <c r="T204" s="28" t="s">
        <v>13901</v>
      </c>
      <c r="U204" s="20" t="s">
        <v>5359</v>
      </c>
      <c r="V204" s="16" t="s">
        <v>14131</v>
      </c>
      <c r="W204" s="11" t="s">
        <v>14284</v>
      </c>
      <c r="X204" s="174">
        <v>98.59</v>
      </c>
      <c r="Y204" s="174">
        <v>124.71</v>
      </c>
    </row>
    <row r="205" spans="1:25" s="1" customFormat="1" ht="15" customHeight="1" x14ac:dyDescent="0.25">
      <c r="A205" s="20" t="s">
        <v>14382</v>
      </c>
      <c r="B205" s="37" t="s">
        <v>14383</v>
      </c>
      <c r="C205" s="71" t="str">
        <f t="shared" si="3"/>
        <v>Product Info</v>
      </c>
      <c r="D205" s="93" t="s">
        <v>14548</v>
      </c>
      <c r="E205" s="143">
        <v>1</v>
      </c>
      <c r="F205" s="143" t="s">
        <v>4992</v>
      </c>
      <c r="G205" s="38">
        <v>156.59</v>
      </c>
      <c r="H205" s="38">
        <v>133.1</v>
      </c>
      <c r="I205" s="38">
        <v>109.61</v>
      </c>
      <c r="J205" s="39"/>
      <c r="K205" s="143"/>
      <c r="L205" s="22">
        <v>6</v>
      </c>
      <c r="M205" s="22" t="s">
        <v>12488</v>
      </c>
      <c r="N205" s="20" t="s">
        <v>14256</v>
      </c>
      <c r="O205" s="16" t="s">
        <v>13912</v>
      </c>
      <c r="P205" s="143">
        <v>750</v>
      </c>
      <c r="Q205" s="121" t="s">
        <v>14285</v>
      </c>
      <c r="R205" s="16" t="s">
        <v>9235</v>
      </c>
      <c r="S205" s="10" t="s">
        <v>1163</v>
      </c>
      <c r="T205" s="15" t="s">
        <v>14440</v>
      </c>
      <c r="U205" s="20" t="s">
        <v>5359</v>
      </c>
      <c r="V205" s="20" t="s">
        <v>14416</v>
      </c>
      <c r="W205" s="10" t="s">
        <v>14284</v>
      </c>
      <c r="X205" s="174">
        <v>105.23</v>
      </c>
      <c r="Y205" s="174">
        <v>133.1</v>
      </c>
    </row>
    <row r="206" spans="1:25" s="1" customFormat="1" ht="15" customHeight="1" x14ac:dyDescent="0.25">
      <c r="A206" s="20" t="s">
        <v>13372</v>
      </c>
      <c r="B206" s="20" t="s">
        <v>13373</v>
      </c>
      <c r="C206" s="71" t="str">
        <f t="shared" si="3"/>
        <v>Product Info</v>
      </c>
      <c r="D206" s="93" t="s">
        <v>14549</v>
      </c>
      <c r="E206" s="143">
        <v>1</v>
      </c>
      <c r="F206" s="143" t="s">
        <v>4992</v>
      </c>
      <c r="G206" s="38">
        <v>160.26</v>
      </c>
      <c r="H206" s="38">
        <v>136.22</v>
      </c>
      <c r="I206" s="38">
        <v>112.18</v>
      </c>
      <c r="J206" s="39"/>
      <c r="K206" s="143"/>
      <c r="L206" s="22">
        <v>6</v>
      </c>
      <c r="M206" s="22" t="s">
        <v>12488</v>
      </c>
      <c r="N206" s="20" t="s">
        <v>14256</v>
      </c>
      <c r="O206" s="16" t="s">
        <v>13912</v>
      </c>
      <c r="P206" s="143">
        <v>750</v>
      </c>
      <c r="Q206" s="122" t="s">
        <v>12421</v>
      </c>
      <c r="R206" s="16" t="s">
        <v>9235</v>
      </c>
      <c r="S206" s="10" t="s">
        <v>1163</v>
      </c>
      <c r="T206" s="15" t="s">
        <v>13902</v>
      </c>
      <c r="U206" s="20" t="s">
        <v>5359</v>
      </c>
      <c r="V206" s="20" t="s">
        <v>13372</v>
      </c>
      <c r="W206" s="20" t="s">
        <v>13913</v>
      </c>
      <c r="X206" s="174">
        <v>107.69</v>
      </c>
      <c r="Y206" s="174">
        <v>136.22</v>
      </c>
    </row>
    <row r="207" spans="1:25" s="1" customFormat="1" ht="15" customHeight="1" x14ac:dyDescent="0.25">
      <c r="A207" s="20" t="s">
        <v>13374</v>
      </c>
      <c r="B207" s="20" t="s">
        <v>13375</v>
      </c>
      <c r="C207" s="71" t="str">
        <f t="shared" si="3"/>
        <v>Product Info</v>
      </c>
      <c r="D207" s="93" t="s">
        <v>14550</v>
      </c>
      <c r="E207" s="143">
        <v>1</v>
      </c>
      <c r="F207" s="143" t="s">
        <v>4992</v>
      </c>
      <c r="G207" s="38">
        <v>170.71</v>
      </c>
      <c r="H207" s="38">
        <v>145.11000000000001</v>
      </c>
      <c r="I207" s="38">
        <v>119.5</v>
      </c>
      <c r="J207" s="39"/>
      <c r="K207" s="143"/>
      <c r="L207" s="22">
        <v>6</v>
      </c>
      <c r="M207" s="22" t="s">
        <v>12488</v>
      </c>
      <c r="N207" s="20" t="s">
        <v>14256</v>
      </c>
      <c r="O207" s="16" t="s">
        <v>13912</v>
      </c>
      <c r="P207" s="143">
        <v>750</v>
      </c>
      <c r="Q207" s="122" t="s">
        <v>12421</v>
      </c>
      <c r="R207" s="16" t="s">
        <v>9235</v>
      </c>
      <c r="S207" s="10" t="s">
        <v>1163</v>
      </c>
      <c r="T207" s="15" t="s">
        <v>13903</v>
      </c>
      <c r="U207" s="20" t="s">
        <v>5359</v>
      </c>
      <c r="V207" s="20" t="s">
        <v>13374</v>
      </c>
      <c r="W207" s="20" t="s">
        <v>13913</v>
      </c>
      <c r="X207" s="174">
        <v>114.72</v>
      </c>
      <c r="Y207" s="174">
        <v>145.11000000000001</v>
      </c>
    </row>
    <row r="208" spans="1:25" s="1" customFormat="1" ht="15" customHeight="1" x14ac:dyDescent="0.25">
      <c r="A208" s="20" t="s">
        <v>13376</v>
      </c>
      <c r="B208" s="20" t="s">
        <v>13377</v>
      </c>
      <c r="C208" s="71" t="str">
        <f t="shared" si="3"/>
        <v>Product Info</v>
      </c>
      <c r="D208" s="93" t="s">
        <v>14551</v>
      </c>
      <c r="E208" s="143">
        <v>1</v>
      </c>
      <c r="F208" s="143" t="s">
        <v>4992</v>
      </c>
      <c r="G208" s="38">
        <v>139.07</v>
      </c>
      <c r="H208" s="38">
        <v>118.21</v>
      </c>
      <c r="I208" s="38">
        <v>97.35</v>
      </c>
      <c r="J208" s="39"/>
      <c r="K208" s="143"/>
      <c r="L208" s="22">
        <v>6</v>
      </c>
      <c r="M208" s="22" t="s">
        <v>12488</v>
      </c>
      <c r="N208" s="20" t="s">
        <v>14256</v>
      </c>
      <c r="O208" s="16" t="s">
        <v>13912</v>
      </c>
      <c r="P208" s="143">
        <v>750</v>
      </c>
      <c r="Q208" s="122" t="s">
        <v>12421</v>
      </c>
      <c r="R208" s="16" t="s">
        <v>9235</v>
      </c>
      <c r="S208" s="10" t="s">
        <v>1163</v>
      </c>
      <c r="T208" s="28" t="s">
        <v>14437</v>
      </c>
      <c r="U208" s="20" t="s">
        <v>5359</v>
      </c>
      <c r="V208" s="20" t="s">
        <v>13376</v>
      </c>
      <c r="W208" s="20" t="s">
        <v>14284</v>
      </c>
      <c r="X208" s="174">
        <v>93.46</v>
      </c>
      <c r="Y208" s="174">
        <v>118.21</v>
      </c>
    </row>
    <row r="209" spans="1:25" s="1" customFormat="1" ht="15" customHeight="1" x14ac:dyDescent="0.25">
      <c r="A209" s="20" t="s">
        <v>13378</v>
      </c>
      <c r="B209" s="20" t="s">
        <v>13379</v>
      </c>
      <c r="C209" s="71" t="str">
        <f t="shared" si="3"/>
        <v>Product Info</v>
      </c>
      <c r="D209" s="93" t="s">
        <v>14552</v>
      </c>
      <c r="E209" s="143">
        <v>1</v>
      </c>
      <c r="F209" s="143" t="s">
        <v>4992</v>
      </c>
      <c r="G209" s="38">
        <v>151.13</v>
      </c>
      <c r="H209" s="38">
        <v>128.46</v>
      </c>
      <c r="I209" s="38">
        <v>105.79</v>
      </c>
      <c r="J209" s="39"/>
      <c r="K209" s="143"/>
      <c r="L209" s="22">
        <v>6</v>
      </c>
      <c r="M209" s="22" t="s">
        <v>12488</v>
      </c>
      <c r="N209" s="20" t="s">
        <v>14256</v>
      </c>
      <c r="O209" s="16" t="s">
        <v>13912</v>
      </c>
      <c r="P209" s="143">
        <v>750</v>
      </c>
      <c r="Q209" s="122" t="s">
        <v>12421</v>
      </c>
      <c r="R209" s="16" t="s">
        <v>9235</v>
      </c>
      <c r="S209" s="10" t="s">
        <v>1163</v>
      </c>
      <c r="T209" s="15" t="s">
        <v>13904</v>
      </c>
      <c r="U209" s="20" t="s">
        <v>5359</v>
      </c>
      <c r="V209" s="20" t="s">
        <v>13378</v>
      </c>
      <c r="W209" s="20" t="s">
        <v>13913</v>
      </c>
      <c r="X209" s="174">
        <v>101.56</v>
      </c>
      <c r="Y209" s="174">
        <v>128.46</v>
      </c>
    </row>
    <row r="210" spans="1:25" s="1" customFormat="1" ht="15" customHeight="1" x14ac:dyDescent="0.25">
      <c r="A210" s="20" t="s">
        <v>13380</v>
      </c>
      <c r="B210" s="20" t="s">
        <v>13381</v>
      </c>
      <c r="C210" s="71" t="str">
        <f t="shared" si="3"/>
        <v>Product Info</v>
      </c>
      <c r="D210" s="93" t="s">
        <v>14553</v>
      </c>
      <c r="E210" s="143">
        <v>1</v>
      </c>
      <c r="F210" s="143" t="s">
        <v>4992</v>
      </c>
      <c r="G210" s="38">
        <v>160.41</v>
      </c>
      <c r="H210" s="38">
        <v>136.36000000000001</v>
      </c>
      <c r="I210" s="38">
        <v>112.29</v>
      </c>
      <c r="J210" s="39"/>
      <c r="K210" s="143"/>
      <c r="L210" s="22">
        <v>6</v>
      </c>
      <c r="M210" s="22" t="s">
        <v>12488</v>
      </c>
      <c r="N210" s="20" t="s">
        <v>14256</v>
      </c>
      <c r="O210" s="16" t="s">
        <v>13912</v>
      </c>
      <c r="P210" s="143">
        <v>750</v>
      </c>
      <c r="Q210" s="122" t="s">
        <v>12421</v>
      </c>
      <c r="R210" s="16" t="s">
        <v>9235</v>
      </c>
      <c r="S210" s="10" t="s">
        <v>1163</v>
      </c>
      <c r="T210" s="15" t="s">
        <v>13905</v>
      </c>
      <c r="U210" s="20" t="s">
        <v>5359</v>
      </c>
      <c r="V210" s="20" t="s">
        <v>13380</v>
      </c>
      <c r="W210" s="20" t="s">
        <v>13913</v>
      </c>
      <c r="X210" s="174">
        <v>107.8</v>
      </c>
      <c r="Y210" s="174">
        <v>136.36000000000001</v>
      </c>
    </row>
    <row r="211" spans="1:25" s="1" customFormat="1" ht="15" customHeight="1" x14ac:dyDescent="0.25">
      <c r="A211" s="20" t="s">
        <v>13382</v>
      </c>
      <c r="B211" s="20" t="s">
        <v>13383</v>
      </c>
      <c r="C211" s="71" t="str">
        <f t="shared" si="3"/>
        <v>Product Info</v>
      </c>
      <c r="D211" s="93" t="s">
        <v>14554</v>
      </c>
      <c r="E211" s="143">
        <v>1</v>
      </c>
      <c r="F211" s="143" t="s">
        <v>4992</v>
      </c>
      <c r="G211" s="38">
        <v>178.81</v>
      </c>
      <c r="H211" s="38">
        <v>152</v>
      </c>
      <c r="I211" s="38">
        <v>125.17</v>
      </c>
      <c r="J211" s="39"/>
      <c r="K211" s="143"/>
      <c r="L211" s="22">
        <v>6</v>
      </c>
      <c r="M211" s="22" t="s">
        <v>12488</v>
      </c>
      <c r="N211" s="20" t="s">
        <v>14256</v>
      </c>
      <c r="O211" s="16" t="s">
        <v>13912</v>
      </c>
      <c r="P211" s="143">
        <v>750</v>
      </c>
      <c r="Q211" s="122" t="s">
        <v>12421</v>
      </c>
      <c r="R211" s="16" t="s">
        <v>9235</v>
      </c>
      <c r="S211" s="10" t="s">
        <v>1163</v>
      </c>
      <c r="T211" s="15" t="s">
        <v>13906</v>
      </c>
      <c r="U211" s="20" t="s">
        <v>5359</v>
      </c>
      <c r="V211" s="20" t="s">
        <v>13382</v>
      </c>
      <c r="W211" s="20" t="s">
        <v>13913</v>
      </c>
      <c r="X211" s="174">
        <v>120.16</v>
      </c>
      <c r="Y211" s="174">
        <v>152</v>
      </c>
    </row>
    <row r="212" spans="1:25" s="1" customFormat="1" ht="15" customHeight="1" x14ac:dyDescent="0.25">
      <c r="A212" s="20" t="s">
        <v>13384</v>
      </c>
      <c r="B212" s="20" t="s">
        <v>13385</v>
      </c>
      <c r="C212" s="71" t="str">
        <f t="shared" si="3"/>
        <v>Product Info</v>
      </c>
      <c r="D212" s="93" t="s">
        <v>14555</v>
      </c>
      <c r="E212" s="143">
        <v>1</v>
      </c>
      <c r="F212" s="143" t="s">
        <v>4992</v>
      </c>
      <c r="G212" s="38">
        <v>194.3</v>
      </c>
      <c r="H212" s="38">
        <v>165.16</v>
      </c>
      <c r="I212" s="38">
        <v>136.01</v>
      </c>
      <c r="J212" s="39"/>
      <c r="K212" s="143"/>
      <c r="L212" s="22">
        <v>6</v>
      </c>
      <c r="M212" s="22" t="s">
        <v>12488</v>
      </c>
      <c r="N212" s="20" t="s">
        <v>14256</v>
      </c>
      <c r="O212" s="16" t="s">
        <v>13912</v>
      </c>
      <c r="P212" s="143">
        <v>750</v>
      </c>
      <c r="Q212" s="122" t="s">
        <v>12421</v>
      </c>
      <c r="R212" s="16" t="s">
        <v>9235</v>
      </c>
      <c r="S212" s="10" t="s">
        <v>1163</v>
      </c>
      <c r="T212" s="15" t="s">
        <v>13907</v>
      </c>
      <c r="U212" s="20" t="s">
        <v>5359</v>
      </c>
      <c r="V212" s="20" t="s">
        <v>13384</v>
      </c>
      <c r="W212" s="20" t="s">
        <v>13913</v>
      </c>
      <c r="X212" s="174">
        <v>130.57</v>
      </c>
      <c r="Y212" s="174">
        <v>165.16</v>
      </c>
    </row>
    <row r="213" spans="1:25" s="1" customFormat="1" ht="15" customHeight="1" x14ac:dyDescent="0.25">
      <c r="A213" s="20" t="s">
        <v>13386</v>
      </c>
      <c r="B213" s="20" t="s">
        <v>13387</v>
      </c>
      <c r="C213" s="71" t="str">
        <f t="shared" si="3"/>
        <v>Product Info</v>
      </c>
      <c r="D213" s="93" t="s">
        <v>14556</v>
      </c>
      <c r="E213" s="143">
        <v>1</v>
      </c>
      <c r="F213" s="143" t="s">
        <v>4992</v>
      </c>
      <c r="G213" s="38">
        <v>206.24</v>
      </c>
      <c r="H213" s="38">
        <v>175.31</v>
      </c>
      <c r="I213" s="38">
        <v>144.37</v>
      </c>
      <c r="J213" s="39"/>
      <c r="K213" s="143"/>
      <c r="L213" s="22">
        <v>6</v>
      </c>
      <c r="M213" s="22" t="s">
        <v>12488</v>
      </c>
      <c r="N213" s="20" t="s">
        <v>14256</v>
      </c>
      <c r="O213" s="16" t="s">
        <v>13912</v>
      </c>
      <c r="P213" s="143">
        <v>750</v>
      </c>
      <c r="Q213" s="122" t="s">
        <v>12421</v>
      </c>
      <c r="R213" s="16" t="s">
        <v>9235</v>
      </c>
      <c r="S213" s="10" t="s">
        <v>1163</v>
      </c>
      <c r="T213" s="15" t="s">
        <v>13908</v>
      </c>
      <c r="U213" s="20" t="s">
        <v>5359</v>
      </c>
      <c r="V213" s="20" t="s">
        <v>13386</v>
      </c>
      <c r="W213" s="20" t="s">
        <v>13913</v>
      </c>
      <c r="X213" s="174">
        <v>138.6</v>
      </c>
      <c r="Y213" s="174">
        <v>175.31</v>
      </c>
    </row>
    <row r="214" spans="1:25" s="1" customFormat="1" ht="15" customHeight="1" x14ac:dyDescent="0.25">
      <c r="A214" s="20" t="s">
        <v>14165</v>
      </c>
      <c r="B214" s="37" t="s">
        <v>14166</v>
      </c>
      <c r="C214" s="71" t="str">
        <f t="shared" si="3"/>
        <v>Product Info</v>
      </c>
      <c r="D214" s="93" t="s">
        <v>14557</v>
      </c>
      <c r="E214" s="143">
        <v>1</v>
      </c>
      <c r="F214" s="143" t="s">
        <v>4992</v>
      </c>
      <c r="G214" s="38">
        <v>213.61</v>
      </c>
      <c r="H214" s="38">
        <v>181.58</v>
      </c>
      <c r="I214" s="38">
        <v>149.53</v>
      </c>
      <c r="J214" s="39"/>
      <c r="K214" s="143"/>
      <c r="L214" s="22">
        <v>4</v>
      </c>
      <c r="M214" s="22" t="s">
        <v>12488</v>
      </c>
      <c r="N214" s="20" t="s">
        <v>13076</v>
      </c>
      <c r="O214" s="16" t="s">
        <v>13912</v>
      </c>
      <c r="P214" s="143">
        <v>751</v>
      </c>
      <c r="Q214" s="121" t="s">
        <v>14285</v>
      </c>
      <c r="R214" s="16" t="s">
        <v>8904</v>
      </c>
      <c r="S214" s="10" t="s">
        <v>1163</v>
      </c>
      <c r="T214" s="15" t="s">
        <v>14315</v>
      </c>
      <c r="U214" s="20" t="s">
        <v>5359</v>
      </c>
      <c r="V214" s="20" t="s">
        <v>14165</v>
      </c>
      <c r="W214" s="20" t="s">
        <v>14284</v>
      </c>
      <c r="X214" s="174">
        <v>134.58000000000001</v>
      </c>
      <c r="Y214" s="174">
        <v>167.05360000000002</v>
      </c>
    </row>
    <row r="215" spans="1:25" s="1" customFormat="1" ht="15" customHeight="1" x14ac:dyDescent="0.25">
      <c r="A215" s="20" t="s">
        <v>14167</v>
      </c>
      <c r="B215" s="37" t="s">
        <v>14168</v>
      </c>
      <c r="C215" s="71" t="str">
        <f t="shared" si="3"/>
        <v>Product Info</v>
      </c>
      <c r="D215" s="93" t="s">
        <v>14558</v>
      </c>
      <c r="E215" s="143">
        <v>1</v>
      </c>
      <c r="F215" s="143" t="s">
        <v>4992</v>
      </c>
      <c r="G215" s="38">
        <v>393.97</v>
      </c>
      <c r="H215" s="38">
        <v>334.89</v>
      </c>
      <c r="I215" s="38">
        <v>275.77999999999997</v>
      </c>
      <c r="J215" s="39"/>
      <c r="K215" s="143"/>
      <c r="L215" s="22">
        <v>4</v>
      </c>
      <c r="M215" s="22" t="s">
        <v>12488</v>
      </c>
      <c r="N215" s="20" t="s">
        <v>12529</v>
      </c>
      <c r="O215" s="16" t="s">
        <v>13912</v>
      </c>
      <c r="P215" s="143">
        <v>751</v>
      </c>
      <c r="Q215" s="122" t="s">
        <v>12421</v>
      </c>
      <c r="R215" s="16" t="s">
        <v>8904</v>
      </c>
      <c r="S215" s="10" t="s">
        <v>1163</v>
      </c>
      <c r="T215" s="15" t="s">
        <v>14336</v>
      </c>
      <c r="U215" s="20" t="s">
        <v>5359</v>
      </c>
      <c r="V215" s="20" t="s">
        <v>14167</v>
      </c>
      <c r="W215" s="20" t="s">
        <v>14284</v>
      </c>
      <c r="X215" s="174">
        <v>248.2</v>
      </c>
      <c r="Y215" s="174">
        <v>308.09879999999998</v>
      </c>
    </row>
    <row r="216" spans="1:25" s="1" customFormat="1" ht="15" customHeight="1" x14ac:dyDescent="0.25">
      <c r="A216" s="20" t="s">
        <v>14169</v>
      </c>
      <c r="B216" s="37" t="s">
        <v>14170</v>
      </c>
      <c r="C216" s="71" t="str">
        <f t="shared" si="3"/>
        <v>Product Info</v>
      </c>
      <c r="D216" s="93" t="s">
        <v>14559</v>
      </c>
      <c r="E216" s="143">
        <v>1</v>
      </c>
      <c r="F216" s="143" t="s">
        <v>4992</v>
      </c>
      <c r="G216" s="38">
        <v>424.43</v>
      </c>
      <c r="H216" s="38">
        <v>360.78</v>
      </c>
      <c r="I216" s="38">
        <v>297.10000000000002</v>
      </c>
      <c r="J216" s="39"/>
      <c r="K216" s="143"/>
      <c r="L216" s="22">
        <v>4</v>
      </c>
      <c r="M216" s="22" t="s">
        <v>12488</v>
      </c>
      <c r="N216" s="20" t="s">
        <v>12529</v>
      </c>
      <c r="O216" s="16" t="s">
        <v>13912</v>
      </c>
      <c r="P216" s="143">
        <v>751</v>
      </c>
      <c r="Q216" s="122" t="s">
        <v>12421</v>
      </c>
      <c r="R216" s="16" t="s">
        <v>8904</v>
      </c>
      <c r="S216" s="10" t="s">
        <v>1163</v>
      </c>
      <c r="T216" s="15" t="s">
        <v>14338</v>
      </c>
      <c r="U216" s="20" t="s">
        <v>5359</v>
      </c>
      <c r="V216" s="20" t="s">
        <v>14169</v>
      </c>
      <c r="W216" s="20" t="s">
        <v>14284</v>
      </c>
      <c r="X216" s="174">
        <v>267.39</v>
      </c>
      <c r="Y216" s="174">
        <v>331.91759999999999</v>
      </c>
    </row>
    <row r="217" spans="1:25" s="1" customFormat="1" ht="15" customHeight="1" x14ac:dyDescent="0.25">
      <c r="A217" s="20" t="s">
        <v>14171</v>
      </c>
      <c r="B217" s="37" t="s">
        <v>14172</v>
      </c>
      <c r="C217" s="71" t="str">
        <f t="shared" si="3"/>
        <v>Product Info</v>
      </c>
      <c r="D217" s="93" t="s">
        <v>14560</v>
      </c>
      <c r="E217" s="143">
        <v>1</v>
      </c>
      <c r="F217" s="143" t="s">
        <v>4992</v>
      </c>
      <c r="G217" s="38">
        <v>270.77</v>
      </c>
      <c r="H217" s="38">
        <v>230.16</v>
      </c>
      <c r="I217" s="38">
        <v>189.54</v>
      </c>
      <c r="J217" s="39"/>
      <c r="K217" s="143"/>
      <c r="L217" s="22">
        <v>4</v>
      </c>
      <c r="M217" s="22" t="s">
        <v>12488</v>
      </c>
      <c r="N217" s="20" t="s">
        <v>13076</v>
      </c>
      <c r="O217" s="16" t="s">
        <v>13912</v>
      </c>
      <c r="P217" s="143">
        <v>751</v>
      </c>
      <c r="Q217" s="122" t="s">
        <v>12421</v>
      </c>
      <c r="R217" s="16" t="s">
        <v>8904</v>
      </c>
      <c r="S217" s="10" t="s">
        <v>1163</v>
      </c>
      <c r="T217" s="15" t="s">
        <v>14316</v>
      </c>
      <c r="U217" s="20" t="s">
        <v>5359</v>
      </c>
      <c r="V217" s="20" t="s">
        <v>14171</v>
      </c>
      <c r="W217" s="20" t="s">
        <v>14284</v>
      </c>
      <c r="X217" s="174">
        <v>170.59</v>
      </c>
      <c r="Y217" s="174">
        <v>211.74719999999999</v>
      </c>
    </row>
    <row r="218" spans="1:25" s="1" customFormat="1" ht="15" customHeight="1" x14ac:dyDescent="0.25">
      <c r="A218" s="20" t="s">
        <v>14173</v>
      </c>
      <c r="B218" s="37" t="s">
        <v>14174</v>
      </c>
      <c r="C218" s="71" t="str">
        <f t="shared" si="3"/>
        <v>Product Info</v>
      </c>
      <c r="D218" s="93" t="s">
        <v>14561</v>
      </c>
      <c r="E218" s="143">
        <v>1</v>
      </c>
      <c r="F218" s="143" t="s">
        <v>4992</v>
      </c>
      <c r="G218" s="38">
        <v>481.56</v>
      </c>
      <c r="H218" s="38">
        <v>409.34</v>
      </c>
      <c r="I218" s="38">
        <v>337.09</v>
      </c>
      <c r="J218" s="39"/>
      <c r="K218" s="143"/>
      <c r="L218" s="22">
        <v>4</v>
      </c>
      <c r="M218" s="22" t="s">
        <v>12488</v>
      </c>
      <c r="N218" s="20" t="s">
        <v>12529</v>
      </c>
      <c r="O218" s="16" t="s">
        <v>13912</v>
      </c>
      <c r="P218" s="143">
        <v>751</v>
      </c>
      <c r="Q218" s="122" t="s">
        <v>12421</v>
      </c>
      <c r="R218" s="16" t="s">
        <v>8904</v>
      </c>
      <c r="S218" s="10" t="s">
        <v>1163</v>
      </c>
      <c r="T218" s="15" t="s">
        <v>14340</v>
      </c>
      <c r="U218" s="20" t="s">
        <v>5359</v>
      </c>
      <c r="V218" s="20" t="s">
        <v>14173</v>
      </c>
      <c r="W218" s="20" t="s">
        <v>14284</v>
      </c>
      <c r="X218" s="174">
        <v>303.38</v>
      </c>
      <c r="Y218" s="174">
        <v>376.59280000000001</v>
      </c>
    </row>
    <row r="219" spans="1:25" s="1" customFormat="1" ht="15" customHeight="1" x14ac:dyDescent="0.25">
      <c r="A219" s="20" t="s">
        <v>14175</v>
      </c>
      <c r="B219" s="37" t="s">
        <v>14176</v>
      </c>
      <c r="C219" s="71" t="str">
        <f t="shared" si="3"/>
        <v>Product Info</v>
      </c>
      <c r="D219" s="93" t="s">
        <v>14562</v>
      </c>
      <c r="E219" s="143">
        <v>1</v>
      </c>
      <c r="F219" s="143" t="s">
        <v>4992</v>
      </c>
      <c r="G219" s="38">
        <v>514.03</v>
      </c>
      <c r="H219" s="38">
        <v>436.94</v>
      </c>
      <c r="I219" s="38">
        <v>359.82</v>
      </c>
      <c r="J219" s="39"/>
      <c r="K219" s="143"/>
      <c r="L219" s="22">
        <v>4</v>
      </c>
      <c r="M219" s="22" t="s">
        <v>12488</v>
      </c>
      <c r="N219" s="20" t="s">
        <v>12529</v>
      </c>
      <c r="O219" s="16" t="s">
        <v>13912</v>
      </c>
      <c r="P219" s="143">
        <v>751</v>
      </c>
      <c r="Q219" s="122" t="s">
        <v>12421</v>
      </c>
      <c r="R219" s="16" t="s">
        <v>8904</v>
      </c>
      <c r="S219" s="10" t="s">
        <v>1163</v>
      </c>
      <c r="T219" s="15" t="s">
        <v>14342</v>
      </c>
      <c r="U219" s="20" t="s">
        <v>5359</v>
      </c>
      <c r="V219" s="20" t="s">
        <v>14175</v>
      </c>
      <c r="W219" s="20" t="s">
        <v>14284</v>
      </c>
      <c r="X219" s="174">
        <v>323.83999999999997</v>
      </c>
      <c r="Y219" s="174">
        <v>401.98480000000001</v>
      </c>
    </row>
    <row r="220" spans="1:25" s="1" customFormat="1" ht="15" customHeight="1" x14ac:dyDescent="0.25">
      <c r="A220" s="20" t="s">
        <v>14177</v>
      </c>
      <c r="B220" s="37" t="s">
        <v>14178</v>
      </c>
      <c r="C220" s="71" t="str">
        <f t="shared" si="3"/>
        <v>Product Info</v>
      </c>
      <c r="D220" s="93" t="s">
        <v>14563</v>
      </c>
      <c r="E220" s="143">
        <v>1</v>
      </c>
      <c r="F220" s="143" t="s">
        <v>4992</v>
      </c>
      <c r="G220" s="38">
        <v>336.59</v>
      </c>
      <c r="H220" s="38">
        <v>286.11</v>
      </c>
      <c r="I220" s="38">
        <v>235.61</v>
      </c>
      <c r="J220" s="39"/>
      <c r="K220" s="143"/>
      <c r="L220" s="22">
        <v>4</v>
      </c>
      <c r="M220" s="22" t="s">
        <v>12488</v>
      </c>
      <c r="N220" s="20" t="s">
        <v>13076</v>
      </c>
      <c r="O220" s="16" t="s">
        <v>13912</v>
      </c>
      <c r="P220" s="143">
        <v>751</v>
      </c>
      <c r="Q220" s="122" t="s">
        <v>12421</v>
      </c>
      <c r="R220" s="16" t="s">
        <v>8904</v>
      </c>
      <c r="S220" s="10" t="s">
        <v>1163</v>
      </c>
      <c r="T220" s="15" t="s">
        <v>14318</v>
      </c>
      <c r="U220" s="20" t="s">
        <v>5359</v>
      </c>
      <c r="V220" s="20" t="s">
        <v>14177</v>
      </c>
      <c r="W220" s="20" t="s">
        <v>14284</v>
      </c>
      <c r="X220" s="174">
        <v>212.05</v>
      </c>
      <c r="Y220" s="174">
        <v>263.22120000000001</v>
      </c>
    </row>
    <row r="221" spans="1:25" s="1" customFormat="1" ht="15" customHeight="1" x14ac:dyDescent="0.25">
      <c r="A221" s="20" t="s">
        <v>14179</v>
      </c>
      <c r="B221" s="37" t="s">
        <v>14180</v>
      </c>
      <c r="C221" s="71" t="str">
        <f t="shared" si="3"/>
        <v>Product Info</v>
      </c>
      <c r="D221" s="93" t="s">
        <v>14564</v>
      </c>
      <c r="E221" s="143">
        <v>1</v>
      </c>
      <c r="F221" s="143" t="s">
        <v>4992</v>
      </c>
      <c r="G221" s="38">
        <v>704.96</v>
      </c>
      <c r="H221" s="38">
        <v>599.23</v>
      </c>
      <c r="I221" s="38">
        <v>493.47</v>
      </c>
      <c r="J221" s="39"/>
      <c r="K221" s="143"/>
      <c r="L221" s="22">
        <v>4</v>
      </c>
      <c r="M221" s="22" t="s">
        <v>12488</v>
      </c>
      <c r="N221" s="20" t="s">
        <v>12529</v>
      </c>
      <c r="O221" s="16" t="s">
        <v>13912</v>
      </c>
      <c r="P221" s="143">
        <v>751</v>
      </c>
      <c r="Q221" s="122" t="s">
        <v>12421</v>
      </c>
      <c r="R221" s="16" t="s">
        <v>8904</v>
      </c>
      <c r="S221" s="10" t="s">
        <v>1163</v>
      </c>
      <c r="T221" s="15" t="s">
        <v>14344</v>
      </c>
      <c r="U221" s="20" t="s">
        <v>5359</v>
      </c>
      <c r="V221" s="20" t="s">
        <v>14179</v>
      </c>
      <c r="W221" s="20" t="s">
        <v>14284</v>
      </c>
      <c r="X221" s="174">
        <v>444.12</v>
      </c>
      <c r="Y221" s="174">
        <v>551.29160000000002</v>
      </c>
    </row>
    <row r="222" spans="1:25" s="1" customFormat="1" ht="15" customHeight="1" x14ac:dyDescent="0.25">
      <c r="A222" s="20" t="s">
        <v>14133</v>
      </c>
      <c r="B222" s="46" t="s">
        <v>14134</v>
      </c>
      <c r="C222" s="71" t="str">
        <f t="shared" si="3"/>
        <v>Product Info</v>
      </c>
      <c r="D222" s="93" t="s">
        <v>14565</v>
      </c>
      <c r="E222" s="143">
        <v>1</v>
      </c>
      <c r="F222" s="143" t="s">
        <v>4992</v>
      </c>
      <c r="G222" s="38">
        <v>806.14</v>
      </c>
      <c r="H222" s="38">
        <v>685.25</v>
      </c>
      <c r="I222" s="38">
        <v>564.29999999999995</v>
      </c>
      <c r="J222" s="39"/>
      <c r="K222" s="143"/>
      <c r="L222" s="22">
        <v>1.2</v>
      </c>
      <c r="M222" s="22" t="s">
        <v>12487</v>
      </c>
      <c r="N222" s="20" t="s">
        <v>14489</v>
      </c>
      <c r="O222" s="16" t="s">
        <v>13912</v>
      </c>
      <c r="P222" s="143">
        <v>751</v>
      </c>
      <c r="Q222" s="122" t="s">
        <v>12421</v>
      </c>
      <c r="R222" s="16" t="s">
        <v>8904</v>
      </c>
      <c r="S222" s="10" t="s">
        <v>1163</v>
      </c>
      <c r="T222" s="15" t="s">
        <v>14320</v>
      </c>
      <c r="U222" s="20" t="s">
        <v>5359</v>
      </c>
      <c r="V222" s="20" t="s">
        <v>14133</v>
      </c>
      <c r="W222" s="20" t="s">
        <v>14284</v>
      </c>
      <c r="X222" s="174">
        <v>507.87</v>
      </c>
      <c r="Y222" s="174">
        <v>630.43000000000006</v>
      </c>
    </row>
    <row r="223" spans="1:25" s="1" customFormat="1" ht="15" customHeight="1" x14ac:dyDescent="0.25">
      <c r="A223" s="20" t="s">
        <v>14135</v>
      </c>
      <c r="B223" s="46" t="s">
        <v>14136</v>
      </c>
      <c r="C223" s="71" t="str">
        <f t="shared" si="3"/>
        <v>Product Info</v>
      </c>
      <c r="D223" s="93" t="s">
        <v>14566</v>
      </c>
      <c r="E223" s="143">
        <v>1</v>
      </c>
      <c r="F223" s="143" t="s">
        <v>4992</v>
      </c>
      <c r="G223" s="38">
        <v>1005.86</v>
      </c>
      <c r="H223" s="38">
        <v>855.01</v>
      </c>
      <c r="I223" s="38">
        <v>704.1</v>
      </c>
      <c r="J223" s="39"/>
      <c r="K223" s="143"/>
      <c r="L223" s="22">
        <v>1.2</v>
      </c>
      <c r="M223" s="22" t="s">
        <v>12487</v>
      </c>
      <c r="N223" s="20" t="s">
        <v>14489</v>
      </c>
      <c r="O223" s="16" t="s">
        <v>13912</v>
      </c>
      <c r="P223" s="143">
        <v>751</v>
      </c>
      <c r="Q223" s="122" t="s">
        <v>12421</v>
      </c>
      <c r="R223" s="16" t="s">
        <v>8904</v>
      </c>
      <c r="S223" s="10" t="s">
        <v>1163</v>
      </c>
      <c r="T223" s="15" t="s">
        <v>14346</v>
      </c>
      <c r="U223" s="20" t="s">
        <v>5359</v>
      </c>
      <c r="V223" s="20" t="s">
        <v>14135</v>
      </c>
      <c r="W223" s="20" t="s">
        <v>14284</v>
      </c>
      <c r="X223" s="174">
        <v>633.69000000000005</v>
      </c>
      <c r="Y223" s="174">
        <v>786.60919999999999</v>
      </c>
    </row>
    <row r="224" spans="1:25" s="1" customFormat="1" ht="15" customHeight="1" x14ac:dyDescent="0.25">
      <c r="A224" s="20" t="s">
        <v>14137</v>
      </c>
      <c r="B224" s="46" t="s">
        <v>14138</v>
      </c>
      <c r="C224" s="71" t="str">
        <f t="shared" si="3"/>
        <v>Product Info</v>
      </c>
      <c r="D224" s="93" t="s">
        <v>14567</v>
      </c>
      <c r="E224" s="143">
        <v>1</v>
      </c>
      <c r="F224" s="143" t="s">
        <v>4992</v>
      </c>
      <c r="G224" s="38">
        <v>1036.6099999999999</v>
      </c>
      <c r="H224" s="38">
        <v>881.15</v>
      </c>
      <c r="I224" s="38">
        <v>725.63</v>
      </c>
      <c r="J224" s="39"/>
      <c r="K224" s="143"/>
      <c r="L224" s="22">
        <v>1.2</v>
      </c>
      <c r="M224" s="22" t="s">
        <v>12487</v>
      </c>
      <c r="N224" s="20" t="s">
        <v>14489</v>
      </c>
      <c r="O224" s="16" t="s">
        <v>13912</v>
      </c>
      <c r="P224" s="143">
        <v>751</v>
      </c>
      <c r="Q224" s="122" t="s">
        <v>12421</v>
      </c>
      <c r="R224" s="16" t="s">
        <v>8904</v>
      </c>
      <c r="S224" s="10" t="s">
        <v>1163</v>
      </c>
      <c r="T224" s="15" t="s">
        <v>14348</v>
      </c>
      <c r="U224" s="20" t="s">
        <v>5359</v>
      </c>
      <c r="V224" s="20" t="s">
        <v>14137</v>
      </c>
      <c r="W224" s="20" t="s">
        <v>14284</v>
      </c>
      <c r="X224" s="174">
        <v>653.07000000000005</v>
      </c>
      <c r="Y224" s="174">
        <v>810.65800000000002</v>
      </c>
    </row>
    <row r="225" spans="1:25" s="1" customFormat="1" ht="15" customHeight="1" x14ac:dyDescent="0.25">
      <c r="A225" s="20" t="s">
        <v>14139</v>
      </c>
      <c r="B225" s="46" t="s">
        <v>14140</v>
      </c>
      <c r="C225" s="71" t="str">
        <f t="shared" si="3"/>
        <v>Product Info</v>
      </c>
      <c r="D225" s="93" t="s">
        <v>14568</v>
      </c>
      <c r="E225" s="143">
        <v>1</v>
      </c>
      <c r="F225" s="143" t="s">
        <v>4992</v>
      </c>
      <c r="G225" s="38">
        <v>1155.1099999999999</v>
      </c>
      <c r="H225" s="38">
        <v>981.88</v>
      </c>
      <c r="I225" s="38">
        <v>808.58</v>
      </c>
      <c r="J225" s="39"/>
      <c r="K225" s="143"/>
      <c r="L225" s="22">
        <v>1.2</v>
      </c>
      <c r="M225" s="22" t="s">
        <v>12487</v>
      </c>
      <c r="N225" s="20" t="s">
        <v>14489</v>
      </c>
      <c r="O225" s="16" t="s">
        <v>13912</v>
      </c>
      <c r="P225" s="143">
        <v>751</v>
      </c>
      <c r="Q225" s="122" t="s">
        <v>12421</v>
      </c>
      <c r="R225" s="16" t="s">
        <v>8904</v>
      </c>
      <c r="S225" s="10" t="s">
        <v>1163</v>
      </c>
      <c r="T225" s="15" t="s">
        <v>14350</v>
      </c>
      <c r="U225" s="20" t="s">
        <v>5359</v>
      </c>
      <c r="V225" s="20" t="s">
        <v>14139</v>
      </c>
      <c r="W225" s="20" t="s">
        <v>14284</v>
      </c>
      <c r="X225" s="174">
        <v>727.72</v>
      </c>
      <c r="Y225" s="174">
        <v>903.32960000000003</v>
      </c>
    </row>
    <row r="226" spans="1:25" s="1" customFormat="1" ht="15" customHeight="1" x14ac:dyDescent="0.25">
      <c r="A226" s="20" t="s">
        <v>14141</v>
      </c>
      <c r="B226" s="46" t="s">
        <v>14142</v>
      </c>
      <c r="C226" s="71" t="str">
        <f t="shared" si="3"/>
        <v>Product Info</v>
      </c>
      <c r="D226" s="93" t="s">
        <v>14569</v>
      </c>
      <c r="E226" s="143">
        <v>1</v>
      </c>
      <c r="F226" s="143" t="s">
        <v>4992</v>
      </c>
      <c r="G226" s="38">
        <v>923.9</v>
      </c>
      <c r="H226" s="38">
        <v>785.34</v>
      </c>
      <c r="I226" s="38">
        <v>646.73</v>
      </c>
      <c r="J226" s="39"/>
      <c r="K226" s="143"/>
      <c r="L226" s="22">
        <v>1.4</v>
      </c>
      <c r="M226" s="22" t="s">
        <v>12487</v>
      </c>
      <c r="N226" s="20" t="s">
        <v>14489</v>
      </c>
      <c r="O226" s="16" t="s">
        <v>13912</v>
      </c>
      <c r="P226" s="143">
        <v>751</v>
      </c>
      <c r="Q226" s="122" t="s">
        <v>12421</v>
      </c>
      <c r="R226" s="16" t="s">
        <v>8904</v>
      </c>
      <c r="S226" s="10" t="s">
        <v>1163</v>
      </c>
      <c r="T226" s="15" t="s">
        <v>14322</v>
      </c>
      <c r="U226" s="20" t="s">
        <v>5359</v>
      </c>
      <c r="V226" s="20" t="s">
        <v>14141</v>
      </c>
      <c r="W226" s="20" t="s">
        <v>14284</v>
      </c>
      <c r="X226" s="174">
        <v>582.05999999999995</v>
      </c>
      <c r="Y226" s="174">
        <v>722.51280000000008</v>
      </c>
    </row>
    <row r="227" spans="1:25" s="1" customFormat="1" ht="15" customHeight="1" x14ac:dyDescent="0.25">
      <c r="A227" s="20" t="s">
        <v>14143</v>
      </c>
      <c r="B227" s="46" t="s">
        <v>14144</v>
      </c>
      <c r="C227" s="71" t="str">
        <f t="shared" si="3"/>
        <v>Product Info</v>
      </c>
      <c r="D227" s="93" t="s">
        <v>14570</v>
      </c>
      <c r="E227" s="143">
        <v>1</v>
      </c>
      <c r="F227" s="143" t="s">
        <v>4992</v>
      </c>
      <c r="G227" s="38">
        <v>1272.8699999999999</v>
      </c>
      <c r="H227" s="38">
        <v>1081.98</v>
      </c>
      <c r="I227" s="38">
        <v>891.01</v>
      </c>
      <c r="J227" s="39"/>
      <c r="K227" s="143"/>
      <c r="L227" s="22">
        <v>1.4</v>
      </c>
      <c r="M227" s="22" t="s">
        <v>12487</v>
      </c>
      <c r="N227" s="20" t="s">
        <v>14489</v>
      </c>
      <c r="O227" s="16" t="s">
        <v>13912</v>
      </c>
      <c r="P227" s="143">
        <v>751</v>
      </c>
      <c r="Q227" s="122" t="s">
        <v>12421</v>
      </c>
      <c r="R227" s="16" t="s">
        <v>8904</v>
      </c>
      <c r="S227" s="10" t="s">
        <v>1163</v>
      </c>
      <c r="T227" s="15" t="s">
        <v>14352</v>
      </c>
      <c r="U227" s="20" t="s">
        <v>5359</v>
      </c>
      <c r="V227" s="20" t="s">
        <v>14143</v>
      </c>
      <c r="W227" s="20" t="s">
        <v>14284</v>
      </c>
      <c r="X227" s="174">
        <v>801.91</v>
      </c>
      <c r="Y227" s="174">
        <v>995.42160000000001</v>
      </c>
    </row>
    <row r="228" spans="1:25" s="1" customFormat="1" ht="15" customHeight="1" x14ac:dyDescent="0.25">
      <c r="A228" s="20" t="s">
        <v>14145</v>
      </c>
      <c r="B228" s="46" t="s">
        <v>14146</v>
      </c>
      <c r="C228" s="71" t="str">
        <f t="shared" si="3"/>
        <v>Product Info</v>
      </c>
      <c r="D228" s="93" t="s">
        <v>14571</v>
      </c>
      <c r="E228" s="143">
        <v>1</v>
      </c>
      <c r="F228" s="143" t="s">
        <v>4992</v>
      </c>
      <c r="G228" s="38">
        <v>1055.94</v>
      </c>
      <c r="H228" s="38">
        <v>897.58</v>
      </c>
      <c r="I228" s="38">
        <v>739.16</v>
      </c>
      <c r="J228" s="39"/>
      <c r="K228" s="143"/>
      <c r="L228" s="22">
        <v>1.4</v>
      </c>
      <c r="M228" s="22" t="s">
        <v>12487</v>
      </c>
      <c r="N228" s="20" t="s">
        <v>14489</v>
      </c>
      <c r="O228" s="16" t="s">
        <v>13912</v>
      </c>
      <c r="P228" s="143">
        <v>751</v>
      </c>
      <c r="Q228" s="122" t="s">
        <v>12421</v>
      </c>
      <c r="R228" s="16" t="s">
        <v>8904</v>
      </c>
      <c r="S228" s="10" t="s">
        <v>1163</v>
      </c>
      <c r="T228" s="15" t="s">
        <v>14324</v>
      </c>
      <c r="U228" s="20" t="s">
        <v>5359</v>
      </c>
      <c r="V228" s="20" t="s">
        <v>14145</v>
      </c>
      <c r="W228" s="20" t="s">
        <v>14284</v>
      </c>
      <c r="X228" s="174">
        <v>665.24</v>
      </c>
      <c r="Y228" s="174">
        <v>825.7736000000001</v>
      </c>
    </row>
    <row r="229" spans="1:25" s="1" customFormat="1" ht="15" customHeight="1" x14ac:dyDescent="0.25">
      <c r="A229" s="20" t="s">
        <v>14147</v>
      </c>
      <c r="B229" s="46" t="s">
        <v>14148</v>
      </c>
      <c r="C229" s="71" t="str">
        <f t="shared" si="3"/>
        <v>Product Info</v>
      </c>
      <c r="D229" s="93" t="s">
        <v>14572</v>
      </c>
      <c r="E229" s="143">
        <v>1</v>
      </c>
      <c r="F229" s="143" t="s">
        <v>4992</v>
      </c>
      <c r="G229" s="38">
        <v>1404.93</v>
      </c>
      <c r="H229" s="38">
        <v>1194.23</v>
      </c>
      <c r="I229" s="38">
        <v>983.45</v>
      </c>
      <c r="J229" s="39"/>
      <c r="K229" s="143"/>
      <c r="L229" s="22">
        <v>1.4</v>
      </c>
      <c r="M229" s="22" t="s">
        <v>12487</v>
      </c>
      <c r="N229" s="20" t="s">
        <v>14489</v>
      </c>
      <c r="O229" s="16" t="s">
        <v>13912</v>
      </c>
      <c r="P229" s="143">
        <v>751</v>
      </c>
      <c r="Q229" s="122" t="s">
        <v>12421</v>
      </c>
      <c r="R229" s="16" t="s">
        <v>8904</v>
      </c>
      <c r="S229" s="10" t="s">
        <v>1163</v>
      </c>
      <c r="T229" s="15" t="s">
        <v>14354</v>
      </c>
      <c r="U229" s="20" t="s">
        <v>5359</v>
      </c>
      <c r="V229" s="20" t="s">
        <v>14147</v>
      </c>
      <c r="W229" s="20" t="s">
        <v>14284</v>
      </c>
      <c r="X229" s="174">
        <v>885.11</v>
      </c>
      <c r="Y229" s="174">
        <v>1098.6916000000001</v>
      </c>
    </row>
    <row r="230" spans="1:25" s="1" customFormat="1" ht="15" customHeight="1" x14ac:dyDescent="0.25">
      <c r="A230" s="20" t="s">
        <v>13248</v>
      </c>
      <c r="B230" s="42" t="s">
        <v>13249</v>
      </c>
      <c r="C230" s="71" t="str">
        <f t="shared" si="3"/>
        <v>Product Info</v>
      </c>
      <c r="D230" s="93" t="s">
        <v>14573</v>
      </c>
      <c r="E230" s="143">
        <v>1</v>
      </c>
      <c r="F230" s="143" t="s">
        <v>4992</v>
      </c>
      <c r="G230" s="38">
        <v>304.54000000000002</v>
      </c>
      <c r="H230" s="38">
        <v>258.87</v>
      </c>
      <c r="I230" s="38">
        <v>213.18</v>
      </c>
      <c r="J230" s="39"/>
      <c r="K230" s="143"/>
      <c r="L230" s="22">
        <v>1.2</v>
      </c>
      <c r="M230" s="22" t="s">
        <v>12487</v>
      </c>
      <c r="N230" s="20" t="s">
        <v>14489</v>
      </c>
      <c r="O230" s="16" t="s">
        <v>13912</v>
      </c>
      <c r="P230" s="143">
        <v>751</v>
      </c>
      <c r="Q230" s="122" t="s">
        <v>12421</v>
      </c>
      <c r="R230" s="16" t="s">
        <v>8904</v>
      </c>
      <c r="S230" s="10" t="s">
        <v>1163</v>
      </c>
      <c r="T230" s="28" t="s">
        <v>13266</v>
      </c>
      <c r="U230" s="20" t="s">
        <v>5359</v>
      </c>
      <c r="V230" s="20" t="s">
        <v>13248</v>
      </c>
      <c r="W230" s="20" t="s">
        <v>14284</v>
      </c>
      <c r="X230" s="174">
        <v>191.86</v>
      </c>
      <c r="Y230" s="174">
        <v>238.16040000000001</v>
      </c>
    </row>
    <row r="231" spans="1:25" s="1" customFormat="1" ht="15" customHeight="1" x14ac:dyDescent="0.25">
      <c r="A231" s="20" t="s">
        <v>13250</v>
      </c>
      <c r="B231" s="42" t="s">
        <v>13251</v>
      </c>
      <c r="C231" s="71" t="str">
        <f t="shared" si="3"/>
        <v>Product Info</v>
      </c>
      <c r="D231" s="93" t="s">
        <v>14575</v>
      </c>
      <c r="E231" s="143">
        <v>1</v>
      </c>
      <c r="F231" s="143" t="s">
        <v>4992</v>
      </c>
      <c r="G231" s="38">
        <v>257.06</v>
      </c>
      <c r="H231" s="38">
        <v>218.51</v>
      </c>
      <c r="I231" s="38">
        <v>179.94</v>
      </c>
      <c r="J231" s="39"/>
      <c r="K231" s="143"/>
      <c r="L231" s="22">
        <v>1.4</v>
      </c>
      <c r="M231" s="22" t="s">
        <v>12487</v>
      </c>
      <c r="N231" s="20" t="s">
        <v>14489</v>
      </c>
      <c r="O231" s="16" t="s">
        <v>13912</v>
      </c>
      <c r="P231" s="143">
        <v>751</v>
      </c>
      <c r="Q231" s="122" t="s">
        <v>12421</v>
      </c>
      <c r="R231" s="16" t="s">
        <v>8904</v>
      </c>
      <c r="S231" s="10" t="s">
        <v>1163</v>
      </c>
      <c r="T231" s="28" t="s">
        <v>13267</v>
      </c>
      <c r="U231" s="20" t="s">
        <v>5359</v>
      </c>
      <c r="V231" s="20" t="s">
        <v>13250</v>
      </c>
      <c r="W231" s="20" t="s">
        <v>14284</v>
      </c>
      <c r="X231" s="174">
        <v>161.94999999999999</v>
      </c>
      <c r="Y231" s="174">
        <v>201.0292</v>
      </c>
    </row>
    <row r="232" spans="1:25" s="1" customFormat="1" ht="15" customHeight="1" x14ac:dyDescent="0.25">
      <c r="A232" s="20" t="s">
        <v>14376</v>
      </c>
      <c r="B232" s="37" t="s">
        <v>14377</v>
      </c>
      <c r="C232" s="71" t="str">
        <f t="shared" si="3"/>
        <v>Product Info</v>
      </c>
      <c r="D232" s="93" t="s">
        <v>14574</v>
      </c>
      <c r="E232" s="143">
        <v>1</v>
      </c>
      <c r="F232" s="143" t="s">
        <v>4992</v>
      </c>
      <c r="G232" s="38">
        <v>321.58999999999997</v>
      </c>
      <c r="H232" s="38">
        <v>273.36</v>
      </c>
      <c r="I232" s="38">
        <v>225.11</v>
      </c>
      <c r="J232" s="39"/>
      <c r="K232" s="143"/>
      <c r="L232" s="22">
        <v>1.2</v>
      </c>
      <c r="M232" s="22" t="s">
        <v>12487</v>
      </c>
      <c r="N232" s="20" t="s">
        <v>9337</v>
      </c>
      <c r="O232" s="16" t="s">
        <v>13912</v>
      </c>
      <c r="P232" s="143">
        <v>751</v>
      </c>
      <c r="Q232" s="122" t="s">
        <v>12421</v>
      </c>
      <c r="R232" s="20" t="s">
        <v>8904</v>
      </c>
      <c r="S232" s="10" t="s">
        <v>1163</v>
      </c>
      <c r="T232" s="15" t="s">
        <v>14438</v>
      </c>
      <c r="U232" s="20" t="s">
        <v>5359</v>
      </c>
      <c r="V232" s="20" t="s">
        <v>14413</v>
      </c>
      <c r="W232" s="10" t="s">
        <v>14284</v>
      </c>
      <c r="X232" s="174">
        <v>202.6</v>
      </c>
      <c r="Y232" s="174">
        <v>251.49120000000002</v>
      </c>
    </row>
    <row r="233" spans="1:25" s="1" customFormat="1" ht="15" customHeight="1" x14ac:dyDescent="0.25">
      <c r="A233" s="20" t="s">
        <v>13252</v>
      </c>
      <c r="B233" s="42" t="s">
        <v>13253</v>
      </c>
      <c r="C233" s="71" t="str">
        <f t="shared" si="3"/>
        <v>Product Info</v>
      </c>
      <c r="D233" s="93" t="s">
        <v>14576</v>
      </c>
      <c r="E233" s="143">
        <v>1</v>
      </c>
      <c r="F233" s="143" t="s">
        <v>4992</v>
      </c>
      <c r="G233" s="38">
        <v>349.03</v>
      </c>
      <c r="H233" s="38">
        <v>296.68</v>
      </c>
      <c r="I233" s="38">
        <v>244.32</v>
      </c>
      <c r="J233" s="39"/>
      <c r="K233" s="143"/>
      <c r="L233" s="22">
        <v>1.4</v>
      </c>
      <c r="M233" s="22" t="s">
        <v>12487</v>
      </c>
      <c r="N233" s="20" t="s">
        <v>14489</v>
      </c>
      <c r="O233" s="16" t="s">
        <v>13912</v>
      </c>
      <c r="P233" s="143">
        <v>751</v>
      </c>
      <c r="Q233" s="122" t="s">
        <v>12421</v>
      </c>
      <c r="R233" s="16" t="s">
        <v>8904</v>
      </c>
      <c r="S233" s="10" t="s">
        <v>1163</v>
      </c>
      <c r="T233" s="28" t="s">
        <v>13268</v>
      </c>
      <c r="U233" s="20" t="s">
        <v>5359</v>
      </c>
      <c r="V233" s="20" t="s">
        <v>13252</v>
      </c>
      <c r="W233" s="20" t="s">
        <v>14284</v>
      </c>
      <c r="X233" s="174">
        <v>219.89</v>
      </c>
      <c r="Y233" s="174">
        <v>272.94560000000001</v>
      </c>
    </row>
    <row r="234" spans="1:25" s="1" customFormat="1" ht="15" customHeight="1" x14ac:dyDescent="0.25">
      <c r="A234" s="20" t="s">
        <v>13254</v>
      </c>
      <c r="B234" s="42" t="s">
        <v>13255</v>
      </c>
      <c r="C234" s="71" t="str">
        <f t="shared" si="3"/>
        <v>Product Info</v>
      </c>
      <c r="D234" s="93" t="s">
        <v>14577</v>
      </c>
      <c r="E234" s="143">
        <v>1</v>
      </c>
      <c r="F234" s="143" t="s">
        <v>4992</v>
      </c>
      <c r="G234" s="38">
        <v>327.94</v>
      </c>
      <c r="H234" s="38">
        <v>278.76</v>
      </c>
      <c r="I234" s="38">
        <v>229.56</v>
      </c>
      <c r="J234" s="39"/>
      <c r="K234" s="143"/>
      <c r="L234" s="22">
        <v>1.4</v>
      </c>
      <c r="M234" s="22" t="s">
        <v>12487</v>
      </c>
      <c r="N234" s="20" t="s">
        <v>14489</v>
      </c>
      <c r="O234" s="16" t="s">
        <v>13912</v>
      </c>
      <c r="P234" s="143">
        <v>751</v>
      </c>
      <c r="Q234" s="121" t="s">
        <v>14285</v>
      </c>
      <c r="R234" s="16" t="s">
        <v>8904</v>
      </c>
      <c r="S234" s="10" t="s">
        <v>1163</v>
      </c>
      <c r="T234" s="28" t="s">
        <v>13269</v>
      </c>
      <c r="U234" s="20" t="s">
        <v>5359</v>
      </c>
      <c r="V234" s="20" t="s">
        <v>13254</v>
      </c>
      <c r="W234" s="20" t="s">
        <v>14284</v>
      </c>
      <c r="X234" s="174">
        <v>206.6</v>
      </c>
      <c r="Y234" s="174">
        <v>256.45920000000001</v>
      </c>
    </row>
    <row r="235" spans="1:25" s="1" customFormat="1" ht="15" customHeight="1" x14ac:dyDescent="0.25">
      <c r="A235" s="20" t="s">
        <v>13256</v>
      </c>
      <c r="B235" s="42" t="s">
        <v>13257</v>
      </c>
      <c r="C235" s="71" t="str">
        <f t="shared" si="3"/>
        <v>Product Info</v>
      </c>
      <c r="D235" s="93" t="s">
        <v>14578</v>
      </c>
      <c r="E235" s="143">
        <v>1</v>
      </c>
      <c r="F235" s="143" t="s">
        <v>4992</v>
      </c>
      <c r="G235" s="38">
        <v>398.93</v>
      </c>
      <c r="H235" s="38">
        <v>339.1</v>
      </c>
      <c r="I235" s="38">
        <v>279.25</v>
      </c>
      <c r="J235" s="39"/>
      <c r="K235" s="143"/>
      <c r="L235" s="22">
        <v>1.4</v>
      </c>
      <c r="M235" s="22" t="s">
        <v>12487</v>
      </c>
      <c r="N235" s="20" t="s">
        <v>14489</v>
      </c>
      <c r="O235" s="16" t="s">
        <v>13912</v>
      </c>
      <c r="P235" s="143">
        <v>751</v>
      </c>
      <c r="Q235" s="122" t="s">
        <v>12421</v>
      </c>
      <c r="R235" s="16" t="s">
        <v>8904</v>
      </c>
      <c r="S235" s="10" t="s">
        <v>1163</v>
      </c>
      <c r="T235" s="28" t="s">
        <v>13270</v>
      </c>
      <c r="U235" s="20" t="s">
        <v>5359</v>
      </c>
      <c r="V235" s="20" t="s">
        <v>13256</v>
      </c>
      <c r="W235" s="20" t="s">
        <v>14284</v>
      </c>
      <c r="X235" s="174">
        <v>251.33</v>
      </c>
      <c r="Y235" s="174">
        <v>311.97200000000004</v>
      </c>
    </row>
    <row r="236" spans="1:25" s="1" customFormat="1" ht="15" customHeight="1" x14ac:dyDescent="0.25">
      <c r="A236" s="20" t="s">
        <v>13258</v>
      </c>
      <c r="B236" s="42" t="s">
        <v>13259</v>
      </c>
      <c r="C236" s="71" t="str">
        <f t="shared" si="3"/>
        <v>Product Info</v>
      </c>
      <c r="D236" s="93" t="s">
        <v>14579</v>
      </c>
      <c r="E236" s="143">
        <v>1</v>
      </c>
      <c r="F236" s="143" t="s">
        <v>4992</v>
      </c>
      <c r="G236" s="38">
        <v>337.34</v>
      </c>
      <c r="H236" s="38">
        <v>286.75</v>
      </c>
      <c r="I236" s="38">
        <v>236.14</v>
      </c>
      <c r="J236" s="39"/>
      <c r="K236" s="143"/>
      <c r="L236" s="22">
        <v>1.4</v>
      </c>
      <c r="M236" s="22" t="s">
        <v>12487</v>
      </c>
      <c r="N236" s="20" t="s">
        <v>14489</v>
      </c>
      <c r="O236" s="16" t="s">
        <v>13912</v>
      </c>
      <c r="P236" s="143">
        <v>751</v>
      </c>
      <c r="Q236" s="121" t="s">
        <v>14285</v>
      </c>
      <c r="R236" s="16" t="s">
        <v>8904</v>
      </c>
      <c r="S236" s="10" t="s">
        <v>1163</v>
      </c>
      <c r="T236" s="28" t="s">
        <v>13271</v>
      </c>
      <c r="U236" s="20" t="s">
        <v>5359</v>
      </c>
      <c r="V236" s="20" t="s">
        <v>13258</v>
      </c>
      <c r="W236" s="20" t="s">
        <v>14284</v>
      </c>
      <c r="X236" s="174">
        <v>212.53</v>
      </c>
      <c r="Y236" s="174">
        <v>263.81</v>
      </c>
    </row>
    <row r="237" spans="1:25" s="1" customFormat="1" ht="15" customHeight="1" x14ac:dyDescent="0.25">
      <c r="A237" s="20" t="s">
        <v>14181</v>
      </c>
      <c r="B237" s="37" t="s">
        <v>14182</v>
      </c>
      <c r="C237" s="71" t="str">
        <f t="shared" si="3"/>
        <v>Product Info</v>
      </c>
      <c r="D237" s="93" t="s">
        <v>14580</v>
      </c>
      <c r="E237" s="143">
        <v>1</v>
      </c>
      <c r="F237" s="143" t="s">
        <v>4992</v>
      </c>
      <c r="G237" s="38">
        <v>202.94</v>
      </c>
      <c r="H237" s="38">
        <v>172.51</v>
      </c>
      <c r="I237" s="38">
        <v>142.06</v>
      </c>
      <c r="J237" s="39"/>
      <c r="K237" s="143"/>
      <c r="L237" s="22">
        <v>4</v>
      </c>
      <c r="M237" s="22" t="s">
        <v>12488</v>
      </c>
      <c r="N237" s="20" t="s">
        <v>13076</v>
      </c>
      <c r="O237" s="16" t="s">
        <v>13912</v>
      </c>
      <c r="P237" s="143">
        <v>751</v>
      </c>
      <c r="Q237" s="122" t="s">
        <v>12421</v>
      </c>
      <c r="R237" s="16" t="s">
        <v>8904</v>
      </c>
      <c r="S237" s="10" t="s">
        <v>1163</v>
      </c>
      <c r="T237" s="15" t="s">
        <v>14305</v>
      </c>
      <c r="U237" s="20" t="s">
        <v>5359</v>
      </c>
      <c r="V237" s="20" t="s">
        <v>14181</v>
      </c>
      <c r="W237" s="20" t="s">
        <v>14284</v>
      </c>
      <c r="X237" s="174">
        <v>127.85</v>
      </c>
      <c r="Y237" s="174">
        <v>158.70920000000001</v>
      </c>
    </row>
    <row r="238" spans="1:25" s="1" customFormat="1" ht="15" customHeight="1" x14ac:dyDescent="0.25">
      <c r="A238" s="20" t="s">
        <v>14183</v>
      </c>
      <c r="B238" s="37" t="s">
        <v>14184</v>
      </c>
      <c r="C238" s="71" t="str">
        <f t="shared" si="3"/>
        <v>Product Info</v>
      </c>
      <c r="D238" s="93" t="s">
        <v>14581</v>
      </c>
      <c r="E238" s="143">
        <v>1</v>
      </c>
      <c r="F238" s="143" t="s">
        <v>4992</v>
      </c>
      <c r="G238" s="38">
        <v>383.29</v>
      </c>
      <c r="H238" s="38">
        <v>325.8</v>
      </c>
      <c r="I238" s="38">
        <v>268.3</v>
      </c>
      <c r="J238" s="39"/>
      <c r="K238" s="143"/>
      <c r="L238" s="22">
        <v>4</v>
      </c>
      <c r="M238" s="22" t="s">
        <v>12488</v>
      </c>
      <c r="N238" s="20" t="s">
        <v>12529</v>
      </c>
      <c r="O238" s="16" t="s">
        <v>13912</v>
      </c>
      <c r="P238" s="143">
        <v>751</v>
      </c>
      <c r="Q238" s="122" t="s">
        <v>12421</v>
      </c>
      <c r="R238" s="16" t="s">
        <v>8904</v>
      </c>
      <c r="S238" s="10" t="s">
        <v>1163</v>
      </c>
      <c r="T238" s="15" t="s">
        <v>14326</v>
      </c>
      <c r="U238" s="20" t="s">
        <v>5359</v>
      </c>
      <c r="V238" s="20" t="s">
        <v>14183</v>
      </c>
      <c r="W238" s="20" t="s">
        <v>14284</v>
      </c>
      <c r="X238" s="174">
        <v>241.47</v>
      </c>
      <c r="Y238" s="174">
        <v>299.73600000000005</v>
      </c>
    </row>
    <row r="239" spans="1:25" s="1" customFormat="1" ht="15" customHeight="1" x14ac:dyDescent="0.25">
      <c r="A239" s="20" t="s">
        <v>14185</v>
      </c>
      <c r="B239" s="37" t="s">
        <v>14186</v>
      </c>
      <c r="C239" s="71" t="str">
        <f t="shared" si="3"/>
        <v>Product Info</v>
      </c>
      <c r="D239" s="93" t="s">
        <v>14582</v>
      </c>
      <c r="E239" s="143">
        <v>1</v>
      </c>
      <c r="F239" s="143" t="s">
        <v>4992</v>
      </c>
      <c r="G239" s="38">
        <v>413.74</v>
      </c>
      <c r="H239" s="38">
        <v>351.69</v>
      </c>
      <c r="I239" s="38">
        <v>289.62</v>
      </c>
      <c r="J239" s="39"/>
      <c r="K239" s="143"/>
      <c r="L239" s="22">
        <v>4</v>
      </c>
      <c r="M239" s="22" t="s">
        <v>12488</v>
      </c>
      <c r="N239" s="20" t="s">
        <v>12529</v>
      </c>
      <c r="O239" s="16" t="s">
        <v>13912</v>
      </c>
      <c r="P239" s="143">
        <v>751</v>
      </c>
      <c r="Q239" s="122" t="s">
        <v>12421</v>
      </c>
      <c r="R239" s="16" t="s">
        <v>8904</v>
      </c>
      <c r="S239" s="10" t="s">
        <v>1163</v>
      </c>
      <c r="T239" s="15" t="s">
        <v>14328</v>
      </c>
      <c r="U239" s="20" t="s">
        <v>5359</v>
      </c>
      <c r="V239" s="20" t="s">
        <v>14185</v>
      </c>
      <c r="W239" s="20" t="s">
        <v>14284</v>
      </c>
      <c r="X239" s="174">
        <v>260.66000000000003</v>
      </c>
      <c r="Y239" s="174">
        <v>323.5548</v>
      </c>
    </row>
    <row r="240" spans="1:25" s="1" customFormat="1" ht="15" customHeight="1" x14ac:dyDescent="0.25">
      <c r="A240" s="20" t="s">
        <v>14187</v>
      </c>
      <c r="B240" s="37" t="s">
        <v>14188</v>
      </c>
      <c r="C240" s="71" t="str">
        <f t="shared" si="3"/>
        <v>Product Info</v>
      </c>
      <c r="D240" s="93" t="s">
        <v>14583</v>
      </c>
      <c r="E240" s="143">
        <v>1</v>
      </c>
      <c r="F240" s="143" t="s">
        <v>4992</v>
      </c>
      <c r="G240" s="38">
        <v>257.23</v>
      </c>
      <c r="H240" s="38">
        <v>218.65</v>
      </c>
      <c r="I240" s="38">
        <v>180.06</v>
      </c>
      <c r="J240" s="39"/>
      <c r="K240" s="143"/>
      <c r="L240" s="22">
        <v>4</v>
      </c>
      <c r="M240" s="22" t="s">
        <v>12488</v>
      </c>
      <c r="N240" s="20" t="s">
        <v>13076</v>
      </c>
      <c r="O240" s="16" t="s">
        <v>13912</v>
      </c>
      <c r="P240" s="143">
        <v>751</v>
      </c>
      <c r="Q240" s="122" t="s">
        <v>12421</v>
      </c>
      <c r="R240" s="16" t="s">
        <v>8904</v>
      </c>
      <c r="S240" s="10" t="s">
        <v>1163</v>
      </c>
      <c r="T240" s="15" t="s">
        <v>14307</v>
      </c>
      <c r="U240" s="20" t="s">
        <v>5359</v>
      </c>
      <c r="V240" s="20" t="s">
        <v>14187</v>
      </c>
      <c r="W240" s="20" t="s">
        <v>14284</v>
      </c>
      <c r="X240" s="174">
        <v>162.05000000000001</v>
      </c>
      <c r="Y240" s="174">
        <v>201.15800000000002</v>
      </c>
    </row>
    <row r="241" spans="1:25" s="1" customFormat="1" ht="15" customHeight="1" x14ac:dyDescent="0.25">
      <c r="A241" s="20" t="s">
        <v>14191</v>
      </c>
      <c r="B241" s="37" t="s">
        <v>14192</v>
      </c>
      <c r="C241" s="71" t="str">
        <f t="shared" si="3"/>
        <v>Product Info</v>
      </c>
      <c r="D241" s="93" t="s">
        <v>14584</v>
      </c>
      <c r="E241" s="143">
        <v>1</v>
      </c>
      <c r="F241" s="143" t="s">
        <v>4992</v>
      </c>
      <c r="G241" s="38">
        <v>500.49</v>
      </c>
      <c r="H241" s="38">
        <v>425.43</v>
      </c>
      <c r="I241" s="38">
        <v>350.34</v>
      </c>
      <c r="J241" s="39"/>
      <c r="K241" s="143"/>
      <c r="L241" s="22">
        <v>4</v>
      </c>
      <c r="M241" s="22" t="s">
        <v>12488</v>
      </c>
      <c r="N241" s="20" t="s">
        <v>12529</v>
      </c>
      <c r="O241" s="16" t="s">
        <v>13912</v>
      </c>
      <c r="P241" s="143">
        <v>751</v>
      </c>
      <c r="Q241" s="122" t="s">
        <v>12421</v>
      </c>
      <c r="R241" s="16" t="s">
        <v>8904</v>
      </c>
      <c r="S241" s="10" t="s">
        <v>1163</v>
      </c>
      <c r="T241" s="15" t="s">
        <v>14332</v>
      </c>
      <c r="U241" s="20" t="s">
        <v>5359</v>
      </c>
      <c r="V241" s="20" t="s">
        <v>14191</v>
      </c>
      <c r="W241" s="20" t="s">
        <v>14284</v>
      </c>
      <c r="X241" s="174">
        <v>315.31</v>
      </c>
      <c r="Y241" s="174">
        <v>391.3956</v>
      </c>
    </row>
    <row r="242" spans="1:25" s="1" customFormat="1" ht="15" customHeight="1" x14ac:dyDescent="0.25">
      <c r="A242" s="20" t="s">
        <v>14193</v>
      </c>
      <c r="B242" s="37" t="s">
        <v>14194</v>
      </c>
      <c r="C242" s="71" t="str">
        <f t="shared" si="3"/>
        <v>Product Info</v>
      </c>
      <c r="D242" s="93" t="s">
        <v>14585</v>
      </c>
      <c r="E242" s="143">
        <v>1</v>
      </c>
      <c r="F242" s="143" t="s">
        <v>4992</v>
      </c>
      <c r="G242" s="38">
        <v>319.76</v>
      </c>
      <c r="H242" s="38">
        <v>271.8</v>
      </c>
      <c r="I242" s="38">
        <v>223.83</v>
      </c>
      <c r="J242" s="39"/>
      <c r="K242" s="143"/>
      <c r="L242" s="22">
        <v>4</v>
      </c>
      <c r="M242" s="22" t="s">
        <v>12488</v>
      </c>
      <c r="N242" s="20" t="s">
        <v>9359</v>
      </c>
      <c r="O242" s="16" t="s">
        <v>13912</v>
      </c>
      <c r="P242" s="143">
        <v>751</v>
      </c>
      <c r="Q242" s="122" t="s">
        <v>12421</v>
      </c>
      <c r="R242" s="16" t="s">
        <v>8904</v>
      </c>
      <c r="S242" s="10" t="s">
        <v>1163</v>
      </c>
      <c r="T242" s="15" t="s">
        <v>14309</v>
      </c>
      <c r="U242" s="20" t="s">
        <v>5359</v>
      </c>
      <c r="V242" s="20" t="s">
        <v>14193</v>
      </c>
      <c r="W242" s="20" t="s">
        <v>14284</v>
      </c>
      <c r="X242" s="174">
        <v>201.45</v>
      </c>
      <c r="Y242" s="174">
        <v>250.05600000000001</v>
      </c>
    </row>
    <row r="243" spans="1:25" s="1" customFormat="1" ht="15" customHeight="1" x14ac:dyDescent="0.25">
      <c r="A243" s="20" t="s">
        <v>14195</v>
      </c>
      <c r="B243" s="37" t="s">
        <v>14196</v>
      </c>
      <c r="C243" s="71" t="str">
        <f t="shared" si="3"/>
        <v>Product Info</v>
      </c>
      <c r="D243" s="93" t="s">
        <v>14586</v>
      </c>
      <c r="E243" s="143">
        <v>1</v>
      </c>
      <c r="F243" s="143" t="s">
        <v>4992</v>
      </c>
      <c r="G243" s="38">
        <v>688.11</v>
      </c>
      <c r="H243" s="38">
        <v>584.91999999999996</v>
      </c>
      <c r="I243" s="38">
        <v>481.68</v>
      </c>
      <c r="J243" s="39"/>
      <c r="K243" s="143"/>
      <c r="L243" s="22">
        <v>4</v>
      </c>
      <c r="M243" s="22" t="s">
        <v>12488</v>
      </c>
      <c r="N243" s="20" t="s">
        <v>12529</v>
      </c>
      <c r="O243" s="16" t="s">
        <v>13912</v>
      </c>
      <c r="P243" s="143">
        <v>751</v>
      </c>
      <c r="Q243" s="122" t="s">
        <v>12421</v>
      </c>
      <c r="R243" s="16" t="s">
        <v>8904</v>
      </c>
      <c r="S243" s="10" t="s">
        <v>1163</v>
      </c>
      <c r="T243" s="15" t="s">
        <v>14334</v>
      </c>
      <c r="U243" s="20" t="s">
        <v>5359</v>
      </c>
      <c r="V243" s="20" t="s">
        <v>14195</v>
      </c>
      <c r="W243" s="20" t="s">
        <v>14284</v>
      </c>
      <c r="X243" s="174">
        <v>433.51</v>
      </c>
      <c r="Y243" s="174">
        <v>538.12639999999999</v>
      </c>
    </row>
    <row r="244" spans="1:25" s="1" customFormat="1" ht="15" customHeight="1" x14ac:dyDescent="0.25">
      <c r="A244" s="20" t="s">
        <v>14364</v>
      </c>
      <c r="B244" s="37" t="s">
        <v>14243</v>
      </c>
      <c r="C244" s="71" t="str">
        <f t="shared" si="3"/>
        <v>Product Info</v>
      </c>
      <c r="D244" s="93" t="s">
        <v>14587</v>
      </c>
      <c r="E244" s="143">
        <v>1</v>
      </c>
      <c r="F244" s="143" t="s">
        <v>4992</v>
      </c>
      <c r="G244" s="38">
        <v>71.209999999999994</v>
      </c>
      <c r="H244" s="38">
        <v>60.53</v>
      </c>
      <c r="I244" s="38">
        <v>49.85</v>
      </c>
      <c r="J244" s="39"/>
      <c r="K244" s="143"/>
      <c r="L244" s="22">
        <v>4</v>
      </c>
      <c r="M244" s="22" t="s">
        <v>12488</v>
      </c>
      <c r="N244" s="20" t="s">
        <v>12529</v>
      </c>
      <c r="O244" s="16" t="s">
        <v>13912</v>
      </c>
      <c r="P244" s="143">
        <v>751</v>
      </c>
      <c r="Q244" s="121" t="s">
        <v>14285</v>
      </c>
      <c r="R244" s="20" t="s">
        <v>8904</v>
      </c>
      <c r="S244" s="10" t="s">
        <v>1163</v>
      </c>
      <c r="T244" s="15" t="s">
        <v>14434</v>
      </c>
      <c r="U244" s="20" t="s">
        <v>5359</v>
      </c>
      <c r="V244" s="20" t="s">
        <v>14417</v>
      </c>
      <c r="W244" s="10" t="s">
        <v>14284</v>
      </c>
      <c r="X244" s="174">
        <v>44.87</v>
      </c>
      <c r="Y244" s="174">
        <v>55.687600000000003</v>
      </c>
    </row>
    <row r="245" spans="1:25" s="1" customFormat="1" ht="15" customHeight="1" x14ac:dyDescent="0.25">
      <c r="A245" s="20" t="s">
        <v>14365</v>
      </c>
      <c r="B245" s="37" t="s">
        <v>14244</v>
      </c>
      <c r="C245" s="71" t="str">
        <f t="shared" si="3"/>
        <v>Product Info</v>
      </c>
      <c r="D245" s="93" t="s">
        <v>14588</v>
      </c>
      <c r="E245" s="143">
        <v>1</v>
      </c>
      <c r="F245" s="143" t="s">
        <v>4992</v>
      </c>
      <c r="G245" s="38">
        <v>90.26</v>
      </c>
      <c r="H245" s="38">
        <v>76.72</v>
      </c>
      <c r="I245" s="38">
        <v>63.18</v>
      </c>
      <c r="J245" s="39"/>
      <c r="K245" s="143"/>
      <c r="L245" s="22">
        <v>4</v>
      </c>
      <c r="M245" s="22" t="s">
        <v>12488</v>
      </c>
      <c r="N245" s="20" t="s">
        <v>12529</v>
      </c>
      <c r="O245" s="16" t="s">
        <v>13912</v>
      </c>
      <c r="P245" s="143">
        <v>751</v>
      </c>
      <c r="Q245" s="121" t="s">
        <v>14285</v>
      </c>
      <c r="R245" s="20" t="s">
        <v>8904</v>
      </c>
      <c r="S245" s="10" t="s">
        <v>1163</v>
      </c>
      <c r="T245" s="15" t="s">
        <v>14435</v>
      </c>
      <c r="U245" s="20" t="s">
        <v>5359</v>
      </c>
      <c r="V245" s="20" t="s">
        <v>14418</v>
      </c>
      <c r="W245" s="10" t="s">
        <v>14284</v>
      </c>
      <c r="X245" s="174">
        <v>56.86</v>
      </c>
      <c r="Y245" s="174">
        <v>70.582400000000007</v>
      </c>
    </row>
    <row r="246" spans="1:25" s="1" customFormat="1" ht="15" customHeight="1" x14ac:dyDescent="0.25">
      <c r="A246" s="20" t="s">
        <v>14366</v>
      </c>
      <c r="B246" s="37" t="s">
        <v>14245</v>
      </c>
      <c r="C246" s="71" t="str">
        <f t="shared" si="3"/>
        <v>Product Info</v>
      </c>
      <c r="D246" s="93" t="s">
        <v>14589</v>
      </c>
      <c r="E246" s="143">
        <v>1</v>
      </c>
      <c r="F246" s="143" t="s">
        <v>4992</v>
      </c>
      <c r="G246" s="38">
        <v>112.2</v>
      </c>
      <c r="H246" s="38">
        <v>95.37</v>
      </c>
      <c r="I246" s="38">
        <v>78.540000000000006</v>
      </c>
      <c r="J246" s="39"/>
      <c r="K246" s="143"/>
      <c r="L246" s="22">
        <v>4</v>
      </c>
      <c r="M246" s="22" t="s">
        <v>12488</v>
      </c>
      <c r="N246" s="20" t="s">
        <v>13078</v>
      </c>
      <c r="O246" s="16" t="s">
        <v>13912</v>
      </c>
      <c r="P246" s="143">
        <v>751</v>
      </c>
      <c r="Q246" s="121" t="s">
        <v>14285</v>
      </c>
      <c r="R246" s="20" t="s">
        <v>8904</v>
      </c>
      <c r="S246" s="10" t="s">
        <v>1163</v>
      </c>
      <c r="T246" s="15" t="s">
        <v>14436</v>
      </c>
      <c r="U246" s="20" t="s">
        <v>5359</v>
      </c>
      <c r="V246" s="20" t="s">
        <v>14419</v>
      </c>
      <c r="W246" s="10" t="s">
        <v>14284</v>
      </c>
      <c r="X246" s="174">
        <v>70.69</v>
      </c>
      <c r="Y246" s="174">
        <v>87.740400000000008</v>
      </c>
    </row>
    <row r="247" spans="1:25" s="1" customFormat="1" ht="15" customHeight="1" x14ac:dyDescent="0.25">
      <c r="A247" s="20" t="s">
        <v>14121</v>
      </c>
      <c r="B247" s="37" t="s">
        <v>14122</v>
      </c>
      <c r="C247" s="71" t="str">
        <f t="shared" si="3"/>
        <v>Product Info</v>
      </c>
      <c r="D247" s="93" t="s">
        <v>14590</v>
      </c>
      <c r="E247" s="143">
        <v>1</v>
      </c>
      <c r="F247" s="143" t="s">
        <v>4992</v>
      </c>
      <c r="G247" s="38">
        <v>91.4</v>
      </c>
      <c r="H247" s="38">
        <v>77.69</v>
      </c>
      <c r="I247" s="38">
        <v>63.98</v>
      </c>
      <c r="J247" s="39"/>
      <c r="K247" s="143"/>
      <c r="L247" s="22">
        <v>4</v>
      </c>
      <c r="M247" s="22" t="s">
        <v>12488</v>
      </c>
      <c r="N247" s="20" t="s">
        <v>12529</v>
      </c>
      <c r="O247" s="16" t="s">
        <v>13912</v>
      </c>
      <c r="P247" s="143">
        <v>751</v>
      </c>
      <c r="Q247" s="121" t="s">
        <v>14285</v>
      </c>
      <c r="R247" s="20" t="s">
        <v>8904</v>
      </c>
      <c r="S247" s="10" t="s">
        <v>1163</v>
      </c>
      <c r="T247" s="15" t="s">
        <v>14451</v>
      </c>
      <c r="U247" s="20" t="s">
        <v>5359</v>
      </c>
      <c r="V247" s="20" t="s">
        <v>14409</v>
      </c>
      <c r="W247" s="10" t="s">
        <v>14284</v>
      </c>
      <c r="X247" s="174">
        <v>57.58</v>
      </c>
      <c r="Y247" s="174">
        <v>71.474800000000002</v>
      </c>
    </row>
    <row r="248" spans="1:25" s="1" customFormat="1" ht="15" customHeight="1" x14ac:dyDescent="0.25">
      <c r="A248" s="20" t="s">
        <v>14095</v>
      </c>
      <c r="B248" s="37" t="s">
        <v>14096</v>
      </c>
      <c r="C248" s="71" t="str">
        <f t="shared" si="3"/>
        <v>Product Info</v>
      </c>
      <c r="D248" s="93" t="s">
        <v>14591</v>
      </c>
      <c r="E248" s="143">
        <v>1</v>
      </c>
      <c r="F248" s="143" t="s">
        <v>4992</v>
      </c>
      <c r="G248" s="38">
        <v>68.83</v>
      </c>
      <c r="H248" s="38">
        <v>58.51</v>
      </c>
      <c r="I248" s="38">
        <v>48.18</v>
      </c>
      <c r="J248" s="39"/>
      <c r="K248" s="143"/>
      <c r="L248" s="22">
        <v>4</v>
      </c>
      <c r="M248" s="22" t="s">
        <v>12488</v>
      </c>
      <c r="N248" s="20" t="s">
        <v>12529</v>
      </c>
      <c r="O248" s="16" t="s">
        <v>13912</v>
      </c>
      <c r="P248" s="143">
        <v>751</v>
      </c>
      <c r="Q248" s="122" t="s">
        <v>12421</v>
      </c>
      <c r="R248" s="20" t="s">
        <v>8904</v>
      </c>
      <c r="S248" s="10" t="s">
        <v>1163</v>
      </c>
      <c r="T248" s="15" t="s">
        <v>14450</v>
      </c>
      <c r="U248" s="20" t="s">
        <v>5359</v>
      </c>
      <c r="V248" s="20" t="s">
        <v>14408</v>
      </c>
      <c r="W248" s="10" t="s">
        <v>14284</v>
      </c>
      <c r="X248" s="174">
        <v>43.36</v>
      </c>
      <c r="Y248" s="174">
        <v>53.8292</v>
      </c>
    </row>
    <row r="249" spans="1:25" s="1" customFormat="1" ht="15" customHeight="1" x14ac:dyDescent="0.25">
      <c r="A249" s="20" t="s">
        <v>14089</v>
      </c>
      <c r="B249" s="37" t="s">
        <v>14090</v>
      </c>
      <c r="C249" s="71" t="str">
        <f t="shared" si="3"/>
        <v>Product Info</v>
      </c>
      <c r="D249" s="93" t="s">
        <v>14592</v>
      </c>
      <c r="E249" s="143">
        <v>1</v>
      </c>
      <c r="F249" s="143" t="s">
        <v>4992</v>
      </c>
      <c r="G249" s="38">
        <v>68.83</v>
      </c>
      <c r="H249" s="38">
        <v>58.51</v>
      </c>
      <c r="I249" s="38">
        <v>48.18</v>
      </c>
      <c r="J249" s="39"/>
      <c r="K249" s="143"/>
      <c r="L249" s="22">
        <v>4</v>
      </c>
      <c r="M249" s="22" t="s">
        <v>12488</v>
      </c>
      <c r="N249" s="20" t="s">
        <v>12529</v>
      </c>
      <c r="O249" s="16" t="s">
        <v>13912</v>
      </c>
      <c r="P249" s="143">
        <v>751</v>
      </c>
      <c r="Q249" s="121" t="s">
        <v>14285</v>
      </c>
      <c r="R249" s="20" t="s">
        <v>8904</v>
      </c>
      <c r="S249" s="10" t="s">
        <v>1163</v>
      </c>
      <c r="T249" s="15" t="s">
        <v>14445</v>
      </c>
      <c r="U249" s="20" t="s">
        <v>5359</v>
      </c>
      <c r="V249" s="20" t="s">
        <v>14403</v>
      </c>
      <c r="W249" s="10" t="s">
        <v>14284</v>
      </c>
      <c r="X249" s="174">
        <v>43.36</v>
      </c>
      <c r="Y249" s="174">
        <v>53.8292</v>
      </c>
    </row>
    <row r="250" spans="1:25" s="1" customFormat="1" ht="15" customHeight="1" x14ac:dyDescent="0.25">
      <c r="A250" s="20" t="s">
        <v>13065</v>
      </c>
      <c r="B250" s="16" t="s">
        <v>13066</v>
      </c>
      <c r="C250" s="71" t="str">
        <f t="shared" si="3"/>
        <v>Product Info</v>
      </c>
      <c r="D250" s="93" t="s">
        <v>14593</v>
      </c>
      <c r="E250" s="143">
        <v>1</v>
      </c>
      <c r="F250" s="12" t="s">
        <v>4992</v>
      </c>
      <c r="G250" s="38">
        <v>92.9</v>
      </c>
      <c r="H250" s="38">
        <v>78.97</v>
      </c>
      <c r="I250" s="38">
        <v>65.03</v>
      </c>
      <c r="J250" s="39"/>
      <c r="K250" s="143"/>
      <c r="L250" s="22">
        <v>4</v>
      </c>
      <c r="M250" s="22" t="s">
        <v>12488</v>
      </c>
      <c r="N250" s="20" t="s">
        <v>12529</v>
      </c>
      <c r="O250" s="16" t="s">
        <v>13912</v>
      </c>
      <c r="P250" s="143">
        <v>751</v>
      </c>
      <c r="Q250" s="122" t="s">
        <v>12421</v>
      </c>
      <c r="R250" s="16" t="s">
        <v>8904</v>
      </c>
      <c r="S250" s="10" t="s">
        <v>1163</v>
      </c>
      <c r="T250" s="28" t="s">
        <v>13278</v>
      </c>
      <c r="U250" s="20" t="s">
        <v>5359</v>
      </c>
      <c r="V250" s="11" t="s">
        <v>13065</v>
      </c>
      <c r="W250" s="11" t="s">
        <v>14284</v>
      </c>
      <c r="X250" s="174">
        <v>58.53</v>
      </c>
      <c r="Y250" s="174">
        <v>72.6524</v>
      </c>
    </row>
    <row r="251" spans="1:25" s="1" customFormat="1" ht="15" customHeight="1" x14ac:dyDescent="0.25">
      <c r="A251" s="20" t="s">
        <v>14128</v>
      </c>
      <c r="B251" s="37" t="s">
        <v>14129</v>
      </c>
      <c r="C251" s="71" t="str">
        <f t="shared" si="3"/>
        <v>Product Info</v>
      </c>
      <c r="D251" s="93" t="s">
        <v>14594</v>
      </c>
      <c r="E251" s="143">
        <v>1</v>
      </c>
      <c r="F251" s="143" t="s">
        <v>4992</v>
      </c>
      <c r="G251" s="38">
        <v>113.74</v>
      </c>
      <c r="H251" s="38">
        <v>96.68</v>
      </c>
      <c r="I251" s="38">
        <v>79.62</v>
      </c>
      <c r="J251" s="39"/>
      <c r="K251" s="143"/>
      <c r="L251" s="22">
        <v>4</v>
      </c>
      <c r="M251" s="22" t="s">
        <v>12488</v>
      </c>
      <c r="N251" s="20" t="s">
        <v>12529</v>
      </c>
      <c r="O251" s="16" t="s">
        <v>13912</v>
      </c>
      <c r="P251" s="143">
        <v>751</v>
      </c>
      <c r="Q251" s="122" t="s">
        <v>12421</v>
      </c>
      <c r="R251" s="20" t="s">
        <v>8904</v>
      </c>
      <c r="S251" s="10" t="s">
        <v>1163</v>
      </c>
      <c r="T251" s="15" t="s">
        <v>14452</v>
      </c>
      <c r="U251" s="20" t="s">
        <v>5359</v>
      </c>
      <c r="V251" s="20" t="s">
        <v>14411</v>
      </c>
      <c r="W251" s="10" t="s">
        <v>14284</v>
      </c>
      <c r="X251" s="174">
        <v>71.66</v>
      </c>
      <c r="Y251" s="174">
        <v>88.945600000000013</v>
      </c>
    </row>
    <row r="252" spans="1:25" s="1" customFormat="1" ht="15" customHeight="1" x14ac:dyDescent="0.25">
      <c r="A252" s="47" t="s">
        <v>14368</v>
      </c>
      <c r="B252" s="48" t="s">
        <v>14369</v>
      </c>
      <c r="C252" s="71" t="str">
        <f t="shared" si="3"/>
        <v>Product Info</v>
      </c>
      <c r="D252" s="93" t="s">
        <v>14595</v>
      </c>
      <c r="E252" s="143">
        <v>1</v>
      </c>
      <c r="F252" s="148" t="s">
        <v>4992</v>
      </c>
      <c r="G252" s="38">
        <v>83.96</v>
      </c>
      <c r="H252" s="38">
        <v>71.37</v>
      </c>
      <c r="I252" s="38">
        <v>58.77</v>
      </c>
      <c r="J252" s="39"/>
      <c r="K252" s="143"/>
      <c r="L252" s="50">
        <v>4</v>
      </c>
      <c r="M252" s="50" t="s">
        <v>12488</v>
      </c>
      <c r="N252" s="20" t="s">
        <v>12529</v>
      </c>
      <c r="O252" s="16" t="s">
        <v>13912</v>
      </c>
      <c r="P252" s="143">
        <v>751</v>
      </c>
      <c r="Q252" s="121" t="s">
        <v>14285</v>
      </c>
      <c r="R252" s="20" t="s">
        <v>8904</v>
      </c>
      <c r="S252" s="51" t="s">
        <v>1163</v>
      </c>
      <c r="T252" s="15" t="s">
        <v>14453</v>
      </c>
      <c r="U252" s="47" t="s">
        <v>5359</v>
      </c>
      <c r="V252" s="47" t="s">
        <v>14402</v>
      </c>
      <c r="W252" s="47" t="s">
        <v>13913</v>
      </c>
      <c r="X252" s="174">
        <v>52.89</v>
      </c>
      <c r="Y252" s="174">
        <v>65.66040000000001</v>
      </c>
    </row>
    <row r="253" spans="1:25" s="1" customFormat="1" ht="15" customHeight="1" x14ac:dyDescent="0.25">
      <c r="A253" s="47" t="s">
        <v>14374</v>
      </c>
      <c r="B253" s="48" t="s">
        <v>14375</v>
      </c>
      <c r="C253" s="71" t="str">
        <f t="shared" si="3"/>
        <v>Product Info</v>
      </c>
      <c r="D253" s="93" t="s">
        <v>14596</v>
      </c>
      <c r="E253" s="143">
        <v>1</v>
      </c>
      <c r="F253" s="148" t="s">
        <v>4992</v>
      </c>
      <c r="G253" s="38">
        <v>100.36</v>
      </c>
      <c r="H253" s="38">
        <v>85.31</v>
      </c>
      <c r="I253" s="38">
        <v>70.25</v>
      </c>
      <c r="J253" s="39"/>
      <c r="K253" s="143"/>
      <c r="L253" s="50">
        <v>4</v>
      </c>
      <c r="M253" s="50" t="s">
        <v>12488</v>
      </c>
      <c r="N253" s="20" t="s">
        <v>12529</v>
      </c>
      <c r="O253" s="16" t="s">
        <v>13912</v>
      </c>
      <c r="P253" s="143">
        <v>751</v>
      </c>
      <c r="Q253" s="121" t="s">
        <v>14285</v>
      </c>
      <c r="R253" s="20" t="s">
        <v>8904</v>
      </c>
      <c r="S253" s="51" t="s">
        <v>1163</v>
      </c>
      <c r="T253" s="15" t="s">
        <v>14454</v>
      </c>
      <c r="U253" s="47" t="s">
        <v>5359</v>
      </c>
      <c r="V253" s="47" t="s">
        <v>14412</v>
      </c>
      <c r="W253" s="47" t="s">
        <v>13913</v>
      </c>
      <c r="X253" s="174">
        <v>63.23</v>
      </c>
      <c r="Y253" s="174">
        <v>78.485200000000006</v>
      </c>
    </row>
    <row r="254" spans="1:25" s="1" customFormat="1" ht="15" customHeight="1" x14ac:dyDescent="0.25">
      <c r="A254" s="20" t="s">
        <v>14093</v>
      </c>
      <c r="B254" s="37" t="s">
        <v>14094</v>
      </c>
      <c r="C254" s="71" t="str">
        <f t="shared" si="3"/>
        <v>Product Info</v>
      </c>
      <c r="D254" s="93" t="s">
        <v>14597</v>
      </c>
      <c r="E254" s="143">
        <v>1</v>
      </c>
      <c r="F254" s="143" t="s">
        <v>4992</v>
      </c>
      <c r="G254" s="38">
        <v>82.5</v>
      </c>
      <c r="H254" s="38">
        <v>70.13</v>
      </c>
      <c r="I254" s="38">
        <v>57.75</v>
      </c>
      <c r="J254" s="39"/>
      <c r="K254" s="143"/>
      <c r="L254" s="22">
        <v>4</v>
      </c>
      <c r="M254" s="22" t="s">
        <v>12488</v>
      </c>
      <c r="N254" s="20" t="s">
        <v>12529</v>
      </c>
      <c r="O254" s="16" t="s">
        <v>13912</v>
      </c>
      <c r="P254" s="143">
        <v>751</v>
      </c>
      <c r="Q254" s="122" t="s">
        <v>12421</v>
      </c>
      <c r="R254" s="20" t="s">
        <v>8904</v>
      </c>
      <c r="S254" s="10" t="s">
        <v>1163</v>
      </c>
      <c r="T254" s="15" t="s">
        <v>14448</v>
      </c>
      <c r="U254" s="20" t="s">
        <v>5359</v>
      </c>
      <c r="V254" s="20" t="s">
        <v>14406</v>
      </c>
      <c r="W254" s="10" t="s">
        <v>14284</v>
      </c>
      <c r="X254" s="174">
        <v>51.98</v>
      </c>
      <c r="Y254" s="174">
        <v>64.519599999999997</v>
      </c>
    </row>
    <row r="255" spans="1:25" s="1" customFormat="1" ht="15" customHeight="1" x14ac:dyDescent="0.25">
      <c r="A255" s="20" t="s">
        <v>14372</v>
      </c>
      <c r="B255" s="37" t="s">
        <v>14373</v>
      </c>
      <c r="C255" s="71" t="str">
        <f t="shared" si="3"/>
        <v>Product Info</v>
      </c>
      <c r="D255" s="93" t="s">
        <v>14598</v>
      </c>
      <c r="E255" s="143">
        <v>1</v>
      </c>
      <c r="F255" s="143" t="s">
        <v>4992</v>
      </c>
      <c r="G255" s="38">
        <v>82.5</v>
      </c>
      <c r="H255" s="38">
        <v>70.13</v>
      </c>
      <c r="I255" s="38">
        <v>57.75</v>
      </c>
      <c r="J255" s="39"/>
      <c r="K255" s="143"/>
      <c r="L255" s="22">
        <v>4</v>
      </c>
      <c r="M255" s="22" t="s">
        <v>12488</v>
      </c>
      <c r="N255" s="20" t="s">
        <v>12529</v>
      </c>
      <c r="O255" s="16" t="s">
        <v>13912</v>
      </c>
      <c r="P255" s="143">
        <v>751</v>
      </c>
      <c r="Q255" s="121" t="s">
        <v>14285</v>
      </c>
      <c r="R255" s="20" t="s">
        <v>8904</v>
      </c>
      <c r="S255" s="10" t="s">
        <v>1163</v>
      </c>
      <c r="T255" s="15" t="s">
        <v>14449</v>
      </c>
      <c r="U255" s="20" t="s">
        <v>5359</v>
      </c>
      <c r="V255" s="20" t="s">
        <v>14407</v>
      </c>
      <c r="W255" s="10" t="s">
        <v>14284</v>
      </c>
      <c r="X255" s="174">
        <v>51.98</v>
      </c>
      <c r="Y255" s="174">
        <v>64.519599999999997</v>
      </c>
    </row>
    <row r="256" spans="1:25" s="1" customFormat="1" ht="15" customHeight="1" x14ac:dyDescent="0.25">
      <c r="A256" s="20" t="s">
        <v>14052</v>
      </c>
      <c r="B256" s="37" t="s">
        <v>14053</v>
      </c>
      <c r="C256" s="71" t="str">
        <f t="shared" si="3"/>
        <v>Product Info</v>
      </c>
      <c r="D256" s="93" t="s">
        <v>14599</v>
      </c>
      <c r="E256" s="143">
        <v>1</v>
      </c>
      <c r="F256" s="143" t="s">
        <v>4992</v>
      </c>
      <c r="G256" s="38">
        <v>95.06</v>
      </c>
      <c r="H256" s="38">
        <v>80.8</v>
      </c>
      <c r="I256" s="38">
        <v>66.540000000000006</v>
      </c>
      <c r="J256" s="39"/>
      <c r="K256" s="143"/>
      <c r="L256" s="22">
        <v>4</v>
      </c>
      <c r="M256" s="22" t="s">
        <v>12488</v>
      </c>
      <c r="N256" s="20" t="s">
        <v>12529</v>
      </c>
      <c r="O256" s="16" t="s">
        <v>13912</v>
      </c>
      <c r="P256" s="143">
        <v>751</v>
      </c>
      <c r="Q256" s="122" t="s">
        <v>12421</v>
      </c>
      <c r="R256" s="20" t="s">
        <v>8904</v>
      </c>
      <c r="S256" s="10" t="s">
        <v>1163</v>
      </c>
      <c r="T256" s="15" t="s">
        <v>14443</v>
      </c>
      <c r="U256" s="20" t="s">
        <v>5359</v>
      </c>
      <c r="V256" s="20" t="s">
        <v>14401</v>
      </c>
      <c r="W256" s="10" t="s">
        <v>14284</v>
      </c>
      <c r="X256" s="174">
        <v>59.89</v>
      </c>
      <c r="Y256" s="174">
        <v>74.335999999999999</v>
      </c>
    </row>
    <row r="257" spans="1:25" s="1" customFormat="1" ht="15" customHeight="1" x14ac:dyDescent="0.25">
      <c r="A257" s="20" t="s">
        <v>14370</v>
      </c>
      <c r="B257" s="37" t="s">
        <v>14371</v>
      </c>
      <c r="C257" s="71" t="str">
        <f t="shared" si="3"/>
        <v>Product Info</v>
      </c>
      <c r="D257" s="93" t="s">
        <v>14600</v>
      </c>
      <c r="E257" s="143">
        <v>1</v>
      </c>
      <c r="F257" s="143" t="s">
        <v>4992</v>
      </c>
      <c r="G257" s="38">
        <v>92.14</v>
      </c>
      <c r="H257" s="38">
        <v>78.319999999999993</v>
      </c>
      <c r="I257" s="38">
        <v>64.5</v>
      </c>
      <c r="J257" s="39"/>
      <c r="K257" s="143"/>
      <c r="L257" s="22">
        <v>4</v>
      </c>
      <c r="M257" s="22" t="s">
        <v>12488</v>
      </c>
      <c r="N257" s="20" t="s">
        <v>12529</v>
      </c>
      <c r="O257" s="16" t="s">
        <v>13912</v>
      </c>
      <c r="P257" s="143">
        <v>751</v>
      </c>
      <c r="Q257" s="121" t="s">
        <v>14285</v>
      </c>
      <c r="R257" s="20" t="s">
        <v>8904</v>
      </c>
      <c r="S257" s="10" t="s">
        <v>1163</v>
      </c>
      <c r="T257" s="15" t="s">
        <v>14446</v>
      </c>
      <c r="U257" s="20" t="s">
        <v>5359</v>
      </c>
      <c r="V257" s="20" t="s">
        <v>14404</v>
      </c>
      <c r="W257" s="10" t="s">
        <v>14284</v>
      </c>
      <c r="X257" s="174">
        <v>58.05</v>
      </c>
      <c r="Y257" s="174">
        <v>72.054400000000001</v>
      </c>
    </row>
    <row r="258" spans="1:25" s="1" customFormat="1" ht="15" customHeight="1" x14ac:dyDescent="0.25">
      <c r="A258" s="20" t="s">
        <v>14054</v>
      </c>
      <c r="B258" s="16" t="s">
        <v>13067</v>
      </c>
      <c r="C258" s="71" t="str">
        <f t="shared" si="3"/>
        <v>Product Info</v>
      </c>
      <c r="D258" s="93" t="s">
        <v>14601</v>
      </c>
      <c r="E258" s="143">
        <v>1</v>
      </c>
      <c r="F258" s="12" t="s">
        <v>4992</v>
      </c>
      <c r="G258" s="38">
        <v>124.41</v>
      </c>
      <c r="H258" s="38">
        <v>105.76</v>
      </c>
      <c r="I258" s="38">
        <v>87.09</v>
      </c>
      <c r="J258" s="39"/>
      <c r="K258" s="143"/>
      <c r="L258" s="22">
        <v>4</v>
      </c>
      <c r="M258" s="22" t="s">
        <v>12488</v>
      </c>
      <c r="N258" s="20" t="s">
        <v>12529</v>
      </c>
      <c r="O258" s="16" t="s">
        <v>13912</v>
      </c>
      <c r="P258" s="143">
        <v>751</v>
      </c>
      <c r="Q258" s="122" t="s">
        <v>12421</v>
      </c>
      <c r="R258" s="16" t="s">
        <v>8904</v>
      </c>
      <c r="S258" s="10" t="s">
        <v>1163</v>
      </c>
      <c r="T258" s="28" t="s">
        <v>13279</v>
      </c>
      <c r="U258" s="20" t="s">
        <v>5359</v>
      </c>
      <c r="V258" s="11" t="s">
        <v>13277</v>
      </c>
      <c r="W258" s="11" t="s">
        <v>14284</v>
      </c>
      <c r="X258" s="174">
        <v>78.38</v>
      </c>
      <c r="Y258" s="174">
        <v>97.299200000000013</v>
      </c>
    </row>
    <row r="259" spans="1:25" s="1" customFormat="1" ht="15" customHeight="1" x14ac:dyDescent="0.25">
      <c r="A259" s="47" t="s">
        <v>14384</v>
      </c>
      <c r="B259" s="48" t="s">
        <v>14385</v>
      </c>
      <c r="C259" s="71" t="str">
        <f t="shared" si="3"/>
        <v>Product Info</v>
      </c>
      <c r="D259" s="93" t="s">
        <v>14602</v>
      </c>
      <c r="E259" s="143">
        <v>1</v>
      </c>
      <c r="F259" s="148" t="s">
        <v>4992</v>
      </c>
      <c r="G259" s="38">
        <v>102.91</v>
      </c>
      <c r="H259" s="38">
        <v>87.48</v>
      </c>
      <c r="I259" s="38">
        <v>72.040000000000006</v>
      </c>
      <c r="J259" s="39"/>
      <c r="K259" s="143"/>
      <c r="L259" s="50">
        <v>4</v>
      </c>
      <c r="M259" s="50" t="s">
        <v>12488</v>
      </c>
      <c r="N259" s="20" t="s">
        <v>12529</v>
      </c>
      <c r="O259" s="16" t="s">
        <v>13912</v>
      </c>
      <c r="P259" s="143">
        <v>751</v>
      </c>
      <c r="Q259" s="122" t="s">
        <v>12421</v>
      </c>
      <c r="R259" s="20" t="s">
        <v>8904</v>
      </c>
      <c r="S259" s="51" t="s">
        <v>1163</v>
      </c>
      <c r="T259" s="15" t="s">
        <v>14456</v>
      </c>
      <c r="U259" s="47" t="s">
        <v>5359</v>
      </c>
      <c r="V259" s="47" t="s">
        <v>14420</v>
      </c>
      <c r="W259" s="47" t="s">
        <v>13913</v>
      </c>
      <c r="X259" s="174">
        <v>64.84</v>
      </c>
      <c r="Y259" s="174">
        <v>80.4816</v>
      </c>
    </row>
    <row r="260" spans="1:25" s="1" customFormat="1" ht="15" customHeight="1" x14ac:dyDescent="0.25">
      <c r="A260" s="20" t="s">
        <v>14091</v>
      </c>
      <c r="B260" s="37" t="s">
        <v>14092</v>
      </c>
      <c r="C260" s="71" t="str">
        <f t="shared" si="3"/>
        <v>Product Info</v>
      </c>
      <c r="D260" s="93" t="s">
        <v>14603</v>
      </c>
      <c r="E260" s="143">
        <v>1</v>
      </c>
      <c r="F260" s="143" t="s">
        <v>4992</v>
      </c>
      <c r="G260" s="38">
        <v>104.94</v>
      </c>
      <c r="H260" s="38">
        <v>89.2</v>
      </c>
      <c r="I260" s="38">
        <v>73.459999999999994</v>
      </c>
      <c r="J260" s="39"/>
      <c r="K260" s="143"/>
      <c r="L260" s="22">
        <v>4</v>
      </c>
      <c r="M260" s="22" t="s">
        <v>12488</v>
      </c>
      <c r="N260" s="20" t="s">
        <v>12529</v>
      </c>
      <c r="O260" s="16" t="s">
        <v>13912</v>
      </c>
      <c r="P260" s="143">
        <v>751</v>
      </c>
      <c r="Q260" s="121" t="s">
        <v>14285</v>
      </c>
      <c r="R260" s="20" t="s">
        <v>8904</v>
      </c>
      <c r="S260" s="10" t="s">
        <v>1163</v>
      </c>
      <c r="T260" s="15" t="s">
        <v>14447</v>
      </c>
      <c r="U260" s="20" t="s">
        <v>5359</v>
      </c>
      <c r="V260" s="20" t="s">
        <v>14405</v>
      </c>
      <c r="W260" s="10" t="s">
        <v>14284</v>
      </c>
      <c r="X260" s="174">
        <v>66.11</v>
      </c>
      <c r="Y260" s="174">
        <v>82.064000000000007</v>
      </c>
    </row>
    <row r="261" spans="1:25" s="1" customFormat="1" ht="15" customHeight="1" x14ac:dyDescent="0.25">
      <c r="A261" s="47" t="s">
        <v>14392</v>
      </c>
      <c r="B261" s="48" t="s">
        <v>14393</v>
      </c>
      <c r="C261" s="71" t="str">
        <f t="shared" si="3"/>
        <v>Product Info</v>
      </c>
      <c r="D261" s="93" t="s">
        <v>14604</v>
      </c>
      <c r="E261" s="143">
        <v>1</v>
      </c>
      <c r="F261" s="148" t="s">
        <v>4992</v>
      </c>
      <c r="G261" s="38">
        <v>132.37</v>
      </c>
      <c r="H261" s="38">
        <v>112.52</v>
      </c>
      <c r="I261" s="38">
        <v>92.66</v>
      </c>
      <c r="J261" s="39"/>
      <c r="K261" s="143"/>
      <c r="L261" s="50">
        <v>4</v>
      </c>
      <c r="M261" s="50" t="s">
        <v>12488</v>
      </c>
      <c r="N261" s="20" t="s">
        <v>13078</v>
      </c>
      <c r="O261" s="16" t="s">
        <v>13912</v>
      </c>
      <c r="P261" s="143">
        <v>751</v>
      </c>
      <c r="Q261" s="121" t="s">
        <v>14285</v>
      </c>
      <c r="R261" s="20" t="s">
        <v>8904</v>
      </c>
      <c r="S261" s="51" t="s">
        <v>1163</v>
      </c>
      <c r="T261" s="15" t="s">
        <v>14460</v>
      </c>
      <c r="U261" s="47" t="s">
        <v>5359</v>
      </c>
      <c r="V261" s="47" t="s">
        <v>14424</v>
      </c>
      <c r="W261" s="47" t="s">
        <v>13913</v>
      </c>
      <c r="X261" s="174">
        <v>83.39</v>
      </c>
      <c r="Y261" s="174">
        <v>103.5184</v>
      </c>
    </row>
    <row r="262" spans="1:25" s="1" customFormat="1" ht="15" customHeight="1" x14ac:dyDescent="0.25">
      <c r="A262" s="20" t="s">
        <v>14050</v>
      </c>
      <c r="B262" s="37" t="s">
        <v>14051</v>
      </c>
      <c r="C262" s="71" t="str">
        <f t="shared" ref="C262:C325" si="4">HYPERLINK(T262,U262)</f>
        <v>Product Info</v>
      </c>
      <c r="D262" s="93" t="s">
        <v>14605</v>
      </c>
      <c r="E262" s="143">
        <v>1</v>
      </c>
      <c r="F262" s="143" t="s">
        <v>4992</v>
      </c>
      <c r="G262" s="38">
        <v>154.1</v>
      </c>
      <c r="H262" s="38">
        <v>130.99</v>
      </c>
      <c r="I262" s="38">
        <v>107.87</v>
      </c>
      <c r="J262" s="39"/>
      <c r="K262" s="143"/>
      <c r="L262" s="22">
        <v>4</v>
      </c>
      <c r="M262" s="22" t="s">
        <v>12488</v>
      </c>
      <c r="N262" s="20" t="s">
        <v>12529</v>
      </c>
      <c r="O262" s="16" t="s">
        <v>13912</v>
      </c>
      <c r="P262" s="143">
        <v>751</v>
      </c>
      <c r="Q262" s="122" t="s">
        <v>12421</v>
      </c>
      <c r="R262" s="20" t="s">
        <v>8904</v>
      </c>
      <c r="S262" s="10" t="s">
        <v>1163</v>
      </c>
      <c r="T262" s="15" t="s">
        <v>14441</v>
      </c>
      <c r="U262" s="20" t="s">
        <v>5359</v>
      </c>
      <c r="V262" s="20" t="s">
        <v>14400</v>
      </c>
      <c r="W262" s="10" t="s">
        <v>14284</v>
      </c>
      <c r="X262" s="174">
        <v>97.08</v>
      </c>
      <c r="Y262" s="174">
        <v>120.51080000000002</v>
      </c>
    </row>
    <row r="263" spans="1:25" s="63" customFormat="1" ht="15" customHeight="1" x14ac:dyDescent="0.25">
      <c r="A263" s="47" t="s">
        <v>14197</v>
      </c>
      <c r="B263" s="48" t="s">
        <v>14198</v>
      </c>
      <c r="C263" s="71" t="str">
        <f t="shared" si="4"/>
        <v>Product Info</v>
      </c>
      <c r="D263" s="93" t="s">
        <v>14606</v>
      </c>
      <c r="E263" s="143">
        <v>1</v>
      </c>
      <c r="F263" s="148" t="s">
        <v>4992</v>
      </c>
      <c r="G263" s="38">
        <v>288.04000000000002</v>
      </c>
      <c r="H263" s="38">
        <v>244.85</v>
      </c>
      <c r="I263" s="38">
        <v>201.63</v>
      </c>
      <c r="J263" s="39"/>
      <c r="K263" s="143"/>
      <c r="L263" s="50">
        <v>4</v>
      </c>
      <c r="M263" s="50" t="s">
        <v>12488</v>
      </c>
      <c r="N263" s="20" t="s">
        <v>13076</v>
      </c>
      <c r="O263" s="16" t="s">
        <v>13912</v>
      </c>
      <c r="P263" s="143">
        <v>751</v>
      </c>
      <c r="Q263" s="121" t="s">
        <v>14285</v>
      </c>
      <c r="R263" s="49" t="s">
        <v>8904</v>
      </c>
      <c r="S263" s="18" t="s">
        <v>1163</v>
      </c>
      <c r="T263" s="15" t="s">
        <v>14304</v>
      </c>
      <c r="U263" s="47" t="s">
        <v>5359</v>
      </c>
      <c r="V263" s="47" t="s">
        <v>14197</v>
      </c>
      <c r="W263" s="47" t="s">
        <v>14284</v>
      </c>
      <c r="X263" s="174">
        <v>181.47</v>
      </c>
      <c r="Y263" s="174">
        <v>225.262</v>
      </c>
    </row>
    <row r="264" spans="1:25" s="63" customFormat="1" ht="15" customHeight="1" x14ac:dyDescent="0.25">
      <c r="A264" s="20" t="s">
        <v>14199</v>
      </c>
      <c r="B264" s="37" t="s">
        <v>14200</v>
      </c>
      <c r="C264" s="71" t="str">
        <f t="shared" si="4"/>
        <v>Product Info</v>
      </c>
      <c r="D264" s="93" t="s">
        <v>14607</v>
      </c>
      <c r="E264" s="143">
        <v>1</v>
      </c>
      <c r="F264" s="143" t="s">
        <v>4992</v>
      </c>
      <c r="G264" s="38">
        <v>608</v>
      </c>
      <c r="H264" s="38">
        <v>516.82000000000005</v>
      </c>
      <c r="I264" s="38">
        <v>425.6</v>
      </c>
      <c r="J264" s="39"/>
      <c r="K264" s="143"/>
      <c r="L264" s="22">
        <v>4</v>
      </c>
      <c r="M264" s="22" t="s">
        <v>12488</v>
      </c>
      <c r="N264" s="20" t="s">
        <v>12529</v>
      </c>
      <c r="O264" s="16" t="s">
        <v>13912</v>
      </c>
      <c r="P264" s="143">
        <v>751</v>
      </c>
      <c r="Q264" s="122" t="s">
        <v>12421</v>
      </c>
      <c r="R264" s="16" t="s">
        <v>8904</v>
      </c>
      <c r="S264" s="10" t="s">
        <v>1163</v>
      </c>
      <c r="T264" s="15" t="s">
        <v>14337</v>
      </c>
      <c r="U264" s="20" t="s">
        <v>5359</v>
      </c>
      <c r="V264" s="20" t="s">
        <v>14199</v>
      </c>
      <c r="W264" s="20" t="s">
        <v>14284</v>
      </c>
      <c r="X264" s="174">
        <v>383.04</v>
      </c>
      <c r="Y264" s="174">
        <v>475.47440000000006</v>
      </c>
    </row>
    <row r="265" spans="1:25" s="63" customFormat="1" ht="15" customHeight="1" x14ac:dyDescent="0.25">
      <c r="A265" s="20" t="s">
        <v>14201</v>
      </c>
      <c r="B265" s="37" t="s">
        <v>14202</v>
      </c>
      <c r="C265" s="71" t="str">
        <f t="shared" si="4"/>
        <v>Product Info</v>
      </c>
      <c r="D265" s="93" t="s">
        <v>14608</v>
      </c>
      <c r="E265" s="143">
        <v>1</v>
      </c>
      <c r="F265" s="143" t="s">
        <v>4992</v>
      </c>
      <c r="G265" s="38">
        <v>638.91</v>
      </c>
      <c r="H265" s="38">
        <v>543.1</v>
      </c>
      <c r="I265" s="38">
        <v>447.24</v>
      </c>
      <c r="J265" s="39"/>
      <c r="K265" s="143"/>
      <c r="L265" s="22">
        <v>4</v>
      </c>
      <c r="M265" s="22" t="s">
        <v>12488</v>
      </c>
      <c r="N265" s="20" t="s">
        <v>12529</v>
      </c>
      <c r="O265" s="16" t="s">
        <v>13912</v>
      </c>
      <c r="P265" s="143">
        <v>751</v>
      </c>
      <c r="Q265" s="122" t="s">
        <v>12421</v>
      </c>
      <c r="R265" s="16" t="s">
        <v>8904</v>
      </c>
      <c r="S265" s="10" t="s">
        <v>1163</v>
      </c>
      <c r="T265" s="15" t="s">
        <v>14339</v>
      </c>
      <c r="U265" s="20" t="s">
        <v>5359</v>
      </c>
      <c r="V265" s="20" t="s">
        <v>14201</v>
      </c>
      <c r="W265" s="20" t="s">
        <v>14284</v>
      </c>
      <c r="X265" s="174">
        <v>402.52</v>
      </c>
      <c r="Y265" s="174">
        <v>499.65200000000004</v>
      </c>
    </row>
    <row r="266" spans="1:25" s="63" customFormat="1" ht="15" customHeight="1" x14ac:dyDescent="0.25">
      <c r="A266" s="20" t="s">
        <v>14203</v>
      </c>
      <c r="B266" s="37" t="s">
        <v>14204</v>
      </c>
      <c r="C266" s="71" t="str">
        <f t="shared" si="4"/>
        <v>Product Info</v>
      </c>
      <c r="D266" s="93" t="s">
        <v>14609</v>
      </c>
      <c r="E266" s="143">
        <v>1</v>
      </c>
      <c r="F266" s="143" t="s">
        <v>4992</v>
      </c>
      <c r="G266" s="38">
        <v>317.7</v>
      </c>
      <c r="H266" s="38">
        <v>270.05</v>
      </c>
      <c r="I266" s="38">
        <v>222.39</v>
      </c>
      <c r="J266" s="39"/>
      <c r="K266" s="143"/>
      <c r="L266" s="22">
        <v>4</v>
      </c>
      <c r="M266" s="22" t="s">
        <v>12488</v>
      </c>
      <c r="N266" s="20" t="s">
        <v>13076</v>
      </c>
      <c r="O266" s="16" t="s">
        <v>13912</v>
      </c>
      <c r="P266" s="143">
        <v>751</v>
      </c>
      <c r="Q266" s="122" t="s">
        <v>12421</v>
      </c>
      <c r="R266" s="16" t="s">
        <v>8904</v>
      </c>
      <c r="S266" s="10" t="s">
        <v>1163</v>
      </c>
      <c r="T266" s="15" t="s">
        <v>14317</v>
      </c>
      <c r="U266" s="20" t="s">
        <v>5359</v>
      </c>
      <c r="V266" s="20" t="s">
        <v>14203</v>
      </c>
      <c r="W266" s="20" t="s">
        <v>14284</v>
      </c>
      <c r="X266" s="174">
        <v>200.15</v>
      </c>
      <c r="Y266" s="174">
        <v>248.44600000000003</v>
      </c>
    </row>
    <row r="267" spans="1:25" s="63" customFormat="1" ht="15" customHeight="1" x14ac:dyDescent="0.25">
      <c r="A267" s="20" t="s">
        <v>14205</v>
      </c>
      <c r="B267" s="37" t="s">
        <v>14206</v>
      </c>
      <c r="C267" s="71" t="str">
        <f t="shared" si="4"/>
        <v>Product Info</v>
      </c>
      <c r="D267" s="93" t="s">
        <v>14610</v>
      </c>
      <c r="E267" s="143">
        <v>1</v>
      </c>
      <c r="F267" s="143" t="s">
        <v>4992</v>
      </c>
      <c r="G267" s="38">
        <v>668.57</v>
      </c>
      <c r="H267" s="38">
        <v>568.30999999999995</v>
      </c>
      <c r="I267" s="38">
        <v>468</v>
      </c>
      <c r="J267" s="39"/>
      <c r="K267" s="143"/>
      <c r="L267" s="22">
        <v>4</v>
      </c>
      <c r="M267" s="22" t="s">
        <v>12488</v>
      </c>
      <c r="N267" s="20" t="s">
        <v>12529</v>
      </c>
      <c r="O267" s="16" t="s">
        <v>13912</v>
      </c>
      <c r="P267" s="143">
        <v>751</v>
      </c>
      <c r="Q267" s="122" t="s">
        <v>12421</v>
      </c>
      <c r="R267" s="16" t="s">
        <v>8904</v>
      </c>
      <c r="S267" s="10" t="s">
        <v>1163</v>
      </c>
      <c r="T267" s="15" t="s">
        <v>14341</v>
      </c>
      <c r="U267" s="20" t="s">
        <v>5359</v>
      </c>
      <c r="V267" s="20" t="s">
        <v>14205</v>
      </c>
      <c r="W267" s="20" t="s">
        <v>14284</v>
      </c>
      <c r="X267" s="174">
        <v>421.2</v>
      </c>
      <c r="Y267" s="174">
        <v>522.84519999999998</v>
      </c>
    </row>
    <row r="268" spans="1:25" s="63" customFormat="1" ht="15" customHeight="1" x14ac:dyDescent="0.25">
      <c r="A268" s="20" t="s">
        <v>14207</v>
      </c>
      <c r="B268" s="37" t="s">
        <v>14208</v>
      </c>
      <c r="C268" s="71" t="str">
        <f t="shared" si="4"/>
        <v>Product Info</v>
      </c>
      <c r="D268" s="93" t="s">
        <v>14611</v>
      </c>
      <c r="E268" s="143">
        <v>1</v>
      </c>
      <c r="F268" s="143" t="s">
        <v>4992</v>
      </c>
      <c r="G268" s="38">
        <v>701.51</v>
      </c>
      <c r="H268" s="38">
        <v>596.30999999999995</v>
      </c>
      <c r="I268" s="38">
        <v>491.06</v>
      </c>
      <c r="J268" s="39"/>
      <c r="K268" s="143"/>
      <c r="L268" s="22">
        <v>4</v>
      </c>
      <c r="M268" s="22" t="s">
        <v>12488</v>
      </c>
      <c r="N268" s="20" t="s">
        <v>12529</v>
      </c>
      <c r="O268" s="16" t="s">
        <v>13912</v>
      </c>
      <c r="P268" s="143">
        <v>751</v>
      </c>
      <c r="Q268" s="122" t="s">
        <v>12421</v>
      </c>
      <c r="R268" s="16" t="s">
        <v>8904</v>
      </c>
      <c r="S268" s="10" t="s">
        <v>1163</v>
      </c>
      <c r="T268" s="15" t="s">
        <v>14343</v>
      </c>
      <c r="U268" s="20" t="s">
        <v>5359</v>
      </c>
      <c r="V268" s="20" t="s">
        <v>14207</v>
      </c>
      <c r="W268" s="20" t="s">
        <v>14284</v>
      </c>
      <c r="X268" s="174">
        <v>441.95</v>
      </c>
      <c r="Y268" s="174">
        <v>548.60519999999997</v>
      </c>
    </row>
    <row r="269" spans="1:25" s="63" customFormat="1" ht="15" customHeight="1" x14ac:dyDescent="0.25">
      <c r="A269" s="20" t="s">
        <v>14209</v>
      </c>
      <c r="B269" s="37" t="s">
        <v>14210</v>
      </c>
      <c r="C269" s="71" t="str">
        <f t="shared" si="4"/>
        <v>Product Info</v>
      </c>
      <c r="D269" s="93" t="s">
        <v>14612</v>
      </c>
      <c r="E269" s="143">
        <v>1</v>
      </c>
      <c r="F269" s="143" t="s">
        <v>4992</v>
      </c>
      <c r="G269" s="38">
        <v>406.64</v>
      </c>
      <c r="H269" s="38">
        <v>345.66</v>
      </c>
      <c r="I269" s="38">
        <v>284.64999999999998</v>
      </c>
      <c r="J269" s="39"/>
      <c r="K269" s="143"/>
      <c r="L269" s="22">
        <v>4</v>
      </c>
      <c r="M269" s="22" t="s">
        <v>12488</v>
      </c>
      <c r="N269" s="20" t="s">
        <v>13076</v>
      </c>
      <c r="O269" s="16" t="s">
        <v>13912</v>
      </c>
      <c r="P269" s="143">
        <v>751</v>
      </c>
      <c r="Q269" s="122" t="s">
        <v>12421</v>
      </c>
      <c r="R269" s="16" t="s">
        <v>8904</v>
      </c>
      <c r="S269" s="10" t="s">
        <v>1163</v>
      </c>
      <c r="T269" s="15" t="s">
        <v>14319</v>
      </c>
      <c r="U269" s="20" t="s">
        <v>5359</v>
      </c>
      <c r="V269" s="20" t="s">
        <v>14209</v>
      </c>
      <c r="W269" s="20" t="s">
        <v>14284</v>
      </c>
      <c r="X269" s="174">
        <v>256.19</v>
      </c>
      <c r="Y269" s="174">
        <v>318.00720000000001</v>
      </c>
    </row>
    <row r="270" spans="1:25" s="63" customFormat="1" ht="15" customHeight="1" x14ac:dyDescent="0.25">
      <c r="A270" s="20" t="s">
        <v>14211</v>
      </c>
      <c r="B270" s="37" t="s">
        <v>14212</v>
      </c>
      <c r="C270" s="71" t="str">
        <f t="shared" si="4"/>
        <v>Product Info</v>
      </c>
      <c r="D270" s="93" t="s">
        <v>14613</v>
      </c>
      <c r="E270" s="143">
        <v>1</v>
      </c>
      <c r="F270" s="143" t="s">
        <v>4992</v>
      </c>
      <c r="G270" s="38">
        <v>891.66</v>
      </c>
      <c r="H270" s="38">
        <v>757.94</v>
      </c>
      <c r="I270" s="38">
        <v>624.16</v>
      </c>
      <c r="J270" s="39"/>
      <c r="K270" s="143"/>
      <c r="L270" s="22">
        <v>4</v>
      </c>
      <c r="M270" s="22" t="s">
        <v>12488</v>
      </c>
      <c r="N270" s="20" t="s">
        <v>12529</v>
      </c>
      <c r="O270" s="16" t="s">
        <v>13912</v>
      </c>
      <c r="P270" s="143">
        <v>751</v>
      </c>
      <c r="Q270" s="122" t="s">
        <v>12421</v>
      </c>
      <c r="R270" s="16" t="s">
        <v>8904</v>
      </c>
      <c r="S270" s="10" t="s">
        <v>1163</v>
      </c>
      <c r="T270" s="15" t="s">
        <v>14345</v>
      </c>
      <c r="U270" s="20" t="s">
        <v>5359</v>
      </c>
      <c r="V270" s="20" t="s">
        <v>14211</v>
      </c>
      <c r="W270" s="20" t="s">
        <v>14284</v>
      </c>
      <c r="X270" s="174">
        <v>561.74</v>
      </c>
      <c r="Y270" s="174">
        <v>697.30480000000011</v>
      </c>
    </row>
    <row r="271" spans="1:25" ht="15" customHeight="1" x14ac:dyDescent="0.25">
      <c r="A271" s="20" t="s">
        <v>14149</v>
      </c>
      <c r="B271" s="46" t="s">
        <v>14150</v>
      </c>
      <c r="C271" s="71" t="str">
        <f t="shared" si="4"/>
        <v>Product Info</v>
      </c>
      <c r="D271" s="93" t="s">
        <v>14614</v>
      </c>
      <c r="E271" s="143">
        <v>1</v>
      </c>
      <c r="F271" s="143" t="s">
        <v>4992</v>
      </c>
      <c r="G271" s="38">
        <v>848.59</v>
      </c>
      <c r="H271" s="38">
        <v>721.32</v>
      </c>
      <c r="I271" s="38">
        <v>594.01</v>
      </c>
      <c r="J271" s="39"/>
      <c r="K271" s="143"/>
      <c r="L271" s="22">
        <v>1.2</v>
      </c>
      <c r="M271" s="22" t="s">
        <v>12487</v>
      </c>
      <c r="N271" s="20" t="s">
        <v>14489</v>
      </c>
      <c r="O271" s="16" t="s">
        <v>13912</v>
      </c>
      <c r="P271" s="143">
        <v>751</v>
      </c>
      <c r="Q271" s="122" t="s">
        <v>12421</v>
      </c>
      <c r="R271" s="16" t="s">
        <v>8904</v>
      </c>
      <c r="S271" s="10" t="s">
        <v>1163</v>
      </c>
      <c r="T271" s="15" t="s">
        <v>14321</v>
      </c>
      <c r="U271" s="20" t="s">
        <v>5359</v>
      </c>
      <c r="V271" s="20" t="s">
        <v>14149</v>
      </c>
      <c r="W271" s="20" t="s">
        <v>14284</v>
      </c>
      <c r="X271" s="174">
        <v>534.61</v>
      </c>
      <c r="Y271" s="174">
        <v>663.61440000000005</v>
      </c>
    </row>
    <row r="272" spans="1:25" ht="15" customHeight="1" x14ac:dyDescent="0.25">
      <c r="A272" s="20" t="s">
        <v>14151</v>
      </c>
      <c r="B272" s="46" t="s">
        <v>14152</v>
      </c>
      <c r="C272" s="71" t="str">
        <f t="shared" si="4"/>
        <v>Product Info</v>
      </c>
      <c r="D272" s="93" t="s">
        <v>14615</v>
      </c>
      <c r="E272" s="143">
        <v>1</v>
      </c>
      <c r="F272" s="143" t="s">
        <v>4992</v>
      </c>
      <c r="G272" s="38">
        <v>1180.99</v>
      </c>
      <c r="H272" s="38">
        <v>1003.87</v>
      </c>
      <c r="I272" s="38">
        <v>826.69</v>
      </c>
      <c r="J272" s="39"/>
      <c r="K272" s="143"/>
      <c r="L272" s="22">
        <v>1.2</v>
      </c>
      <c r="M272" s="22" t="s">
        <v>12487</v>
      </c>
      <c r="N272" s="20" t="s">
        <v>14489</v>
      </c>
      <c r="O272" s="16" t="s">
        <v>13912</v>
      </c>
      <c r="P272" s="143">
        <v>751</v>
      </c>
      <c r="Q272" s="122" t="s">
        <v>12421</v>
      </c>
      <c r="R272" s="16" t="s">
        <v>8904</v>
      </c>
      <c r="S272" s="10" t="s">
        <v>1163</v>
      </c>
      <c r="T272" s="15" t="s">
        <v>14347</v>
      </c>
      <c r="U272" s="20" t="s">
        <v>5359</v>
      </c>
      <c r="V272" s="20" t="s">
        <v>14151</v>
      </c>
      <c r="W272" s="20" t="s">
        <v>14284</v>
      </c>
      <c r="X272" s="174">
        <v>744.02</v>
      </c>
      <c r="Y272" s="174">
        <v>923.56040000000007</v>
      </c>
    </row>
    <row r="273" spans="1:25" ht="15" customHeight="1" x14ac:dyDescent="0.25">
      <c r="A273" s="20" t="s">
        <v>14153</v>
      </c>
      <c r="B273" s="46" t="s">
        <v>14154</v>
      </c>
      <c r="C273" s="71" t="str">
        <f t="shared" si="4"/>
        <v>Product Info</v>
      </c>
      <c r="D273" s="93" t="s">
        <v>14616</v>
      </c>
      <c r="E273" s="143">
        <v>1</v>
      </c>
      <c r="F273" s="143" t="s">
        <v>4992</v>
      </c>
      <c r="G273" s="38">
        <v>1212.2</v>
      </c>
      <c r="H273" s="38">
        <v>1030.4100000000001</v>
      </c>
      <c r="I273" s="38">
        <v>848.54</v>
      </c>
      <c r="J273" s="39"/>
      <c r="K273" s="143"/>
      <c r="L273" s="22">
        <v>1.2</v>
      </c>
      <c r="M273" s="22" t="s">
        <v>12487</v>
      </c>
      <c r="N273" s="20" t="s">
        <v>14489</v>
      </c>
      <c r="O273" s="16" t="s">
        <v>13912</v>
      </c>
      <c r="P273" s="143">
        <v>751</v>
      </c>
      <c r="Q273" s="122" t="s">
        <v>12421</v>
      </c>
      <c r="R273" s="16" t="s">
        <v>8904</v>
      </c>
      <c r="S273" s="10" t="s">
        <v>1163</v>
      </c>
      <c r="T273" s="15" t="s">
        <v>14349</v>
      </c>
      <c r="U273" s="20" t="s">
        <v>5359</v>
      </c>
      <c r="V273" s="20" t="s">
        <v>14153</v>
      </c>
      <c r="W273" s="20" t="s">
        <v>14284</v>
      </c>
      <c r="X273" s="174">
        <v>763.69</v>
      </c>
      <c r="Y273" s="174">
        <v>947.97720000000015</v>
      </c>
    </row>
    <row r="274" spans="1:25" ht="15" customHeight="1" x14ac:dyDescent="0.25">
      <c r="A274" s="20" t="s">
        <v>14155</v>
      </c>
      <c r="B274" s="46" t="s">
        <v>14156</v>
      </c>
      <c r="C274" s="71" t="str">
        <f t="shared" si="4"/>
        <v>Product Info</v>
      </c>
      <c r="D274" s="93" t="s">
        <v>14617</v>
      </c>
      <c r="E274" s="143">
        <v>1</v>
      </c>
      <c r="F274" s="143" t="s">
        <v>4992</v>
      </c>
      <c r="G274" s="38">
        <v>1308.06</v>
      </c>
      <c r="H274" s="38">
        <v>1111.8900000000001</v>
      </c>
      <c r="I274" s="38">
        <v>915.64</v>
      </c>
      <c r="J274" s="39"/>
      <c r="K274" s="143"/>
      <c r="L274" s="22">
        <v>1.2</v>
      </c>
      <c r="M274" s="22" t="s">
        <v>12487</v>
      </c>
      <c r="N274" s="20" t="s">
        <v>14489</v>
      </c>
      <c r="O274" s="16" t="s">
        <v>13912</v>
      </c>
      <c r="P274" s="143">
        <v>751</v>
      </c>
      <c r="Q274" s="122" t="s">
        <v>12421</v>
      </c>
      <c r="R274" s="16" t="s">
        <v>8904</v>
      </c>
      <c r="S274" s="10" t="s">
        <v>1163</v>
      </c>
      <c r="T274" s="15" t="s">
        <v>14351</v>
      </c>
      <c r="U274" s="20" t="s">
        <v>5359</v>
      </c>
      <c r="V274" s="20" t="s">
        <v>14155</v>
      </c>
      <c r="W274" s="20" t="s">
        <v>14284</v>
      </c>
      <c r="X274" s="174">
        <v>824.08</v>
      </c>
      <c r="Y274" s="174">
        <v>1022.9388000000001</v>
      </c>
    </row>
    <row r="275" spans="1:25" ht="15" customHeight="1" x14ac:dyDescent="0.25">
      <c r="A275" s="20" t="s">
        <v>14157</v>
      </c>
      <c r="B275" s="46" t="s">
        <v>14158</v>
      </c>
      <c r="C275" s="71" t="str">
        <f t="shared" si="4"/>
        <v>Product Info</v>
      </c>
      <c r="D275" s="93" t="s">
        <v>14618</v>
      </c>
      <c r="E275" s="143">
        <v>1</v>
      </c>
      <c r="F275" s="143" t="s">
        <v>4992</v>
      </c>
      <c r="G275" s="38">
        <v>972.53</v>
      </c>
      <c r="H275" s="38">
        <v>826.68</v>
      </c>
      <c r="I275" s="38">
        <v>680.77</v>
      </c>
      <c r="J275" s="39"/>
      <c r="K275" s="143"/>
      <c r="L275" s="22">
        <v>1.4</v>
      </c>
      <c r="M275" s="22" t="s">
        <v>12487</v>
      </c>
      <c r="N275" s="20" t="s">
        <v>14489</v>
      </c>
      <c r="O275" s="16" t="s">
        <v>13912</v>
      </c>
      <c r="P275" s="143">
        <v>751</v>
      </c>
      <c r="Q275" s="121" t="s">
        <v>14285</v>
      </c>
      <c r="R275" s="16" t="s">
        <v>8904</v>
      </c>
      <c r="S275" s="10" t="s">
        <v>1163</v>
      </c>
      <c r="T275" s="15" t="s">
        <v>14323</v>
      </c>
      <c r="U275" s="20" t="s">
        <v>5359</v>
      </c>
      <c r="V275" s="20" t="s">
        <v>14157</v>
      </c>
      <c r="W275" s="20" t="s">
        <v>14284</v>
      </c>
      <c r="X275" s="174">
        <v>612.69000000000005</v>
      </c>
      <c r="Y275" s="174">
        <v>760.54560000000004</v>
      </c>
    </row>
    <row r="276" spans="1:25" ht="15" customHeight="1" x14ac:dyDescent="0.25">
      <c r="A276" s="20" t="s">
        <v>14159</v>
      </c>
      <c r="B276" s="46" t="s">
        <v>14160</v>
      </c>
      <c r="C276" s="71" t="str">
        <f t="shared" si="4"/>
        <v>Product Info</v>
      </c>
      <c r="D276" s="93" t="s">
        <v>14619</v>
      </c>
      <c r="E276" s="143">
        <v>1</v>
      </c>
      <c r="F276" s="143" t="s">
        <v>4992</v>
      </c>
      <c r="G276" s="38">
        <v>1432.01</v>
      </c>
      <c r="H276" s="38">
        <v>1217.26</v>
      </c>
      <c r="I276" s="38">
        <v>1002.41</v>
      </c>
      <c r="J276" s="39"/>
      <c r="K276" s="143"/>
      <c r="L276" s="22">
        <v>1.4</v>
      </c>
      <c r="M276" s="22" t="s">
        <v>12487</v>
      </c>
      <c r="N276" s="20" t="s">
        <v>14489</v>
      </c>
      <c r="O276" s="16" t="s">
        <v>13912</v>
      </c>
      <c r="P276" s="143">
        <v>751</v>
      </c>
      <c r="Q276" s="121" t="s">
        <v>14285</v>
      </c>
      <c r="R276" s="16" t="s">
        <v>8904</v>
      </c>
      <c r="S276" s="10" t="s">
        <v>1163</v>
      </c>
      <c r="T276" s="15" t="s">
        <v>14353</v>
      </c>
      <c r="U276" s="20" t="s">
        <v>5359</v>
      </c>
      <c r="V276" s="20" t="s">
        <v>14159</v>
      </c>
      <c r="W276" s="20" t="s">
        <v>14284</v>
      </c>
      <c r="X276" s="174">
        <v>902.17</v>
      </c>
      <c r="Y276" s="174">
        <v>1119.8792000000001</v>
      </c>
    </row>
    <row r="277" spans="1:25" ht="15" customHeight="1" x14ac:dyDescent="0.25">
      <c r="A277" s="20" t="s">
        <v>14161</v>
      </c>
      <c r="B277" s="46" t="s">
        <v>14162</v>
      </c>
      <c r="C277" s="71" t="str">
        <f t="shared" si="4"/>
        <v>Product Info</v>
      </c>
      <c r="D277" s="93" t="s">
        <v>14620</v>
      </c>
      <c r="E277" s="143">
        <v>1</v>
      </c>
      <c r="F277" s="143" t="s">
        <v>4992</v>
      </c>
      <c r="G277" s="38">
        <v>1111.53</v>
      </c>
      <c r="H277" s="38">
        <v>944.83</v>
      </c>
      <c r="I277" s="38">
        <v>778.07</v>
      </c>
      <c r="J277" s="39"/>
      <c r="K277" s="143"/>
      <c r="L277" s="22">
        <v>1.4</v>
      </c>
      <c r="M277" s="22" t="s">
        <v>12487</v>
      </c>
      <c r="N277" s="20" t="s">
        <v>9414</v>
      </c>
      <c r="O277" s="16" t="s">
        <v>13912</v>
      </c>
      <c r="P277" s="143">
        <v>751</v>
      </c>
      <c r="Q277" s="122" t="s">
        <v>12421</v>
      </c>
      <c r="R277" s="16" t="s">
        <v>8904</v>
      </c>
      <c r="S277" s="10" t="s">
        <v>1163</v>
      </c>
      <c r="T277" s="15" t="s">
        <v>14325</v>
      </c>
      <c r="U277" s="20" t="s">
        <v>5359</v>
      </c>
      <c r="V277" s="20" t="s">
        <v>14161</v>
      </c>
      <c r="W277" s="20" t="s">
        <v>14284</v>
      </c>
      <c r="X277" s="174">
        <v>700.26</v>
      </c>
      <c r="Y277" s="174">
        <v>869.24360000000013</v>
      </c>
    </row>
    <row r="278" spans="1:25" ht="15" customHeight="1" x14ac:dyDescent="0.25">
      <c r="A278" s="20" t="s">
        <v>14163</v>
      </c>
      <c r="B278" s="46" t="s">
        <v>14164</v>
      </c>
      <c r="C278" s="71" t="str">
        <f t="shared" si="4"/>
        <v>Product Info</v>
      </c>
      <c r="D278" s="93" t="s">
        <v>14621</v>
      </c>
      <c r="E278" s="143">
        <v>1</v>
      </c>
      <c r="F278" s="143" t="s">
        <v>4992</v>
      </c>
      <c r="G278" s="38">
        <v>1571.01</v>
      </c>
      <c r="H278" s="38">
        <v>1335.41</v>
      </c>
      <c r="I278" s="38">
        <v>1099.71</v>
      </c>
      <c r="J278" s="39"/>
      <c r="K278" s="143"/>
      <c r="L278" s="22">
        <v>1.4</v>
      </c>
      <c r="M278" s="22" t="s">
        <v>12487</v>
      </c>
      <c r="N278" s="20" t="s">
        <v>14489</v>
      </c>
      <c r="O278" s="16" t="s">
        <v>13912</v>
      </c>
      <c r="P278" s="143">
        <v>751</v>
      </c>
      <c r="Q278" s="122" t="s">
        <v>12421</v>
      </c>
      <c r="R278" s="16" t="s">
        <v>8904</v>
      </c>
      <c r="S278" s="10" t="s">
        <v>1163</v>
      </c>
      <c r="T278" s="15" t="s">
        <v>14355</v>
      </c>
      <c r="U278" s="20" t="s">
        <v>5359</v>
      </c>
      <c r="V278" s="20" t="s">
        <v>14163</v>
      </c>
      <c r="W278" s="20" t="s">
        <v>14284</v>
      </c>
      <c r="X278" s="174">
        <v>989.74</v>
      </c>
      <c r="Y278" s="174">
        <v>1228.5772000000002</v>
      </c>
    </row>
    <row r="279" spans="1:25" ht="15" customHeight="1" x14ac:dyDescent="0.25">
      <c r="A279" s="20" t="s">
        <v>13236</v>
      </c>
      <c r="B279" s="42" t="s">
        <v>13237</v>
      </c>
      <c r="C279" s="71" t="str">
        <f t="shared" si="4"/>
        <v>Product Info</v>
      </c>
      <c r="D279" s="93" t="s">
        <v>14622</v>
      </c>
      <c r="E279" s="143">
        <v>1</v>
      </c>
      <c r="F279" s="12" t="s">
        <v>4992</v>
      </c>
      <c r="G279" s="38">
        <v>320.57</v>
      </c>
      <c r="H279" s="38">
        <v>272.5</v>
      </c>
      <c r="I279" s="38">
        <v>224.4</v>
      </c>
      <c r="J279" s="39"/>
      <c r="K279" s="143"/>
      <c r="L279" s="22">
        <v>1.2</v>
      </c>
      <c r="M279" s="22" t="s">
        <v>12487</v>
      </c>
      <c r="N279" s="20" t="s">
        <v>14489</v>
      </c>
      <c r="O279" s="16" t="s">
        <v>13912</v>
      </c>
      <c r="P279" s="143">
        <v>751</v>
      </c>
      <c r="Q279" s="122" t="s">
        <v>12421</v>
      </c>
      <c r="R279" s="16" t="s">
        <v>8904</v>
      </c>
      <c r="S279" s="10" t="s">
        <v>1163</v>
      </c>
      <c r="T279" s="28" t="s">
        <v>13260</v>
      </c>
      <c r="U279" s="20" t="s">
        <v>5359</v>
      </c>
      <c r="V279" s="11" t="s">
        <v>13236</v>
      </c>
      <c r="W279" s="11" t="s">
        <v>14284</v>
      </c>
      <c r="X279" s="174">
        <v>201.96</v>
      </c>
      <c r="Y279" s="174">
        <v>250.70000000000002</v>
      </c>
    </row>
    <row r="280" spans="1:25" ht="15" customHeight="1" x14ac:dyDescent="0.25">
      <c r="A280" s="20" t="s">
        <v>13238</v>
      </c>
      <c r="B280" s="42" t="s">
        <v>13239</v>
      </c>
      <c r="C280" s="71" t="str">
        <f t="shared" si="4"/>
        <v>Product Info</v>
      </c>
      <c r="D280" s="93" t="s">
        <v>14623</v>
      </c>
      <c r="E280" s="143">
        <v>1</v>
      </c>
      <c r="F280" s="12" t="s">
        <v>4992</v>
      </c>
      <c r="G280" s="38">
        <v>270.57</v>
      </c>
      <c r="H280" s="38">
        <v>229.99</v>
      </c>
      <c r="I280" s="38">
        <v>189.4</v>
      </c>
      <c r="J280" s="39"/>
      <c r="K280" s="143"/>
      <c r="L280" s="22">
        <v>1.4</v>
      </c>
      <c r="M280" s="22" t="s">
        <v>12487</v>
      </c>
      <c r="N280" s="20" t="s">
        <v>14489</v>
      </c>
      <c r="O280" s="16" t="s">
        <v>13912</v>
      </c>
      <c r="P280" s="143">
        <v>751</v>
      </c>
      <c r="Q280" s="122" t="s">
        <v>12421</v>
      </c>
      <c r="R280" s="16" t="s">
        <v>8904</v>
      </c>
      <c r="S280" s="10" t="s">
        <v>1163</v>
      </c>
      <c r="T280" s="28" t="s">
        <v>13261</v>
      </c>
      <c r="U280" s="20" t="s">
        <v>5359</v>
      </c>
      <c r="V280" s="11" t="s">
        <v>13238</v>
      </c>
      <c r="W280" s="11" t="s">
        <v>14284</v>
      </c>
      <c r="X280" s="174">
        <v>170.46</v>
      </c>
      <c r="Y280" s="174">
        <v>211.59080000000003</v>
      </c>
    </row>
    <row r="281" spans="1:25" ht="15" customHeight="1" x14ac:dyDescent="0.25">
      <c r="A281" s="47" t="s">
        <v>14386</v>
      </c>
      <c r="B281" s="48" t="s">
        <v>14387</v>
      </c>
      <c r="C281" s="71" t="str">
        <f t="shared" si="4"/>
        <v>Product Info</v>
      </c>
      <c r="D281" s="93" t="s">
        <v>14624</v>
      </c>
      <c r="E281" s="143">
        <v>1</v>
      </c>
      <c r="F281" s="148" t="s">
        <v>4992</v>
      </c>
      <c r="G281" s="38">
        <v>277.86</v>
      </c>
      <c r="H281" s="38">
        <v>236.19</v>
      </c>
      <c r="I281" s="38">
        <v>194.5</v>
      </c>
      <c r="J281" s="39"/>
      <c r="K281" s="143"/>
      <c r="L281" s="50">
        <v>1.4</v>
      </c>
      <c r="M281" s="50" t="s">
        <v>12487</v>
      </c>
      <c r="N281" s="20" t="s">
        <v>9342</v>
      </c>
      <c r="O281" s="16" t="s">
        <v>13912</v>
      </c>
      <c r="P281" s="143">
        <v>751</v>
      </c>
      <c r="Q281" s="121" t="s">
        <v>14285</v>
      </c>
      <c r="R281" s="20" t="s">
        <v>8904</v>
      </c>
      <c r="S281" s="51" t="s">
        <v>1163</v>
      </c>
      <c r="T281" s="15" t="s">
        <v>14457</v>
      </c>
      <c r="U281" s="47" t="s">
        <v>5359</v>
      </c>
      <c r="V281" s="47" t="s">
        <v>14421</v>
      </c>
      <c r="W281" s="47" t="s">
        <v>13913</v>
      </c>
      <c r="X281" s="174">
        <v>175.05</v>
      </c>
      <c r="Y281" s="174">
        <v>217.29480000000001</v>
      </c>
    </row>
    <row r="282" spans="1:25" ht="15" customHeight="1" x14ac:dyDescent="0.25">
      <c r="A282" s="47" t="s">
        <v>14378</v>
      </c>
      <c r="B282" s="48" t="s">
        <v>14379</v>
      </c>
      <c r="C282" s="71" t="str">
        <f t="shared" si="4"/>
        <v>Product Info</v>
      </c>
      <c r="D282" s="93" t="s">
        <v>14625</v>
      </c>
      <c r="E282" s="143">
        <v>1</v>
      </c>
      <c r="F282" s="148" t="s">
        <v>4992</v>
      </c>
      <c r="G282" s="38">
        <v>277.86</v>
      </c>
      <c r="H282" s="38">
        <v>236.19</v>
      </c>
      <c r="I282" s="38">
        <v>194.5</v>
      </c>
      <c r="J282" s="39"/>
      <c r="K282" s="143"/>
      <c r="L282" s="50">
        <v>1.4</v>
      </c>
      <c r="M282" s="50" t="s">
        <v>12487</v>
      </c>
      <c r="N282" s="20" t="s">
        <v>9337</v>
      </c>
      <c r="O282" s="16" t="s">
        <v>13912</v>
      </c>
      <c r="P282" s="143">
        <v>751</v>
      </c>
      <c r="Q282" s="121" t="s">
        <v>14285</v>
      </c>
      <c r="R282" s="20" t="s">
        <v>8904</v>
      </c>
      <c r="S282" s="51" t="s">
        <v>1163</v>
      </c>
      <c r="T282" s="15" t="s">
        <v>14455</v>
      </c>
      <c r="U282" s="47" t="s">
        <v>5359</v>
      </c>
      <c r="V282" s="47" t="s">
        <v>14414</v>
      </c>
      <c r="W282" s="47" t="s">
        <v>13913</v>
      </c>
      <c r="X282" s="174">
        <v>175.05</v>
      </c>
      <c r="Y282" s="174">
        <v>217.29480000000001</v>
      </c>
    </row>
    <row r="283" spans="1:25" ht="15" customHeight="1" x14ac:dyDescent="0.25">
      <c r="A283" s="20" t="s">
        <v>13280</v>
      </c>
      <c r="B283" s="42" t="s">
        <v>13272</v>
      </c>
      <c r="C283" s="71" t="str">
        <f t="shared" si="4"/>
        <v>Product Info</v>
      </c>
      <c r="D283" s="93" t="s">
        <v>14626</v>
      </c>
      <c r="E283" s="143">
        <v>1</v>
      </c>
      <c r="F283" s="12" t="s">
        <v>4992</v>
      </c>
      <c r="G283" s="38">
        <v>320.74</v>
      </c>
      <c r="H283" s="38">
        <v>272.64</v>
      </c>
      <c r="I283" s="38">
        <v>224.52</v>
      </c>
      <c r="J283" s="39"/>
      <c r="K283" s="143"/>
      <c r="L283" s="22">
        <v>1.4</v>
      </c>
      <c r="M283" s="22" t="s">
        <v>12487</v>
      </c>
      <c r="N283" s="20" t="s">
        <v>9337</v>
      </c>
      <c r="O283" s="16" t="s">
        <v>13912</v>
      </c>
      <c r="P283" s="143">
        <v>751</v>
      </c>
      <c r="Q283" s="122" t="s">
        <v>12421</v>
      </c>
      <c r="R283" s="16" t="s">
        <v>8904</v>
      </c>
      <c r="S283" s="10" t="s">
        <v>1163</v>
      </c>
      <c r="T283" s="28" t="s">
        <v>13283</v>
      </c>
      <c r="U283" s="20" t="s">
        <v>5359</v>
      </c>
      <c r="V283" s="11" t="s">
        <v>13280</v>
      </c>
      <c r="W283" s="11" t="s">
        <v>14284</v>
      </c>
      <c r="X283" s="174">
        <v>202.07</v>
      </c>
      <c r="Y283" s="174">
        <v>250.8288</v>
      </c>
    </row>
    <row r="284" spans="1:25" ht="15" customHeight="1" x14ac:dyDescent="0.25">
      <c r="A284" s="20" t="s">
        <v>13240</v>
      </c>
      <c r="B284" s="42" t="s">
        <v>13241</v>
      </c>
      <c r="C284" s="71" t="str">
        <f t="shared" si="4"/>
        <v>Product Info</v>
      </c>
      <c r="D284" s="93" t="s">
        <v>14627</v>
      </c>
      <c r="E284" s="143">
        <v>1</v>
      </c>
      <c r="F284" s="12" t="s">
        <v>4992</v>
      </c>
      <c r="G284" s="38">
        <v>367.39</v>
      </c>
      <c r="H284" s="38">
        <v>312.29000000000002</v>
      </c>
      <c r="I284" s="38">
        <v>257.17</v>
      </c>
      <c r="J284" s="39"/>
      <c r="K284" s="143"/>
      <c r="L284" s="22">
        <v>1.4</v>
      </c>
      <c r="M284" s="22" t="s">
        <v>12487</v>
      </c>
      <c r="N284" s="20" t="s">
        <v>14489</v>
      </c>
      <c r="O284" s="16" t="s">
        <v>13912</v>
      </c>
      <c r="P284" s="143">
        <v>751</v>
      </c>
      <c r="Q284" s="121" t="s">
        <v>14285</v>
      </c>
      <c r="R284" s="16" t="s">
        <v>8904</v>
      </c>
      <c r="S284" s="10" t="s">
        <v>1163</v>
      </c>
      <c r="T284" s="28" t="s">
        <v>13262</v>
      </c>
      <c r="U284" s="20" t="s">
        <v>5359</v>
      </c>
      <c r="V284" s="11" t="s">
        <v>13240</v>
      </c>
      <c r="W284" s="11" t="s">
        <v>14284</v>
      </c>
      <c r="X284" s="174">
        <v>231.45</v>
      </c>
      <c r="Y284" s="174">
        <v>287.30680000000001</v>
      </c>
    </row>
    <row r="285" spans="1:25" ht="15" customHeight="1" x14ac:dyDescent="0.25">
      <c r="A285" s="20" t="s">
        <v>14251</v>
      </c>
      <c r="B285" s="46" t="s">
        <v>13273</v>
      </c>
      <c r="C285" s="71" t="str">
        <f t="shared" si="4"/>
        <v>Product Info</v>
      </c>
      <c r="D285" s="93" t="s">
        <v>14628</v>
      </c>
      <c r="E285" s="143">
        <v>1</v>
      </c>
      <c r="F285" s="143" t="s">
        <v>4992</v>
      </c>
      <c r="G285" s="38">
        <v>413.76</v>
      </c>
      <c r="H285" s="38">
        <v>351.71</v>
      </c>
      <c r="I285" s="38">
        <v>289.63</v>
      </c>
      <c r="J285" s="39"/>
      <c r="K285" s="143"/>
      <c r="L285" s="22">
        <v>1.4</v>
      </c>
      <c r="M285" s="22" t="s">
        <v>12487</v>
      </c>
      <c r="N285" s="20" t="s">
        <v>14489</v>
      </c>
      <c r="O285" s="16" t="s">
        <v>13912</v>
      </c>
      <c r="P285" s="143">
        <v>751</v>
      </c>
      <c r="Q285" s="121" t="s">
        <v>14285</v>
      </c>
      <c r="R285" s="16" t="s">
        <v>8904</v>
      </c>
      <c r="S285" s="10" t="s">
        <v>1163</v>
      </c>
      <c r="T285" s="28" t="s">
        <v>14356</v>
      </c>
      <c r="U285" s="20" t="s">
        <v>5359</v>
      </c>
      <c r="V285" s="20" t="s">
        <v>14251</v>
      </c>
      <c r="W285" s="20" t="s">
        <v>14284</v>
      </c>
      <c r="X285" s="174">
        <v>260.67</v>
      </c>
      <c r="Y285" s="174">
        <v>323.57319999999999</v>
      </c>
    </row>
    <row r="286" spans="1:25" ht="15" customHeight="1" x14ac:dyDescent="0.25">
      <c r="A286" s="20" t="s">
        <v>13242</v>
      </c>
      <c r="B286" s="42" t="s">
        <v>13243</v>
      </c>
      <c r="C286" s="71" t="str">
        <f t="shared" si="4"/>
        <v>Product Info</v>
      </c>
      <c r="D286" s="93" t="s">
        <v>14629</v>
      </c>
      <c r="E286" s="143">
        <v>1</v>
      </c>
      <c r="F286" s="12" t="s">
        <v>4992</v>
      </c>
      <c r="G286" s="38">
        <v>345.23</v>
      </c>
      <c r="H286" s="38">
        <v>293.45</v>
      </c>
      <c r="I286" s="38">
        <v>241.66</v>
      </c>
      <c r="J286" s="39"/>
      <c r="K286" s="143"/>
      <c r="L286" s="22">
        <v>1.4</v>
      </c>
      <c r="M286" s="22" t="s">
        <v>12487</v>
      </c>
      <c r="N286" s="20" t="s">
        <v>14489</v>
      </c>
      <c r="O286" s="16" t="s">
        <v>13912</v>
      </c>
      <c r="P286" s="143">
        <v>751</v>
      </c>
      <c r="Q286" s="122" t="s">
        <v>12421</v>
      </c>
      <c r="R286" s="16" t="s">
        <v>8904</v>
      </c>
      <c r="S286" s="10" t="s">
        <v>1163</v>
      </c>
      <c r="T286" s="28" t="s">
        <v>13263</v>
      </c>
      <c r="U286" s="20" t="s">
        <v>5359</v>
      </c>
      <c r="V286" s="11" t="s">
        <v>13242</v>
      </c>
      <c r="W286" s="20" t="s">
        <v>14284</v>
      </c>
      <c r="X286" s="174">
        <v>217.49</v>
      </c>
      <c r="Y286" s="174">
        <v>269.97399999999999</v>
      </c>
    </row>
    <row r="287" spans="1:25" ht="15" customHeight="1" x14ac:dyDescent="0.25">
      <c r="A287" s="47" t="s">
        <v>14388</v>
      </c>
      <c r="B287" s="48" t="s">
        <v>14389</v>
      </c>
      <c r="C287" s="71" t="str">
        <f t="shared" si="4"/>
        <v>Product Info</v>
      </c>
      <c r="D287" s="93" t="s">
        <v>14630</v>
      </c>
      <c r="E287" s="143">
        <v>1</v>
      </c>
      <c r="F287" s="148" t="s">
        <v>4992</v>
      </c>
      <c r="G287" s="38">
        <v>360.83</v>
      </c>
      <c r="H287" s="38">
        <v>306.72000000000003</v>
      </c>
      <c r="I287" s="38">
        <v>252.58</v>
      </c>
      <c r="J287" s="39"/>
      <c r="K287" s="143"/>
      <c r="L287" s="50">
        <v>1.4</v>
      </c>
      <c r="M287" s="50" t="s">
        <v>12487</v>
      </c>
      <c r="N287" s="20" t="s">
        <v>9342</v>
      </c>
      <c r="O287" s="16" t="s">
        <v>13912</v>
      </c>
      <c r="P287" s="143">
        <v>751</v>
      </c>
      <c r="Q287" s="121" t="s">
        <v>14285</v>
      </c>
      <c r="R287" s="20" t="s">
        <v>8904</v>
      </c>
      <c r="S287" s="51" t="s">
        <v>1163</v>
      </c>
      <c r="T287" s="15" t="s">
        <v>14458</v>
      </c>
      <c r="U287" s="47" t="s">
        <v>5359</v>
      </c>
      <c r="V287" s="47" t="s">
        <v>14422</v>
      </c>
      <c r="W287" s="47" t="s">
        <v>13913</v>
      </c>
      <c r="X287" s="174">
        <v>227.32</v>
      </c>
      <c r="Y287" s="174">
        <v>282.18240000000003</v>
      </c>
    </row>
    <row r="288" spans="1:25" ht="15" customHeight="1" x14ac:dyDescent="0.25">
      <c r="A288" s="47" t="s">
        <v>14390</v>
      </c>
      <c r="B288" s="48" t="s">
        <v>14391</v>
      </c>
      <c r="C288" s="71" t="str">
        <f t="shared" si="4"/>
        <v>Product Info</v>
      </c>
      <c r="D288" s="93" t="s">
        <v>14631</v>
      </c>
      <c r="E288" s="143">
        <v>1</v>
      </c>
      <c r="F288" s="148" t="s">
        <v>4992</v>
      </c>
      <c r="G288" s="38">
        <v>361.41</v>
      </c>
      <c r="H288" s="38">
        <v>307.20999999999998</v>
      </c>
      <c r="I288" s="38">
        <v>252.99</v>
      </c>
      <c r="J288" s="39"/>
      <c r="K288" s="143"/>
      <c r="L288" s="50">
        <v>1.4</v>
      </c>
      <c r="M288" s="50" t="s">
        <v>12487</v>
      </c>
      <c r="N288" s="20" t="s">
        <v>9342</v>
      </c>
      <c r="O288" s="16" t="s">
        <v>13912</v>
      </c>
      <c r="P288" s="143">
        <v>751</v>
      </c>
      <c r="Q288" s="121" t="s">
        <v>14285</v>
      </c>
      <c r="R288" s="20" t="s">
        <v>8904</v>
      </c>
      <c r="S288" s="51" t="s">
        <v>1163</v>
      </c>
      <c r="T288" s="15" t="s">
        <v>14459</v>
      </c>
      <c r="U288" s="47" t="s">
        <v>5359</v>
      </c>
      <c r="V288" s="47" t="s">
        <v>14423</v>
      </c>
      <c r="W288" s="47" t="s">
        <v>13913</v>
      </c>
      <c r="X288" s="174">
        <v>227.69</v>
      </c>
      <c r="Y288" s="174">
        <v>282.63319999999999</v>
      </c>
    </row>
    <row r="289" spans="1:25" ht="15" customHeight="1" x14ac:dyDescent="0.25">
      <c r="A289" s="20" t="s">
        <v>13281</v>
      </c>
      <c r="B289" s="42" t="s">
        <v>13274</v>
      </c>
      <c r="C289" s="71" t="str">
        <f t="shared" si="4"/>
        <v>Product Info</v>
      </c>
      <c r="D289" s="93" t="s">
        <v>14632</v>
      </c>
      <c r="E289" s="143">
        <v>1</v>
      </c>
      <c r="F289" s="12" t="s">
        <v>4992</v>
      </c>
      <c r="G289" s="38">
        <v>399.86</v>
      </c>
      <c r="H289" s="38">
        <v>339.89</v>
      </c>
      <c r="I289" s="38">
        <v>279.89999999999998</v>
      </c>
      <c r="J289" s="39"/>
      <c r="K289" s="143"/>
      <c r="L289" s="22">
        <v>1.4</v>
      </c>
      <c r="M289" s="22" t="s">
        <v>12487</v>
      </c>
      <c r="N289" s="20" t="s">
        <v>9337</v>
      </c>
      <c r="O289" s="16" t="s">
        <v>13912</v>
      </c>
      <c r="P289" s="143">
        <v>751</v>
      </c>
      <c r="Q289" s="121" t="s">
        <v>14285</v>
      </c>
      <c r="R289" s="16" t="s">
        <v>8904</v>
      </c>
      <c r="S289" s="10" t="s">
        <v>1163</v>
      </c>
      <c r="T289" s="28" t="s">
        <v>13285</v>
      </c>
      <c r="U289" s="20" t="s">
        <v>5359</v>
      </c>
      <c r="V289" s="11" t="s">
        <v>13281</v>
      </c>
      <c r="W289" s="11" t="s">
        <v>14284</v>
      </c>
      <c r="X289" s="174">
        <v>251.91</v>
      </c>
      <c r="Y289" s="174">
        <v>312.69880000000001</v>
      </c>
    </row>
    <row r="290" spans="1:25" ht="15" customHeight="1" x14ac:dyDescent="0.25">
      <c r="A290" s="20" t="s">
        <v>13606</v>
      </c>
      <c r="B290" s="16" t="s">
        <v>13607</v>
      </c>
      <c r="C290" s="71" t="str">
        <f t="shared" si="4"/>
        <v>Product Info</v>
      </c>
      <c r="D290" s="93" t="s">
        <v>14818</v>
      </c>
      <c r="E290" s="143">
        <v>1</v>
      </c>
      <c r="F290" s="12" t="s">
        <v>4992</v>
      </c>
      <c r="G290" s="38">
        <v>223.21</v>
      </c>
      <c r="H290" s="38">
        <v>189.74</v>
      </c>
      <c r="I290" s="38">
        <v>156.25</v>
      </c>
      <c r="J290" s="39"/>
      <c r="K290" s="143"/>
      <c r="L290" s="22">
        <v>4</v>
      </c>
      <c r="M290" s="22" t="s">
        <v>12488</v>
      </c>
      <c r="N290" s="20" t="s">
        <v>14489</v>
      </c>
      <c r="O290" s="16" t="s">
        <v>13912</v>
      </c>
      <c r="P290" s="143">
        <v>819</v>
      </c>
      <c r="Q290" s="121" t="s">
        <v>14285</v>
      </c>
      <c r="R290" s="16" t="s">
        <v>8904</v>
      </c>
      <c r="S290" s="10" t="s">
        <v>1163</v>
      </c>
      <c r="T290" s="28" t="s">
        <v>13841</v>
      </c>
      <c r="U290" s="20" t="s">
        <v>5359</v>
      </c>
      <c r="V290" s="16" t="s">
        <v>14048</v>
      </c>
      <c r="W290" s="16" t="s">
        <v>13938</v>
      </c>
      <c r="X290" s="174">
        <v>150</v>
      </c>
      <c r="Y290" s="174">
        <v>189.74</v>
      </c>
    </row>
    <row r="291" spans="1:25" ht="15" customHeight="1" x14ac:dyDescent="0.25">
      <c r="A291" s="20" t="s">
        <v>13602</v>
      </c>
      <c r="B291" s="16" t="s">
        <v>13603</v>
      </c>
      <c r="C291" s="71" t="str">
        <f t="shared" si="4"/>
        <v>Product Info</v>
      </c>
      <c r="D291" s="93" t="s">
        <v>14817</v>
      </c>
      <c r="E291" s="143">
        <v>1</v>
      </c>
      <c r="F291" s="12" t="s">
        <v>4992</v>
      </c>
      <c r="G291" s="38">
        <v>105.29</v>
      </c>
      <c r="H291" s="38">
        <v>89.5</v>
      </c>
      <c r="I291" s="38">
        <v>73.7</v>
      </c>
      <c r="J291" s="39"/>
      <c r="K291" s="143"/>
      <c r="L291" s="22">
        <v>4</v>
      </c>
      <c r="M291" s="22" t="s">
        <v>12488</v>
      </c>
      <c r="N291" s="20" t="s">
        <v>14489</v>
      </c>
      <c r="O291" s="16" t="s">
        <v>13912</v>
      </c>
      <c r="P291" s="143">
        <v>819</v>
      </c>
      <c r="Q291" s="122" t="s">
        <v>9227</v>
      </c>
      <c r="R291" s="16" t="s">
        <v>8904</v>
      </c>
      <c r="S291" s="10" t="s">
        <v>1163</v>
      </c>
      <c r="T291" s="28" t="s">
        <v>13839</v>
      </c>
      <c r="U291" s="20" t="s">
        <v>5359</v>
      </c>
      <c r="V291" s="16" t="s">
        <v>14046</v>
      </c>
      <c r="W291" s="16" t="s">
        <v>13938</v>
      </c>
      <c r="X291" s="174">
        <v>70.75</v>
      </c>
      <c r="Y291" s="174">
        <v>89.5</v>
      </c>
    </row>
    <row r="292" spans="1:25" ht="15" customHeight="1" x14ac:dyDescent="0.25">
      <c r="A292" s="20" t="s">
        <v>13608</v>
      </c>
      <c r="B292" s="16" t="s">
        <v>13609</v>
      </c>
      <c r="C292" s="71" t="str">
        <f t="shared" si="4"/>
        <v>Product Info</v>
      </c>
      <c r="D292" s="93" t="s">
        <v>14816</v>
      </c>
      <c r="E292" s="143">
        <v>1</v>
      </c>
      <c r="F292" s="12" t="s">
        <v>4992</v>
      </c>
      <c r="G292" s="38">
        <v>223.21</v>
      </c>
      <c r="H292" s="38">
        <v>189.74</v>
      </c>
      <c r="I292" s="38">
        <v>156.25</v>
      </c>
      <c r="J292" s="39"/>
      <c r="K292" s="143"/>
      <c r="L292" s="22">
        <v>4</v>
      </c>
      <c r="M292" s="22" t="s">
        <v>12488</v>
      </c>
      <c r="N292" s="20" t="s">
        <v>14489</v>
      </c>
      <c r="O292" s="16" t="s">
        <v>13912</v>
      </c>
      <c r="P292" s="143">
        <v>819</v>
      </c>
      <c r="Q292" s="121" t="s">
        <v>14285</v>
      </c>
      <c r="R292" s="16" t="s">
        <v>8904</v>
      </c>
      <c r="S292" s="10" t="s">
        <v>1163</v>
      </c>
      <c r="T292" s="28" t="s">
        <v>13842</v>
      </c>
      <c r="U292" s="20" t="s">
        <v>5359</v>
      </c>
      <c r="V292" s="16" t="s">
        <v>14049</v>
      </c>
      <c r="W292" s="16" t="s">
        <v>13938</v>
      </c>
      <c r="X292" s="174">
        <v>150</v>
      </c>
      <c r="Y292" s="174">
        <v>189.74</v>
      </c>
    </row>
    <row r="293" spans="1:25" ht="15" customHeight="1" x14ac:dyDescent="0.25">
      <c r="A293" s="20" t="s">
        <v>13600</v>
      </c>
      <c r="B293" s="16" t="s">
        <v>13601</v>
      </c>
      <c r="C293" s="71" t="str">
        <f t="shared" si="4"/>
        <v>Product Info</v>
      </c>
      <c r="D293" s="93" t="s">
        <v>14815</v>
      </c>
      <c r="E293" s="143">
        <v>1</v>
      </c>
      <c r="F293" s="12" t="s">
        <v>4992</v>
      </c>
      <c r="G293" s="38">
        <v>223.21</v>
      </c>
      <c r="H293" s="38">
        <v>189.74</v>
      </c>
      <c r="I293" s="38">
        <v>156.25</v>
      </c>
      <c r="J293" s="39"/>
      <c r="K293" s="143"/>
      <c r="L293" s="22">
        <v>4</v>
      </c>
      <c r="M293" s="22" t="s">
        <v>12488</v>
      </c>
      <c r="N293" s="20" t="s">
        <v>14489</v>
      </c>
      <c r="O293" s="16" t="s">
        <v>13912</v>
      </c>
      <c r="P293" s="143">
        <v>819</v>
      </c>
      <c r="Q293" s="122" t="s">
        <v>9227</v>
      </c>
      <c r="R293" s="16" t="s">
        <v>8904</v>
      </c>
      <c r="S293" s="10" t="s">
        <v>1163</v>
      </c>
      <c r="T293" s="28" t="s">
        <v>13838</v>
      </c>
      <c r="U293" s="20" t="s">
        <v>5359</v>
      </c>
      <c r="V293" s="16" t="s">
        <v>14045</v>
      </c>
      <c r="W293" s="16" t="s">
        <v>13938</v>
      </c>
      <c r="X293" s="174">
        <v>150</v>
      </c>
      <c r="Y293" s="174">
        <v>189.74</v>
      </c>
    </row>
    <row r="294" spans="1:25" ht="15" customHeight="1" x14ac:dyDescent="0.25">
      <c r="A294" s="20" t="s">
        <v>13598</v>
      </c>
      <c r="B294" s="16" t="s">
        <v>13599</v>
      </c>
      <c r="C294" s="71" t="str">
        <f t="shared" si="4"/>
        <v>Product Info</v>
      </c>
      <c r="D294" s="93" t="s">
        <v>14814</v>
      </c>
      <c r="E294" s="143">
        <v>1</v>
      </c>
      <c r="F294" s="12" t="s">
        <v>4992</v>
      </c>
      <c r="G294" s="38">
        <v>105.29</v>
      </c>
      <c r="H294" s="38">
        <v>89.5</v>
      </c>
      <c r="I294" s="38">
        <v>73.7</v>
      </c>
      <c r="J294" s="39"/>
      <c r="K294" s="143"/>
      <c r="L294" s="22">
        <v>4</v>
      </c>
      <c r="M294" s="22" t="s">
        <v>12488</v>
      </c>
      <c r="N294" s="20" t="s">
        <v>14489</v>
      </c>
      <c r="O294" s="16" t="s">
        <v>13912</v>
      </c>
      <c r="P294" s="143">
        <v>819</v>
      </c>
      <c r="Q294" s="122" t="s">
        <v>9227</v>
      </c>
      <c r="R294" s="16" t="s">
        <v>8904</v>
      </c>
      <c r="S294" s="10" t="s">
        <v>1163</v>
      </c>
      <c r="T294" s="28" t="s">
        <v>13837</v>
      </c>
      <c r="U294" s="20" t="s">
        <v>5359</v>
      </c>
      <c r="V294" s="16" t="s">
        <v>14044</v>
      </c>
      <c r="W294" s="16" t="s">
        <v>13938</v>
      </c>
      <c r="X294" s="174">
        <v>70.75</v>
      </c>
      <c r="Y294" s="174">
        <v>89.5</v>
      </c>
    </row>
    <row r="295" spans="1:25" ht="15" customHeight="1" x14ac:dyDescent="0.25">
      <c r="A295" s="20" t="s">
        <v>13604</v>
      </c>
      <c r="B295" s="16" t="s">
        <v>13605</v>
      </c>
      <c r="C295" s="71" t="str">
        <f t="shared" si="4"/>
        <v>Product Info</v>
      </c>
      <c r="D295" s="93" t="s">
        <v>14813</v>
      </c>
      <c r="E295" s="143">
        <v>1</v>
      </c>
      <c r="F295" s="12" t="s">
        <v>4992</v>
      </c>
      <c r="G295" s="38">
        <v>105.29</v>
      </c>
      <c r="H295" s="38">
        <v>89.5</v>
      </c>
      <c r="I295" s="38">
        <v>73.7</v>
      </c>
      <c r="J295" s="39"/>
      <c r="K295" s="143"/>
      <c r="L295" s="22">
        <v>4</v>
      </c>
      <c r="M295" s="22" t="s">
        <v>12488</v>
      </c>
      <c r="N295" s="20" t="s">
        <v>14489</v>
      </c>
      <c r="O295" s="16" t="s">
        <v>13912</v>
      </c>
      <c r="P295" s="143">
        <v>819</v>
      </c>
      <c r="Q295" s="121" t="s">
        <v>14285</v>
      </c>
      <c r="R295" s="16" t="s">
        <v>8904</v>
      </c>
      <c r="S295" s="10" t="s">
        <v>1163</v>
      </c>
      <c r="T295" s="28" t="s">
        <v>13840</v>
      </c>
      <c r="U295" s="20" t="s">
        <v>5359</v>
      </c>
      <c r="V295" s="16" t="s">
        <v>14047</v>
      </c>
      <c r="W295" s="16" t="s">
        <v>13938</v>
      </c>
      <c r="X295" s="174">
        <v>70.75</v>
      </c>
      <c r="Y295" s="174">
        <v>89.5</v>
      </c>
    </row>
    <row r="296" spans="1:25" ht="15" customHeight="1" x14ac:dyDescent="0.25">
      <c r="A296" s="20" t="s">
        <v>13596</v>
      </c>
      <c r="B296" s="16" t="s">
        <v>13597</v>
      </c>
      <c r="C296" s="71" t="str">
        <f t="shared" si="4"/>
        <v>Product Info</v>
      </c>
      <c r="D296" s="93" t="s">
        <v>14812</v>
      </c>
      <c r="E296" s="143">
        <v>1</v>
      </c>
      <c r="F296" s="12" t="s">
        <v>4992</v>
      </c>
      <c r="G296" s="38">
        <v>223.21</v>
      </c>
      <c r="H296" s="38">
        <v>189.74</v>
      </c>
      <c r="I296" s="38">
        <v>156.25</v>
      </c>
      <c r="J296" s="39"/>
      <c r="K296" s="143"/>
      <c r="L296" s="22">
        <v>4</v>
      </c>
      <c r="M296" s="22" t="s">
        <v>12488</v>
      </c>
      <c r="N296" s="20" t="s">
        <v>14489</v>
      </c>
      <c r="O296" s="16" t="s">
        <v>13912</v>
      </c>
      <c r="P296" s="143">
        <v>819</v>
      </c>
      <c r="Q296" s="121" t="s">
        <v>14285</v>
      </c>
      <c r="R296" s="16" t="s">
        <v>8904</v>
      </c>
      <c r="S296" s="10" t="s">
        <v>1163</v>
      </c>
      <c r="T296" s="28" t="s">
        <v>13836</v>
      </c>
      <c r="U296" s="20" t="s">
        <v>5359</v>
      </c>
      <c r="V296" s="16" t="s">
        <v>14043</v>
      </c>
      <c r="W296" s="16" t="s">
        <v>13938</v>
      </c>
      <c r="X296" s="174">
        <v>150</v>
      </c>
      <c r="Y296" s="174">
        <v>189.74</v>
      </c>
    </row>
    <row r="297" spans="1:25" ht="15" customHeight="1" x14ac:dyDescent="0.25">
      <c r="A297" s="20" t="s">
        <v>13592</v>
      </c>
      <c r="B297" s="16" t="s">
        <v>13593</v>
      </c>
      <c r="C297" s="71" t="str">
        <f t="shared" si="4"/>
        <v>Product Info</v>
      </c>
      <c r="D297" s="93" t="s">
        <v>14811</v>
      </c>
      <c r="E297" s="143">
        <v>1</v>
      </c>
      <c r="F297" s="12" t="s">
        <v>4992</v>
      </c>
      <c r="G297" s="38">
        <v>105.29</v>
      </c>
      <c r="H297" s="38">
        <v>89.5</v>
      </c>
      <c r="I297" s="38">
        <v>73.7</v>
      </c>
      <c r="J297" s="39"/>
      <c r="K297" s="143"/>
      <c r="L297" s="22">
        <v>4</v>
      </c>
      <c r="M297" s="22" t="s">
        <v>12488</v>
      </c>
      <c r="N297" s="20" t="s">
        <v>14489</v>
      </c>
      <c r="O297" s="16" t="s">
        <v>13912</v>
      </c>
      <c r="P297" s="143">
        <v>819</v>
      </c>
      <c r="Q297" s="121" t="s">
        <v>14285</v>
      </c>
      <c r="R297" s="16" t="s">
        <v>8904</v>
      </c>
      <c r="S297" s="10" t="s">
        <v>1163</v>
      </c>
      <c r="T297" s="28" t="s">
        <v>13834</v>
      </c>
      <c r="U297" s="20" t="s">
        <v>5359</v>
      </c>
      <c r="V297" s="16" t="s">
        <v>14041</v>
      </c>
      <c r="W297" s="16" t="s">
        <v>13938</v>
      </c>
      <c r="X297" s="174">
        <v>70.75</v>
      </c>
      <c r="Y297" s="174">
        <v>89.5</v>
      </c>
    </row>
    <row r="298" spans="1:25" ht="15" customHeight="1" x14ac:dyDescent="0.25">
      <c r="A298" s="20" t="s">
        <v>13588</v>
      </c>
      <c r="B298" s="16" t="s">
        <v>13589</v>
      </c>
      <c r="C298" s="71" t="str">
        <f t="shared" si="4"/>
        <v>Product Info</v>
      </c>
      <c r="D298" s="93" t="s">
        <v>14810</v>
      </c>
      <c r="E298" s="143">
        <v>1</v>
      </c>
      <c r="F298" s="12" t="s">
        <v>4992</v>
      </c>
      <c r="G298" s="38">
        <v>105.29</v>
      </c>
      <c r="H298" s="38">
        <v>89.5</v>
      </c>
      <c r="I298" s="38">
        <v>73.7</v>
      </c>
      <c r="J298" s="39"/>
      <c r="K298" s="143"/>
      <c r="L298" s="22">
        <v>4</v>
      </c>
      <c r="M298" s="22" t="s">
        <v>12488</v>
      </c>
      <c r="N298" s="20" t="s">
        <v>14489</v>
      </c>
      <c r="O298" s="16" t="s">
        <v>13912</v>
      </c>
      <c r="P298" s="143">
        <v>819</v>
      </c>
      <c r="Q298" s="121" t="s">
        <v>14285</v>
      </c>
      <c r="R298" s="16" t="s">
        <v>8904</v>
      </c>
      <c r="S298" s="10" t="s">
        <v>1163</v>
      </c>
      <c r="T298" s="28" t="s">
        <v>13832</v>
      </c>
      <c r="U298" s="20" t="s">
        <v>5359</v>
      </c>
      <c r="V298" s="16" t="s">
        <v>14039</v>
      </c>
      <c r="W298" s="16" t="s">
        <v>13938</v>
      </c>
      <c r="X298" s="174">
        <v>70.75</v>
      </c>
      <c r="Y298" s="174">
        <v>89.5</v>
      </c>
    </row>
    <row r="299" spans="1:25" ht="15" customHeight="1" x14ac:dyDescent="0.25">
      <c r="A299" s="20" t="s">
        <v>13590</v>
      </c>
      <c r="B299" s="16" t="s">
        <v>13591</v>
      </c>
      <c r="C299" s="71" t="str">
        <f t="shared" si="4"/>
        <v>Product Info</v>
      </c>
      <c r="D299" s="93" t="s">
        <v>14809</v>
      </c>
      <c r="E299" s="143">
        <v>1</v>
      </c>
      <c r="F299" s="12" t="s">
        <v>4992</v>
      </c>
      <c r="G299" s="38">
        <v>105.29</v>
      </c>
      <c r="H299" s="38">
        <v>89.5</v>
      </c>
      <c r="I299" s="38">
        <v>73.7</v>
      </c>
      <c r="J299" s="39"/>
      <c r="K299" s="143"/>
      <c r="L299" s="22">
        <v>4</v>
      </c>
      <c r="M299" s="22" t="s">
        <v>12488</v>
      </c>
      <c r="N299" s="20" t="s">
        <v>14489</v>
      </c>
      <c r="O299" s="16" t="s">
        <v>13912</v>
      </c>
      <c r="P299" s="143">
        <v>819</v>
      </c>
      <c r="Q299" s="121" t="s">
        <v>14285</v>
      </c>
      <c r="R299" s="16" t="s">
        <v>8904</v>
      </c>
      <c r="S299" s="10" t="s">
        <v>1163</v>
      </c>
      <c r="T299" s="28" t="s">
        <v>13833</v>
      </c>
      <c r="U299" s="20" t="s">
        <v>5359</v>
      </c>
      <c r="V299" s="16" t="s">
        <v>14040</v>
      </c>
      <c r="W299" s="16" t="s">
        <v>13938</v>
      </c>
      <c r="X299" s="174">
        <v>70.75</v>
      </c>
      <c r="Y299" s="174">
        <v>89.5</v>
      </c>
    </row>
    <row r="300" spans="1:25" ht="15" customHeight="1" x14ac:dyDescent="0.25">
      <c r="A300" s="20" t="s">
        <v>13594</v>
      </c>
      <c r="B300" s="16" t="s">
        <v>13595</v>
      </c>
      <c r="C300" s="71" t="str">
        <f t="shared" si="4"/>
        <v>Product Info</v>
      </c>
      <c r="D300" s="93" t="s">
        <v>14808</v>
      </c>
      <c r="E300" s="143">
        <v>1</v>
      </c>
      <c r="F300" s="12" t="s">
        <v>4992</v>
      </c>
      <c r="G300" s="38">
        <v>105.29</v>
      </c>
      <c r="H300" s="38">
        <v>89.5</v>
      </c>
      <c r="I300" s="38">
        <v>73.7</v>
      </c>
      <c r="J300" s="39"/>
      <c r="K300" s="143"/>
      <c r="L300" s="22">
        <v>4</v>
      </c>
      <c r="M300" s="22" t="s">
        <v>12488</v>
      </c>
      <c r="N300" s="20" t="s">
        <v>14489</v>
      </c>
      <c r="O300" s="16" t="s">
        <v>13912</v>
      </c>
      <c r="P300" s="143">
        <v>819</v>
      </c>
      <c r="Q300" s="121" t="s">
        <v>14285</v>
      </c>
      <c r="R300" s="16" t="s">
        <v>8904</v>
      </c>
      <c r="S300" s="10" t="s">
        <v>1163</v>
      </c>
      <c r="T300" s="28" t="s">
        <v>13835</v>
      </c>
      <c r="U300" s="20" t="s">
        <v>5359</v>
      </c>
      <c r="V300" s="16" t="s">
        <v>14042</v>
      </c>
      <c r="W300" s="16" t="s">
        <v>13938</v>
      </c>
      <c r="X300" s="174">
        <v>70.75</v>
      </c>
      <c r="Y300" s="174">
        <v>89.5</v>
      </c>
    </row>
    <row r="301" spans="1:25" ht="15" customHeight="1" x14ac:dyDescent="0.25">
      <c r="A301" s="20" t="s">
        <v>13658</v>
      </c>
      <c r="B301" s="16" t="s">
        <v>13659</v>
      </c>
      <c r="C301" s="71" t="str">
        <f t="shared" si="4"/>
        <v>Product Info</v>
      </c>
      <c r="D301" s="93" t="s">
        <v>14807</v>
      </c>
      <c r="E301" s="143">
        <v>1</v>
      </c>
      <c r="F301" s="12" t="s">
        <v>4992</v>
      </c>
      <c r="G301" s="38">
        <v>105.29</v>
      </c>
      <c r="H301" s="38">
        <v>89.5</v>
      </c>
      <c r="I301" s="38">
        <v>73.7</v>
      </c>
      <c r="J301" s="39"/>
      <c r="K301" s="143"/>
      <c r="L301" s="22">
        <v>4</v>
      </c>
      <c r="M301" s="22" t="s">
        <v>12488</v>
      </c>
      <c r="N301" s="20" t="s">
        <v>14489</v>
      </c>
      <c r="O301" s="16" t="s">
        <v>13912</v>
      </c>
      <c r="P301" s="143">
        <v>819</v>
      </c>
      <c r="Q301" s="121" t="s">
        <v>14285</v>
      </c>
      <c r="R301" s="16" t="s">
        <v>8904</v>
      </c>
      <c r="S301" s="10" t="s">
        <v>1163</v>
      </c>
      <c r="T301" s="28" t="s">
        <v>13867</v>
      </c>
      <c r="U301" s="20" t="s">
        <v>5359</v>
      </c>
      <c r="V301" s="16" t="s">
        <v>14080</v>
      </c>
      <c r="W301" s="16" t="s">
        <v>13938</v>
      </c>
      <c r="X301" s="174">
        <v>70.75</v>
      </c>
      <c r="Y301" s="174">
        <v>89.5</v>
      </c>
    </row>
    <row r="302" spans="1:25" ht="15" customHeight="1" x14ac:dyDescent="0.25">
      <c r="A302" s="20" t="s">
        <v>13656</v>
      </c>
      <c r="B302" s="16" t="s">
        <v>13657</v>
      </c>
      <c r="C302" s="71" t="str">
        <f t="shared" si="4"/>
        <v>Product Info</v>
      </c>
      <c r="D302" s="93" t="s">
        <v>14806</v>
      </c>
      <c r="E302" s="143">
        <v>1</v>
      </c>
      <c r="F302" s="12" t="s">
        <v>4992</v>
      </c>
      <c r="G302" s="38">
        <v>105.29</v>
      </c>
      <c r="H302" s="38">
        <v>89.5</v>
      </c>
      <c r="I302" s="38">
        <v>73.7</v>
      </c>
      <c r="J302" s="39"/>
      <c r="K302" s="143"/>
      <c r="L302" s="22">
        <v>4</v>
      </c>
      <c r="M302" s="22" t="s">
        <v>12488</v>
      </c>
      <c r="N302" s="20" t="s">
        <v>14489</v>
      </c>
      <c r="O302" s="16" t="s">
        <v>13912</v>
      </c>
      <c r="P302" s="143">
        <v>819</v>
      </c>
      <c r="Q302" s="121" t="s">
        <v>14285</v>
      </c>
      <c r="R302" s="16" t="s">
        <v>8904</v>
      </c>
      <c r="S302" s="10" t="s">
        <v>1163</v>
      </c>
      <c r="T302" s="28" t="s">
        <v>13866</v>
      </c>
      <c r="U302" s="20" t="s">
        <v>5359</v>
      </c>
      <c r="V302" s="16" t="s">
        <v>14079</v>
      </c>
      <c r="W302" s="16" t="s">
        <v>13938</v>
      </c>
      <c r="X302" s="174">
        <v>70.75</v>
      </c>
      <c r="Y302" s="174">
        <v>89.5</v>
      </c>
    </row>
    <row r="303" spans="1:25" ht="15" customHeight="1" x14ac:dyDescent="0.25">
      <c r="A303" s="20" t="s">
        <v>13670</v>
      </c>
      <c r="B303" s="16" t="s">
        <v>13671</v>
      </c>
      <c r="C303" s="71" t="str">
        <f t="shared" si="4"/>
        <v>Product Info</v>
      </c>
      <c r="D303" s="93" t="s">
        <v>14805</v>
      </c>
      <c r="E303" s="143">
        <v>1</v>
      </c>
      <c r="F303" s="12" t="s">
        <v>4992</v>
      </c>
      <c r="G303" s="38">
        <v>223.21</v>
      </c>
      <c r="H303" s="38">
        <v>189.74</v>
      </c>
      <c r="I303" s="38">
        <v>156.25</v>
      </c>
      <c r="J303" s="39"/>
      <c r="K303" s="143"/>
      <c r="L303" s="22">
        <v>4</v>
      </c>
      <c r="M303" s="22" t="s">
        <v>12488</v>
      </c>
      <c r="N303" s="20" t="s">
        <v>14489</v>
      </c>
      <c r="O303" s="16" t="s">
        <v>13912</v>
      </c>
      <c r="P303" s="143">
        <v>819</v>
      </c>
      <c r="Q303" s="121" t="s">
        <v>14285</v>
      </c>
      <c r="R303" s="16" t="s">
        <v>8904</v>
      </c>
      <c r="S303" s="10" t="s">
        <v>1163</v>
      </c>
      <c r="T303" s="28" t="s">
        <v>13873</v>
      </c>
      <c r="U303" s="20" t="s">
        <v>5359</v>
      </c>
      <c r="V303" s="16" t="s">
        <v>14086</v>
      </c>
      <c r="W303" s="16" t="s">
        <v>13938</v>
      </c>
      <c r="X303" s="174">
        <v>150</v>
      </c>
      <c r="Y303" s="174">
        <v>189.74</v>
      </c>
    </row>
    <row r="304" spans="1:25" ht="15" customHeight="1" x14ac:dyDescent="0.25">
      <c r="A304" s="20" t="s">
        <v>13654</v>
      </c>
      <c r="B304" s="16" t="s">
        <v>13655</v>
      </c>
      <c r="C304" s="71" t="str">
        <f t="shared" si="4"/>
        <v>Product Info</v>
      </c>
      <c r="D304" s="93" t="s">
        <v>14804</v>
      </c>
      <c r="E304" s="143">
        <v>1</v>
      </c>
      <c r="F304" s="12" t="s">
        <v>4992</v>
      </c>
      <c r="G304" s="38">
        <v>105.29</v>
      </c>
      <c r="H304" s="38">
        <v>89.5</v>
      </c>
      <c r="I304" s="38">
        <v>73.7</v>
      </c>
      <c r="J304" s="39"/>
      <c r="K304" s="143"/>
      <c r="L304" s="22">
        <v>4</v>
      </c>
      <c r="M304" s="22" t="s">
        <v>12488</v>
      </c>
      <c r="N304" s="20" t="s">
        <v>14489</v>
      </c>
      <c r="O304" s="16" t="s">
        <v>13912</v>
      </c>
      <c r="P304" s="143">
        <v>819</v>
      </c>
      <c r="Q304" s="121" t="s">
        <v>14285</v>
      </c>
      <c r="R304" s="16" t="s">
        <v>8904</v>
      </c>
      <c r="S304" s="10" t="s">
        <v>1163</v>
      </c>
      <c r="T304" s="28" t="s">
        <v>13865</v>
      </c>
      <c r="U304" s="20" t="s">
        <v>5359</v>
      </c>
      <c r="V304" s="16" t="s">
        <v>14078</v>
      </c>
      <c r="W304" s="16" t="s">
        <v>13938</v>
      </c>
      <c r="X304" s="174">
        <v>70.75</v>
      </c>
      <c r="Y304" s="174">
        <v>89.5</v>
      </c>
    </row>
    <row r="305" spans="1:25" ht="15" customHeight="1" x14ac:dyDescent="0.25">
      <c r="A305" s="20" t="s">
        <v>13666</v>
      </c>
      <c r="B305" s="16" t="s">
        <v>13667</v>
      </c>
      <c r="C305" s="71" t="str">
        <f t="shared" si="4"/>
        <v>Product Info</v>
      </c>
      <c r="D305" s="93" t="s">
        <v>14803</v>
      </c>
      <c r="E305" s="143">
        <v>1</v>
      </c>
      <c r="F305" s="12" t="s">
        <v>4992</v>
      </c>
      <c r="G305" s="38">
        <v>105.29</v>
      </c>
      <c r="H305" s="38">
        <v>89.5</v>
      </c>
      <c r="I305" s="38">
        <v>73.7</v>
      </c>
      <c r="J305" s="39"/>
      <c r="K305" s="143"/>
      <c r="L305" s="22">
        <v>4</v>
      </c>
      <c r="M305" s="22" t="s">
        <v>12488</v>
      </c>
      <c r="N305" s="20" t="s">
        <v>14489</v>
      </c>
      <c r="O305" s="16" t="s">
        <v>13912</v>
      </c>
      <c r="P305" s="143">
        <v>819</v>
      </c>
      <c r="Q305" s="121" t="s">
        <v>14285</v>
      </c>
      <c r="R305" s="16" t="s">
        <v>8904</v>
      </c>
      <c r="S305" s="10" t="s">
        <v>1163</v>
      </c>
      <c r="T305" s="28" t="s">
        <v>13871</v>
      </c>
      <c r="U305" s="20" t="s">
        <v>5359</v>
      </c>
      <c r="V305" s="16" t="s">
        <v>14084</v>
      </c>
      <c r="W305" s="16" t="s">
        <v>13938</v>
      </c>
      <c r="X305" s="174">
        <v>70.75</v>
      </c>
      <c r="Y305" s="174">
        <v>89.5</v>
      </c>
    </row>
    <row r="306" spans="1:25" ht="15" customHeight="1" x14ac:dyDescent="0.25">
      <c r="A306" s="20" t="s">
        <v>13660</v>
      </c>
      <c r="B306" s="16" t="s">
        <v>13661</v>
      </c>
      <c r="C306" s="71" t="str">
        <f t="shared" si="4"/>
        <v>Product Info</v>
      </c>
      <c r="D306" s="93" t="s">
        <v>14802</v>
      </c>
      <c r="E306" s="143">
        <v>1</v>
      </c>
      <c r="F306" s="12" t="s">
        <v>4992</v>
      </c>
      <c r="G306" s="38">
        <v>105.29</v>
      </c>
      <c r="H306" s="38">
        <v>89.5</v>
      </c>
      <c r="I306" s="38">
        <v>73.7</v>
      </c>
      <c r="J306" s="39"/>
      <c r="K306" s="143"/>
      <c r="L306" s="22">
        <v>4</v>
      </c>
      <c r="M306" s="22" t="s">
        <v>12488</v>
      </c>
      <c r="N306" s="20" t="s">
        <v>14489</v>
      </c>
      <c r="O306" s="16" t="s">
        <v>13912</v>
      </c>
      <c r="P306" s="143">
        <v>819</v>
      </c>
      <c r="Q306" s="121" t="s">
        <v>14285</v>
      </c>
      <c r="R306" s="16" t="s">
        <v>8904</v>
      </c>
      <c r="S306" s="10" t="s">
        <v>1163</v>
      </c>
      <c r="T306" s="28" t="s">
        <v>13868</v>
      </c>
      <c r="U306" s="20" t="s">
        <v>5359</v>
      </c>
      <c r="V306" s="16" t="s">
        <v>14081</v>
      </c>
      <c r="W306" s="16" t="s">
        <v>13938</v>
      </c>
      <c r="X306" s="174">
        <v>70.75</v>
      </c>
      <c r="Y306" s="174">
        <v>89.5</v>
      </c>
    </row>
    <row r="307" spans="1:25" ht="15" customHeight="1" x14ac:dyDescent="0.25">
      <c r="A307" s="20" t="s">
        <v>13664</v>
      </c>
      <c r="B307" s="16" t="s">
        <v>13665</v>
      </c>
      <c r="C307" s="71" t="str">
        <f t="shared" si="4"/>
        <v>Product Info</v>
      </c>
      <c r="D307" s="93" t="s">
        <v>14801</v>
      </c>
      <c r="E307" s="143">
        <v>1</v>
      </c>
      <c r="F307" s="12" t="s">
        <v>4992</v>
      </c>
      <c r="G307" s="38">
        <v>105.29</v>
      </c>
      <c r="H307" s="38">
        <v>89.5</v>
      </c>
      <c r="I307" s="38">
        <v>73.7</v>
      </c>
      <c r="J307" s="39"/>
      <c r="K307" s="143"/>
      <c r="L307" s="22">
        <v>4</v>
      </c>
      <c r="M307" s="22" t="s">
        <v>12488</v>
      </c>
      <c r="N307" s="20" t="s">
        <v>14489</v>
      </c>
      <c r="O307" s="16" t="s">
        <v>13912</v>
      </c>
      <c r="P307" s="143">
        <v>819</v>
      </c>
      <c r="Q307" s="121" t="s">
        <v>14285</v>
      </c>
      <c r="R307" s="16" t="s">
        <v>8904</v>
      </c>
      <c r="S307" s="10" t="s">
        <v>1163</v>
      </c>
      <c r="T307" s="28" t="s">
        <v>13870</v>
      </c>
      <c r="U307" s="20" t="s">
        <v>5359</v>
      </c>
      <c r="V307" s="16" t="s">
        <v>14083</v>
      </c>
      <c r="W307" s="16" t="s">
        <v>13938</v>
      </c>
      <c r="X307" s="174">
        <v>70.75</v>
      </c>
      <c r="Y307" s="174">
        <v>89.5</v>
      </c>
    </row>
    <row r="308" spans="1:25" ht="15" customHeight="1" x14ac:dyDescent="0.25">
      <c r="A308" s="20" t="s">
        <v>13662</v>
      </c>
      <c r="B308" s="16" t="s">
        <v>13663</v>
      </c>
      <c r="C308" s="71" t="str">
        <f t="shared" si="4"/>
        <v>Product Info</v>
      </c>
      <c r="D308" s="93" t="s">
        <v>14800</v>
      </c>
      <c r="E308" s="143">
        <v>1</v>
      </c>
      <c r="F308" s="12" t="s">
        <v>4992</v>
      </c>
      <c r="G308" s="38">
        <v>105.29</v>
      </c>
      <c r="H308" s="38">
        <v>89.5</v>
      </c>
      <c r="I308" s="38">
        <v>73.7</v>
      </c>
      <c r="J308" s="39"/>
      <c r="K308" s="143"/>
      <c r="L308" s="22">
        <v>4</v>
      </c>
      <c r="M308" s="22" t="s">
        <v>12488</v>
      </c>
      <c r="N308" s="20" t="s">
        <v>14489</v>
      </c>
      <c r="O308" s="16" t="s">
        <v>13912</v>
      </c>
      <c r="P308" s="143">
        <v>819</v>
      </c>
      <c r="Q308" s="121" t="s">
        <v>14285</v>
      </c>
      <c r="R308" s="16" t="s">
        <v>8904</v>
      </c>
      <c r="S308" s="10" t="s">
        <v>1163</v>
      </c>
      <c r="T308" s="28" t="s">
        <v>13869</v>
      </c>
      <c r="U308" s="20" t="s">
        <v>5359</v>
      </c>
      <c r="V308" s="16" t="s">
        <v>14082</v>
      </c>
      <c r="W308" s="16" t="s">
        <v>13938</v>
      </c>
      <c r="X308" s="174">
        <v>70.75</v>
      </c>
      <c r="Y308" s="174">
        <v>89.5</v>
      </c>
    </row>
    <row r="309" spans="1:25" ht="15" customHeight="1" x14ac:dyDescent="0.25">
      <c r="A309" s="20" t="s">
        <v>13668</v>
      </c>
      <c r="B309" s="16" t="s">
        <v>13669</v>
      </c>
      <c r="C309" s="71" t="str">
        <f t="shared" si="4"/>
        <v>Product Info</v>
      </c>
      <c r="D309" s="93" t="s">
        <v>14799</v>
      </c>
      <c r="E309" s="143">
        <v>1</v>
      </c>
      <c r="F309" s="12" t="s">
        <v>4992</v>
      </c>
      <c r="G309" s="38">
        <v>105.29</v>
      </c>
      <c r="H309" s="38">
        <v>89.5</v>
      </c>
      <c r="I309" s="38">
        <v>73.7</v>
      </c>
      <c r="J309" s="39"/>
      <c r="K309" s="143"/>
      <c r="L309" s="22">
        <v>4</v>
      </c>
      <c r="M309" s="22" t="s">
        <v>12488</v>
      </c>
      <c r="N309" s="20" t="s">
        <v>14489</v>
      </c>
      <c r="O309" s="16" t="s">
        <v>13912</v>
      </c>
      <c r="P309" s="143">
        <v>819</v>
      </c>
      <c r="Q309" s="121" t="s">
        <v>14285</v>
      </c>
      <c r="R309" s="16" t="s">
        <v>8904</v>
      </c>
      <c r="S309" s="10" t="s">
        <v>1163</v>
      </c>
      <c r="T309" s="28" t="s">
        <v>13872</v>
      </c>
      <c r="U309" s="20" t="s">
        <v>5359</v>
      </c>
      <c r="V309" s="16" t="s">
        <v>14085</v>
      </c>
      <c r="W309" s="16" t="s">
        <v>13938</v>
      </c>
      <c r="X309" s="174">
        <v>70.75</v>
      </c>
      <c r="Y309" s="174">
        <v>89.5</v>
      </c>
    </row>
    <row r="310" spans="1:25" ht="15" customHeight="1" x14ac:dyDescent="0.25">
      <c r="A310" s="20" t="s">
        <v>13652</v>
      </c>
      <c r="B310" s="16" t="s">
        <v>13653</v>
      </c>
      <c r="C310" s="71" t="str">
        <f t="shared" si="4"/>
        <v>Product Info</v>
      </c>
      <c r="D310" s="93" t="s">
        <v>14798</v>
      </c>
      <c r="E310" s="143">
        <v>1</v>
      </c>
      <c r="F310" s="12" t="s">
        <v>4992</v>
      </c>
      <c r="G310" s="38">
        <v>105.29</v>
      </c>
      <c r="H310" s="38">
        <v>89.5</v>
      </c>
      <c r="I310" s="38">
        <v>73.7</v>
      </c>
      <c r="J310" s="39"/>
      <c r="K310" s="143"/>
      <c r="L310" s="22">
        <v>4</v>
      </c>
      <c r="M310" s="22" t="s">
        <v>12488</v>
      </c>
      <c r="N310" s="20" t="s">
        <v>14489</v>
      </c>
      <c r="O310" s="16" t="s">
        <v>13912</v>
      </c>
      <c r="P310" s="143">
        <v>819</v>
      </c>
      <c r="Q310" s="121" t="s">
        <v>14285</v>
      </c>
      <c r="R310" s="16" t="s">
        <v>8904</v>
      </c>
      <c r="S310" s="10" t="s">
        <v>1163</v>
      </c>
      <c r="T310" s="28" t="s">
        <v>13864</v>
      </c>
      <c r="U310" s="20" t="s">
        <v>5359</v>
      </c>
      <c r="V310" s="16" t="s">
        <v>14077</v>
      </c>
      <c r="W310" s="16" t="s">
        <v>13938</v>
      </c>
      <c r="X310" s="174">
        <v>70.75</v>
      </c>
      <c r="Y310" s="174">
        <v>89.5</v>
      </c>
    </row>
    <row r="311" spans="1:25" ht="15" customHeight="1" x14ac:dyDescent="0.25">
      <c r="A311" s="20" t="s">
        <v>13648</v>
      </c>
      <c r="B311" s="16" t="s">
        <v>13649</v>
      </c>
      <c r="C311" s="71" t="str">
        <f t="shared" si="4"/>
        <v>Product Info</v>
      </c>
      <c r="D311" s="93" t="s">
        <v>14797</v>
      </c>
      <c r="E311" s="143">
        <v>1</v>
      </c>
      <c r="F311" s="12" t="s">
        <v>4992</v>
      </c>
      <c r="G311" s="38">
        <v>105.29</v>
      </c>
      <c r="H311" s="38">
        <v>89.5</v>
      </c>
      <c r="I311" s="38">
        <v>73.7</v>
      </c>
      <c r="J311" s="39"/>
      <c r="K311" s="143"/>
      <c r="L311" s="22">
        <v>4</v>
      </c>
      <c r="M311" s="22" t="s">
        <v>12488</v>
      </c>
      <c r="N311" s="20" t="s">
        <v>14489</v>
      </c>
      <c r="O311" s="16" t="s">
        <v>13912</v>
      </c>
      <c r="P311" s="143">
        <v>819</v>
      </c>
      <c r="Q311" s="121" t="s">
        <v>14285</v>
      </c>
      <c r="R311" s="16" t="s">
        <v>8904</v>
      </c>
      <c r="S311" s="10" t="s">
        <v>1163</v>
      </c>
      <c r="T311" s="28" t="s">
        <v>13862</v>
      </c>
      <c r="U311" s="20" t="s">
        <v>5359</v>
      </c>
      <c r="V311" s="16" t="s">
        <v>14075</v>
      </c>
      <c r="W311" s="16" t="s">
        <v>13938</v>
      </c>
      <c r="X311" s="174">
        <v>70.75</v>
      </c>
      <c r="Y311" s="174">
        <v>89.5</v>
      </c>
    </row>
    <row r="312" spans="1:25" ht="15" customHeight="1" x14ac:dyDescent="0.25">
      <c r="A312" s="20" t="s">
        <v>13646</v>
      </c>
      <c r="B312" s="16" t="s">
        <v>13647</v>
      </c>
      <c r="C312" s="71" t="str">
        <f t="shared" si="4"/>
        <v>Product Info</v>
      </c>
      <c r="D312" s="93" t="s">
        <v>14796</v>
      </c>
      <c r="E312" s="143">
        <v>1</v>
      </c>
      <c r="F312" s="12" t="s">
        <v>4992</v>
      </c>
      <c r="G312" s="38">
        <v>105.29</v>
      </c>
      <c r="H312" s="38">
        <v>89.5</v>
      </c>
      <c r="I312" s="38">
        <v>73.7</v>
      </c>
      <c r="J312" s="39"/>
      <c r="K312" s="143"/>
      <c r="L312" s="22">
        <v>4</v>
      </c>
      <c r="M312" s="22" t="s">
        <v>12488</v>
      </c>
      <c r="N312" s="20" t="s">
        <v>14489</v>
      </c>
      <c r="O312" s="16" t="s">
        <v>13912</v>
      </c>
      <c r="P312" s="143">
        <v>819</v>
      </c>
      <c r="Q312" s="121" t="s">
        <v>14285</v>
      </c>
      <c r="R312" s="16" t="s">
        <v>8904</v>
      </c>
      <c r="S312" s="10" t="s">
        <v>1163</v>
      </c>
      <c r="T312" s="28" t="s">
        <v>13861</v>
      </c>
      <c r="U312" s="20" t="s">
        <v>5359</v>
      </c>
      <c r="V312" s="16" t="s">
        <v>14074</v>
      </c>
      <c r="W312" s="16" t="s">
        <v>13938</v>
      </c>
      <c r="X312" s="174">
        <v>70.75</v>
      </c>
      <c r="Y312" s="174">
        <v>89.5</v>
      </c>
    </row>
    <row r="313" spans="1:25" ht="15" customHeight="1" x14ac:dyDescent="0.25">
      <c r="A313" s="20" t="s">
        <v>13650</v>
      </c>
      <c r="B313" s="16" t="s">
        <v>13651</v>
      </c>
      <c r="C313" s="71" t="str">
        <f t="shared" si="4"/>
        <v>Product Info</v>
      </c>
      <c r="D313" s="93" t="s">
        <v>14795</v>
      </c>
      <c r="E313" s="143">
        <v>1</v>
      </c>
      <c r="F313" s="12" t="s">
        <v>4992</v>
      </c>
      <c r="G313" s="38">
        <v>105.29</v>
      </c>
      <c r="H313" s="38">
        <v>89.5</v>
      </c>
      <c r="I313" s="38">
        <v>73.7</v>
      </c>
      <c r="J313" s="39"/>
      <c r="K313" s="143"/>
      <c r="L313" s="22">
        <v>4</v>
      </c>
      <c r="M313" s="22" t="s">
        <v>12488</v>
      </c>
      <c r="N313" s="20" t="s">
        <v>14489</v>
      </c>
      <c r="O313" s="16" t="s">
        <v>13912</v>
      </c>
      <c r="P313" s="143">
        <v>819</v>
      </c>
      <c r="Q313" s="121" t="s">
        <v>14285</v>
      </c>
      <c r="R313" s="16" t="s">
        <v>8904</v>
      </c>
      <c r="S313" s="10" t="s">
        <v>1163</v>
      </c>
      <c r="T313" s="28" t="s">
        <v>13863</v>
      </c>
      <c r="U313" s="20" t="s">
        <v>5359</v>
      </c>
      <c r="V313" s="16" t="s">
        <v>14076</v>
      </c>
      <c r="W313" s="16" t="s">
        <v>13938</v>
      </c>
      <c r="X313" s="174">
        <v>70.75</v>
      </c>
      <c r="Y313" s="174">
        <v>89.5</v>
      </c>
    </row>
    <row r="314" spans="1:25" ht="15" customHeight="1" x14ac:dyDescent="0.25">
      <c r="A314" s="20" t="s">
        <v>13644</v>
      </c>
      <c r="B314" s="16" t="s">
        <v>13645</v>
      </c>
      <c r="C314" s="71" t="str">
        <f t="shared" si="4"/>
        <v>Product Info</v>
      </c>
      <c r="D314" s="93" t="s">
        <v>14794</v>
      </c>
      <c r="E314" s="143">
        <v>1</v>
      </c>
      <c r="F314" s="12" t="s">
        <v>4992</v>
      </c>
      <c r="G314" s="38">
        <v>105.29</v>
      </c>
      <c r="H314" s="38">
        <v>89.5</v>
      </c>
      <c r="I314" s="38">
        <v>73.7</v>
      </c>
      <c r="J314" s="39"/>
      <c r="K314" s="143"/>
      <c r="L314" s="22">
        <v>4</v>
      </c>
      <c r="M314" s="22" t="s">
        <v>12488</v>
      </c>
      <c r="N314" s="20" t="s">
        <v>14489</v>
      </c>
      <c r="O314" s="16" t="s">
        <v>13912</v>
      </c>
      <c r="P314" s="143">
        <v>819</v>
      </c>
      <c r="Q314" s="121" t="s">
        <v>14285</v>
      </c>
      <c r="R314" s="16" t="s">
        <v>8904</v>
      </c>
      <c r="S314" s="10" t="s">
        <v>1163</v>
      </c>
      <c r="T314" s="28" t="s">
        <v>13860</v>
      </c>
      <c r="U314" s="20" t="s">
        <v>5359</v>
      </c>
      <c r="V314" s="16" t="s">
        <v>14073</v>
      </c>
      <c r="W314" s="16" t="s">
        <v>13938</v>
      </c>
      <c r="X314" s="174">
        <v>70.75</v>
      </c>
      <c r="Y314" s="174">
        <v>89.5</v>
      </c>
    </row>
    <row r="315" spans="1:25" ht="15" customHeight="1" x14ac:dyDescent="0.25">
      <c r="A315" s="20" t="s">
        <v>13618</v>
      </c>
      <c r="B315" s="16" t="s">
        <v>13619</v>
      </c>
      <c r="C315" s="71" t="str">
        <f t="shared" si="4"/>
        <v>Product Info</v>
      </c>
      <c r="D315" s="93" t="s">
        <v>14793</v>
      </c>
      <c r="E315" s="143">
        <v>1</v>
      </c>
      <c r="F315" s="12" t="s">
        <v>4992</v>
      </c>
      <c r="G315" s="38">
        <v>105.29</v>
      </c>
      <c r="H315" s="38">
        <v>89.5</v>
      </c>
      <c r="I315" s="38">
        <v>73.7</v>
      </c>
      <c r="J315" s="39"/>
      <c r="K315" s="143"/>
      <c r="L315" s="22">
        <v>4</v>
      </c>
      <c r="M315" s="22" t="s">
        <v>12488</v>
      </c>
      <c r="N315" s="20" t="s">
        <v>14489</v>
      </c>
      <c r="O315" s="16" t="s">
        <v>13912</v>
      </c>
      <c r="P315" s="143">
        <v>819</v>
      </c>
      <c r="Q315" s="122" t="s">
        <v>9227</v>
      </c>
      <c r="R315" s="16" t="s">
        <v>8904</v>
      </c>
      <c r="S315" s="10" t="s">
        <v>1163</v>
      </c>
      <c r="T315" s="28" t="s">
        <v>13847</v>
      </c>
      <c r="U315" s="20" t="s">
        <v>5359</v>
      </c>
      <c r="V315" s="16" t="s">
        <v>14060</v>
      </c>
      <c r="W315" s="16" t="s">
        <v>13938</v>
      </c>
      <c r="X315" s="174">
        <v>70.75</v>
      </c>
      <c r="Y315" s="174">
        <v>89.5</v>
      </c>
    </row>
    <row r="316" spans="1:25" ht="15" customHeight="1" x14ac:dyDescent="0.25">
      <c r="A316" s="20" t="s">
        <v>13616</v>
      </c>
      <c r="B316" s="16" t="s">
        <v>13617</v>
      </c>
      <c r="C316" s="71" t="str">
        <f t="shared" si="4"/>
        <v>Product Info</v>
      </c>
      <c r="D316" s="93" t="s">
        <v>14792</v>
      </c>
      <c r="E316" s="143">
        <v>1</v>
      </c>
      <c r="F316" s="12" t="s">
        <v>4992</v>
      </c>
      <c r="G316" s="38">
        <v>105.29</v>
      </c>
      <c r="H316" s="38">
        <v>89.5</v>
      </c>
      <c r="I316" s="38">
        <v>73.7</v>
      </c>
      <c r="J316" s="39"/>
      <c r="K316" s="143"/>
      <c r="L316" s="22">
        <v>4</v>
      </c>
      <c r="M316" s="22" t="s">
        <v>12488</v>
      </c>
      <c r="N316" s="20" t="s">
        <v>14489</v>
      </c>
      <c r="O316" s="16" t="s">
        <v>13912</v>
      </c>
      <c r="P316" s="143">
        <v>819</v>
      </c>
      <c r="Q316" s="122" t="s">
        <v>9227</v>
      </c>
      <c r="R316" s="16" t="s">
        <v>8904</v>
      </c>
      <c r="S316" s="10" t="s">
        <v>1163</v>
      </c>
      <c r="T316" s="28" t="s">
        <v>13846</v>
      </c>
      <c r="U316" s="20" t="s">
        <v>5359</v>
      </c>
      <c r="V316" s="16" t="s">
        <v>14059</v>
      </c>
      <c r="W316" s="16" t="s">
        <v>13938</v>
      </c>
      <c r="X316" s="174">
        <v>70.75</v>
      </c>
      <c r="Y316" s="174">
        <v>89.5</v>
      </c>
    </row>
    <row r="317" spans="1:25" s="95" customFormat="1" ht="15" customHeight="1" x14ac:dyDescent="0.3">
      <c r="A317" s="20" t="s">
        <v>13640</v>
      </c>
      <c r="B317" s="16" t="s">
        <v>13641</v>
      </c>
      <c r="C317" s="71" t="str">
        <f t="shared" si="4"/>
        <v>Product Info</v>
      </c>
      <c r="D317" s="93" t="s">
        <v>14791</v>
      </c>
      <c r="E317" s="143">
        <v>1</v>
      </c>
      <c r="F317" s="12" t="s">
        <v>4992</v>
      </c>
      <c r="G317" s="38">
        <v>105.29</v>
      </c>
      <c r="H317" s="38">
        <v>89.5</v>
      </c>
      <c r="I317" s="38">
        <v>73.7</v>
      </c>
      <c r="J317" s="39"/>
      <c r="K317" s="143"/>
      <c r="L317" s="22">
        <v>4</v>
      </c>
      <c r="M317" s="22" t="s">
        <v>12488</v>
      </c>
      <c r="N317" s="20" t="s">
        <v>14489</v>
      </c>
      <c r="O317" s="16" t="s">
        <v>13912</v>
      </c>
      <c r="P317" s="143">
        <v>819</v>
      </c>
      <c r="Q317" s="121" t="s">
        <v>14285</v>
      </c>
      <c r="R317" s="16" t="s">
        <v>8904</v>
      </c>
      <c r="S317" s="10" t="s">
        <v>1163</v>
      </c>
      <c r="T317" s="28" t="s">
        <v>13858</v>
      </c>
      <c r="U317" s="20" t="s">
        <v>5359</v>
      </c>
      <c r="V317" s="16" t="s">
        <v>14071</v>
      </c>
      <c r="W317" s="16" t="s">
        <v>13938</v>
      </c>
      <c r="X317" s="174">
        <v>70.75</v>
      </c>
      <c r="Y317" s="174">
        <v>89.5</v>
      </c>
    </row>
    <row r="318" spans="1:25" s="95" customFormat="1" ht="15" customHeight="1" x14ac:dyDescent="0.3">
      <c r="A318" s="20" t="s">
        <v>13638</v>
      </c>
      <c r="B318" s="16" t="s">
        <v>13639</v>
      </c>
      <c r="C318" s="71" t="str">
        <f t="shared" si="4"/>
        <v>Product Info</v>
      </c>
      <c r="D318" s="93" t="s">
        <v>14790</v>
      </c>
      <c r="E318" s="143">
        <v>1</v>
      </c>
      <c r="F318" s="12" t="s">
        <v>4992</v>
      </c>
      <c r="G318" s="38">
        <v>105.29</v>
      </c>
      <c r="H318" s="38">
        <v>89.5</v>
      </c>
      <c r="I318" s="38">
        <v>73.7</v>
      </c>
      <c r="J318" s="39"/>
      <c r="K318" s="143"/>
      <c r="L318" s="22">
        <v>4</v>
      </c>
      <c r="M318" s="22" t="s">
        <v>12488</v>
      </c>
      <c r="N318" s="20" t="s">
        <v>14489</v>
      </c>
      <c r="O318" s="16" t="s">
        <v>13912</v>
      </c>
      <c r="P318" s="143">
        <v>819</v>
      </c>
      <c r="Q318" s="121" t="s">
        <v>14285</v>
      </c>
      <c r="R318" s="16" t="s">
        <v>8904</v>
      </c>
      <c r="S318" s="10" t="s">
        <v>1163</v>
      </c>
      <c r="T318" s="28" t="s">
        <v>13857</v>
      </c>
      <c r="U318" s="20" t="s">
        <v>5359</v>
      </c>
      <c r="V318" s="16" t="s">
        <v>14070</v>
      </c>
      <c r="W318" s="16" t="s">
        <v>13938</v>
      </c>
      <c r="X318" s="174">
        <v>70.75</v>
      </c>
      <c r="Y318" s="174">
        <v>89.5</v>
      </c>
    </row>
    <row r="319" spans="1:25" s="95" customFormat="1" ht="15" customHeight="1" x14ac:dyDescent="0.3">
      <c r="A319" s="20" t="s">
        <v>13636</v>
      </c>
      <c r="B319" s="16" t="s">
        <v>13637</v>
      </c>
      <c r="C319" s="71" t="str">
        <f t="shared" si="4"/>
        <v>Product Info</v>
      </c>
      <c r="D319" s="93" t="s">
        <v>14789</v>
      </c>
      <c r="E319" s="143">
        <v>1</v>
      </c>
      <c r="F319" s="12" t="s">
        <v>4992</v>
      </c>
      <c r="G319" s="38">
        <v>105.29</v>
      </c>
      <c r="H319" s="38">
        <v>89.5</v>
      </c>
      <c r="I319" s="38">
        <v>73.7</v>
      </c>
      <c r="J319" s="39"/>
      <c r="K319" s="143"/>
      <c r="L319" s="22">
        <v>4</v>
      </c>
      <c r="M319" s="22" t="s">
        <v>12488</v>
      </c>
      <c r="N319" s="20" t="s">
        <v>14489</v>
      </c>
      <c r="O319" s="16" t="s">
        <v>13912</v>
      </c>
      <c r="P319" s="143">
        <v>819</v>
      </c>
      <c r="Q319" s="121" t="s">
        <v>14285</v>
      </c>
      <c r="R319" s="16" t="s">
        <v>8904</v>
      </c>
      <c r="S319" s="10" t="s">
        <v>1163</v>
      </c>
      <c r="T319" s="28" t="s">
        <v>13856</v>
      </c>
      <c r="U319" s="20" t="s">
        <v>5359</v>
      </c>
      <c r="V319" s="16" t="s">
        <v>14069</v>
      </c>
      <c r="W319" s="16" t="s">
        <v>13938</v>
      </c>
      <c r="X319" s="174">
        <v>70.75</v>
      </c>
      <c r="Y319" s="174">
        <v>89.5</v>
      </c>
    </row>
    <row r="320" spans="1:25" ht="15" customHeight="1" x14ac:dyDescent="0.25">
      <c r="A320" s="20" t="s">
        <v>13642</v>
      </c>
      <c r="B320" s="16" t="s">
        <v>13643</v>
      </c>
      <c r="C320" s="71" t="str">
        <f t="shared" si="4"/>
        <v>Product Info</v>
      </c>
      <c r="D320" s="93" t="s">
        <v>14788</v>
      </c>
      <c r="E320" s="143">
        <v>1</v>
      </c>
      <c r="F320" s="12" t="s">
        <v>4992</v>
      </c>
      <c r="G320" s="38">
        <v>105.29</v>
      </c>
      <c r="H320" s="38">
        <v>89.5</v>
      </c>
      <c r="I320" s="38">
        <v>73.7</v>
      </c>
      <c r="J320" s="39"/>
      <c r="K320" s="143"/>
      <c r="L320" s="22">
        <v>4</v>
      </c>
      <c r="M320" s="22" t="s">
        <v>12488</v>
      </c>
      <c r="N320" s="20" t="s">
        <v>14489</v>
      </c>
      <c r="O320" s="16" t="s">
        <v>13912</v>
      </c>
      <c r="P320" s="143">
        <v>819</v>
      </c>
      <c r="Q320" s="121" t="s">
        <v>14285</v>
      </c>
      <c r="R320" s="16" t="s">
        <v>8904</v>
      </c>
      <c r="S320" s="10" t="s">
        <v>1163</v>
      </c>
      <c r="T320" s="28" t="s">
        <v>13859</v>
      </c>
      <c r="U320" s="20" t="s">
        <v>5359</v>
      </c>
      <c r="V320" s="16" t="s">
        <v>14072</v>
      </c>
      <c r="W320" s="16" t="s">
        <v>13938</v>
      </c>
      <c r="X320" s="174">
        <v>70.75</v>
      </c>
      <c r="Y320" s="174">
        <v>89.5</v>
      </c>
    </row>
    <row r="321" spans="1:25" s="95" customFormat="1" ht="15" customHeight="1" x14ac:dyDescent="0.3">
      <c r="A321" s="20" t="s">
        <v>13614</v>
      </c>
      <c r="B321" s="16" t="s">
        <v>13615</v>
      </c>
      <c r="C321" s="71" t="str">
        <f t="shared" si="4"/>
        <v>Product Info</v>
      </c>
      <c r="D321" s="93" t="s">
        <v>14787</v>
      </c>
      <c r="E321" s="143">
        <v>1</v>
      </c>
      <c r="F321" s="12" t="s">
        <v>4992</v>
      </c>
      <c r="G321" s="38">
        <v>105.29</v>
      </c>
      <c r="H321" s="38">
        <v>89.5</v>
      </c>
      <c r="I321" s="38">
        <v>73.7</v>
      </c>
      <c r="J321" s="39"/>
      <c r="K321" s="143"/>
      <c r="L321" s="22">
        <v>4</v>
      </c>
      <c r="M321" s="22" t="s">
        <v>12488</v>
      </c>
      <c r="N321" s="20" t="s">
        <v>14489</v>
      </c>
      <c r="O321" s="16" t="s">
        <v>13912</v>
      </c>
      <c r="P321" s="143">
        <v>819</v>
      </c>
      <c r="Q321" s="122" t="s">
        <v>9227</v>
      </c>
      <c r="R321" s="16" t="s">
        <v>8904</v>
      </c>
      <c r="S321" s="10" t="s">
        <v>1163</v>
      </c>
      <c r="T321" s="28" t="s">
        <v>13845</v>
      </c>
      <c r="U321" s="20" t="s">
        <v>5359</v>
      </c>
      <c r="V321" s="16" t="s">
        <v>14058</v>
      </c>
      <c r="W321" s="16" t="s">
        <v>13938</v>
      </c>
      <c r="X321" s="174">
        <v>70.75</v>
      </c>
      <c r="Y321" s="174">
        <v>89.5</v>
      </c>
    </row>
    <row r="322" spans="1:25" ht="15" customHeight="1" x14ac:dyDescent="0.25">
      <c r="A322" s="20" t="s">
        <v>13634</v>
      </c>
      <c r="B322" s="16" t="s">
        <v>13635</v>
      </c>
      <c r="C322" s="71" t="str">
        <f t="shared" si="4"/>
        <v>Product Info</v>
      </c>
      <c r="D322" s="93" t="s">
        <v>14786</v>
      </c>
      <c r="E322" s="143">
        <v>1</v>
      </c>
      <c r="F322" s="12" t="s">
        <v>4992</v>
      </c>
      <c r="G322" s="38">
        <v>105.29</v>
      </c>
      <c r="H322" s="38">
        <v>89.5</v>
      </c>
      <c r="I322" s="38">
        <v>73.7</v>
      </c>
      <c r="J322" s="39"/>
      <c r="K322" s="143"/>
      <c r="L322" s="22">
        <v>4</v>
      </c>
      <c r="M322" s="22" t="s">
        <v>12488</v>
      </c>
      <c r="N322" s="20" t="s">
        <v>14489</v>
      </c>
      <c r="O322" s="16" t="s">
        <v>13912</v>
      </c>
      <c r="P322" s="143">
        <v>819</v>
      </c>
      <c r="Q322" s="121" t="s">
        <v>14285</v>
      </c>
      <c r="R322" s="16" t="s">
        <v>8904</v>
      </c>
      <c r="S322" s="10" t="s">
        <v>1163</v>
      </c>
      <c r="T322" s="28" t="s">
        <v>13855</v>
      </c>
      <c r="U322" s="20" t="s">
        <v>5359</v>
      </c>
      <c r="V322" s="16" t="s">
        <v>14068</v>
      </c>
      <c r="W322" s="16" t="s">
        <v>13938</v>
      </c>
      <c r="X322" s="174">
        <v>70.75</v>
      </c>
      <c r="Y322" s="174">
        <v>89.5</v>
      </c>
    </row>
    <row r="323" spans="1:25" ht="15" customHeight="1" x14ac:dyDescent="0.25">
      <c r="A323" s="20" t="s">
        <v>13632</v>
      </c>
      <c r="B323" s="16" t="s">
        <v>13633</v>
      </c>
      <c r="C323" s="71" t="str">
        <f t="shared" si="4"/>
        <v>Product Info</v>
      </c>
      <c r="D323" s="93" t="s">
        <v>14785</v>
      </c>
      <c r="E323" s="143">
        <v>1</v>
      </c>
      <c r="F323" s="12" t="s">
        <v>4992</v>
      </c>
      <c r="G323" s="38">
        <v>105.29</v>
      </c>
      <c r="H323" s="38">
        <v>89.5</v>
      </c>
      <c r="I323" s="38">
        <v>73.7</v>
      </c>
      <c r="J323" s="39"/>
      <c r="K323" s="143"/>
      <c r="L323" s="22">
        <v>4</v>
      </c>
      <c r="M323" s="22" t="s">
        <v>12488</v>
      </c>
      <c r="N323" s="20" t="s">
        <v>14489</v>
      </c>
      <c r="O323" s="16" t="s">
        <v>13912</v>
      </c>
      <c r="P323" s="143">
        <v>819</v>
      </c>
      <c r="Q323" s="121" t="s">
        <v>14285</v>
      </c>
      <c r="R323" s="16" t="s">
        <v>8904</v>
      </c>
      <c r="S323" s="10" t="s">
        <v>1163</v>
      </c>
      <c r="T323" s="28" t="s">
        <v>13854</v>
      </c>
      <c r="U323" s="20" t="s">
        <v>5359</v>
      </c>
      <c r="V323" s="16" t="s">
        <v>14067</v>
      </c>
      <c r="W323" s="16" t="s">
        <v>13938</v>
      </c>
      <c r="X323" s="174">
        <v>70.75</v>
      </c>
      <c r="Y323" s="174">
        <v>89.5</v>
      </c>
    </row>
    <row r="324" spans="1:25" ht="15" customHeight="1" x14ac:dyDescent="0.25">
      <c r="A324" s="20" t="s">
        <v>13624</v>
      </c>
      <c r="B324" s="16" t="s">
        <v>13625</v>
      </c>
      <c r="C324" s="71" t="str">
        <f t="shared" si="4"/>
        <v>Product Info</v>
      </c>
      <c r="D324" s="93" t="s">
        <v>14784</v>
      </c>
      <c r="E324" s="143">
        <v>1</v>
      </c>
      <c r="F324" s="12" t="s">
        <v>4992</v>
      </c>
      <c r="G324" s="38">
        <v>105.29</v>
      </c>
      <c r="H324" s="38">
        <v>89.5</v>
      </c>
      <c r="I324" s="38">
        <v>73.7</v>
      </c>
      <c r="J324" s="39"/>
      <c r="K324" s="143"/>
      <c r="L324" s="22">
        <v>4</v>
      </c>
      <c r="M324" s="22" t="s">
        <v>12488</v>
      </c>
      <c r="N324" s="20" t="s">
        <v>14489</v>
      </c>
      <c r="O324" s="16" t="s">
        <v>13912</v>
      </c>
      <c r="P324" s="143">
        <v>819</v>
      </c>
      <c r="Q324" s="121" t="s">
        <v>14285</v>
      </c>
      <c r="R324" s="16" t="s">
        <v>8904</v>
      </c>
      <c r="S324" s="10" t="s">
        <v>1163</v>
      </c>
      <c r="T324" s="28" t="s">
        <v>13850</v>
      </c>
      <c r="U324" s="20" t="s">
        <v>5359</v>
      </c>
      <c r="V324" s="16" t="s">
        <v>14063</v>
      </c>
      <c r="W324" s="16" t="s">
        <v>13938</v>
      </c>
      <c r="X324" s="174">
        <v>70.75</v>
      </c>
      <c r="Y324" s="174">
        <v>89.5</v>
      </c>
    </row>
    <row r="325" spans="1:25" ht="15" customHeight="1" x14ac:dyDescent="0.25">
      <c r="A325" s="20" t="s">
        <v>13630</v>
      </c>
      <c r="B325" s="16" t="s">
        <v>13631</v>
      </c>
      <c r="C325" s="71" t="str">
        <f t="shared" si="4"/>
        <v>Product Info</v>
      </c>
      <c r="D325" s="93" t="s">
        <v>14783</v>
      </c>
      <c r="E325" s="143">
        <v>1</v>
      </c>
      <c r="F325" s="12" t="s">
        <v>4992</v>
      </c>
      <c r="G325" s="38">
        <v>105.29</v>
      </c>
      <c r="H325" s="38">
        <v>89.5</v>
      </c>
      <c r="I325" s="38">
        <v>73.7</v>
      </c>
      <c r="J325" s="39"/>
      <c r="K325" s="143"/>
      <c r="L325" s="22">
        <v>4</v>
      </c>
      <c r="M325" s="22" t="s">
        <v>12488</v>
      </c>
      <c r="N325" s="20" t="s">
        <v>14489</v>
      </c>
      <c r="O325" s="16" t="s">
        <v>13912</v>
      </c>
      <c r="P325" s="143">
        <v>819</v>
      </c>
      <c r="Q325" s="121" t="s">
        <v>14285</v>
      </c>
      <c r="R325" s="16" t="s">
        <v>8904</v>
      </c>
      <c r="S325" s="10" t="s">
        <v>1163</v>
      </c>
      <c r="T325" s="28" t="s">
        <v>13853</v>
      </c>
      <c r="U325" s="20" t="s">
        <v>5359</v>
      </c>
      <c r="V325" s="16" t="s">
        <v>14066</v>
      </c>
      <c r="W325" s="16" t="s">
        <v>13938</v>
      </c>
      <c r="X325" s="174">
        <v>70.75</v>
      </c>
      <c r="Y325" s="174">
        <v>89.5</v>
      </c>
    </row>
    <row r="326" spans="1:25" ht="15" customHeight="1" x14ac:dyDescent="0.25">
      <c r="A326" s="20" t="s">
        <v>13620</v>
      </c>
      <c r="B326" s="16" t="s">
        <v>13621</v>
      </c>
      <c r="C326" s="71" t="str">
        <f t="shared" ref="C326:C389" si="5">HYPERLINK(T326,U326)</f>
        <v>Product Info</v>
      </c>
      <c r="D326" s="93" t="s">
        <v>14782</v>
      </c>
      <c r="E326" s="143">
        <v>1</v>
      </c>
      <c r="F326" s="12" t="s">
        <v>4992</v>
      </c>
      <c r="G326" s="38">
        <v>105.29</v>
      </c>
      <c r="H326" s="38">
        <v>89.5</v>
      </c>
      <c r="I326" s="38">
        <v>73.7</v>
      </c>
      <c r="J326" s="39"/>
      <c r="K326" s="143"/>
      <c r="L326" s="22">
        <v>4</v>
      </c>
      <c r="M326" s="22" t="s">
        <v>12488</v>
      </c>
      <c r="N326" s="20" t="s">
        <v>14489</v>
      </c>
      <c r="O326" s="16" t="s">
        <v>13912</v>
      </c>
      <c r="P326" s="143">
        <v>819</v>
      </c>
      <c r="Q326" s="121" t="s">
        <v>14285</v>
      </c>
      <c r="R326" s="16" t="s">
        <v>8904</v>
      </c>
      <c r="S326" s="10" t="s">
        <v>1163</v>
      </c>
      <c r="T326" s="28" t="s">
        <v>13848</v>
      </c>
      <c r="U326" s="20" t="s">
        <v>5359</v>
      </c>
      <c r="V326" s="16" t="s">
        <v>14061</v>
      </c>
      <c r="W326" s="16" t="s">
        <v>13938</v>
      </c>
      <c r="X326" s="174">
        <v>70.75</v>
      </c>
      <c r="Y326" s="174">
        <v>89.5</v>
      </c>
    </row>
    <row r="327" spans="1:25" ht="15" customHeight="1" x14ac:dyDescent="0.25">
      <c r="A327" s="20" t="s">
        <v>13612</v>
      </c>
      <c r="B327" s="16" t="s">
        <v>13613</v>
      </c>
      <c r="C327" s="71" t="str">
        <f t="shared" si="5"/>
        <v>Product Info</v>
      </c>
      <c r="D327" s="93" t="s">
        <v>14781</v>
      </c>
      <c r="E327" s="143">
        <v>1</v>
      </c>
      <c r="F327" s="12" t="s">
        <v>4992</v>
      </c>
      <c r="G327" s="38">
        <v>105.29</v>
      </c>
      <c r="H327" s="38">
        <v>89.5</v>
      </c>
      <c r="I327" s="38">
        <v>73.7</v>
      </c>
      <c r="J327" s="39"/>
      <c r="K327" s="143"/>
      <c r="L327" s="22">
        <v>4</v>
      </c>
      <c r="M327" s="22" t="s">
        <v>12488</v>
      </c>
      <c r="N327" s="20" t="s">
        <v>14489</v>
      </c>
      <c r="O327" s="16" t="s">
        <v>13912</v>
      </c>
      <c r="P327" s="143">
        <v>819</v>
      </c>
      <c r="Q327" s="121" t="s">
        <v>14285</v>
      </c>
      <c r="R327" s="16" t="s">
        <v>8904</v>
      </c>
      <c r="S327" s="10" t="s">
        <v>1163</v>
      </c>
      <c r="T327" s="28" t="s">
        <v>13844</v>
      </c>
      <c r="U327" s="20" t="s">
        <v>5359</v>
      </c>
      <c r="V327" s="16" t="s">
        <v>14057</v>
      </c>
      <c r="W327" s="16" t="s">
        <v>13938</v>
      </c>
      <c r="X327" s="174">
        <v>70.75</v>
      </c>
      <c r="Y327" s="174">
        <v>89.5</v>
      </c>
    </row>
    <row r="328" spans="1:25" ht="15" customHeight="1" x14ac:dyDescent="0.25">
      <c r="A328" s="20" t="s">
        <v>13628</v>
      </c>
      <c r="B328" s="16" t="s">
        <v>13629</v>
      </c>
      <c r="C328" s="71" t="str">
        <f t="shared" si="5"/>
        <v>Product Info</v>
      </c>
      <c r="D328" s="93" t="s">
        <v>14780</v>
      </c>
      <c r="E328" s="143">
        <v>1</v>
      </c>
      <c r="F328" s="12" t="s">
        <v>4992</v>
      </c>
      <c r="G328" s="38">
        <v>105.29</v>
      </c>
      <c r="H328" s="38">
        <v>89.5</v>
      </c>
      <c r="I328" s="38">
        <v>73.7</v>
      </c>
      <c r="J328" s="39"/>
      <c r="K328" s="143"/>
      <c r="L328" s="22">
        <v>4</v>
      </c>
      <c r="M328" s="22" t="s">
        <v>12488</v>
      </c>
      <c r="N328" s="20" t="s">
        <v>14489</v>
      </c>
      <c r="O328" s="16" t="s">
        <v>13912</v>
      </c>
      <c r="P328" s="143">
        <v>819</v>
      </c>
      <c r="Q328" s="121" t="s">
        <v>14285</v>
      </c>
      <c r="R328" s="16" t="s">
        <v>8904</v>
      </c>
      <c r="S328" s="10" t="s">
        <v>1163</v>
      </c>
      <c r="T328" s="28" t="s">
        <v>13852</v>
      </c>
      <c r="U328" s="20" t="s">
        <v>5359</v>
      </c>
      <c r="V328" s="16" t="s">
        <v>14065</v>
      </c>
      <c r="W328" s="16" t="s">
        <v>13938</v>
      </c>
      <c r="X328" s="174">
        <v>70.75</v>
      </c>
      <c r="Y328" s="174">
        <v>89.5</v>
      </c>
    </row>
    <row r="329" spans="1:25" ht="15" customHeight="1" x14ac:dyDescent="0.25">
      <c r="A329" s="20" t="s">
        <v>13626</v>
      </c>
      <c r="B329" s="16" t="s">
        <v>13627</v>
      </c>
      <c r="C329" s="71" t="str">
        <f t="shared" si="5"/>
        <v>Product Info</v>
      </c>
      <c r="D329" s="93" t="s">
        <v>14779</v>
      </c>
      <c r="E329" s="143">
        <v>1</v>
      </c>
      <c r="F329" s="12" t="s">
        <v>4992</v>
      </c>
      <c r="G329" s="38">
        <v>105.29</v>
      </c>
      <c r="H329" s="38">
        <v>89.5</v>
      </c>
      <c r="I329" s="38">
        <v>73.7</v>
      </c>
      <c r="J329" s="39"/>
      <c r="K329" s="143"/>
      <c r="L329" s="22">
        <v>4</v>
      </c>
      <c r="M329" s="22" t="s">
        <v>12488</v>
      </c>
      <c r="N329" s="20" t="s">
        <v>14489</v>
      </c>
      <c r="O329" s="16" t="s">
        <v>13912</v>
      </c>
      <c r="P329" s="143">
        <v>819</v>
      </c>
      <c r="Q329" s="121" t="s">
        <v>14285</v>
      </c>
      <c r="R329" s="16" t="s">
        <v>8904</v>
      </c>
      <c r="S329" s="10" t="s">
        <v>1163</v>
      </c>
      <c r="T329" s="28" t="s">
        <v>13851</v>
      </c>
      <c r="U329" s="20" t="s">
        <v>5359</v>
      </c>
      <c r="V329" s="16" t="s">
        <v>14064</v>
      </c>
      <c r="W329" s="16" t="s">
        <v>13938</v>
      </c>
      <c r="X329" s="174">
        <v>70.75</v>
      </c>
      <c r="Y329" s="174">
        <v>89.5</v>
      </c>
    </row>
    <row r="330" spans="1:25" ht="15" customHeight="1" x14ac:dyDescent="0.25">
      <c r="A330" s="20" t="s">
        <v>13610</v>
      </c>
      <c r="B330" s="16" t="s">
        <v>13611</v>
      </c>
      <c r="C330" s="71" t="str">
        <f t="shared" si="5"/>
        <v>Product Info</v>
      </c>
      <c r="D330" s="93" t="s">
        <v>14778</v>
      </c>
      <c r="E330" s="143">
        <v>1</v>
      </c>
      <c r="F330" s="12" t="s">
        <v>4992</v>
      </c>
      <c r="G330" s="38">
        <v>105.29</v>
      </c>
      <c r="H330" s="38">
        <v>89.5</v>
      </c>
      <c r="I330" s="38">
        <v>73.7</v>
      </c>
      <c r="J330" s="39"/>
      <c r="K330" s="143"/>
      <c r="L330" s="22">
        <v>4</v>
      </c>
      <c r="M330" s="22" t="s">
        <v>12488</v>
      </c>
      <c r="N330" s="20" t="s">
        <v>14489</v>
      </c>
      <c r="O330" s="16" t="s">
        <v>13912</v>
      </c>
      <c r="P330" s="143">
        <v>819</v>
      </c>
      <c r="Q330" s="122" t="s">
        <v>9227</v>
      </c>
      <c r="R330" s="16" t="s">
        <v>8904</v>
      </c>
      <c r="S330" s="10" t="s">
        <v>1163</v>
      </c>
      <c r="T330" s="28" t="s">
        <v>13843</v>
      </c>
      <c r="U330" s="20" t="s">
        <v>5359</v>
      </c>
      <c r="V330" s="16" t="s">
        <v>14056</v>
      </c>
      <c r="W330" s="16" t="s">
        <v>13938</v>
      </c>
      <c r="X330" s="174">
        <v>70.75</v>
      </c>
      <c r="Y330" s="174">
        <v>89.5</v>
      </c>
    </row>
    <row r="331" spans="1:25" ht="15" customHeight="1" x14ac:dyDescent="0.25">
      <c r="A331" s="20" t="s">
        <v>13622</v>
      </c>
      <c r="B331" s="16" t="s">
        <v>13623</v>
      </c>
      <c r="C331" s="71" t="str">
        <f t="shared" si="5"/>
        <v>Product Info</v>
      </c>
      <c r="D331" s="93" t="s">
        <v>14777</v>
      </c>
      <c r="E331" s="143">
        <v>1</v>
      </c>
      <c r="F331" s="12" t="s">
        <v>4992</v>
      </c>
      <c r="G331" s="38">
        <v>105.29</v>
      </c>
      <c r="H331" s="38">
        <v>89.5</v>
      </c>
      <c r="I331" s="38">
        <v>73.7</v>
      </c>
      <c r="J331" s="39"/>
      <c r="K331" s="143"/>
      <c r="L331" s="22">
        <v>4</v>
      </c>
      <c r="M331" s="22" t="s">
        <v>12488</v>
      </c>
      <c r="N331" s="20" t="s">
        <v>14489</v>
      </c>
      <c r="O331" s="16" t="s">
        <v>13912</v>
      </c>
      <c r="P331" s="143">
        <v>819</v>
      </c>
      <c r="Q331" s="122" t="s">
        <v>9227</v>
      </c>
      <c r="R331" s="16" t="s">
        <v>8904</v>
      </c>
      <c r="S331" s="10" t="s">
        <v>1163</v>
      </c>
      <c r="T331" s="28" t="s">
        <v>13849</v>
      </c>
      <c r="U331" s="20" t="s">
        <v>5359</v>
      </c>
      <c r="V331" s="16" t="s">
        <v>14062</v>
      </c>
      <c r="W331" s="16" t="s">
        <v>13938</v>
      </c>
      <c r="X331" s="174">
        <v>70.75</v>
      </c>
      <c r="Y331" s="174">
        <v>89.5</v>
      </c>
    </row>
    <row r="332" spans="1:25" ht="15" customHeight="1" x14ac:dyDescent="0.25">
      <c r="A332" s="20" t="s">
        <v>13566</v>
      </c>
      <c r="B332" s="16" t="s">
        <v>13567</v>
      </c>
      <c r="C332" s="71" t="str">
        <f t="shared" si="5"/>
        <v>Product Info</v>
      </c>
      <c r="D332" s="93" t="s">
        <v>14776</v>
      </c>
      <c r="E332" s="143">
        <v>1</v>
      </c>
      <c r="F332" s="12" t="s">
        <v>4992</v>
      </c>
      <c r="G332" s="38">
        <v>105.29</v>
      </c>
      <c r="H332" s="38">
        <v>89.5</v>
      </c>
      <c r="I332" s="38">
        <v>73.7</v>
      </c>
      <c r="J332" s="39"/>
      <c r="K332" s="143"/>
      <c r="L332" s="22">
        <v>4</v>
      </c>
      <c r="M332" s="22" t="s">
        <v>12488</v>
      </c>
      <c r="N332" s="20" t="s">
        <v>14489</v>
      </c>
      <c r="O332" s="16" t="s">
        <v>13912</v>
      </c>
      <c r="P332" s="143">
        <v>819</v>
      </c>
      <c r="Q332" s="122" t="s">
        <v>9227</v>
      </c>
      <c r="R332" s="16" t="s">
        <v>8904</v>
      </c>
      <c r="S332" s="10" t="s">
        <v>1163</v>
      </c>
      <c r="T332" s="28" t="s">
        <v>13821</v>
      </c>
      <c r="U332" s="20" t="s">
        <v>5359</v>
      </c>
      <c r="V332" s="16" t="s">
        <v>14028</v>
      </c>
      <c r="W332" s="16" t="s">
        <v>13938</v>
      </c>
      <c r="X332" s="174">
        <v>70.75</v>
      </c>
      <c r="Y332" s="174">
        <v>89.5</v>
      </c>
    </row>
    <row r="333" spans="1:25" ht="15" customHeight="1" x14ac:dyDescent="0.25">
      <c r="A333" s="20" t="s">
        <v>13580</v>
      </c>
      <c r="B333" s="16" t="s">
        <v>13581</v>
      </c>
      <c r="C333" s="71" t="str">
        <f t="shared" si="5"/>
        <v>Product Info</v>
      </c>
      <c r="D333" s="93" t="s">
        <v>14775</v>
      </c>
      <c r="E333" s="143">
        <v>1</v>
      </c>
      <c r="F333" s="12" t="s">
        <v>4992</v>
      </c>
      <c r="G333" s="38">
        <v>105.29</v>
      </c>
      <c r="H333" s="38">
        <v>89.5</v>
      </c>
      <c r="I333" s="38">
        <v>73.7</v>
      </c>
      <c r="J333" s="39"/>
      <c r="K333" s="143"/>
      <c r="L333" s="22">
        <v>4</v>
      </c>
      <c r="M333" s="22" t="s">
        <v>12488</v>
      </c>
      <c r="N333" s="20" t="s">
        <v>14489</v>
      </c>
      <c r="O333" s="16" t="s">
        <v>13912</v>
      </c>
      <c r="P333" s="143">
        <v>819</v>
      </c>
      <c r="Q333" s="122" t="s">
        <v>9227</v>
      </c>
      <c r="R333" s="16" t="s">
        <v>8904</v>
      </c>
      <c r="S333" s="10" t="s">
        <v>1163</v>
      </c>
      <c r="T333" s="28" t="s">
        <v>13828</v>
      </c>
      <c r="U333" s="20" t="s">
        <v>5359</v>
      </c>
      <c r="V333" s="16" t="s">
        <v>14035</v>
      </c>
      <c r="W333" s="16" t="s">
        <v>13938</v>
      </c>
      <c r="X333" s="174">
        <v>70.75</v>
      </c>
      <c r="Y333" s="174">
        <v>89.5</v>
      </c>
    </row>
    <row r="334" spans="1:25" ht="15" customHeight="1" x14ac:dyDescent="0.25">
      <c r="A334" s="20" t="s">
        <v>13560</v>
      </c>
      <c r="B334" s="16" t="s">
        <v>13561</v>
      </c>
      <c r="C334" s="71" t="str">
        <f t="shared" si="5"/>
        <v>Product Info</v>
      </c>
      <c r="D334" s="93" t="s">
        <v>14774</v>
      </c>
      <c r="E334" s="143">
        <v>1</v>
      </c>
      <c r="F334" s="12" t="s">
        <v>4992</v>
      </c>
      <c r="G334" s="38">
        <v>223.21</v>
      </c>
      <c r="H334" s="38">
        <v>189.74</v>
      </c>
      <c r="I334" s="38">
        <v>156.25</v>
      </c>
      <c r="J334" s="39"/>
      <c r="K334" s="143"/>
      <c r="L334" s="22">
        <v>4</v>
      </c>
      <c r="M334" s="22" t="s">
        <v>12488</v>
      </c>
      <c r="N334" s="20" t="s">
        <v>14489</v>
      </c>
      <c r="O334" s="16" t="s">
        <v>13912</v>
      </c>
      <c r="P334" s="143">
        <v>819</v>
      </c>
      <c r="Q334" s="121" t="s">
        <v>14285</v>
      </c>
      <c r="R334" s="16" t="s">
        <v>8904</v>
      </c>
      <c r="S334" s="10" t="s">
        <v>1163</v>
      </c>
      <c r="T334" s="28" t="s">
        <v>13818</v>
      </c>
      <c r="U334" s="20" t="s">
        <v>5359</v>
      </c>
      <c r="V334" s="16" t="s">
        <v>14025</v>
      </c>
      <c r="W334" s="16" t="s">
        <v>13938</v>
      </c>
      <c r="X334" s="174">
        <v>150</v>
      </c>
      <c r="Y334" s="174">
        <v>189.74</v>
      </c>
    </row>
    <row r="335" spans="1:25" ht="15" customHeight="1" x14ac:dyDescent="0.25">
      <c r="A335" s="20" t="s">
        <v>13572</v>
      </c>
      <c r="B335" s="16" t="s">
        <v>13573</v>
      </c>
      <c r="C335" s="71" t="str">
        <f t="shared" si="5"/>
        <v>Product Info</v>
      </c>
      <c r="D335" s="93" t="s">
        <v>14773</v>
      </c>
      <c r="E335" s="143">
        <v>1</v>
      </c>
      <c r="F335" s="12" t="s">
        <v>4992</v>
      </c>
      <c r="G335" s="38">
        <v>105.29</v>
      </c>
      <c r="H335" s="38">
        <v>89.5</v>
      </c>
      <c r="I335" s="38">
        <v>73.7</v>
      </c>
      <c r="J335" s="39"/>
      <c r="K335" s="143"/>
      <c r="L335" s="22">
        <v>4</v>
      </c>
      <c r="M335" s="22" t="s">
        <v>12488</v>
      </c>
      <c r="N335" s="20" t="s">
        <v>14489</v>
      </c>
      <c r="O335" s="16" t="s">
        <v>13912</v>
      </c>
      <c r="P335" s="143">
        <v>819</v>
      </c>
      <c r="Q335" s="121" t="s">
        <v>14285</v>
      </c>
      <c r="R335" s="16" t="s">
        <v>8904</v>
      </c>
      <c r="S335" s="10" t="s">
        <v>1163</v>
      </c>
      <c r="T335" s="28" t="s">
        <v>13824</v>
      </c>
      <c r="U335" s="20" t="s">
        <v>5359</v>
      </c>
      <c r="V335" s="16" t="s">
        <v>14031</v>
      </c>
      <c r="W335" s="16" t="s">
        <v>13938</v>
      </c>
      <c r="X335" s="174">
        <v>70.75</v>
      </c>
      <c r="Y335" s="174">
        <v>89.5</v>
      </c>
    </row>
    <row r="336" spans="1:25" ht="15" customHeight="1" x14ac:dyDescent="0.25">
      <c r="A336" s="20" t="s">
        <v>13564</v>
      </c>
      <c r="B336" s="16" t="s">
        <v>13565</v>
      </c>
      <c r="C336" s="71" t="str">
        <f t="shared" si="5"/>
        <v>Product Info</v>
      </c>
      <c r="D336" s="93" t="s">
        <v>14772</v>
      </c>
      <c r="E336" s="143">
        <v>1</v>
      </c>
      <c r="F336" s="12" t="s">
        <v>4992</v>
      </c>
      <c r="G336" s="38">
        <v>105.29</v>
      </c>
      <c r="H336" s="38">
        <v>89.5</v>
      </c>
      <c r="I336" s="38">
        <v>73.7</v>
      </c>
      <c r="J336" s="39"/>
      <c r="K336" s="143"/>
      <c r="L336" s="22">
        <v>4</v>
      </c>
      <c r="M336" s="22" t="s">
        <v>12488</v>
      </c>
      <c r="N336" s="20" t="s">
        <v>14489</v>
      </c>
      <c r="O336" s="16" t="s">
        <v>13912</v>
      </c>
      <c r="P336" s="143">
        <v>819</v>
      </c>
      <c r="Q336" s="121" t="s">
        <v>14285</v>
      </c>
      <c r="R336" s="16" t="s">
        <v>8904</v>
      </c>
      <c r="S336" s="10" t="s">
        <v>1163</v>
      </c>
      <c r="T336" s="28" t="s">
        <v>13820</v>
      </c>
      <c r="U336" s="20" t="s">
        <v>5359</v>
      </c>
      <c r="V336" s="16" t="s">
        <v>14027</v>
      </c>
      <c r="W336" s="16" t="s">
        <v>13938</v>
      </c>
      <c r="X336" s="174">
        <v>70.75</v>
      </c>
      <c r="Y336" s="174">
        <v>89.5</v>
      </c>
    </row>
    <row r="337" spans="1:25" ht="15" customHeight="1" x14ac:dyDescent="0.25">
      <c r="A337" s="20" t="s">
        <v>13578</v>
      </c>
      <c r="B337" s="16" t="s">
        <v>13579</v>
      </c>
      <c r="C337" s="71" t="str">
        <f t="shared" si="5"/>
        <v>Product Info</v>
      </c>
      <c r="D337" s="93" t="s">
        <v>14771</v>
      </c>
      <c r="E337" s="143">
        <v>1</v>
      </c>
      <c r="F337" s="12" t="s">
        <v>4992</v>
      </c>
      <c r="G337" s="38">
        <v>105.29</v>
      </c>
      <c r="H337" s="38">
        <v>89.5</v>
      </c>
      <c r="I337" s="38">
        <v>73.7</v>
      </c>
      <c r="J337" s="39"/>
      <c r="K337" s="143"/>
      <c r="L337" s="22">
        <v>4</v>
      </c>
      <c r="M337" s="22" t="s">
        <v>12488</v>
      </c>
      <c r="N337" s="20" t="s">
        <v>14489</v>
      </c>
      <c r="O337" s="16" t="s">
        <v>13912</v>
      </c>
      <c r="P337" s="143">
        <v>819</v>
      </c>
      <c r="Q337" s="121" t="s">
        <v>14285</v>
      </c>
      <c r="R337" s="16" t="s">
        <v>8904</v>
      </c>
      <c r="S337" s="10" t="s">
        <v>1163</v>
      </c>
      <c r="T337" s="28" t="s">
        <v>13827</v>
      </c>
      <c r="U337" s="20" t="s">
        <v>5359</v>
      </c>
      <c r="V337" s="16" t="s">
        <v>14034</v>
      </c>
      <c r="W337" s="16" t="s">
        <v>13938</v>
      </c>
      <c r="X337" s="174">
        <v>70.75</v>
      </c>
      <c r="Y337" s="174">
        <v>89.5</v>
      </c>
    </row>
    <row r="338" spans="1:25" ht="15" customHeight="1" x14ac:dyDescent="0.25">
      <c r="A338" s="20" t="s">
        <v>13570</v>
      </c>
      <c r="B338" s="16" t="s">
        <v>13571</v>
      </c>
      <c r="C338" s="71" t="str">
        <f t="shared" si="5"/>
        <v>Product Info</v>
      </c>
      <c r="D338" s="93" t="s">
        <v>14770</v>
      </c>
      <c r="E338" s="143">
        <v>1</v>
      </c>
      <c r="F338" s="12" t="s">
        <v>4992</v>
      </c>
      <c r="G338" s="38">
        <v>105.29</v>
      </c>
      <c r="H338" s="38">
        <v>89.5</v>
      </c>
      <c r="I338" s="38">
        <v>73.7</v>
      </c>
      <c r="J338" s="39"/>
      <c r="K338" s="143"/>
      <c r="L338" s="22">
        <v>4</v>
      </c>
      <c r="M338" s="22" t="s">
        <v>12488</v>
      </c>
      <c r="N338" s="20" t="s">
        <v>14489</v>
      </c>
      <c r="O338" s="16" t="s">
        <v>13912</v>
      </c>
      <c r="P338" s="143">
        <v>819</v>
      </c>
      <c r="Q338" s="122" t="s">
        <v>9227</v>
      </c>
      <c r="R338" s="16" t="s">
        <v>8904</v>
      </c>
      <c r="S338" s="10" t="s">
        <v>1163</v>
      </c>
      <c r="T338" s="28" t="s">
        <v>13823</v>
      </c>
      <c r="U338" s="20" t="s">
        <v>5359</v>
      </c>
      <c r="V338" s="16" t="s">
        <v>14030</v>
      </c>
      <c r="W338" s="16" t="s">
        <v>13938</v>
      </c>
      <c r="X338" s="174">
        <v>70.75</v>
      </c>
      <c r="Y338" s="174">
        <v>89.5</v>
      </c>
    </row>
    <row r="339" spans="1:25" ht="15" customHeight="1" x14ac:dyDescent="0.25">
      <c r="A339" s="20" t="s">
        <v>13586</v>
      </c>
      <c r="B339" s="16" t="s">
        <v>13587</v>
      </c>
      <c r="C339" s="71" t="str">
        <f t="shared" si="5"/>
        <v>Product Info</v>
      </c>
      <c r="D339" s="93" t="s">
        <v>14769</v>
      </c>
      <c r="E339" s="143">
        <v>1</v>
      </c>
      <c r="F339" s="12" t="s">
        <v>4992</v>
      </c>
      <c r="G339" s="38">
        <v>105.29</v>
      </c>
      <c r="H339" s="38">
        <v>89.5</v>
      </c>
      <c r="I339" s="38">
        <v>73.7</v>
      </c>
      <c r="J339" s="39"/>
      <c r="K339" s="143"/>
      <c r="L339" s="22">
        <v>4</v>
      </c>
      <c r="M339" s="22" t="s">
        <v>12488</v>
      </c>
      <c r="N339" s="20" t="s">
        <v>14489</v>
      </c>
      <c r="O339" s="16" t="s">
        <v>13912</v>
      </c>
      <c r="P339" s="143">
        <v>819</v>
      </c>
      <c r="Q339" s="121" t="s">
        <v>14285</v>
      </c>
      <c r="R339" s="16" t="s">
        <v>8904</v>
      </c>
      <c r="S339" s="10" t="s">
        <v>1163</v>
      </c>
      <c r="T339" s="28" t="s">
        <v>13831</v>
      </c>
      <c r="U339" s="20" t="s">
        <v>5359</v>
      </c>
      <c r="V339" s="16" t="s">
        <v>14038</v>
      </c>
      <c r="W339" s="16" t="s">
        <v>13938</v>
      </c>
      <c r="X339" s="174">
        <v>70.75</v>
      </c>
      <c r="Y339" s="174">
        <v>89.5</v>
      </c>
    </row>
    <row r="340" spans="1:25" ht="15" customHeight="1" x14ac:dyDescent="0.25">
      <c r="A340" s="20" t="s">
        <v>13584</v>
      </c>
      <c r="B340" s="16" t="s">
        <v>13585</v>
      </c>
      <c r="C340" s="71" t="str">
        <f t="shared" si="5"/>
        <v>Product Info</v>
      </c>
      <c r="D340" s="93" t="s">
        <v>14768</v>
      </c>
      <c r="E340" s="143">
        <v>1</v>
      </c>
      <c r="F340" s="12" t="s">
        <v>4992</v>
      </c>
      <c r="G340" s="38">
        <v>105.29</v>
      </c>
      <c r="H340" s="38">
        <v>89.5</v>
      </c>
      <c r="I340" s="38">
        <v>73.7</v>
      </c>
      <c r="J340" s="39"/>
      <c r="K340" s="143"/>
      <c r="L340" s="22">
        <v>4</v>
      </c>
      <c r="M340" s="22" t="s">
        <v>12488</v>
      </c>
      <c r="N340" s="20" t="s">
        <v>14489</v>
      </c>
      <c r="O340" s="16" t="s">
        <v>13912</v>
      </c>
      <c r="P340" s="143">
        <v>819</v>
      </c>
      <c r="Q340" s="121" t="s">
        <v>14285</v>
      </c>
      <c r="R340" s="16" t="s">
        <v>8904</v>
      </c>
      <c r="S340" s="10" t="s">
        <v>1163</v>
      </c>
      <c r="T340" s="28" t="s">
        <v>13830</v>
      </c>
      <c r="U340" s="20" t="s">
        <v>5359</v>
      </c>
      <c r="V340" s="16" t="s">
        <v>14037</v>
      </c>
      <c r="W340" s="16" t="s">
        <v>13938</v>
      </c>
      <c r="X340" s="174">
        <v>70.75</v>
      </c>
      <c r="Y340" s="174">
        <v>89.5</v>
      </c>
    </row>
    <row r="341" spans="1:25" ht="15" customHeight="1" x14ac:dyDescent="0.25">
      <c r="A341" s="20" t="s">
        <v>13582</v>
      </c>
      <c r="B341" s="16" t="s">
        <v>13583</v>
      </c>
      <c r="C341" s="71" t="str">
        <f t="shared" si="5"/>
        <v>Product Info</v>
      </c>
      <c r="D341" s="93" t="s">
        <v>14767</v>
      </c>
      <c r="E341" s="143">
        <v>1</v>
      </c>
      <c r="F341" s="12" t="s">
        <v>4992</v>
      </c>
      <c r="G341" s="38">
        <v>105.29</v>
      </c>
      <c r="H341" s="38">
        <v>89.5</v>
      </c>
      <c r="I341" s="38">
        <v>73.7</v>
      </c>
      <c r="J341" s="39"/>
      <c r="K341" s="143"/>
      <c r="L341" s="22">
        <v>4</v>
      </c>
      <c r="M341" s="22" t="s">
        <v>12488</v>
      </c>
      <c r="N341" s="20" t="s">
        <v>14489</v>
      </c>
      <c r="O341" s="16" t="s">
        <v>13912</v>
      </c>
      <c r="P341" s="143">
        <v>819</v>
      </c>
      <c r="Q341" s="121" t="s">
        <v>14285</v>
      </c>
      <c r="R341" s="16" t="s">
        <v>8904</v>
      </c>
      <c r="S341" s="10" t="s">
        <v>1163</v>
      </c>
      <c r="T341" s="28" t="s">
        <v>13829</v>
      </c>
      <c r="U341" s="20" t="s">
        <v>5359</v>
      </c>
      <c r="V341" s="16" t="s">
        <v>14036</v>
      </c>
      <c r="W341" s="16" t="s">
        <v>13938</v>
      </c>
      <c r="X341" s="174">
        <v>70.75</v>
      </c>
      <c r="Y341" s="174">
        <v>89.5</v>
      </c>
    </row>
    <row r="342" spans="1:25" ht="15" customHeight="1" x14ac:dyDescent="0.25">
      <c r="A342" s="20" t="s">
        <v>13576</v>
      </c>
      <c r="B342" s="16" t="s">
        <v>13577</v>
      </c>
      <c r="C342" s="71" t="str">
        <f t="shared" si="5"/>
        <v>Product Info</v>
      </c>
      <c r="D342" s="93" t="s">
        <v>14766</v>
      </c>
      <c r="E342" s="143">
        <v>1</v>
      </c>
      <c r="F342" s="12" t="s">
        <v>4992</v>
      </c>
      <c r="G342" s="38">
        <v>105.29</v>
      </c>
      <c r="H342" s="38">
        <v>89.5</v>
      </c>
      <c r="I342" s="38">
        <v>73.7</v>
      </c>
      <c r="J342" s="39"/>
      <c r="K342" s="143"/>
      <c r="L342" s="22">
        <v>4</v>
      </c>
      <c r="M342" s="22" t="s">
        <v>12488</v>
      </c>
      <c r="N342" s="20" t="s">
        <v>14489</v>
      </c>
      <c r="O342" s="16" t="s">
        <v>13912</v>
      </c>
      <c r="P342" s="143">
        <v>819</v>
      </c>
      <c r="Q342" s="121" t="s">
        <v>14285</v>
      </c>
      <c r="R342" s="16" t="s">
        <v>8904</v>
      </c>
      <c r="S342" s="10" t="s">
        <v>1163</v>
      </c>
      <c r="T342" s="28" t="s">
        <v>13826</v>
      </c>
      <c r="U342" s="20" t="s">
        <v>5359</v>
      </c>
      <c r="V342" s="16" t="s">
        <v>14033</v>
      </c>
      <c r="W342" s="16" t="s">
        <v>13938</v>
      </c>
      <c r="X342" s="174">
        <v>70.75</v>
      </c>
      <c r="Y342" s="174">
        <v>89.5</v>
      </c>
    </row>
    <row r="343" spans="1:25" ht="15" customHeight="1" x14ac:dyDescent="0.25">
      <c r="A343" s="20" t="s">
        <v>13574</v>
      </c>
      <c r="B343" s="16" t="s">
        <v>13575</v>
      </c>
      <c r="C343" s="71" t="str">
        <f t="shared" si="5"/>
        <v>Product Info</v>
      </c>
      <c r="D343" s="93" t="s">
        <v>14765</v>
      </c>
      <c r="E343" s="143">
        <v>1</v>
      </c>
      <c r="F343" s="12" t="s">
        <v>4992</v>
      </c>
      <c r="G343" s="38">
        <v>105.29</v>
      </c>
      <c r="H343" s="38">
        <v>89.5</v>
      </c>
      <c r="I343" s="38">
        <v>73.7</v>
      </c>
      <c r="J343" s="39"/>
      <c r="K343" s="143"/>
      <c r="L343" s="22">
        <v>4</v>
      </c>
      <c r="M343" s="22" t="s">
        <v>12488</v>
      </c>
      <c r="N343" s="20" t="s">
        <v>14489</v>
      </c>
      <c r="O343" s="16" t="s">
        <v>13912</v>
      </c>
      <c r="P343" s="143">
        <v>819</v>
      </c>
      <c r="Q343" s="121" t="s">
        <v>14285</v>
      </c>
      <c r="R343" s="16" t="s">
        <v>8904</v>
      </c>
      <c r="S343" s="10" t="s">
        <v>1163</v>
      </c>
      <c r="T343" s="28" t="s">
        <v>13825</v>
      </c>
      <c r="U343" s="20" t="s">
        <v>5359</v>
      </c>
      <c r="V343" s="16" t="s">
        <v>14032</v>
      </c>
      <c r="W343" s="16" t="s">
        <v>13938</v>
      </c>
      <c r="X343" s="174">
        <v>70.75</v>
      </c>
      <c r="Y343" s="174">
        <v>89.5</v>
      </c>
    </row>
    <row r="344" spans="1:25" ht="15" customHeight="1" x14ac:dyDescent="0.25">
      <c r="A344" s="20" t="s">
        <v>13562</v>
      </c>
      <c r="B344" s="16" t="s">
        <v>13563</v>
      </c>
      <c r="C344" s="71" t="str">
        <f t="shared" si="5"/>
        <v>Product Info</v>
      </c>
      <c r="D344" s="93" t="s">
        <v>14764</v>
      </c>
      <c r="E344" s="143">
        <v>1</v>
      </c>
      <c r="F344" s="12" t="s">
        <v>4992</v>
      </c>
      <c r="G344" s="38">
        <v>105.29</v>
      </c>
      <c r="H344" s="38">
        <v>89.5</v>
      </c>
      <c r="I344" s="38">
        <v>73.7</v>
      </c>
      <c r="J344" s="39"/>
      <c r="K344" s="143"/>
      <c r="L344" s="22">
        <v>4</v>
      </c>
      <c r="M344" s="22" t="s">
        <v>12488</v>
      </c>
      <c r="N344" s="20" t="s">
        <v>14489</v>
      </c>
      <c r="O344" s="16" t="s">
        <v>13912</v>
      </c>
      <c r="P344" s="143">
        <v>819</v>
      </c>
      <c r="Q344" s="121" t="s">
        <v>14285</v>
      </c>
      <c r="R344" s="16" t="s">
        <v>8904</v>
      </c>
      <c r="S344" s="10" t="s">
        <v>1163</v>
      </c>
      <c r="T344" s="28" t="s">
        <v>13819</v>
      </c>
      <c r="U344" s="20" t="s">
        <v>5359</v>
      </c>
      <c r="V344" s="16" t="s">
        <v>14026</v>
      </c>
      <c r="W344" s="16" t="s">
        <v>13938</v>
      </c>
      <c r="X344" s="174">
        <v>70.75</v>
      </c>
      <c r="Y344" s="174">
        <v>89.5</v>
      </c>
    </row>
    <row r="345" spans="1:25" ht="15" customHeight="1" x14ac:dyDescent="0.25">
      <c r="A345" s="20" t="s">
        <v>13568</v>
      </c>
      <c r="B345" s="16" t="s">
        <v>13569</v>
      </c>
      <c r="C345" s="71" t="str">
        <f t="shared" si="5"/>
        <v>Product Info</v>
      </c>
      <c r="D345" s="93" t="s">
        <v>14763</v>
      </c>
      <c r="E345" s="143">
        <v>1</v>
      </c>
      <c r="F345" s="12" t="s">
        <v>4992</v>
      </c>
      <c r="G345" s="38">
        <v>105.29</v>
      </c>
      <c r="H345" s="38">
        <v>89.5</v>
      </c>
      <c r="I345" s="38">
        <v>73.7</v>
      </c>
      <c r="J345" s="39"/>
      <c r="K345" s="143"/>
      <c r="L345" s="22">
        <v>4</v>
      </c>
      <c r="M345" s="22" t="s">
        <v>12488</v>
      </c>
      <c r="N345" s="20" t="s">
        <v>14489</v>
      </c>
      <c r="O345" s="16" t="s">
        <v>13912</v>
      </c>
      <c r="P345" s="143">
        <v>819</v>
      </c>
      <c r="Q345" s="121" t="s">
        <v>14285</v>
      </c>
      <c r="R345" s="16" t="s">
        <v>8904</v>
      </c>
      <c r="S345" s="10" t="s">
        <v>1163</v>
      </c>
      <c r="T345" s="28" t="s">
        <v>13822</v>
      </c>
      <c r="U345" s="20" t="s">
        <v>5359</v>
      </c>
      <c r="V345" s="16" t="s">
        <v>14029</v>
      </c>
      <c r="W345" s="16" t="s">
        <v>13938</v>
      </c>
      <c r="X345" s="174">
        <v>70.75</v>
      </c>
      <c r="Y345" s="174">
        <v>89.5</v>
      </c>
    </row>
    <row r="346" spans="1:25" ht="15" customHeight="1" x14ac:dyDescent="0.25">
      <c r="A346" s="20" t="s">
        <v>13550</v>
      </c>
      <c r="B346" s="16" t="s">
        <v>13551</v>
      </c>
      <c r="C346" s="71" t="str">
        <f t="shared" si="5"/>
        <v>Product Info</v>
      </c>
      <c r="D346" s="93" t="s">
        <v>14754</v>
      </c>
      <c r="E346" s="143">
        <v>1</v>
      </c>
      <c r="F346" s="12" t="s">
        <v>4992</v>
      </c>
      <c r="G346" s="38">
        <v>105.29</v>
      </c>
      <c r="H346" s="38">
        <v>89.5</v>
      </c>
      <c r="I346" s="38">
        <v>73.7</v>
      </c>
      <c r="J346" s="39"/>
      <c r="K346" s="143"/>
      <c r="L346" s="22">
        <v>4</v>
      </c>
      <c r="M346" s="22" t="s">
        <v>12488</v>
      </c>
      <c r="N346" s="20" t="s">
        <v>14489</v>
      </c>
      <c r="O346" s="16" t="s">
        <v>13912</v>
      </c>
      <c r="P346" s="143">
        <v>819</v>
      </c>
      <c r="Q346" s="122" t="s">
        <v>9227</v>
      </c>
      <c r="R346" s="16" t="s">
        <v>8904</v>
      </c>
      <c r="S346" s="10" t="s">
        <v>1163</v>
      </c>
      <c r="T346" s="28" t="s">
        <v>13813</v>
      </c>
      <c r="U346" s="20" t="s">
        <v>5359</v>
      </c>
      <c r="V346" s="16" t="s">
        <v>14020</v>
      </c>
      <c r="W346" s="16" t="s">
        <v>13938</v>
      </c>
      <c r="X346" s="174">
        <v>70.75</v>
      </c>
      <c r="Y346" s="174">
        <v>89.5</v>
      </c>
    </row>
    <row r="347" spans="1:25" ht="15" customHeight="1" x14ac:dyDescent="0.25">
      <c r="A347" s="20" t="s">
        <v>13548</v>
      </c>
      <c r="B347" s="16" t="s">
        <v>13549</v>
      </c>
      <c r="C347" s="71" t="str">
        <f t="shared" si="5"/>
        <v>Product Info</v>
      </c>
      <c r="D347" s="93" t="s">
        <v>14753</v>
      </c>
      <c r="E347" s="143">
        <v>1</v>
      </c>
      <c r="F347" s="12" t="s">
        <v>4992</v>
      </c>
      <c r="G347" s="38">
        <v>105.29</v>
      </c>
      <c r="H347" s="38">
        <v>89.5</v>
      </c>
      <c r="I347" s="38">
        <v>73.7</v>
      </c>
      <c r="J347" s="39"/>
      <c r="K347" s="143"/>
      <c r="L347" s="22">
        <v>4</v>
      </c>
      <c r="M347" s="22" t="s">
        <v>12488</v>
      </c>
      <c r="N347" s="20" t="s">
        <v>14489</v>
      </c>
      <c r="O347" s="16" t="s">
        <v>13912</v>
      </c>
      <c r="P347" s="143">
        <v>819</v>
      </c>
      <c r="Q347" s="121" t="s">
        <v>14285</v>
      </c>
      <c r="R347" s="16" t="s">
        <v>8904</v>
      </c>
      <c r="S347" s="10" t="s">
        <v>1163</v>
      </c>
      <c r="T347" s="28" t="s">
        <v>13812</v>
      </c>
      <c r="U347" s="20" t="s">
        <v>5359</v>
      </c>
      <c r="V347" s="16" t="s">
        <v>14019</v>
      </c>
      <c r="W347" s="16" t="s">
        <v>13938</v>
      </c>
      <c r="X347" s="174">
        <v>70.75</v>
      </c>
      <c r="Y347" s="174">
        <v>89.5</v>
      </c>
    </row>
    <row r="348" spans="1:25" ht="15" customHeight="1" x14ac:dyDescent="0.25">
      <c r="A348" s="20" t="s">
        <v>13556</v>
      </c>
      <c r="B348" s="16" t="s">
        <v>13557</v>
      </c>
      <c r="C348" s="71" t="str">
        <f t="shared" si="5"/>
        <v>Product Info</v>
      </c>
      <c r="D348" s="93" t="s">
        <v>14752</v>
      </c>
      <c r="E348" s="143">
        <v>1</v>
      </c>
      <c r="F348" s="12" t="s">
        <v>4992</v>
      </c>
      <c r="G348" s="38">
        <v>105.29</v>
      </c>
      <c r="H348" s="38">
        <v>89.5</v>
      </c>
      <c r="I348" s="38">
        <v>73.7</v>
      </c>
      <c r="J348" s="39"/>
      <c r="K348" s="143"/>
      <c r="L348" s="22">
        <v>4</v>
      </c>
      <c r="M348" s="22" t="s">
        <v>12488</v>
      </c>
      <c r="N348" s="20" t="s">
        <v>14489</v>
      </c>
      <c r="O348" s="16" t="s">
        <v>13912</v>
      </c>
      <c r="P348" s="143">
        <v>819</v>
      </c>
      <c r="Q348" s="121" t="s">
        <v>14285</v>
      </c>
      <c r="R348" s="16" t="s">
        <v>8904</v>
      </c>
      <c r="S348" s="10" t="s">
        <v>1163</v>
      </c>
      <c r="T348" s="28" t="s">
        <v>13816</v>
      </c>
      <c r="U348" s="20" t="s">
        <v>5359</v>
      </c>
      <c r="V348" s="16" t="s">
        <v>14023</v>
      </c>
      <c r="W348" s="16" t="s">
        <v>13938</v>
      </c>
      <c r="X348" s="174">
        <v>70.75</v>
      </c>
      <c r="Y348" s="174">
        <v>89.5</v>
      </c>
    </row>
    <row r="349" spans="1:25" ht="15" customHeight="1" x14ac:dyDescent="0.25">
      <c r="A349" s="20" t="s">
        <v>13542</v>
      </c>
      <c r="B349" s="16" t="s">
        <v>13543</v>
      </c>
      <c r="C349" s="71" t="str">
        <f t="shared" si="5"/>
        <v>Product Info</v>
      </c>
      <c r="D349" s="93" t="s">
        <v>14751</v>
      </c>
      <c r="E349" s="143">
        <v>1</v>
      </c>
      <c r="F349" s="12" t="s">
        <v>4992</v>
      </c>
      <c r="G349" s="38">
        <v>105.29</v>
      </c>
      <c r="H349" s="38">
        <v>89.5</v>
      </c>
      <c r="I349" s="38">
        <v>73.7</v>
      </c>
      <c r="J349" s="39"/>
      <c r="K349" s="143"/>
      <c r="L349" s="22">
        <v>4</v>
      </c>
      <c r="M349" s="22" t="s">
        <v>12488</v>
      </c>
      <c r="N349" s="20" t="s">
        <v>14489</v>
      </c>
      <c r="O349" s="16" t="s">
        <v>13912</v>
      </c>
      <c r="P349" s="143">
        <v>819</v>
      </c>
      <c r="Q349" s="121" t="s">
        <v>14285</v>
      </c>
      <c r="R349" s="16" t="s">
        <v>8904</v>
      </c>
      <c r="S349" s="10" t="s">
        <v>1163</v>
      </c>
      <c r="T349" s="28" t="s">
        <v>13809</v>
      </c>
      <c r="U349" s="20" t="s">
        <v>5359</v>
      </c>
      <c r="V349" s="16" t="s">
        <v>14016</v>
      </c>
      <c r="W349" s="16" t="s">
        <v>13938</v>
      </c>
      <c r="X349" s="174">
        <v>70.75</v>
      </c>
      <c r="Y349" s="174">
        <v>89.5</v>
      </c>
    </row>
    <row r="350" spans="1:25" ht="15" customHeight="1" x14ac:dyDescent="0.25">
      <c r="A350" s="20" t="s">
        <v>13554</v>
      </c>
      <c r="B350" s="16" t="s">
        <v>13555</v>
      </c>
      <c r="C350" s="71" t="str">
        <f t="shared" si="5"/>
        <v>Product Info</v>
      </c>
      <c r="D350" s="93" t="s">
        <v>14750</v>
      </c>
      <c r="E350" s="143">
        <v>1</v>
      </c>
      <c r="F350" s="12" t="s">
        <v>4992</v>
      </c>
      <c r="G350" s="38">
        <v>105.29</v>
      </c>
      <c r="H350" s="38">
        <v>89.5</v>
      </c>
      <c r="I350" s="38">
        <v>73.7</v>
      </c>
      <c r="J350" s="39"/>
      <c r="K350" s="143"/>
      <c r="L350" s="22">
        <v>4</v>
      </c>
      <c r="M350" s="22" t="s">
        <v>12488</v>
      </c>
      <c r="N350" s="20" t="s">
        <v>14489</v>
      </c>
      <c r="O350" s="16" t="s">
        <v>13912</v>
      </c>
      <c r="P350" s="143">
        <v>819</v>
      </c>
      <c r="Q350" s="121" t="s">
        <v>14285</v>
      </c>
      <c r="R350" s="16" t="s">
        <v>8904</v>
      </c>
      <c r="S350" s="10" t="s">
        <v>1163</v>
      </c>
      <c r="T350" s="28" t="s">
        <v>13815</v>
      </c>
      <c r="U350" s="20" t="s">
        <v>5359</v>
      </c>
      <c r="V350" s="16" t="s">
        <v>14022</v>
      </c>
      <c r="W350" s="16" t="s">
        <v>13938</v>
      </c>
      <c r="X350" s="174">
        <v>70.75</v>
      </c>
      <c r="Y350" s="174">
        <v>89.5</v>
      </c>
    </row>
    <row r="351" spans="1:25" ht="15" customHeight="1" x14ac:dyDescent="0.25">
      <c r="A351" s="20" t="s">
        <v>13546</v>
      </c>
      <c r="B351" s="16" t="s">
        <v>13547</v>
      </c>
      <c r="C351" s="71" t="str">
        <f t="shared" si="5"/>
        <v>Product Info</v>
      </c>
      <c r="D351" s="93" t="s">
        <v>14749</v>
      </c>
      <c r="E351" s="143">
        <v>1</v>
      </c>
      <c r="F351" s="12" t="s">
        <v>4992</v>
      </c>
      <c r="G351" s="38">
        <v>105.29</v>
      </c>
      <c r="H351" s="38">
        <v>89.5</v>
      </c>
      <c r="I351" s="38">
        <v>73.7</v>
      </c>
      <c r="J351" s="39"/>
      <c r="K351" s="143"/>
      <c r="L351" s="22">
        <v>4</v>
      </c>
      <c r="M351" s="22" t="s">
        <v>12488</v>
      </c>
      <c r="N351" s="20" t="s">
        <v>14489</v>
      </c>
      <c r="O351" s="16" t="s">
        <v>13912</v>
      </c>
      <c r="P351" s="143">
        <v>819</v>
      </c>
      <c r="Q351" s="121" t="s">
        <v>14285</v>
      </c>
      <c r="R351" s="16" t="s">
        <v>8904</v>
      </c>
      <c r="S351" s="10" t="s">
        <v>1163</v>
      </c>
      <c r="T351" s="28" t="s">
        <v>13811</v>
      </c>
      <c r="U351" s="20" t="s">
        <v>5359</v>
      </c>
      <c r="V351" s="16" t="s">
        <v>14018</v>
      </c>
      <c r="W351" s="16" t="s">
        <v>13938</v>
      </c>
      <c r="X351" s="174">
        <v>70.75</v>
      </c>
      <c r="Y351" s="174">
        <v>89.5</v>
      </c>
    </row>
    <row r="352" spans="1:25" ht="15" customHeight="1" x14ac:dyDescent="0.25">
      <c r="A352" s="20" t="s">
        <v>13558</v>
      </c>
      <c r="B352" s="16" t="s">
        <v>13559</v>
      </c>
      <c r="C352" s="71" t="str">
        <f t="shared" si="5"/>
        <v>Product Info</v>
      </c>
      <c r="D352" s="93" t="s">
        <v>14748</v>
      </c>
      <c r="E352" s="143">
        <v>1</v>
      </c>
      <c r="F352" s="12" t="s">
        <v>4992</v>
      </c>
      <c r="G352" s="38">
        <v>105.29</v>
      </c>
      <c r="H352" s="38">
        <v>89.5</v>
      </c>
      <c r="I352" s="38">
        <v>73.7</v>
      </c>
      <c r="J352" s="39"/>
      <c r="K352" s="143"/>
      <c r="L352" s="22">
        <v>4</v>
      </c>
      <c r="M352" s="22" t="s">
        <v>12488</v>
      </c>
      <c r="N352" s="20" t="s">
        <v>14489</v>
      </c>
      <c r="O352" s="16" t="s">
        <v>13912</v>
      </c>
      <c r="P352" s="143">
        <v>819</v>
      </c>
      <c r="Q352" s="121" t="s">
        <v>14285</v>
      </c>
      <c r="R352" s="16" t="s">
        <v>8904</v>
      </c>
      <c r="S352" s="10" t="s">
        <v>1163</v>
      </c>
      <c r="T352" s="28" t="s">
        <v>13817</v>
      </c>
      <c r="U352" s="20" t="s">
        <v>5359</v>
      </c>
      <c r="V352" s="16" t="s">
        <v>14024</v>
      </c>
      <c r="W352" s="16" t="s">
        <v>13938</v>
      </c>
      <c r="X352" s="174">
        <v>70.75</v>
      </c>
      <c r="Y352" s="174">
        <v>89.5</v>
      </c>
    </row>
    <row r="353" spans="1:25" ht="15" customHeight="1" x14ac:dyDescent="0.25">
      <c r="A353" s="20" t="s">
        <v>13544</v>
      </c>
      <c r="B353" s="16" t="s">
        <v>13545</v>
      </c>
      <c r="C353" s="71" t="str">
        <f t="shared" si="5"/>
        <v>Product Info</v>
      </c>
      <c r="D353" s="93" t="s">
        <v>14747</v>
      </c>
      <c r="E353" s="143">
        <v>1</v>
      </c>
      <c r="F353" s="12" t="s">
        <v>4992</v>
      </c>
      <c r="G353" s="38">
        <v>105.29</v>
      </c>
      <c r="H353" s="38">
        <v>89.5</v>
      </c>
      <c r="I353" s="38">
        <v>73.7</v>
      </c>
      <c r="J353" s="39"/>
      <c r="K353" s="143"/>
      <c r="L353" s="22">
        <v>4</v>
      </c>
      <c r="M353" s="22" t="s">
        <v>12488</v>
      </c>
      <c r="N353" s="20" t="s">
        <v>14489</v>
      </c>
      <c r="O353" s="16" t="s">
        <v>13912</v>
      </c>
      <c r="P353" s="143">
        <v>819</v>
      </c>
      <c r="Q353" s="121" t="s">
        <v>14285</v>
      </c>
      <c r="R353" s="16" t="s">
        <v>8904</v>
      </c>
      <c r="S353" s="10" t="s">
        <v>1163</v>
      </c>
      <c r="T353" s="28" t="s">
        <v>13810</v>
      </c>
      <c r="U353" s="20" t="s">
        <v>5359</v>
      </c>
      <c r="V353" s="16" t="s">
        <v>14017</v>
      </c>
      <c r="W353" s="16" t="s">
        <v>13938</v>
      </c>
      <c r="X353" s="174">
        <v>70.75</v>
      </c>
      <c r="Y353" s="174">
        <v>89.5</v>
      </c>
    </row>
    <row r="354" spans="1:25" ht="15" customHeight="1" x14ac:dyDescent="0.25">
      <c r="A354" s="20" t="s">
        <v>13552</v>
      </c>
      <c r="B354" s="16" t="s">
        <v>13553</v>
      </c>
      <c r="C354" s="71" t="str">
        <f t="shared" si="5"/>
        <v>Product Info</v>
      </c>
      <c r="D354" s="93" t="s">
        <v>14746</v>
      </c>
      <c r="E354" s="143">
        <v>1</v>
      </c>
      <c r="F354" s="12" t="s">
        <v>4992</v>
      </c>
      <c r="G354" s="38">
        <v>105.29</v>
      </c>
      <c r="H354" s="38">
        <v>89.5</v>
      </c>
      <c r="I354" s="38">
        <v>73.7</v>
      </c>
      <c r="J354" s="39"/>
      <c r="K354" s="143"/>
      <c r="L354" s="22">
        <v>4</v>
      </c>
      <c r="M354" s="22" t="s">
        <v>12488</v>
      </c>
      <c r="N354" s="20" t="s">
        <v>14489</v>
      </c>
      <c r="O354" s="16" t="s">
        <v>13912</v>
      </c>
      <c r="P354" s="143">
        <v>819</v>
      </c>
      <c r="Q354" s="121" t="s">
        <v>14285</v>
      </c>
      <c r="R354" s="16" t="s">
        <v>8904</v>
      </c>
      <c r="S354" s="10" t="s">
        <v>1163</v>
      </c>
      <c r="T354" s="28" t="s">
        <v>13814</v>
      </c>
      <c r="U354" s="20" t="s">
        <v>5359</v>
      </c>
      <c r="V354" s="16" t="s">
        <v>14021</v>
      </c>
      <c r="W354" s="16" t="s">
        <v>13938</v>
      </c>
      <c r="X354" s="174">
        <v>70.75</v>
      </c>
      <c r="Y354" s="174">
        <v>89.5</v>
      </c>
    </row>
    <row r="355" spans="1:25" ht="15" customHeight="1" x14ac:dyDescent="0.25">
      <c r="A355" s="20" t="s">
        <v>13190</v>
      </c>
      <c r="B355" s="29" t="s">
        <v>13191</v>
      </c>
      <c r="C355" s="71" t="str">
        <f t="shared" si="5"/>
        <v>Product Info</v>
      </c>
      <c r="D355" s="93" t="s">
        <v>14745</v>
      </c>
      <c r="E355" s="143">
        <v>1</v>
      </c>
      <c r="F355" s="149" t="s">
        <v>4992</v>
      </c>
      <c r="G355" s="38">
        <v>14.94</v>
      </c>
      <c r="H355" s="38">
        <v>12.7</v>
      </c>
      <c r="I355" s="38">
        <v>10.46</v>
      </c>
      <c r="J355" s="39"/>
      <c r="K355" s="143"/>
      <c r="L355" s="22">
        <v>0.3</v>
      </c>
      <c r="M355" s="22" t="s">
        <v>12488</v>
      </c>
      <c r="N355" s="20" t="s">
        <v>12705</v>
      </c>
      <c r="O355" s="16" t="s">
        <v>13912</v>
      </c>
      <c r="P355" s="143" t="s">
        <v>12554</v>
      </c>
      <c r="Q355" s="121" t="s">
        <v>14285</v>
      </c>
      <c r="R355" s="16" t="s">
        <v>8904</v>
      </c>
      <c r="S355" s="10" t="s">
        <v>1163</v>
      </c>
      <c r="T355" s="28" t="s">
        <v>13200</v>
      </c>
      <c r="U355" s="20" t="s">
        <v>5359</v>
      </c>
      <c r="V355" s="11" t="s">
        <v>13190</v>
      </c>
      <c r="W355" s="11" t="s">
        <v>13938</v>
      </c>
      <c r="X355" s="174">
        <v>9.6199999999999992</v>
      </c>
      <c r="Y355" s="174">
        <v>12.7</v>
      </c>
    </row>
    <row r="356" spans="1:25" ht="15" customHeight="1" x14ac:dyDescent="0.25">
      <c r="A356" s="20" t="s">
        <v>13186</v>
      </c>
      <c r="B356" s="29" t="s">
        <v>13187</v>
      </c>
      <c r="C356" s="71" t="str">
        <f t="shared" si="5"/>
        <v>Product Info</v>
      </c>
      <c r="D356" s="93" t="s">
        <v>14744</v>
      </c>
      <c r="E356" s="143">
        <v>1</v>
      </c>
      <c r="F356" s="149" t="s">
        <v>4992</v>
      </c>
      <c r="G356" s="38">
        <v>14.35</v>
      </c>
      <c r="H356" s="38">
        <v>12.2</v>
      </c>
      <c r="I356" s="38">
        <v>10.050000000000001</v>
      </c>
      <c r="J356" s="39"/>
      <c r="K356" s="143"/>
      <c r="L356" s="22">
        <v>0.3</v>
      </c>
      <c r="M356" s="22" t="s">
        <v>12488</v>
      </c>
      <c r="N356" s="20" t="s">
        <v>12704</v>
      </c>
      <c r="O356" s="16" t="s">
        <v>13912</v>
      </c>
      <c r="P356" s="143" t="s">
        <v>12554</v>
      </c>
      <c r="Q356" s="121" t="s">
        <v>14285</v>
      </c>
      <c r="R356" s="16" t="s">
        <v>8904</v>
      </c>
      <c r="S356" s="10" t="s">
        <v>1163</v>
      </c>
      <c r="T356" s="28" t="s">
        <v>13199</v>
      </c>
      <c r="U356" s="20" t="s">
        <v>5359</v>
      </c>
      <c r="V356" s="11" t="s">
        <v>13186</v>
      </c>
      <c r="W356" s="11" t="s">
        <v>13938</v>
      </c>
      <c r="X356" s="174">
        <v>9.25</v>
      </c>
      <c r="Y356" s="174">
        <v>12.2</v>
      </c>
    </row>
    <row r="357" spans="1:25" ht="15" customHeight="1" x14ac:dyDescent="0.25">
      <c r="A357" s="20" t="s">
        <v>13184</v>
      </c>
      <c r="B357" s="29" t="s">
        <v>13185</v>
      </c>
      <c r="C357" s="71" t="str">
        <f t="shared" si="5"/>
        <v>Product Info</v>
      </c>
      <c r="D357" s="93" t="s">
        <v>14743</v>
      </c>
      <c r="E357" s="143">
        <v>1</v>
      </c>
      <c r="F357" s="149" t="s">
        <v>4992</v>
      </c>
      <c r="G357" s="38">
        <v>14.21</v>
      </c>
      <c r="H357" s="38">
        <v>12.08</v>
      </c>
      <c r="I357" s="38">
        <v>9.9499999999999993</v>
      </c>
      <c r="J357" s="39"/>
      <c r="K357" s="143"/>
      <c r="L357" s="22">
        <v>0.3</v>
      </c>
      <c r="M357" s="22" t="s">
        <v>12488</v>
      </c>
      <c r="N357" s="20" t="s">
        <v>12704</v>
      </c>
      <c r="O357" s="16" t="s">
        <v>13912</v>
      </c>
      <c r="P357" s="143" t="s">
        <v>12554</v>
      </c>
      <c r="Q357" s="121" t="s">
        <v>14285</v>
      </c>
      <c r="R357" s="16" t="s">
        <v>8904</v>
      </c>
      <c r="S357" s="10" t="s">
        <v>1163</v>
      </c>
      <c r="T357" s="28" t="s">
        <v>13201</v>
      </c>
      <c r="U357" s="20" t="s">
        <v>5359</v>
      </c>
      <c r="V357" s="11" t="s">
        <v>13184</v>
      </c>
      <c r="W357" s="11" t="s">
        <v>13938</v>
      </c>
      <c r="X357" s="174">
        <v>9.15</v>
      </c>
      <c r="Y357" s="174">
        <v>12.08</v>
      </c>
    </row>
    <row r="358" spans="1:25" ht="15" customHeight="1" x14ac:dyDescent="0.25">
      <c r="A358" s="20" t="s">
        <v>13165</v>
      </c>
      <c r="B358" s="53" t="s">
        <v>13166</v>
      </c>
      <c r="C358" s="71" t="str">
        <f t="shared" si="5"/>
        <v>Product Info</v>
      </c>
      <c r="D358" s="93" t="s">
        <v>14742</v>
      </c>
      <c r="E358" s="143">
        <v>1</v>
      </c>
      <c r="F358" s="149" t="s">
        <v>4992</v>
      </c>
      <c r="G358" s="38">
        <v>9.84</v>
      </c>
      <c r="H358" s="38">
        <v>8.36</v>
      </c>
      <c r="I358" s="38">
        <v>6.89</v>
      </c>
      <c r="J358" s="39"/>
      <c r="K358" s="143"/>
      <c r="L358" s="22">
        <v>0.3</v>
      </c>
      <c r="M358" s="22" t="s">
        <v>12488</v>
      </c>
      <c r="N358" s="20" t="s">
        <v>12703</v>
      </c>
      <c r="O358" s="16" t="s">
        <v>13912</v>
      </c>
      <c r="P358" s="143" t="s">
        <v>12554</v>
      </c>
      <c r="Q358" s="121" t="s">
        <v>14285</v>
      </c>
      <c r="R358" s="16" t="s">
        <v>8904</v>
      </c>
      <c r="S358" s="10" t="s">
        <v>1163</v>
      </c>
      <c r="T358" s="28" t="s">
        <v>13203</v>
      </c>
      <c r="U358" s="20" t="s">
        <v>5359</v>
      </c>
      <c r="V358" s="11" t="s">
        <v>13165</v>
      </c>
      <c r="W358" s="11" t="s">
        <v>13938</v>
      </c>
      <c r="X358" s="174">
        <v>6.34</v>
      </c>
      <c r="Y358" s="174">
        <v>8.36</v>
      </c>
    </row>
    <row r="359" spans="1:25" ht="15" customHeight="1" x14ac:dyDescent="0.25">
      <c r="A359" s="20" t="s">
        <v>13162</v>
      </c>
      <c r="B359" s="53" t="s">
        <v>13163</v>
      </c>
      <c r="C359" s="71" t="str">
        <f t="shared" si="5"/>
        <v>Product Info</v>
      </c>
      <c r="D359" s="93" t="s">
        <v>14741</v>
      </c>
      <c r="E359" s="143">
        <v>1</v>
      </c>
      <c r="F359" s="149" t="s">
        <v>4992</v>
      </c>
      <c r="G359" s="38">
        <v>9.6300000000000008</v>
      </c>
      <c r="H359" s="38">
        <v>8.19</v>
      </c>
      <c r="I359" s="38">
        <v>6.74</v>
      </c>
      <c r="J359" s="39"/>
      <c r="K359" s="143"/>
      <c r="L359" s="22">
        <v>0.3</v>
      </c>
      <c r="M359" s="22" t="s">
        <v>12488</v>
      </c>
      <c r="N359" s="20" t="s">
        <v>12703</v>
      </c>
      <c r="O359" s="16" t="s">
        <v>13912</v>
      </c>
      <c r="P359" s="143" t="s">
        <v>12554</v>
      </c>
      <c r="Q359" s="121" t="s">
        <v>14285</v>
      </c>
      <c r="R359" s="16" t="s">
        <v>8904</v>
      </c>
      <c r="S359" s="10" t="s">
        <v>1163</v>
      </c>
      <c r="T359" s="28" t="s">
        <v>13202</v>
      </c>
      <c r="U359" s="20" t="s">
        <v>5359</v>
      </c>
      <c r="V359" s="11" t="s">
        <v>13162</v>
      </c>
      <c r="W359" s="11" t="s">
        <v>13938</v>
      </c>
      <c r="X359" s="174">
        <v>6.2</v>
      </c>
      <c r="Y359" s="174">
        <v>8.19</v>
      </c>
    </row>
    <row r="360" spans="1:25" ht="15" customHeight="1" x14ac:dyDescent="0.25">
      <c r="A360" s="20" t="s">
        <v>13181</v>
      </c>
      <c r="B360" s="29" t="s">
        <v>13182</v>
      </c>
      <c r="C360" s="71" t="str">
        <f t="shared" si="5"/>
        <v>Product Info</v>
      </c>
      <c r="D360" s="93" t="s">
        <v>14740</v>
      </c>
      <c r="E360" s="143">
        <v>1</v>
      </c>
      <c r="F360" s="149" t="s">
        <v>4992</v>
      </c>
      <c r="G360" s="38">
        <v>14.35</v>
      </c>
      <c r="H360" s="38">
        <v>12.2</v>
      </c>
      <c r="I360" s="38">
        <v>10.050000000000001</v>
      </c>
      <c r="J360" s="39"/>
      <c r="K360" s="143"/>
      <c r="L360" s="22">
        <v>0.3</v>
      </c>
      <c r="M360" s="22" t="s">
        <v>12488</v>
      </c>
      <c r="N360" s="20" t="s">
        <v>12704</v>
      </c>
      <c r="O360" s="16" t="s">
        <v>13912</v>
      </c>
      <c r="P360" s="143" t="s">
        <v>12554</v>
      </c>
      <c r="Q360" s="121" t="s">
        <v>14285</v>
      </c>
      <c r="R360" s="16" t="s">
        <v>8904</v>
      </c>
      <c r="S360" s="10" t="s">
        <v>1163</v>
      </c>
      <c r="T360" s="28" t="s">
        <v>13198</v>
      </c>
      <c r="U360" s="20" t="s">
        <v>5359</v>
      </c>
      <c r="V360" s="11" t="s">
        <v>13181</v>
      </c>
      <c r="W360" s="11" t="s">
        <v>13938</v>
      </c>
      <c r="X360" s="174">
        <v>9.25</v>
      </c>
      <c r="Y360" s="174">
        <v>12.2</v>
      </c>
    </row>
    <row r="361" spans="1:25" ht="15" customHeight="1" x14ac:dyDescent="0.25">
      <c r="A361" s="20" t="s">
        <v>13171</v>
      </c>
      <c r="B361" s="29" t="s">
        <v>13172</v>
      </c>
      <c r="C361" s="71" t="str">
        <f t="shared" si="5"/>
        <v>Product Info</v>
      </c>
      <c r="D361" s="93" t="s">
        <v>14739</v>
      </c>
      <c r="E361" s="143">
        <v>1</v>
      </c>
      <c r="F361" s="149" t="s">
        <v>4992</v>
      </c>
      <c r="G361" s="38">
        <v>9.84</v>
      </c>
      <c r="H361" s="38">
        <v>8.36</v>
      </c>
      <c r="I361" s="38">
        <v>6.89</v>
      </c>
      <c r="J361" s="39"/>
      <c r="K361" s="143"/>
      <c r="L361" s="22">
        <v>0.3</v>
      </c>
      <c r="M361" s="22" t="s">
        <v>12488</v>
      </c>
      <c r="N361" s="20" t="s">
        <v>12703</v>
      </c>
      <c r="O361" s="16" t="s">
        <v>13912</v>
      </c>
      <c r="P361" s="143" t="s">
        <v>12554</v>
      </c>
      <c r="Q361" s="121" t="s">
        <v>14285</v>
      </c>
      <c r="R361" s="16" t="s">
        <v>8904</v>
      </c>
      <c r="S361" s="10" t="s">
        <v>1163</v>
      </c>
      <c r="T361" s="28" t="s">
        <v>13204</v>
      </c>
      <c r="U361" s="20" t="s">
        <v>5359</v>
      </c>
      <c r="V361" s="11" t="s">
        <v>13171</v>
      </c>
      <c r="W361" s="11" t="s">
        <v>13938</v>
      </c>
      <c r="X361" s="174">
        <v>6.34</v>
      </c>
      <c r="Y361" s="174">
        <v>8.36</v>
      </c>
    </row>
    <row r="362" spans="1:25" ht="15" customHeight="1" x14ac:dyDescent="0.25">
      <c r="A362" s="20" t="s">
        <v>13168</v>
      </c>
      <c r="B362" s="29" t="s">
        <v>13169</v>
      </c>
      <c r="C362" s="71" t="str">
        <f t="shared" si="5"/>
        <v>Product Info</v>
      </c>
      <c r="D362" s="93" t="s">
        <v>14738</v>
      </c>
      <c r="E362" s="143">
        <v>1</v>
      </c>
      <c r="F362" s="149" t="s">
        <v>4992</v>
      </c>
      <c r="G362" s="38">
        <v>9.6300000000000008</v>
      </c>
      <c r="H362" s="38">
        <v>8.19</v>
      </c>
      <c r="I362" s="38">
        <v>6.74</v>
      </c>
      <c r="J362" s="39"/>
      <c r="K362" s="143"/>
      <c r="L362" s="22">
        <v>0.3</v>
      </c>
      <c r="M362" s="22" t="s">
        <v>12488</v>
      </c>
      <c r="N362" s="20" t="s">
        <v>12703</v>
      </c>
      <c r="O362" s="16" t="s">
        <v>13912</v>
      </c>
      <c r="P362" s="143" t="s">
        <v>12554</v>
      </c>
      <c r="Q362" s="121" t="s">
        <v>14285</v>
      </c>
      <c r="R362" s="16" t="s">
        <v>8904</v>
      </c>
      <c r="S362" s="10" t="s">
        <v>1163</v>
      </c>
      <c r="T362" s="28" t="s">
        <v>13206</v>
      </c>
      <c r="U362" s="20" t="s">
        <v>5359</v>
      </c>
      <c r="V362" s="11" t="s">
        <v>13168</v>
      </c>
      <c r="W362" s="11" t="s">
        <v>13938</v>
      </c>
      <c r="X362" s="174">
        <v>6.2</v>
      </c>
      <c r="Y362" s="174">
        <v>8.19</v>
      </c>
    </row>
    <row r="363" spans="1:25" ht="15" customHeight="1" x14ac:dyDescent="0.25">
      <c r="A363" s="20" t="s">
        <v>13177</v>
      </c>
      <c r="B363" s="29" t="s">
        <v>13178</v>
      </c>
      <c r="C363" s="71" t="str">
        <f t="shared" si="5"/>
        <v>Product Info</v>
      </c>
      <c r="D363" s="93" t="s">
        <v>14737</v>
      </c>
      <c r="E363" s="143">
        <v>1</v>
      </c>
      <c r="F363" s="149" t="s">
        <v>4992</v>
      </c>
      <c r="G363" s="38">
        <v>9.84</v>
      </c>
      <c r="H363" s="38">
        <v>8.36</v>
      </c>
      <c r="I363" s="38">
        <v>6.89</v>
      </c>
      <c r="J363" s="39"/>
      <c r="K363" s="143"/>
      <c r="L363" s="22">
        <v>0.3</v>
      </c>
      <c r="M363" s="22" t="s">
        <v>12488</v>
      </c>
      <c r="N363" s="20" t="s">
        <v>12703</v>
      </c>
      <c r="O363" s="16" t="s">
        <v>13912</v>
      </c>
      <c r="P363" s="143" t="s">
        <v>12554</v>
      </c>
      <c r="Q363" s="121" t="s">
        <v>14285</v>
      </c>
      <c r="R363" s="16" t="s">
        <v>8904</v>
      </c>
      <c r="S363" s="10" t="s">
        <v>1163</v>
      </c>
      <c r="T363" s="28" t="s">
        <v>13205</v>
      </c>
      <c r="U363" s="20" t="s">
        <v>5359</v>
      </c>
      <c r="V363" s="11" t="s">
        <v>13177</v>
      </c>
      <c r="W363" s="11" t="s">
        <v>13938</v>
      </c>
      <c r="X363" s="174">
        <v>6.34</v>
      </c>
      <c r="Y363" s="174">
        <v>8.36</v>
      </c>
    </row>
    <row r="364" spans="1:25" ht="15" customHeight="1" x14ac:dyDescent="0.25">
      <c r="A364" s="29" t="s">
        <v>13174</v>
      </c>
      <c r="B364" s="29" t="s">
        <v>13175</v>
      </c>
      <c r="C364" s="71" t="str">
        <f t="shared" si="5"/>
        <v>Product Info</v>
      </c>
      <c r="D364" s="93" t="s">
        <v>14736</v>
      </c>
      <c r="E364" s="143">
        <v>1</v>
      </c>
      <c r="F364" s="149" t="s">
        <v>4992</v>
      </c>
      <c r="G364" s="38">
        <v>9.6300000000000008</v>
      </c>
      <c r="H364" s="38">
        <v>8.19</v>
      </c>
      <c r="I364" s="38">
        <v>6.74</v>
      </c>
      <c r="J364" s="39"/>
      <c r="K364" s="143"/>
      <c r="L364" s="22">
        <v>0.3</v>
      </c>
      <c r="M364" s="22" t="s">
        <v>12488</v>
      </c>
      <c r="N364" s="20" t="s">
        <v>12703</v>
      </c>
      <c r="O364" s="16" t="s">
        <v>13912</v>
      </c>
      <c r="P364" s="143" t="s">
        <v>12554</v>
      </c>
      <c r="Q364" s="121" t="s">
        <v>14285</v>
      </c>
      <c r="R364" s="16" t="s">
        <v>8904</v>
      </c>
      <c r="S364" s="10" t="s">
        <v>1163</v>
      </c>
      <c r="T364" s="28" t="s">
        <v>13207</v>
      </c>
      <c r="U364" s="20" t="s">
        <v>5359</v>
      </c>
      <c r="V364" s="11" t="s">
        <v>13174</v>
      </c>
      <c r="W364" s="11" t="s">
        <v>13938</v>
      </c>
      <c r="X364" s="174">
        <v>6.2</v>
      </c>
      <c r="Y364" s="174">
        <v>8.19</v>
      </c>
    </row>
    <row r="365" spans="1:25" ht="15" customHeight="1" x14ac:dyDescent="0.25">
      <c r="A365" s="20" t="s">
        <v>13540</v>
      </c>
      <c r="B365" s="16" t="s">
        <v>13541</v>
      </c>
      <c r="C365" s="71" t="str">
        <f t="shared" si="5"/>
        <v>Product Info</v>
      </c>
      <c r="D365" s="93" t="s">
        <v>14735</v>
      </c>
      <c r="E365" s="143">
        <v>1</v>
      </c>
      <c r="F365" s="12" t="s">
        <v>4992</v>
      </c>
      <c r="G365" s="38">
        <v>105.29</v>
      </c>
      <c r="H365" s="38">
        <v>89.5</v>
      </c>
      <c r="I365" s="38">
        <v>73.7</v>
      </c>
      <c r="J365" s="39"/>
      <c r="K365" s="143"/>
      <c r="L365" s="22">
        <v>4</v>
      </c>
      <c r="M365" s="22" t="s">
        <v>12488</v>
      </c>
      <c r="N365" s="20" t="s">
        <v>14489</v>
      </c>
      <c r="O365" s="16" t="s">
        <v>13912</v>
      </c>
      <c r="P365" s="143">
        <v>819</v>
      </c>
      <c r="Q365" s="121" t="s">
        <v>14285</v>
      </c>
      <c r="R365" s="16" t="s">
        <v>8904</v>
      </c>
      <c r="S365" s="10" t="s">
        <v>1163</v>
      </c>
      <c r="T365" s="28" t="s">
        <v>13808</v>
      </c>
      <c r="U365" s="20" t="s">
        <v>5359</v>
      </c>
      <c r="V365" s="16" t="s">
        <v>14015</v>
      </c>
      <c r="W365" s="16" t="s">
        <v>13938</v>
      </c>
      <c r="X365" s="174">
        <v>70.75</v>
      </c>
      <c r="Y365" s="174">
        <v>89.5</v>
      </c>
    </row>
    <row r="366" spans="1:25" ht="15" customHeight="1" x14ac:dyDescent="0.25">
      <c r="A366" s="20" t="s">
        <v>13538</v>
      </c>
      <c r="B366" s="16" t="s">
        <v>13539</v>
      </c>
      <c r="C366" s="71" t="str">
        <f t="shared" si="5"/>
        <v>Product Info</v>
      </c>
      <c r="D366" s="93" t="s">
        <v>14734</v>
      </c>
      <c r="E366" s="143">
        <v>1</v>
      </c>
      <c r="F366" s="12" t="s">
        <v>4992</v>
      </c>
      <c r="G366" s="38">
        <v>105.29</v>
      </c>
      <c r="H366" s="38">
        <v>89.5</v>
      </c>
      <c r="I366" s="38">
        <v>73.7</v>
      </c>
      <c r="J366" s="39"/>
      <c r="K366" s="143"/>
      <c r="L366" s="22">
        <v>4</v>
      </c>
      <c r="M366" s="22" t="s">
        <v>12488</v>
      </c>
      <c r="N366" s="20" t="s">
        <v>14489</v>
      </c>
      <c r="O366" s="16" t="s">
        <v>13912</v>
      </c>
      <c r="P366" s="143">
        <v>819</v>
      </c>
      <c r="Q366" s="121" t="s">
        <v>14285</v>
      </c>
      <c r="R366" s="16" t="s">
        <v>8904</v>
      </c>
      <c r="S366" s="10" t="s">
        <v>1163</v>
      </c>
      <c r="T366" s="28" t="s">
        <v>13807</v>
      </c>
      <c r="U366" s="20" t="s">
        <v>5359</v>
      </c>
      <c r="V366" s="16" t="s">
        <v>14014</v>
      </c>
      <c r="W366" s="16" t="s">
        <v>13938</v>
      </c>
      <c r="X366" s="174">
        <v>70.75</v>
      </c>
      <c r="Y366" s="174">
        <v>89.5</v>
      </c>
    </row>
    <row r="367" spans="1:25" ht="15" customHeight="1" x14ac:dyDescent="0.25">
      <c r="A367" s="20" t="s">
        <v>13536</v>
      </c>
      <c r="B367" s="16" t="s">
        <v>13537</v>
      </c>
      <c r="C367" s="71" t="str">
        <f t="shared" si="5"/>
        <v>Product Info</v>
      </c>
      <c r="D367" s="93" t="s">
        <v>14733</v>
      </c>
      <c r="E367" s="143">
        <v>1</v>
      </c>
      <c r="F367" s="12" t="s">
        <v>4992</v>
      </c>
      <c r="G367" s="38">
        <v>105.29</v>
      </c>
      <c r="H367" s="38">
        <v>89.5</v>
      </c>
      <c r="I367" s="38">
        <v>73.7</v>
      </c>
      <c r="J367" s="39"/>
      <c r="K367" s="143"/>
      <c r="L367" s="22">
        <v>4</v>
      </c>
      <c r="M367" s="22" t="s">
        <v>12488</v>
      </c>
      <c r="N367" s="20" t="s">
        <v>14489</v>
      </c>
      <c r="O367" s="16" t="s">
        <v>13912</v>
      </c>
      <c r="P367" s="143">
        <v>819</v>
      </c>
      <c r="Q367" s="121" t="s">
        <v>14285</v>
      </c>
      <c r="R367" s="16" t="s">
        <v>8904</v>
      </c>
      <c r="S367" s="10" t="s">
        <v>1163</v>
      </c>
      <c r="T367" s="28" t="s">
        <v>13806</v>
      </c>
      <c r="U367" s="20" t="s">
        <v>5359</v>
      </c>
      <c r="V367" s="16" t="s">
        <v>14013</v>
      </c>
      <c r="W367" s="16" t="s">
        <v>13938</v>
      </c>
      <c r="X367" s="174">
        <v>70.75</v>
      </c>
      <c r="Y367" s="174">
        <v>89.5</v>
      </c>
    </row>
    <row r="368" spans="1:25" ht="15" customHeight="1" x14ac:dyDescent="0.25">
      <c r="A368" s="20" t="s">
        <v>13534</v>
      </c>
      <c r="B368" s="16" t="s">
        <v>13535</v>
      </c>
      <c r="C368" s="71" t="str">
        <f t="shared" si="5"/>
        <v>Product Info</v>
      </c>
      <c r="D368" s="93" t="s">
        <v>14732</v>
      </c>
      <c r="E368" s="143">
        <v>1</v>
      </c>
      <c r="F368" s="12" t="s">
        <v>4992</v>
      </c>
      <c r="G368" s="38">
        <v>105.29</v>
      </c>
      <c r="H368" s="38">
        <v>89.5</v>
      </c>
      <c r="I368" s="38">
        <v>73.7</v>
      </c>
      <c r="J368" s="39"/>
      <c r="K368" s="143"/>
      <c r="L368" s="22">
        <v>4</v>
      </c>
      <c r="M368" s="22" t="s">
        <v>12488</v>
      </c>
      <c r="N368" s="20" t="s">
        <v>14489</v>
      </c>
      <c r="O368" s="16" t="s">
        <v>13912</v>
      </c>
      <c r="P368" s="143">
        <v>819</v>
      </c>
      <c r="Q368" s="121" t="s">
        <v>14285</v>
      </c>
      <c r="R368" s="16" t="s">
        <v>8904</v>
      </c>
      <c r="S368" s="10" t="s">
        <v>1163</v>
      </c>
      <c r="T368" s="28" t="s">
        <v>13805</v>
      </c>
      <c r="U368" s="20" t="s">
        <v>5359</v>
      </c>
      <c r="V368" s="16" t="s">
        <v>14012</v>
      </c>
      <c r="W368" s="16" t="s">
        <v>13938</v>
      </c>
      <c r="X368" s="174">
        <v>70.75</v>
      </c>
      <c r="Y368" s="174">
        <v>89.5</v>
      </c>
    </row>
    <row r="369" spans="1:25" ht="15" customHeight="1" x14ac:dyDescent="0.25">
      <c r="A369" s="20" t="s">
        <v>13678</v>
      </c>
      <c r="B369" s="16" t="s">
        <v>13679</v>
      </c>
      <c r="C369" s="71" t="str">
        <f t="shared" si="5"/>
        <v>Product Info</v>
      </c>
      <c r="D369" s="93" t="s">
        <v>14731</v>
      </c>
      <c r="E369" s="143">
        <v>1</v>
      </c>
      <c r="F369" s="12" t="s">
        <v>4992</v>
      </c>
      <c r="G369" s="38">
        <v>105.29</v>
      </c>
      <c r="H369" s="38">
        <v>89.5</v>
      </c>
      <c r="I369" s="38">
        <v>73.7</v>
      </c>
      <c r="J369" s="39"/>
      <c r="K369" s="143"/>
      <c r="L369" s="22">
        <v>4</v>
      </c>
      <c r="M369" s="22" t="s">
        <v>12488</v>
      </c>
      <c r="N369" s="20" t="s">
        <v>14489</v>
      </c>
      <c r="O369" s="16" t="s">
        <v>13912</v>
      </c>
      <c r="P369" s="143">
        <v>819</v>
      </c>
      <c r="Q369" s="121" t="s">
        <v>14285</v>
      </c>
      <c r="R369" s="16" t="s">
        <v>8904</v>
      </c>
      <c r="S369" s="10" t="s">
        <v>1163</v>
      </c>
      <c r="T369" s="28" t="s">
        <v>13877</v>
      </c>
      <c r="U369" s="20" t="s">
        <v>5359</v>
      </c>
      <c r="V369" s="16" t="s">
        <v>14100</v>
      </c>
      <c r="W369" s="16" t="s">
        <v>13938</v>
      </c>
      <c r="X369" s="174">
        <v>70.75</v>
      </c>
      <c r="Y369" s="174">
        <v>89.5</v>
      </c>
    </row>
    <row r="370" spans="1:25" ht="15" customHeight="1" x14ac:dyDescent="0.25">
      <c r="A370" s="20" t="s">
        <v>13676</v>
      </c>
      <c r="B370" s="16" t="s">
        <v>13677</v>
      </c>
      <c r="C370" s="71" t="str">
        <f t="shared" si="5"/>
        <v>Product Info</v>
      </c>
      <c r="D370" s="93" t="s">
        <v>14730</v>
      </c>
      <c r="E370" s="143">
        <v>1</v>
      </c>
      <c r="F370" s="12" t="s">
        <v>4992</v>
      </c>
      <c r="G370" s="38">
        <v>105.29</v>
      </c>
      <c r="H370" s="38">
        <v>89.5</v>
      </c>
      <c r="I370" s="38">
        <v>73.7</v>
      </c>
      <c r="J370" s="39"/>
      <c r="K370" s="143"/>
      <c r="L370" s="22">
        <v>4</v>
      </c>
      <c r="M370" s="22" t="s">
        <v>12488</v>
      </c>
      <c r="N370" s="20" t="s">
        <v>14489</v>
      </c>
      <c r="O370" s="16" t="s">
        <v>13912</v>
      </c>
      <c r="P370" s="143">
        <v>819</v>
      </c>
      <c r="Q370" s="121" t="s">
        <v>14285</v>
      </c>
      <c r="R370" s="16" t="s">
        <v>8904</v>
      </c>
      <c r="S370" s="10" t="s">
        <v>1163</v>
      </c>
      <c r="T370" s="28" t="s">
        <v>13876</v>
      </c>
      <c r="U370" s="20" t="s">
        <v>5359</v>
      </c>
      <c r="V370" s="16" t="s">
        <v>14099</v>
      </c>
      <c r="W370" s="16" t="s">
        <v>13938</v>
      </c>
      <c r="X370" s="174">
        <v>70.75</v>
      </c>
      <c r="Y370" s="174">
        <v>89.5</v>
      </c>
    </row>
    <row r="371" spans="1:25" ht="15" customHeight="1" x14ac:dyDescent="0.25">
      <c r="A371" s="20" t="s">
        <v>13672</v>
      </c>
      <c r="B371" s="16" t="s">
        <v>13673</v>
      </c>
      <c r="C371" s="71" t="str">
        <f t="shared" si="5"/>
        <v>Product Info</v>
      </c>
      <c r="D371" s="93" t="s">
        <v>14729</v>
      </c>
      <c r="E371" s="143">
        <v>1</v>
      </c>
      <c r="F371" s="12" t="s">
        <v>4992</v>
      </c>
      <c r="G371" s="38">
        <v>105.29</v>
      </c>
      <c r="H371" s="38">
        <v>89.5</v>
      </c>
      <c r="I371" s="38">
        <v>73.7</v>
      </c>
      <c r="J371" s="39"/>
      <c r="K371" s="143"/>
      <c r="L371" s="22">
        <v>4</v>
      </c>
      <c r="M371" s="22" t="s">
        <v>12488</v>
      </c>
      <c r="N371" s="20" t="s">
        <v>14489</v>
      </c>
      <c r="O371" s="16" t="s">
        <v>13912</v>
      </c>
      <c r="P371" s="143">
        <v>819</v>
      </c>
      <c r="Q371" s="121" t="s">
        <v>14285</v>
      </c>
      <c r="R371" s="16" t="s">
        <v>8904</v>
      </c>
      <c r="S371" s="10" t="s">
        <v>1163</v>
      </c>
      <c r="T371" s="28" t="s">
        <v>13874</v>
      </c>
      <c r="U371" s="20" t="s">
        <v>5359</v>
      </c>
      <c r="V371" s="16" t="s">
        <v>14097</v>
      </c>
      <c r="W371" s="16" t="s">
        <v>13938</v>
      </c>
      <c r="X371" s="174">
        <v>70.75</v>
      </c>
      <c r="Y371" s="174">
        <v>89.5</v>
      </c>
    </row>
    <row r="372" spans="1:25" ht="15" customHeight="1" x14ac:dyDescent="0.25">
      <c r="A372" s="20" t="s">
        <v>13674</v>
      </c>
      <c r="B372" s="16" t="s">
        <v>13675</v>
      </c>
      <c r="C372" s="71" t="str">
        <f t="shared" si="5"/>
        <v>Product Info</v>
      </c>
      <c r="D372" s="93" t="s">
        <v>14728</v>
      </c>
      <c r="E372" s="143">
        <v>1</v>
      </c>
      <c r="F372" s="12" t="s">
        <v>4992</v>
      </c>
      <c r="G372" s="38">
        <v>105.29</v>
      </c>
      <c r="H372" s="38">
        <v>89.5</v>
      </c>
      <c r="I372" s="38">
        <v>73.7</v>
      </c>
      <c r="J372" s="39"/>
      <c r="K372" s="143"/>
      <c r="L372" s="22">
        <v>4</v>
      </c>
      <c r="M372" s="22" t="s">
        <v>12488</v>
      </c>
      <c r="N372" s="20" t="s">
        <v>14489</v>
      </c>
      <c r="O372" s="16" t="s">
        <v>13912</v>
      </c>
      <c r="P372" s="143">
        <v>819</v>
      </c>
      <c r="Q372" s="121" t="s">
        <v>14285</v>
      </c>
      <c r="R372" s="16" t="s">
        <v>8904</v>
      </c>
      <c r="S372" s="10" t="s">
        <v>1163</v>
      </c>
      <c r="T372" s="28" t="s">
        <v>13875</v>
      </c>
      <c r="U372" s="20" t="s">
        <v>5359</v>
      </c>
      <c r="V372" s="16" t="s">
        <v>14098</v>
      </c>
      <c r="W372" s="16" t="s">
        <v>13938</v>
      </c>
      <c r="X372" s="174">
        <v>70.75</v>
      </c>
      <c r="Y372" s="174">
        <v>89.5</v>
      </c>
    </row>
    <row r="373" spans="1:25" ht="15" customHeight="1" x14ac:dyDescent="0.25">
      <c r="A373" s="20" t="s">
        <v>13532</v>
      </c>
      <c r="B373" s="16" t="s">
        <v>13533</v>
      </c>
      <c r="C373" s="71" t="str">
        <f t="shared" si="5"/>
        <v>Product Info</v>
      </c>
      <c r="D373" s="93" t="s">
        <v>14727</v>
      </c>
      <c r="E373" s="143">
        <v>1</v>
      </c>
      <c r="F373" s="12" t="s">
        <v>4992</v>
      </c>
      <c r="G373" s="38">
        <v>105.29</v>
      </c>
      <c r="H373" s="38">
        <v>89.5</v>
      </c>
      <c r="I373" s="38">
        <v>73.7</v>
      </c>
      <c r="J373" s="39"/>
      <c r="K373" s="143"/>
      <c r="L373" s="22">
        <v>4</v>
      </c>
      <c r="M373" s="22" t="s">
        <v>12488</v>
      </c>
      <c r="N373" s="20" t="s">
        <v>14489</v>
      </c>
      <c r="O373" s="16" t="s">
        <v>13912</v>
      </c>
      <c r="P373" s="143">
        <v>819</v>
      </c>
      <c r="Q373" s="121" t="s">
        <v>14285</v>
      </c>
      <c r="R373" s="16" t="s">
        <v>8904</v>
      </c>
      <c r="S373" s="10" t="s">
        <v>1163</v>
      </c>
      <c r="T373" s="28" t="s">
        <v>13804</v>
      </c>
      <c r="U373" s="20" t="s">
        <v>5359</v>
      </c>
      <c r="V373" s="16" t="s">
        <v>14011</v>
      </c>
      <c r="W373" s="16" t="s">
        <v>13938</v>
      </c>
      <c r="X373" s="174">
        <v>70.75</v>
      </c>
      <c r="Y373" s="174">
        <v>89.5</v>
      </c>
    </row>
    <row r="374" spans="1:25" ht="15" customHeight="1" x14ac:dyDescent="0.25">
      <c r="A374" s="20" t="s">
        <v>13530</v>
      </c>
      <c r="B374" s="16" t="s">
        <v>13531</v>
      </c>
      <c r="C374" s="71" t="str">
        <f t="shared" si="5"/>
        <v>Product Info</v>
      </c>
      <c r="D374" s="93" t="s">
        <v>14726</v>
      </c>
      <c r="E374" s="143">
        <v>1</v>
      </c>
      <c r="F374" s="12" t="s">
        <v>4992</v>
      </c>
      <c r="G374" s="38">
        <v>105.29</v>
      </c>
      <c r="H374" s="38">
        <v>89.5</v>
      </c>
      <c r="I374" s="38">
        <v>73.7</v>
      </c>
      <c r="J374" s="39"/>
      <c r="K374" s="143"/>
      <c r="L374" s="22">
        <v>4</v>
      </c>
      <c r="M374" s="22" t="s">
        <v>12488</v>
      </c>
      <c r="N374" s="20" t="s">
        <v>14489</v>
      </c>
      <c r="O374" s="16" t="s">
        <v>13912</v>
      </c>
      <c r="P374" s="143">
        <v>819</v>
      </c>
      <c r="Q374" s="121" t="s">
        <v>14285</v>
      </c>
      <c r="R374" s="16" t="s">
        <v>8904</v>
      </c>
      <c r="S374" s="10" t="s">
        <v>1163</v>
      </c>
      <c r="T374" s="28" t="s">
        <v>13803</v>
      </c>
      <c r="U374" s="20" t="s">
        <v>5359</v>
      </c>
      <c r="V374" s="16" t="s">
        <v>14010</v>
      </c>
      <c r="W374" s="16" t="s">
        <v>13938</v>
      </c>
      <c r="X374" s="174">
        <v>70.75</v>
      </c>
      <c r="Y374" s="174">
        <v>89.5</v>
      </c>
    </row>
    <row r="375" spans="1:25" ht="15" customHeight="1" x14ac:dyDescent="0.25">
      <c r="A375" s="20" t="s">
        <v>13528</v>
      </c>
      <c r="B375" s="16" t="s">
        <v>13529</v>
      </c>
      <c r="C375" s="71" t="str">
        <f t="shared" si="5"/>
        <v>Product Info</v>
      </c>
      <c r="D375" s="93" t="s">
        <v>14725</v>
      </c>
      <c r="E375" s="143">
        <v>1</v>
      </c>
      <c r="F375" s="12" t="s">
        <v>4992</v>
      </c>
      <c r="G375" s="38">
        <v>105.29</v>
      </c>
      <c r="H375" s="38">
        <v>89.5</v>
      </c>
      <c r="I375" s="38">
        <v>73.7</v>
      </c>
      <c r="J375" s="39"/>
      <c r="K375" s="143"/>
      <c r="L375" s="22">
        <v>4</v>
      </c>
      <c r="M375" s="22" t="s">
        <v>12488</v>
      </c>
      <c r="N375" s="20" t="s">
        <v>14489</v>
      </c>
      <c r="O375" s="16" t="s">
        <v>13912</v>
      </c>
      <c r="P375" s="143">
        <v>819</v>
      </c>
      <c r="Q375" s="121" t="s">
        <v>14285</v>
      </c>
      <c r="R375" s="16" t="s">
        <v>8904</v>
      </c>
      <c r="S375" s="10" t="s">
        <v>1163</v>
      </c>
      <c r="T375" s="28" t="s">
        <v>13802</v>
      </c>
      <c r="U375" s="20" t="s">
        <v>5359</v>
      </c>
      <c r="V375" s="16" t="s">
        <v>14009</v>
      </c>
      <c r="W375" s="16" t="s">
        <v>13938</v>
      </c>
      <c r="X375" s="174">
        <v>70.75</v>
      </c>
      <c r="Y375" s="174">
        <v>89.5</v>
      </c>
    </row>
    <row r="376" spans="1:25" ht="15" customHeight="1" x14ac:dyDescent="0.25">
      <c r="A376" s="20" t="s">
        <v>13516</v>
      </c>
      <c r="B376" s="16" t="s">
        <v>13517</v>
      </c>
      <c r="C376" s="71" t="str">
        <f t="shared" si="5"/>
        <v>Product Info</v>
      </c>
      <c r="D376" s="93" t="s">
        <v>14724</v>
      </c>
      <c r="E376" s="143">
        <v>1</v>
      </c>
      <c r="F376" s="12" t="s">
        <v>4992</v>
      </c>
      <c r="G376" s="38">
        <v>105.29</v>
      </c>
      <c r="H376" s="38">
        <v>89.5</v>
      </c>
      <c r="I376" s="38">
        <v>73.7</v>
      </c>
      <c r="J376" s="39"/>
      <c r="K376" s="143"/>
      <c r="L376" s="22">
        <v>4</v>
      </c>
      <c r="M376" s="22" t="s">
        <v>12488</v>
      </c>
      <c r="N376" s="20" t="s">
        <v>14489</v>
      </c>
      <c r="O376" s="16" t="s">
        <v>13912</v>
      </c>
      <c r="P376" s="143">
        <v>819</v>
      </c>
      <c r="Q376" s="121" t="s">
        <v>14285</v>
      </c>
      <c r="R376" s="16" t="s">
        <v>8904</v>
      </c>
      <c r="S376" s="10" t="s">
        <v>1163</v>
      </c>
      <c r="T376" s="28" t="s">
        <v>13796</v>
      </c>
      <c r="U376" s="20" t="s">
        <v>5359</v>
      </c>
      <c r="V376" s="16" t="s">
        <v>14003</v>
      </c>
      <c r="W376" s="16" t="s">
        <v>13938</v>
      </c>
      <c r="X376" s="174">
        <v>70.75</v>
      </c>
      <c r="Y376" s="174">
        <v>89.5</v>
      </c>
    </row>
    <row r="377" spans="1:25" ht="15" customHeight="1" x14ac:dyDescent="0.25">
      <c r="A377" s="20" t="s">
        <v>13514</v>
      </c>
      <c r="B377" s="16" t="s">
        <v>13515</v>
      </c>
      <c r="C377" s="71" t="str">
        <f t="shared" si="5"/>
        <v>Product Info</v>
      </c>
      <c r="D377" s="93" t="s">
        <v>14723</v>
      </c>
      <c r="E377" s="143">
        <v>1</v>
      </c>
      <c r="F377" s="12" t="s">
        <v>4992</v>
      </c>
      <c r="G377" s="38">
        <v>105.29</v>
      </c>
      <c r="H377" s="38">
        <v>89.5</v>
      </c>
      <c r="I377" s="38">
        <v>73.7</v>
      </c>
      <c r="J377" s="39"/>
      <c r="K377" s="143"/>
      <c r="L377" s="22">
        <v>4</v>
      </c>
      <c r="M377" s="22" t="s">
        <v>12488</v>
      </c>
      <c r="N377" s="20" t="s">
        <v>14489</v>
      </c>
      <c r="O377" s="16" t="s">
        <v>13912</v>
      </c>
      <c r="P377" s="143">
        <v>819</v>
      </c>
      <c r="Q377" s="121" t="s">
        <v>14285</v>
      </c>
      <c r="R377" s="16" t="s">
        <v>8904</v>
      </c>
      <c r="S377" s="10" t="s">
        <v>1163</v>
      </c>
      <c r="T377" s="28" t="s">
        <v>13795</v>
      </c>
      <c r="U377" s="20" t="s">
        <v>5359</v>
      </c>
      <c r="V377" s="16" t="s">
        <v>14002</v>
      </c>
      <c r="W377" s="16" t="s">
        <v>13938</v>
      </c>
      <c r="X377" s="174">
        <v>70.75</v>
      </c>
      <c r="Y377" s="174">
        <v>89.5</v>
      </c>
    </row>
    <row r="378" spans="1:25" ht="15" customHeight="1" x14ac:dyDescent="0.25">
      <c r="A378" s="20" t="s">
        <v>13526</v>
      </c>
      <c r="B378" s="16" t="s">
        <v>13527</v>
      </c>
      <c r="C378" s="71" t="str">
        <f t="shared" si="5"/>
        <v>Product Info</v>
      </c>
      <c r="D378" s="93" t="s">
        <v>14722</v>
      </c>
      <c r="E378" s="143">
        <v>1</v>
      </c>
      <c r="F378" s="12" t="s">
        <v>4992</v>
      </c>
      <c r="G378" s="38">
        <v>105.29</v>
      </c>
      <c r="H378" s="38">
        <v>89.5</v>
      </c>
      <c r="I378" s="38">
        <v>73.7</v>
      </c>
      <c r="J378" s="39"/>
      <c r="K378" s="143"/>
      <c r="L378" s="22">
        <v>4</v>
      </c>
      <c r="M378" s="22" t="s">
        <v>12488</v>
      </c>
      <c r="N378" s="20" t="s">
        <v>14489</v>
      </c>
      <c r="O378" s="16" t="s">
        <v>13912</v>
      </c>
      <c r="P378" s="143">
        <v>819</v>
      </c>
      <c r="Q378" s="121" t="s">
        <v>14285</v>
      </c>
      <c r="R378" s="16" t="s">
        <v>8904</v>
      </c>
      <c r="S378" s="10" t="s">
        <v>1163</v>
      </c>
      <c r="T378" s="28" t="s">
        <v>13801</v>
      </c>
      <c r="U378" s="20" t="s">
        <v>5359</v>
      </c>
      <c r="V378" s="16" t="s">
        <v>14008</v>
      </c>
      <c r="W378" s="16" t="s">
        <v>13938</v>
      </c>
      <c r="X378" s="174">
        <v>70.75</v>
      </c>
      <c r="Y378" s="174">
        <v>89.5</v>
      </c>
    </row>
    <row r="379" spans="1:25" s="91" customFormat="1" ht="15" customHeight="1" x14ac:dyDescent="0.3">
      <c r="A379" s="20" t="s">
        <v>13522</v>
      </c>
      <c r="B379" s="16" t="s">
        <v>13523</v>
      </c>
      <c r="C379" s="71" t="str">
        <f t="shared" si="5"/>
        <v>Product Info</v>
      </c>
      <c r="D379" s="93" t="s">
        <v>14721</v>
      </c>
      <c r="E379" s="143">
        <v>1</v>
      </c>
      <c r="F379" s="12" t="s">
        <v>4992</v>
      </c>
      <c r="G379" s="38">
        <v>105.29</v>
      </c>
      <c r="H379" s="38">
        <v>89.5</v>
      </c>
      <c r="I379" s="38">
        <v>73.7</v>
      </c>
      <c r="J379" s="39"/>
      <c r="K379" s="143"/>
      <c r="L379" s="22">
        <v>4</v>
      </c>
      <c r="M379" s="22" t="s">
        <v>12488</v>
      </c>
      <c r="N379" s="20" t="s">
        <v>14489</v>
      </c>
      <c r="O379" s="16" t="s">
        <v>13912</v>
      </c>
      <c r="P379" s="143">
        <v>819</v>
      </c>
      <c r="Q379" s="121" t="s">
        <v>14285</v>
      </c>
      <c r="R379" s="16" t="s">
        <v>8904</v>
      </c>
      <c r="S379" s="10" t="s">
        <v>1163</v>
      </c>
      <c r="T379" s="28" t="s">
        <v>13799</v>
      </c>
      <c r="U379" s="20" t="s">
        <v>5359</v>
      </c>
      <c r="V379" s="16" t="s">
        <v>14006</v>
      </c>
      <c r="W379" s="16" t="s">
        <v>13938</v>
      </c>
      <c r="X379" s="174">
        <v>70.75</v>
      </c>
      <c r="Y379" s="174">
        <v>89.5</v>
      </c>
    </row>
    <row r="380" spans="1:25" s="91" customFormat="1" ht="15" customHeight="1" x14ac:dyDescent="0.3">
      <c r="A380" s="20" t="s">
        <v>13524</v>
      </c>
      <c r="B380" s="16" t="s">
        <v>13525</v>
      </c>
      <c r="C380" s="71" t="str">
        <f t="shared" si="5"/>
        <v>Product Info</v>
      </c>
      <c r="D380" s="93" t="s">
        <v>14720</v>
      </c>
      <c r="E380" s="143">
        <v>1</v>
      </c>
      <c r="F380" s="12" t="s">
        <v>4992</v>
      </c>
      <c r="G380" s="38">
        <v>105.29</v>
      </c>
      <c r="H380" s="38">
        <v>89.5</v>
      </c>
      <c r="I380" s="38">
        <v>73.7</v>
      </c>
      <c r="J380" s="39"/>
      <c r="K380" s="143"/>
      <c r="L380" s="22">
        <v>4</v>
      </c>
      <c r="M380" s="22" t="s">
        <v>12488</v>
      </c>
      <c r="N380" s="20" t="s">
        <v>14489</v>
      </c>
      <c r="O380" s="16" t="s">
        <v>13912</v>
      </c>
      <c r="P380" s="143">
        <v>819</v>
      </c>
      <c r="Q380" s="121" t="s">
        <v>14285</v>
      </c>
      <c r="R380" s="16" t="s">
        <v>8904</v>
      </c>
      <c r="S380" s="10" t="s">
        <v>1163</v>
      </c>
      <c r="T380" s="28" t="s">
        <v>13800</v>
      </c>
      <c r="U380" s="20" t="s">
        <v>5359</v>
      </c>
      <c r="V380" s="16" t="s">
        <v>14007</v>
      </c>
      <c r="W380" s="16" t="s">
        <v>13938</v>
      </c>
      <c r="X380" s="174">
        <v>70.75</v>
      </c>
      <c r="Y380" s="174">
        <v>89.5</v>
      </c>
    </row>
    <row r="381" spans="1:25" s="91" customFormat="1" ht="15" customHeight="1" x14ac:dyDescent="0.3">
      <c r="A381" s="20" t="s">
        <v>13520</v>
      </c>
      <c r="B381" s="16" t="s">
        <v>13521</v>
      </c>
      <c r="C381" s="71" t="str">
        <f t="shared" si="5"/>
        <v>Product Info</v>
      </c>
      <c r="D381" s="93" t="s">
        <v>14719</v>
      </c>
      <c r="E381" s="143">
        <v>1</v>
      </c>
      <c r="F381" s="12" t="s">
        <v>4992</v>
      </c>
      <c r="G381" s="38">
        <v>105.29</v>
      </c>
      <c r="H381" s="38">
        <v>89.5</v>
      </c>
      <c r="I381" s="38">
        <v>73.7</v>
      </c>
      <c r="J381" s="39"/>
      <c r="K381" s="143"/>
      <c r="L381" s="22">
        <v>4</v>
      </c>
      <c r="M381" s="22" t="s">
        <v>12488</v>
      </c>
      <c r="N381" s="20" t="s">
        <v>14489</v>
      </c>
      <c r="O381" s="16" t="s">
        <v>13912</v>
      </c>
      <c r="P381" s="143">
        <v>819</v>
      </c>
      <c r="Q381" s="121" t="s">
        <v>14285</v>
      </c>
      <c r="R381" s="16" t="s">
        <v>8904</v>
      </c>
      <c r="S381" s="10" t="s">
        <v>1163</v>
      </c>
      <c r="T381" s="28" t="s">
        <v>13798</v>
      </c>
      <c r="U381" s="20" t="s">
        <v>5359</v>
      </c>
      <c r="V381" s="16" t="s">
        <v>14005</v>
      </c>
      <c r="W381" s="16" t="s">
        <v>13938</v>
      </c>
      <c r="X381" s="174">
        <v>70.75</v>
      </c>
      <c r="Y381" s="174">
        <v>89.5</v>
      </c>
    </row>
    <row r="382" spans="1:25" s="91" customFormat="1" ht="15" customHeight="1" x14ac:dyDescent="0.3">
      <c r="A382" s="20" t="s">
        <v>13518</v>
      </c>
      <c r="B382" s="16" t="s">
        <v>13519</v>
      </c>
      <c r="C382" s="71" t="str">
        <f t="shared" si="5"/>
        <v>Product Info</v>
      </c>
      <c r="D382" s="93" t="s">
        <v>14718</v>
      </c>
      <c r="E382" s="143">
        <v>1</v>
      </c>
      <c r="F382" s="12" t="s">
        <v>4992</v>
      </c>
      <c r="G382" s="38">
        <v>105.29</v>
      </c>
      <c r="H382" s="38">
        <v>89.5</v>
      </c>
      <c r="I382" s="38">
        <v>73.7</v>
      </c>
      <c r="J382" s="39"/>
      <c r="K382" s="143"/>
      <c r="L382" s="22">
        <v>4</v>
      </c>
      <c r="M382" s="22" t="s">
        <v>12488</v>
      </c>
      <c r="N382" s="20" t="s">
        <v>14489</v>
      </c>
      <c r="O382" s="16" t="s">
        <v>13912</v>
      </c>
      <c r="P382" s="143">
        <v>819</v>
      </c>
      <c r="Q382" s="121" t="s">
        <v>14285</v>
      </c>
      <c r="R382" s="16" t="s">
        <v>8904</v>
      </c>
      <c r="S382" s="10" t="s">
        <v>1163</v>
      </c>
      <c r="T382" s="28" t="s">
        <v>13797</v>
      </c>
      <c r="U382" s="20" t="s">
        <v>5359</v>
      </c>
      <c r="V382" s="16" t="s">
        <v>14004</v>
      </c>
      <c r="W382" s="16" t="s">
        <v>13938</v>
      </c>
      <c r="X382" s="174">
        <v>70.75</v>
      </c>
      <c r="Y382" s="174">
        <v>89.5</v>
      </c>
    </row>
    <row r="383" spans="1:25" s="91" customFormat="1" ht="15" customHeight="1" x14ac:dyDescent="0.3">
      <c r="A383" s="20" t="s">
        <v>13500</v>
      </c>
      <c r="B383" s="16" t="s">
        <v>13501</v>
      </c>
      <c r="C383" s="71" t="str">
        <f t="shared" si="5"/>
        <v>Product Info</v>
      </c>
      <c r="D383" s="93" t="s">
        <v>14717</v>
      </c>
      <c r="E383" s="143">
        <v>1</v>
      </c>
      <c r="F383" s="12" t="s">
        <v>4992</v>
      </c>
      <c r="G383" s="38">
        <v>105.29</v>
      </c>
      <c r="H383" s="38">
        <v>89.5</v>
      </c>
      <c r="I383" s="38">
        <v>73.7</v>
      </c>
      <c r="J383" s="39"/>
      <c r="K383" s="143"/>
      <c r="L383" s="22">
        <v>4</v>
      </c>
      <c r="M383" s="22" t="s">
        <v>12488</v>
      </c>
      <c r="N383" s="20" t="s">
        <v>14489</v>
      </c>
      <c r="O383" s="16" t="s">
        <v>13912</v>
      </c>
      <c r="P383" s="143">
        <v>819</v>
      </c>
      <c r="Q383" s="122" t="s">
        <v>9227</v>
      </c>
      <c r="R383" s="16" t="s">
        <v>8904</v>
      </c>
      <c r="S383" s="10" t="s">
        <v>1163</v>
      </c>
      <c r="T383" s="28" t="s">
        <v>13788</v>
      </c>
      <c r="U383" s="20" t="s">
        <v>5359</v>
      </c>
      <c r="V383" s="16" t="s">
        <v>13995</v>
      </c>
      <c r="W383" s="16" t="s">
        <v>13938</v>
      </c>
      <c r="X383" s="174">
        <v>70.75</v>
      </c>
      <c r="Y383" s="174">
        <v>89.5</v>
      </c>
    </row>
    <row r="384" spans="1:25" s="91" customFormat="1" ht="15" customHeight="1" x14ac:dyDescent="0.3">
      <c r="A384" s="20" t="s">
        <v>13506</v>
      </c>
      <c r="B384" s="16" t="s">
        <v>13507</v>
      </c>
      <c r="C384" s="71" t="str">
        <f t="shared" si="5"/>
        <v>Product Info</v>
      </c>
      <c r="D384" s="93" t="s">
        <v>14716</v>
      </c>
      <c r="E384" s="143">
        <v>1</v>
      </c>
      <c r="F384" s="12" t="s">
        <v>4992</v>
      </c>
      <c r="G384" s="38">
        <v>105.29</v>
      </c>
      <c r="H384" s="38">
        <v>89.5</v>
      </c>
      <c r="I384" s="38">
        <v>73.7</v>
      </c>
      <c r="J384" s="39"/>
      <c r="K384" s="143"/>
      <c r="L384" s="22">
        <v>4</v>
      </c>
      <c r="M384" s="22" t="s">
        <v>12488</v>
      </c>
      <c r="N384" s="20" t="s">
        <v>14489</v>
      </c>
      <c r="O384" s="16" t="s">
        <v>13912</v>
      </c>
      <c r="P384" s="143">
        <v>819</v>
      </c>
      <c r="Q384" s="121" t="s">
        <v>14285</v>
      </c>
      <c r="R384" s="16" t="s">
        <v>8904</v>
      </c>
      <c r="S384" s="10" t="s">
        <v>1163</v>
      </c>
      <c r="T384" s="28" t="s">
        <v>13791</v>
      </c>
      <c r="U384" s="20" t="s">
        <v>5359</v>
      </c>
      <c r="V384" s="16" t="s">
        <v>13998</v>
      </c>
      <c r="W384" s="16" t="s">
        <v>13938</v>
      </c>
      <c r="X384" s="174">
        <v>70.75</v>
      </c>
      <c r="Y384" s="174">
        <v>89.5</v>
      </c>
    </row>
    <row r="385" spans="1:25" s="91" customFormat="1" ht="15" customHeight="1" x14ac:dyDescent="0.3">
      <c r="A385" s="20" t="s">
        <v>13508</v>
      </c>
      <c r="B385" s="16" t="s">
        <v>13509</v>
      </c>
      <c r="C385" s="71" t="str">
        <f t="shared" si="5"/>
        <v>Product Info</v>
      </c>
      <c r="D385" s="93" t="s">
        <v>14715</v>
      </c>
      <c r="E385" s="143">
        <v>1</v>
      </c>
      <c r="F385" s="12" t="s">
        <v>4992</v>
      </c>
      <c r="G385" s="38">
        <v>105.29</v>
      </c>
      <c r="H385" s="38">
        <v>89.5</v>
      </c>
      <c r="I385" s="38">
        <v>73.7</v>
      </c>
      <c r="J385" s="39"/>
      <c r="K385" s="143"/>
      <c r="L385" s="22">
        <v>4</v>
      </c>
      <c r="M385" s="22" t="s">
        <v>12488</v>
      </c>
      <c r="N385" s="20" t="s">
        <v>14489</v>
      </c>
      <c r="O385" s="16" t="s">
        <v>13912</v>
      </c>
      <c r="P385" s="143">
        <v>819</v>
      </c>
      <c r="Q385" s="121" t="s">
        <v>14285</v>
      </c>
      <c r="R385" s="16" t="s">
        <v>8904</v>
      </c>
      <c r="S385" s="10" t="s">
        <v>1163</v>
      </c>
      <c r="T385" s="28" t="s">
        <v>13792</v>
      </c>
      <c r="U385" s="20" t="s">
        <v>5359</v>
      </c>
      <c r="V385" s="16" t="s">
        <v>13999</v>
      </c>
      <c r="W385" s="16" t="s">
        <v>13938</v>
      </c>
      <c r="X385" s="174">
        <v>70.75</v>
      </c>
      <c r="Y385" s="174">
        <v>89.5</v>
      </c>
    </row>
    <row r="386" spans="1:25" s="91" customFormat="1" ht="15" customHeight="1" x14ac:dyDescent="0.3">
      <c r="A386" s="20" t="s">
        <v>13402</v>
      </c>
      <c r="B386" s="16" t="s">
        <v>13403</v>
      </c>
      <c r="C386" s="71" t="str">
        <f t="shared" si="5"/>
        <v>Product Info</v>
      </c>
      <c r="D386" s="93" t="s">
        <v>14900</v>
      </c>
      <c r="E386" s="143">
        <v>10</v>
      </c>
      <c r="F386" s="12" t="s">
        <v>4992</v>
      </c>
      <c r="G386" s="38">
        <v>9.36</v>
      </c>
      <c r="H386" s="38">
        <v>7.96</v>
      </c>
      <c r="I386" s="38">
        <v>6.55</v>
      </c>
      <c r="J386" s="39"/>
      <c r="K386" s="143"/>
      <c r="L386" s="22">
        <v>0.2</v>
      </c>
      <c r="M386" s="22" t="s">
        <v>12488</v>
      </c>
      <c r="N386" s="20" t="s">
        <v>12814</v>
      </c>
      <c r="O386" s="16" t="s">
        <v>13912</v>
      </c>
      <c r="P386" s="143">
        <v>819</v>
      </c>
      <c r="Q386" s="122" t="s">
        <v>9227</v>
      </c>
      <c r="R386" s="16" t="s">
        <v>8904</v>
      </c>
      <c r="S386" s="10" t="s">
        <v>1163</v>
      </c>
      <c r="T386" s="28" t="s">
        <v>13741</v>
      </c>
      <c r="U386" s="20" t="s">
        <v>5359</v>
      </c>
      <c r="V386" s="16" t="s">
        <v>13929</v>
      </c>
      <c r="W386" s="16" t="s">
        <v>13938</v>
      </c>
      <c r="X386" s="174">
        <v>6.29</v>
      </c>
      <c r="Y386" s="174">
        <v>7.96</v>
      </c>
    </row>
    <row r="387" spans="1:25" ht="15" customHeight="1" x14ac:dyDescent="0.25">
      <c r="A387" s="20" t="s">
        <v>13404</v>
      </c>
      <c r="B387" s="16" t="s">
        <v>13405</v>
      </c>
      <c r="C387" s="71" t="str">
        <f t="shared" si="5"/>
        <v>Product Info</v>
      </c>
      <c r="D387" s="93" t="s">
        <v>14901</v>
      </c>
      <c r="E387" s="143">
        <v>10</v>
      </c>
      <c r="F387" s="12" t="s">
        <v>4992</v>
      </c>
      <c r="G387" s="38">
        <v>11.72</v>
      </c>
      <c r="H387" s="38">
        <v>9.9600000000000009</v>
      </c>
      <c r="I387" s="38">
        <v>8.1999999999999993</v>
      </c>
      <c r="J387" s="39"/>
      <c r="K387" s="143"/>
      <c r="L387" s="22">
        <v>0.2</v>
      </c>
      <c r="M387" s="22" t="s">
        <v>12488</v>
      </c>
      <c r="N387" s="20" t="s">
        <v>12814</v>
      </c>
      <c r="O387" s="16" t="s">
        <v>13912</v>
      </c>
      <c r="P387" s="143">
        <v>819</v>
      </c>
      <c r="Q387" s="122" t="s">
        <v>9227</v>
      </c>
      <c r="R387" s="16" t="s">
        <v>8904</v>
      </c>
      <c r="S387" s="10" t="s">
        <v>1163</v>
      </c>
      <c r="T387" s="28" t="s">
        <v>13742</v>
      </c>
      <c r="U387" s="20" t="s">
        <v>5359</v>
      </c>
      <c r="V387" s="16" t="s">
        <v>13930</v>
      </c>
      <c r="W387" s="16" t="s">
        <v>13938</v>
      </c>
      <c r="X387" s="174">
        <v>7.87</v>
      </c>
      <c r="Y387" s="174">
        <v>9.9600000000000009</v>
      </c>
    </row>
    <row r="388" spans="1:25" ht="15" customHeight="1" x14ac:dyDescent="0.25">
      <c r="A388" s="20" t="s">
        <v>13406</v>
      </c>
      <c r="B388" s="16" t="s">
        <v>13407</v>
      </c>
      <c r="C388" s="71" t="str">
        <f t="shared" si="5"/>
        <v>Product Info</v>
      </c>
      <c r="D388" s="93" t="s">
        <v>14902</v>
      </c>
      <c r="E388" s="143">
        <v>10</v>
      </c>
      <c r="F388" s="12" t="s">
        <v>4992</v>
      </c>
      <c r="G388" s="38">
        <v>14.56</v>
      </c>
      <c r="H388" s="38">
        <v>12.38</v>
      </c>
      <c r="I388" s="38">
        <v>10.19</v>
      </c>
      <c r="J388" s="39"/>
      <c r="K388" s="143"/>
      <c r="L388" s="22">
        <v>0.2</v>
      </c>
      <c r="M388" s="22" t="s">
        <v>12488</v>
      </c>
      <c r="N388" s="20" t="s">
        <v>12814</v>
      </c>
      <c r="O388" s="16" t="s">
        <v>13912</v>
      </c>
      <c r="P388" s="143">
        <v>819</v>
      </c>
      <c r="Q388" s="122" t="s">
        <v>9227</v>
      </c>
      <c r="R388" s="16" t="s">
        <v>8904</v>
      </c>
      <c r="S388" s="10" t="s">
        <v>1163</v>
      </c>
      <c r="T388" s="28" t="s">
        <v>13743</v>
      </c>
      <c r="U388" s="20" t="s">
        <v>5359</v>
      </c>
      <c r="V388" s="16" t="s">
        <v>13931</v>
      </c>
      <c r="W388" s="16" t="s">
        <v>13938</v>
      </c>
      <c r="X388" s="174">
        <v>9.7799999999999994</v>
      </c>
      <c r="Y388" s="174">
        <v>12.38</v>
      </c>
    </row>
    <row r="389" spans="1:25" ht="15" customHeight="1" x14ac:dyDescent="0.25">
      <c r="A389" s="20" t="s">
        <v>13408</v>
      </c>
      <c r="B389" s="16" t="s">
        <v>13409</v>
      </c>
      <c r="C389" s="71" t="str">
        <f t="shared" si="5"/>
        <v>Product Info</v>
      </c>
      <c r="D389" s="93" t="s">
        <v>14903</v>
      </c>
      <c r="E389" s="143">
        <v>10</v>
      </c>
      <c r="F389" s="12" t="s">
        <v>4992</v>
      </c>
      <c r="G389" s="38">
        <v>16.920000000000002</v>
      </c>
      <c r="H389" s="38">
        <v>14.38</v>
      </c>
      <c r="I389" s="38">
        <v>11.84</v>
      </c>
      <c r="J389" s="39"/>
      <c r="K389" s="143"/>
      <c r="L389" s="22">
        <v>0.2</v>
      </c>
      <c r="M389" s="22" t="s">
        <v>12488</v>
      </c>
      <c r="N389" s="20" t="s">
        <v>14260</v>
      </c>
      <c r="O389" s="16" t="s">
        <v>13912</v>
      </c>
      <c r="P389" s="143">
        <v>819</v>
      </c>
      <c r="Q389" s="122" t="s">
        <v>9227</v>
      </c>
      <c r="R389" s="16" t="s">
        <v>8904</v>
      </c>
      <c r="S389" s="10" t="s">
        <v>1163</v>
      </c>
      <c r="T389" s="28" t="s">
        <v>13744</v>
      </c>
      <c r="U389" s="20" t="s">
        <v>5359</v>
      </c>
      <c r="V389" s="16" t="s">
        <v>13932</v>
      </c>
      <c r="W389" s="16" t="s">
        <v>13938</v>
      </c>
      <c r="X389" s="174">
        <v>11.37</v>
      </c>
      <c r="Y389" s="174">
        <v>14.38</v>
      </c>
    </row>
    <row r="390" spans="1:25" ht="15" customHeight="1" x14ac:dyDescent="0.25">
      <c r="A390" s="20" t="s">
        <v>13392</v>
      </c>
      <c r="B390" s="16" t="s">
        <v>13393</v>
      </c>
      <c r="C390" s="71" t="str">
        <f t="shared" ref="C390:C453" si="6">HYPERLINK(T390,U390)</f>
        <v>Product Info</v>
      </c>
      <c r="D390" s="93" t="s">
        <v>14904</v>
      </c>
      <c r="E390" s="143">
        <v>20</v>
      </c>
      <c r="F390" s="12" t="s">
        <v>4992</v>
      </c>
      <c r="G390" s="38">
        <v>3.75</v>
      </c>
      <c r="H390" s="38">
        <v>3.19</v>
      </c>
      <c r="I390" s="38">
        <v>2.62</v>
      </c>
      <c r="J390" s="39"/>
      <c r="K390" s="143"/>
      <c r="L390" s="22">
        <v>0.2</v>
      </c>
      <c r="M390" s="22" t="s">
        <v>12487</v>
      </c>
      <c r="N390" s="20" t="s">
        <v>12814</v>
      </c>
      <c r="O390" s="16" t="s">
        <v>13912</v>
      </c>
      <c r="P390" s="143">
        <v>819</v>
      </c>
      <c r="Q390" s="121" t="s">
        <v>14285</v>
      </c>
      <c r="R390" s="16" t="s">
        <v>8904</v>
      </c>
      <c r="S390" s="10" t="s">
        <v>1163</v>
      </c>
      <c r="T390" s="28" t="s">
        <v>13736</v>
      </c>
      <c r="U390" s="20" t="s">
        <v>5359</v>
      </c>
      <c r="V390" s="16" t="s">
        <v>13924</v>
      </c>
      <c r="W390" s="16" t="s">
        <v>13938</v>
      </c>
      <c r="X390" s="174">
        <v>2.52</v>
      </c>
      <c r="Y390" s="174">
        <v>3.19</v>
      </c>
    </row>
    <row r="391" spans="1:25" ht="15" customHeight="1" x14ac:dyDescent="0.25">
      <c r="A391" s="20" t="s">
        <v>13394</v>
      </c>
      <c r="B391" s="16" t="s">
        <v>13395</v>
      </c>
      <c r="C391" s="71" t="str">
        <f t="shared" si="6"/>
        <v>Product Info</v>
      </c>
      <c r="D391" s="93" t="s">
        <v>14905</v>
      </c>
      <c r="E391" s="143">
        <v>20</v>
      </c>
      <c r="F391" s="12" t="s">
        <v>4992</v>
      </c>
      <c r="G391" s="38">
        <v>4.1500000000000004</v>
      </c>
      <c r="H391" s="38">
        <v>3.53</v>
      </c>
      <c r="I391" s="38">
        <v>2.9</v>
      </c>
      <c r="J391" s="39"/>
      <c r="K391" s="143"/>
      <c r="L391" s="22">
        <v>0.2</v>
      </c>
      <c r="M391" s="22" t="s">
        <v>12488</v>
      </c>
      <c r="N391" s="20" t="s">
        <v>12814</v>
      </c>
      <c r="O391" s="16" t="s">
        <v>13912</v>
      </c>
      <c r="P391" s="143">
        <v>819</v>
      </c>
      <c r="Q391" s="121" t="s">
        <v>14285</v>
      </c>
      <c r="R391" s="16" t="s">
        <v>8904</v>
      </c>
      <c r="S391" s="10" t="s">
        <v>1163</v>
      </c>
      <c r="T391" s="28" t="s">
        <v>13737</v>
      </c>
      <c r="U391" s="20" t="s">
        <v>5359</v>
      </c>
      <c r="V391" s="16" t="s">
        <v>13925</v>
      </c>
      <c r="W391" s="16" t="s">
        <v>13938</v>
      </c>
      <c r="X391" s="174">
        <v>2.78</v>
      </c>
      <c r="Y391" s="174">
        <v>3.53</v>
      </c>
    </row>
    <row r="392" spans="1:25" s="91" customFormat="1" ht="15" customHeight="1" x14ac:dyDescent="0.3">
      <c r="A392" s="20" t="s">
        <v>13396</v>
      </c>
      <c r="B392" s="16" t="s">
        <v>13397</v>
      </c>
      <c r="C392" s="71" t="str">
        <f t="shared" si="6"/>
        <v>Product Info</v>
      </c>
      <c r="D392" s="93" t="s">
        <v>14906</v>
      </c>
      <c r="E392" s="143">
        <v>20</v>
      </c>
      <c r="F392" s="12" t="s">
        <v>4992</v>
      </c>
      <c r="G392" s="38">
        <v>4.8099999999999996</v>
      </c>
      <c r="H392" s="38">
        <v>4.09</v>
      </c>
      <c r="I392" s="38">
        <v>3.37</v>
      </c>
      <c r="J392" s="39"/>
      <c r="K392" s="143"/>
      <c r="L392" s="22">
        <v>0.2</v>
      </c>
      <c r="M392" s="22" t="s">
        <v>12488</v>
      </c>
      <c r="N392" s="20" t="s">
        <v>12814</v>
      </c>
      <c r="O392" s="16" t="s">
        <v>13912</v>
      </c>
      <c r="P392" s="143">
        <v>819</v>
      </c>
      <c r="Q392" s="122" t="s">
        <v>9227</v>
      </c>
      <c r="R392" s="16" t="s">
        <v>8904</v>
      </c>
      <c r="S392" s="10" t="s">
        <v>1163</v>
      </c>
      <c r="T392" s="28" t="s">
        <v>13738</v>
      </c>
      <c r="U392" s="20" t="s">
        <v>5359</v>
      </c>
      <c r="V392" s="16" t="s">
        <v>13926</v>
      </c>
      <c r="W392" s="16" t="s">
        <v>13938</v>
      </c>
      <c r="X392" s="174">
        <v>3.24</v>
      </c>
      <c r="Y392" s="174">
        <v>4.09</v>
      </c>
    </row>
    <row r="393" spans="1:25" s="92" customFormat="1" ht="15" customHeight="1" x14ac:dyDescent="0.25">
      <c r="A393" s="20" t="s">
        <v>13398</v>
      </c>
      <c r="B393" s="16" t="s">
        <v>13399</v>
      </c>
      <c r="C393" s="71" t="str">
        <f t="shared" si="6"/>
        <v>Product Info</v>
      </c>
      <c r="D393" s="93" t="s">
        <v>14907</v>
      </c>
      <c r="E393" s="143">
        <v>20</v>
      </c>
      <c r="F393" s="12" t="s">
        <v>4992</v>
      </c>
      <c r="G393" s="38">
        <v>5.36</v>
      </c>
      <c r="H393" s="38">
        <v>4.5599999999999996</v>
      </c>
      <c r="I393" s="38">
        <v>3.75</v>
      </c>
      <c r="J393" s="39"/>
      <c r="K393" s="143"/>
      <c r="L393" s="22">
        <v>0.2</v>
      </c>
      <c r="M393" s="22" t="s">
        <v>12488</v>
      </c>
      <c r="N393" s="20" t="s">
        <v>12814</v>
      </c>
      <c r="O393" s="16" t="s">
        <v>13912</v>
      </c>
      <c r="P393" s="143">
        <v>819</v>
      </c>
      <c r="Q393" s="122" t="s">
        <v>9227</v>
      </c>
      <c r="R393" s="16" t="s">
        <v>8904</v>
      </c>
      <c r="S393" s="10" t="s">
        <v>1163</v>
      </c>
      <c r="T393" s="28" t="s">
        <v>13739</v>
      </c>
      <c r="U393" s="20" t="s">
        <v>5359</v>
      </c>
      <c r="V393" s="16" t="s">
        <v>13927</v>
      </c>
      <c r="W393" s="16" t="s">
        <v>13938</v>
      </c>
      <c r="X393" s="174">
        <v>3.6</v>
      </c>
      <c r="Y393" s="174">
        <v>4.5599999999999996</v>
      </c>
    </row>
    <row r="394" spans="1:25" s="92" customFormat="1" ht="15" customHeight="1" x14ac:dyDescent="0.25">
      <c r="A394" s="20" t="s">
        <v>13400</v>
      </c>
      <c r="B394" s="16" t="s">
        <v>13401</v>
      </c>
      <c r="C394" s="71" t="str">
        <f t="shared" si="6"/>
        <v>Product Info</v>
      </c>
      <c r="D394" s="93" t="s">
        <v>14908</v>
      </c>
      <c r="E394" s="143">
        <v>10</v>
      </c>
      <c r="F394" s="12" t="s">
        <v>4992</v>
      </c>
      <c r="G394" s="38">
        <v>7.44</v>
      </c>
      <c r="H394" s="38">
        <v>6.32</v>
      </c>
      <c r="I394" s="38">
        <v>5.21</v>
      </c>
      <c r="J394" s="39"/>
      <c r="K394" s="143"/>
      <c r="L394" s="22">
        <v>0.2</v>
      </c>
      <c r="M394" s="22" t="s">
        <v>12488</v>
      </c>
      <c r="N394" s="20" t="s">
        <v>12814</v>
      </c>
      <c r="O394" s="16" t="s">
        <v>13912</v>
      </c>
      <c r="P394" s="143">
        <v>819</v>
      </c>
      <c r="Q394" s="122" t="s">
        <v>9227</v>
      </c>
      <c r="R394" s="16" t="s">
        <v>8904</v>
      </c>
      <c r="S394" s="10" t="s">
        <v>1163</v>
      </c>
      <c r="T394" s="28" t="s">
        <v>13740</v>
      </c>
      <c r="U394" s="20" t="s">
        <v>5359</v>
      </c>
      <c r="V394" s="16" t="s">
        <v>13928</v>
      </c>
      <c r="W394" s="16" t="s">
        <v>13938</v>
      </c>
      <c r="X394" s="174">
        <v>5</v>
      </c>
      <c r="Y394" s="174">
        <v>6.32</v>
      </c>
    </row>
    <row r="395" spans="1:25" s="91" customFormat="1" ht="15" customHeight="1" x14ac:dyDescent="0.3">
      <c r="A395" s="10" t="s">
        <v>12489</v>
      </c>
      <c r="B395" s="14" t="s">
        <v>12490</v>
      </c>
      <c r="C395" s="71" t="str">
        <f t="shared" si="6"/>
        <v>Product Info</v>
      </c>
      <c r="D395" s="93" t="s">
        <v>14909</v>
      </c>
      <c r="E395" s="143">
        <v>3</v>
      </c>
      <c r="F395" s="143" t="s">
        <v>4992</v>
      </c>
      <c r="G395" s="21">
        <v>70.599999999999994</v>
      </c>
      <c r="H395" s="38">
        <v>60.01</v>
      </c>
      <c r="I395" s="21">
        <v>49.42</v>
      </c>
      <c r="J395" s="39"/>
      <c r="K395" s="143"/>
      <c r="L395" s="22">
        <v>31.2</v>
      </c>
      <c r="M395" s="22" t="s">
        <v>12488</v>
      </c>
      <c r="N395" s="41" t="s">
        <v>9569</v>
      </c>
      <c r="O395" s="16"/>
      <c r="P395" s="143">
        <v>760</v>
      </c>
      <c r="Q395" s="121" t="s">
        <v>14285</v>
      </c>
      <c r="R395" s="16" t="s">
        <v>8904</v>
      </c>
      <c r="S395" s="20" t="s">
        <v>1163</v>
      </c>
      <c r="T395" s="15" t="s">
        <v>14488</v>
      </c>
      <c r="U395" s="20" t="s">
        <v>5359</v>
      </c>
      <c r="V395" s="20" t="s">
        <v>12489</v>
      </c>
      <c r="W395" s="20" t="s">
        <v>14432</v>
      </c>
      <c r="X395" s="174">
        <v>45.47</v>
      </c>
      <c r="Y395" s="174">
        <v>60.01</v>
      </c>
    </row>
    <row r="396" spans="1:25" s="92" customFormat="1" ht="15" customHeight="1" x14ac:dyDescent="0.25">
      <c r="A396" s="20" t="s">
        <v>13060</v>
      </c>
      <c r="B396" s="10" t="s">
        <v>13061</v>
      </c>
      <c r="C396" s="71" t="str">
        <f t="shared" si="6"/>
        <v>Product Info</v>
      </c>
      <c r="D396" s="93" t="s">
        <v>14910</v>
      </c>
      <c r="E396" s="143">
        <v>3</v>
      </c>
      <c r="F396" s="12" t="s">
        <v>4992</v>
      </c>
      <c r="G396" s="38">
        <v>288.37</v>
      </c>
      <c r="H396" s="38">
        <v>245.12</v>
      </c>
      <c r="I396" s="38">
        <v>201.86</v>
      </c>
      <c r="J396" s="39"/>
      <c r="K396" s="143"/>
      <c r="L396" s="22">
        <v>10</v>
      </c>
      <c r="M396" s="22" t="s">
        <v>12488</v>
      </c>
      <c r="N396" s="20" t="s">
        <v>14262</v>
      </c>
      <c r="O396" s="16" t="s">
        <v>13912</v>
      </c>
      <c r="P396" s="143">
        <v>760</v>
      </c>
      <c r="Q396" s="121" t="s">
        <v>14285</v>
      </c>
      <c r="R396" s="16" t="s">
        <v>8904</v>
      </c>
      <c r="S396" s="10" t="s">
        <v>1163</v>
      </c>
      <c r="T396" s="15" t="s">
        <v>13161</v>
      </c>
      <c r="U396" s="20" t="s">
        <v>5359</v>
      </c>
      <c r="V396" s="14" t="s">
        <v>13160</v>
      </c>
      <c r="W396" s="20" t="s">
        <v>14432</v>
      </c>
      <c r="X396" s="174">
        <v>185.71</v>
      </c>
      <c r="Y396" s="174">
        <v>245.12</v>
      </c>
    </row>
    <row r="397" spans="1:25" s="91" customFormat="1" ht="15" customHeight="1" x14ac:dyDescent="0.3">
      <c r="A397" s="20" t="s">
        <v>13220</v>
      </c>
      <c r="B397" s="11" t="s">
        <v>13221</v>
      </c>
      <c r="C397" s="71" t="str">
        <f t="shared" si="6"/>
        <v>Product Info</v>
      </c>
      <c r="D397" s="93" t="s">
        <v>14911</v>
      </c>
      <c r="E397" s="143">
        <v>10</v>
      </c>
      <c r="F397" s="12" t="s">
        <v>4992</v>
      </c>
      <c r="G397" s="38">
        <v>132.49</v>
      </c>
      <c r="H397" s="38">
        <v>112.62</v>
      </c>
      <c r="I397" s="38">
        <v>92.74</v>
      </c>
      <c r="J397" s="39"/>
      <c r="K397" s="143"/>
      <c r="L397" s="22">
        <v>4</v>
      </c>
      <c r="M397" s="22" t="s">
        <v>12488</v>
      </c>
      <c r="N397" s="20" t="s">
        <v>14263</v>
      </c>
      <c r="O397" s="16" t="s">
        <v>13912</v>
      </c>
      <c r="P397" s="143">
        <v>760</v>
      </c>
      <c r="Q397" s="121" t="s">
        <v>14285</v>
      </c>
      <c r="R397" s="16" t="s">
        <v>8904</v>
      </c>
      <c r="S397" s="10" t="s">
        <v>1163</v>
      </c>
      <c r="T397" s="28" t="s">
        <v>13222</v>
      </c>
      <c r="U397" s="20" t="s">
        <v>5359</v>
      </c>
      <c r="V397" s="11" t="s">
        <v>13220</v>
      </c>
      <c r="W397" s="20" t="s">
        <v>14432</v>
      </c>
      <c r="X397" s="174">
        <v>85.32</v>
      </c>
      <c r="Y397" s="174">
        <v>112.62</v>
      </c>
    </row>
    <row r="398" spans="1:25" s="91" customFormat="1" ht="15" customHeight="1" x14ac:dyDescent="0.3">
      <c r="A398" s="20" t="s">
        <v>13315</v>
      </c>
      <c r="B398" s="20" t="s">
        <v>13318</v>
      </c>
      <c r="C398" s="71" t="str">
        <f t="shared" si="6"/>
        <v>Product Info</v>
      </c>
      <c r="D398" s="93" t="s">
        <v>14912</v>
      </c>
      <c r="E398" s="143">
        <v>10</v>
      </c>
      <c r="F398" s="12" t="s">
        <v>4992</v>
      </c>
      <c r="G398" s="38">
        <v>125.87</v>
      </c>
      <c r="H398" s="38">
        <v>106.99</v>
      </c>
      <c r="I398" s="38">
        <v>88.11</v>
      </c>
      <c r="J398" s="39"/>
      <c r="K398" s="143"/>
      <c r="L398" s="22">
        <v>4</v>
      </c>
      <c r="M398" s="22" t="s">
        <v>12488</v>
      </c>
      <c r="N398" s="20" t="s">
        <v>14264</v>
      </c>
      <c r="O398" s="16" t="s">
        <v>13912</v>
      </c>
      <c r="P398" s="143">
        <v>760</v>
      </c>
      <c r="Q398" s="121" t="s">
        <v>14285</v>
      </c>
      <c r="R398" s="16" t="s">
        <v>8904</v>
      </c>
      <c r="S398" s="10" t="s">
        <v>1163</v>
      </c>
      <c r="T398" s="15" t="s">
        <v>13321</v>
      </c>
      <c r="U398" s="20" t="s">
        <v>5359</v>
      </c>
      <c r="V398" s="11" t="s">
        <v>13315</v>
      </c>
      <c r="W398" s="20" t="s">
        <v>14432</v>
      </c>
      <c r="X398" s="174">
        <v>81.06</v>
      </c>
      <c r="Y398" s="174">
        <v>106.99</v>
      </c>
    </row>
    <row r="399" spans="1:25" s="91" customFormat="1" ht="15" customHeight="1" x14ac:dyDescent="0.3">
      <c r="A399" s="20" t="s">
        <v>13316</v>
      </c>
      <c r="B399" s="20" t="s">
        <v>13319</v>
      </c>
      <c r="C399" s="71" t="str">
        <f t="shared" si="6"/>
        <v>Product Info</v>
      </c>
      <c r="D399" s="93" t="s">
        <v>14913</v>
      </c>
      <c r="E399" s="143">
        <v>6</v>
      </c>
      <c r="F399" s="12" t="s">
        <v>4992</v>
      </c>
      <c r="G399" s="38">
        <v>111.3</v>
      </c>
      <c r="H399" s="38">
        <v>94.61</v>
      </c>
      <c r="I399" s="38">
        <v>77.91</v>
      </c>
      <c r="J399" s="39"/>
      <c r="K399" s="143"/>
      <c r="L399" s="22">
        <v>13.5</v>
      </c>
      <c r="M399" s="22" t="s">
        <v>12488</v>
      </c>
      <c r="N399" s="20" t="s">
        <v>14265</v>
      </c>
      <c r="O399" s="16" t="s">
        <v>12608</v>
      </c>
      <c r="P399" s="143">
        <v>760</v>
      </c>
      <c r="Q399" s="121" t="s">
        <v>14285</v>
      </c>
      <c r="R399" s="16" t="s">
        <v>8904</v>
      </c>
      <c r="S399" s="10" t="s">
        <v>1163</v>
      </c>
      <c r="T399" s="15" t="s">
        <v>13322</v>
      </c>
      <c r="U399" s="20" t="s">
        <v>5359</v>
      </c>
      <c r="V399" s="11" t="s">
        <v>13316</v>
      </c>
      <c r="W399" s="20" t="s">
        <v>14432</v>
      </c>
      <c r="X399" s="174">
        <v>71.680000000000007</v>
      </c>
      <c r="Y399" s="174">
        <v>94.61</v>
      </c>
    </row>
    <row r="400" spans="1:25" s="91" customFormat="1" ht="15" customHeight="1" x14ac:dyDescent="0.3">
      <c r="A400" s="20" t="s">
        <v>13231</v>
      </c>
      <c r="B400" s="42" t="s">
        <v>13225</v>
      </c>
      <c r="C400" s="71" t="str">
        <f t="shared" si="6"/>
        <v>Product Info</v>
      </c>
      <c r="D400" s="93" t="s">
        <v>14914</v>
      </c>
      <c r="E400" s="143">
        <v>6</v>
      </c>
      <c r="F400" s="12" t="s">
        <v>4992</v>
      </c>
      <c r="G400" s="38">
        <v>103.27</v>
      </c>
      <c r="H400" s="38">
        <v>87.78</v>
      </c>
      <c r="I400" s="38">
        <v>72.290000000000006</v>
      </c>
      <c r="J400" s="39"/>
      <c r="K400" s="143"/>
      <c r="L400" s="22">
        <v>18</v>
      </c>
      <c r="M400" s="22" t="s">
        <v>12488</v>
      </c>
      <c r="N400" s="20" t="s">
        <v>13075</v>
      </c>
      <c r="O400" s="16" t="s">
        <v>13912</v>
      </c>
      <c r="P400" s="143">
        <v>760</v>
      </c>
      <c r="Q400" s="121" t="s">
        <v>14285</v>
      </c>
      <c r="R400" s="16" t="s">
        <v>8904</v>
      </c>
      <c r="S400" s="10" t="s">
        <v>1163</v>
      </c>
      <c r="T400" s="28" t="s">
        <v>13232</v>
      </c>
      <c r="U400" s="20" t="s">
        <v>5359</v>
      </c>
      <c r="V400" s="43" t="s">
        <v>13231</v>
      </c>
      <c r="W400" s="20" t="s">
        <v>14432</v>
      </c>
      <c r="X400" s="174">
        <v>66.510000000000005</v>
      </c>
      <c r="Y400" s="174">
        <v>87.78</v>
      </c>
    </row>
    <row r="401" spans="1:25" s="91" customFormat="1" ht="15" customHeight="1" x14ac:dyDescent="0.3">
      <c r="A401" s="20" t="s">
        <v>13229</v>
      </c>
      <c r="B401" s="42" t="s">
        <v>13224</v>
      </c>
      <c r="C401" s="71" t="str">
        <f t="shared" si="6"/>
        <v>Product Info</v>
      </c>
      <c r="D401" s="93" t="s">
        <v>14915</v>
      </c>
      <c r="E401" s="143">
        <v>6</v>
      </c>
      <c r="F401" s="12" t="s">
        <v>4992</v>
      </c>
      <c r="G401" s="38">
        <v>183.16</v>
      </c>
      <c r="H401" s="38">
        <v>155.69</v>
      </c>
      <c r="I401" s="38">
        <v>128.21</v>
      </c>
      <c r="J401" s="39"/>
      <c r="K401" s="143"/>
      <c r="L401" s="22">
        <v>18</v>
      </c>
      <c r="M401" s="22" t="s">
        <v>12488</v>
      </c>
      <c r="N401" s="20" t="s">
        <v>14266</v>
      </c>
      <c r="O401" s="16" t="s">
        <v>13912</v>
      </c>
      <c r="P401" s="143">
        <v>760</v>
      </c>
      <c r="Q401" s="121" t="s">
        <v>14285</v>
      </c>
      <c r="R401" s="16" t="s">
        <v>8904</v>
      </c>
      <c r="S401" s="10" t="s">
        <v>1163</v>
      </c>
      <c r="T401" s="28" t="s">
        <v>13230</v>
      </c>
      <c r="U401" s="20" t="s">
        <v>5359</v>
      </c>
      <c r="V401" s="11" t="s">
        <v>13229</v>
      </c>
      <c r="W401" s="20" t="s">
        <v>14432</v>
      </c>
      <c r="X401" s="174">
        <v>117.95</v>
      </c>
      <c r="Y401" s="174">
        <v>155.69</v>
      </c>
    </row>
    <row r="402" spans="1:25" s="91" customFormat="1" ht="15" customHeight="1" x14ac:dyDescent="0.3">
      <c r="A402" s="20" t="s">
        <v>13227</v>
      </c>
      <c r="B402" s="42" t="s">
        <v>13223</v>
      </c>
      <c r="C402" s="71" t="str">
        <f t="shared" si="6"/>
        <v>Product Info</v>
      </c>
      <c r="D402" s="93" t="s">
        <v>14916</v>
      </c>
      <c r="E402" s="143">
        <v>6</v>
      </c>
      <c r="F402" s="12" t="s">
        <v>4992</v>
      </c>
      <c r="G402" s="38">
        <v>160.24</v>
      </c>
      <c r="H402" s="38">
        <v>136.21</v>
      </c>
      <c r="I402" s="38">
        <v>112.17</v>
      </c>
      <c r="J402" s="39"/>
      <c r="K402" s="143"/>
      <c r="L402" s="22">
        <v>10</v>
      </c>
      <c r="M402" s="22" t="s">
        <v>12488</v>
      </c>
      <c r="N402" s="20" t="s">
        <v>14267</v>
      </c>
      <c r="O402" s="16" t="s">
        <v>13912</v>
      </c>
      <c r="P402" s="143">
        <v>760</v>
      </c>
      <c r="Q402" s="122" t="s">
        <v>12421</v>
      </c>
      <c r="R402" s="16" t="s">
        <v>8904</v>
      </c>
      <c r="S402" s="10" t="s">
        <v>1163</v>
      </c>
      <c r="T402" s="28" t="s">
        <v>13228</v>
      </c>
      <c r="U402" s="20" t="s">
        <v>5359</v>
      </c>
      <c r="V402" s="11" t="s">
        <v>13227</v>
      </c>
      <c r="W402" s="20" t="s">
        <v>14432</v>
      </c>
      <c r="X402" s="174">
        <v>103.2</v>
      </c>
      <c r="Y402" s="174">
        <v>136.21</v>
      </c>
    </row>
    <row r="403" spans="1:25" s="91" customFormat="1" ht="15" customHeight="1" x14ac:dyDescent="0.3">
      <c r="A403" s="20" t="s">
        <v>13062</v>
      </c>
      <c r="B403" s="42" t="s">
        <v>13063</v>
      </c>
      <c r="C403" s="71" t="str">
        <f t="shared" si="6"/>
        <v>Product Info</v>
      </c>
      <c r="D403" s="93" t="s">
        <v>14917</v>
      </c>
      <c r="E403" s="143">
        <v>6</v>
      </c>
      <c r="F403" s="12" t="s">
        <v>4992</v>
      </c>
      <c r="G403" s="38">
        <v>83.16</v>
      </c>
      <c r="H403" s="38">
        <v>70.69</v>
      </c>
      <c r="I403" s="38">
        <v>58.21</v>
      </c>
      <c r="J403" s="39"/>
      <c r="K403" s="143"/>
      <c r="L403" s="22">
        <v>15</v>
      </c>
      <c r="M403" s="22" t="s">
        <v>12488</v>
      </c>
      <c r="N403" s="20" t="s">
        <v>13075</v>
      </c>
      <c r="O403" s="16" t="s">
        <v>13912</v>
      </c>
      <c r="P403" s="143">
        <v>760</v>
      </c>
      <c r="Q403" s="121" t="s">
        <v>14285</v>
      </c>
      <c r="R403" s="16" t="s">
        <v>8904</v>
      </c>
      <c r="S403" s="10" t="s">
        <v>1163</v>
      </c>
      <c r="T403" s="28" t="s">
        <v>13233</v>
      </c>
      <c r="U403" s="20" t="s">
        <v>5359</v>
      </c>
      <c r="V403" s="11" t="s">
        <v>13062</v>
      </c>
      <c r="W403" s="20" t="s">
        <v>14432</v>
      </c>
      <c r="X403" s="174">
        <v>53.55</v>
      </c>
      <c r="Y403" s="174">
        <v>70.69</v>
      </c>
    </row>
    <row r="404" spans="1:25" s="90" customFormat="1" ht="15" customHeight="1" x14ac:dyDescent="0.3">
      <c r="A404" s="20" t="s">
        <v>13234</v>
      </c>
      <c r="B404" s="42" t="s">
        <v>13226</v>
      </c>
      <c r="C404" s="71" t="str">
        <f t="shared" si="6"/>
        <v>Product Info</v>
      </c>
      <c r="D404" s="93" t="s">
        <v>14918</v>
      </c>
      <c r="E404" s="143">
        <v>6</v>
      </c>
      <c r="F404" s="12" t="s">
        <v>4992</v>
      </c>
      <c r="G404" s="38">
        <v>163.06</v>
      </c>
      <c r="H404" s="38">
        <v>138.6</v>
      </c>
      <c r="I404" s="38">
        <v>114.14</v>
      </c>
      <c r="J404" s="39"/>
      <c r="K404" s="143"/>
      <c r="L404" s="22">
        <v>10</v>
      </c>
      <c r="M404" s="22" t="s">
        <v>12488</v>
      </c>
      <c r="N404" s="20" t="s">
        <v>14266</v>
      </c>
      <c r="O404" s="16" t="s">
        <v>13912</v>
      </c>
      <c r="P404" s="143">
        <v>760</v>
      </c>
      <c r="Q404" s="121" t="s">
        <v>14285</v>
      </c>
      <c r="R404" s="16" t="s">
        <v>8904</v>
      </c>
      <c r="S404" s="10" t="s">
        <v>1163</v>
      </c>
      <c r="T404" s="28" t="s">
        <v>13235</v>
      </c>
      <c r="U404" s="20" t="s">
        <v>5359</v>
      </c>
      <c r="V404" s="43" t="s">
        <v>13234</v>
      </c>
      <c r="W404" s="20" t="s">
        <v>14432</v>
      </c>
      <c r="X404" s="174">
        <v>105.01</v>
      </c>
      <c r="Y404" s="174">
        <v>138.6</v>
      </c>
    </row>
    <row r="405" spans="1:25" s="91" customFormat="1" ht="15" customHeight="1" x14ac:dyDescent="0.3">
      <c r="A405" s="10" t="s">
        <v>14496</v>
      </c>
      <c r="B405" s="76" t="s">
        <v>14497</v>
      </c>
      <c r="C405" s="71" t="str">
        <f t="shared" si="6"/>
        <v>Product Info</v>
      </c>
      <c r="D405" s="93" t="s">
        <v>14919</v>
      </c>
      <c r="E405" s="143">
        <v>3</v>
      </c>
      <c r="F405" s="12" t="s">
        <v>4992</v>
      </c>
      <c r="G405" s="38">
        <v>153.72999999999999</v>
      </c>
      <c r="H405" s="38">
        <v>130.66999999999999</v>
      </c>
      <c r="I405" s="38">
        <v>107.61</v>
      </c>
      <c r="J405" s="72"/>
      <c r="K405" s="12"/>
      <c r="L405" s="22">
        <v>2.65</v>
      </c>
      <c r="M405" s="22" t="s">
        <v>12488</v>
      </c>
      <c r="N405" s="20" t="s">
        <v>14268</v>
      </c>
      <c r="O405" s="16" t="s">
        <v>13912</v>
      </c>
      <c r="P405" s="143">
        <v>760</v>
      </c>
      <c r="Q405" s="122" t="s">
        <v>9227</v>
      </c>
      <c r="R405" s="16" t="s">
        <v>8904</v>
      </c>
      <c r="S405" s="10" t="s">
        <v>1163</v>
      </c>
      <c r="T405" s="73" t="s">
        <v>14498</v>
      </c>
      <c r="U405" s="20" t="s">
        <v>5359</v>
      </c>
      <c r="V405" s="10" t="s">
        <v>14496</v>
      </c>
      <c r="W405" s="20" t="s">
        <v>14432</v>
      </c>
      <c r="X405" s="174">
        <v>99</v>
      </c>
      <c r="Y405" s="174">
        <v>130.66999999999999</v>
      </c>
    </row>
    <row r="406" spans="1:25" s="91" customFormat="1" ht="15" customHeight="1" x14ac:dyDescent="0.3">
      <c r="A406" s="20" t="s">
        <v>13314</v>
      </c>
      <c r="B406" s="20" t="s">
        <v>13317</v>
      </c>
      <c r="C406" s="71" t="str">
        <f t="shared" si="6"/>
        <v>Product Info</v>
      </c>
      <c r="D406" s="93" t="s">
        <v>14920</v>
      </c>
      <c r="E406" s="143">
        <v>3</v>
      </c>
      <c r="F406" s="12" t="s">
        <v>4992</v>
      </c>
      <c r="G406" s="38">
        <v>153.72999999999999</v>
      </c>
      <c r="H406" s="38">
        <v>130.66999999999999</v>
      </c>
      <c r="I406" s="38">
        <v>107.61</v>
      </c>
      <c r="J406" s="39"/>
      <c r="K406" s="143"/>
      <c r="L406" s="22">
        <v>2.65</v>
      </c>
      <c r="M406" s="22" t="s">
        <v>12488</v>
      </c>
      <c r="N406" s="20" t="s">
        <v>14268</v>
      </c>
      <c r="O406" s="16" t="s">
        <v>13912</v>
      </c>
      <c r="P406" s="143">
        <v>760</v>
      </c>
      <c r="Q406" s="122" t="s">
        <v>9227</v>
      </c>
      <c r="R406" s="16" t="s">
        <v>8904</v>
      </c>
      <c r="S406" s="10" t="s">
        <v>1163</v>
      </c>
      <c r="T406" s="15" t="s">
        <v>13320</v>
      </c>
      <c r="U406" s="20" t="s">
        <v>5359</v>
      </c>
      <c r="V406" s="11" t="s">
        <v>13314</v>
      </c>
      <c r="W406" s="20" t="s">
        <v>14432</v>
      </c>
      <c r="X406" s="174">
        <v>99</v>
      </c>
      <c r="Y406" s="174">
        <v>130.66999999999999</v>
      </c>
    </row>
    <row r="407" spans="1:25" ht="15" customHeight="1" x14ac:dyDescent="0.25">
      <c r="A407" s="20" t="s">
        <v>13323</v>
      </c>
      <c r="B407" s="20" t="s">
        <v>13324</v>
      </c>
      <c r="C407" s="71" t="str">
        <f t="shared" si="6"/>
        <v>Product Info</v>
      </c>
      <c r="D407" s="93" t="s">
        <v>14921</v>
      </c>
      <c r="E407" s="143">
        <v>10</v>
      </c>
      <c r="F407" s="12" t="s">
        <v>4992</v>
      </c>
      <c r="G407" s="38">
        <v>36.97</v>
      </c>
      <c r="H407" s="38">
        <v>31.43</v>
      </c>
      <c r="I407" s="38">
        <v>25.88</v>
      </c>
      <c r="J407" s="39"/>
      <c r="K407" s="143"/>
      <c r="L407" s="22">
        <v>0.183</v>
      </c>
      <c r="M407" s="22" t="s">
        <v>12487</v>
      </c>
      <c r="N407" s="20" t="s">
        <v>14269</v>
      </c>
      <c r="O407" s="16" t="s">
        <v>13912</v>
      </c>
      <c r="P407" s="143">
        <v>753</v>
      </c>
      <c r="Q407" s="122" t="s">
        <v>9227</v>
      </c>
      <c r="R407" s="16" t="s">
        <v>9235</v>
      </c>
      <c r="S407" s="10" t="s">
        <v>1163</v>
      </c>
      <c r="T407" s="15" t="s">
        <v>13325</v>
      </c>
      <c r="U407" s="20" t="s">
        <v>5359</v>
      </c>
      <c r="V407" s="11" t="s">
        <v>13323</v>
      </c>
      <c r="W407" s="11" t="s">
        <v>14283</v>
      </c>
      <c r="X407" s="174">
        <v>23.29</v>
      </c>
      <c r="Y407" s="174">
        <v>31.43</v>
      </c>
    </row>
    <row r="408" spans="1:25" ht="15" customHeight="1" x14ac:dyDescent="0.25">
      <c r="A408" s="20" t="s">
        <v>13918</v>
      </c>
      <c r="B408" s="37" t="s">
        <v>14367</v>
      </c>
      <c r="C408" s="71" t="str">
        <f t="shared" si="6"/>
        <v>Product Info</v>
      </c>
      <c r="D408" s="93" t="s">
        <v>14922</v>
      </c>
      <c r="E408" s="143">
        <v>50</v>
      </c>
      <c r="F408" s="143" t="s">
        <v>4992</v>
      </c>
      <c r="G408" s="38">
        <v>7.16</v>
      </c>
      <c r="H408" s="38">
        <v>6.08</v>
      </c>
      <c r="I408" s="38">
        <v>5.01</v>
      </c>
      <c r="J408" s="39"/>
      <c r="K408" s="143"/>
      <c r="L408" s="22">
        <v>11.2</v>
      </c>
      <c r="M408" s="22" t="s">
        <v>12487</v>
      </c>
      <c r="N408" s="20" t="s">
        <v>9569</v>
      </c>
      <c r="O408" s="16" t="s">
        <v>13912</v>
      </c>
      <c r="P408" s="143">
        <v>814</v>
      </c>
      <c r="Q408" s="121" t="s">
        <v>14285</v>
      </c>
      <c r="R408" s="16" t="s">
        <v>9235</v>
      </c>
      <c r="S408" s="10" t="s">
        <v>1163</v>
      </c>
      <c r="T408" s="15" t="s">
        <v>14444</v>
      </c>
      <c r="U408" s="20" t="s">
        <v>5359</v>
      </c>
      <c r="V408" s="20" t="s">
        <v>14398</v>
      </c>
      <c r="W408" s="20" t="s">
        <v>13938</v>
      </c>
      <c r="X408" s="174">
        <v>4.6100000000000003</v>
      </c>
      <c r="Y408" s="174">
        <v>6.08</v>
      </c>
    </row>
    <row r="409" spans="1:25" ht="15" customHeight="1" x14ac:dyDescent="0.3">
      <c r="A409" s="165" t="s">
        <v>14836</v>
      </c>
      <c r="B409" s="165" t="s">
        <v>14835</v>
      </c>
      <c r="C409" s="153" t="str">
        <f t="shared" si="6"/>
        <v>Product Info</v>
      </c>
      <c r="D409" s="159" t="s">
        <v>14863</v>
      </c>
      <c r="E409" s="164">
        <v>1</v>
      </c>
      <c r="F409" s="161" t="s">
        <v>4992</v>
      </c>
      <c r="G409" s="166">
        <v>292.81428571428575</v>
      </c>
      <c r="H409" s="167">
        <v>248.89214285714289</v>
      </c>
      <c r="I409" s="156">
        <v>204.97</v>
      </c>
      <c r="J409" s="168"/>
      <c r="K409" s="161"/>
      <c r="L409" s="168">
        <v>3</v>
      </c>
      <c r="M409" s="168" t="s">
        <v>12488</v>
      </c>
      <c r="N409" s="159" t="s">
        <v>14876</v>
      </c>
      <c r="O409" s="159" t="s">
        <v>13912</v>
      </c>
      <c r="P409" s="142">
        <v>751</v>
      </c>
      <c r="Q409" s="175"/>
      <c r="R409" s="78" t="s">
        <v>8904</v>
      </c>
      <c r="S409" s="81" t="s">
        <v>1163</v>
      </c>
      <c r="T409" s="177"/>
      <c r="U409" s="111" t="s">
        <v>5359</v>
      </c>
      <c r="V409" s="179" t="s">
        <v>14836</v>
      </c>
      <c r="W409" s="79" t="s">
        <v>14284</v>
      </c>
      <c r="X409" s="174">
        <v>188.57240000000002</v>
      </c>
      <c r="Y409" s="174">
        <v>248.0137</v>
      </c>
    </row>
    <row r="410" spans="1:25" ht="15" customHeight="1" x14ac:dyDescent="0.25">
      <c r="A410" s="20" t="s">
        <v>4448</v>
      </c>
      <c r="B410" s="14" t="s">
        <v>4449</v>
      </c>
      <c r="C410" s="71" t="str">
        <f t="shared" si="6"/>
        <v>Product Info</v>
      </c>
      <c r="D410" s="37" t="s">
        <v>6300</v>
      </c>
      <c r="E410" s="143">
        <v>5</v>
      </c>
      <c r="F410" s="12" t="s">
        <v>2170</v>
      </c>
      <c r="G410" s="38">
        <v>67.33</v>
      </c>
      <c r="H410" s="38">
        <v>57.23</v>
      </c>
      <c r="I410" s="38">
        <v>47.13</v>
      </c>
      <c r="J410" s="39"/>
      <c r="K410" s="143"/>
      <c r="L410" s="22">
        <v>1.5</v>
      </c>
      <c r="M410" s="22" t="s">
        <v>12488</v>
      </c>
      <c r="N410" s="20" t="s">
        <v>8846</v>
      </c>
      <c r="O410" s="16" t="s">
        <v>12608</v>
      </c>
      <c r="P410" s="143">
        <v>755</v>
      </c>
      <c r="Q410" s="122" t="s">
        <v>12421</v>
      </c>
      <c r="R410" s="16" t="s">
        <v>8904</v>
      </c>
      <c r="S410" s="10" t="s">
        <v>1163</v>
      </c>
      <c r="T410" s="28" t="s">
        <v>9590</v>
      </c>
      <c r="U410" s="20" t="s">
        <v>5359</v>
      </c>
      <c r="V410" s="16" t="s">
        <v>4448</v>
      </c>
      <c r="W410" s="11" t="s">
        <v>14433</v>
      </c>
      <c r="X410" s="174">
        <v>44.35</v>
      </c>
      <c r="Y410" s="174">
        <v>57.23</v>
      </c>
    </row>
    <row r="411" spans="1:25" s="91" customFormat="1" ht="15" customHeight="1" x14ac:dyDescent="0.3">
      <c r="A411" s="20" t="s">
        <v>4450</v>
      </c>
      <c r="B411" s="14" t="s">
        <v>4451</v>
      </c>
      <c r="C411" s="71" t="str">
        <f t="shared" si="6"/>
        <v>Product Info</v>
      </c>
      <c r="D411" s="37" t="s">
        <v>6301</v>
      </c>
      <c r="E411" s="143">
        <v>20</v>
      </c>
      <c r="F411" s="12" t="s">
        <v>2170</v>
      </c>
      <c r="G411" s="38">
        <v>71.489999999999995</v>
      </c>
      <c r="H411" s="38">
        <v>60.77</v>
      </c>
      <c r="I411" s="38">
        <v>50.04</v>
      </c>
      <c r="J411" s="39"/>
      <c r="K411" s="143"/>
      <c r="L411" s="22">
        <v>0.1</v>
      </c>
      <c r="M411" s="22" t="s">
        <v>12488</v>
      </c>
      <c r="N411" s="20" t="s">
        <v>9226</v>
      </c>
      <c r="O411" s="16" t="s">
        <v>12608</v>
      </c>
      <c r="P411" s="143">
        <v>755</v>
      </c>
      <c r="Q411" s="122" t="s">
        <v>12421</v>
      </c>
      <c r="R411" s="16" t="s">
        <v>8904</v>
      </c>
      <c r="S411" s="10" t="s">
        <v>1163</v>
      </c>
      <c r="T411" s="28" t="s">
        <v>9591</v>
      </c>
      <c r="U411" s="20" t="s">
        <v>5359</v>
      </c>
      <c r="V411" s="16" t="s">
        <v>4450</v>
      </c>
      <c r="W411" s="11" t="s">
        <v>14433</v>
      </c>
      <c r="X411" s="174">
        <v>47.09</v>
      </c>
      <c r="Y411" s="174">
        <v>60.77</v>
      </c>
    </row>
    <row r="412" spans="1:25" s="91" customFormat="1" ht="15" customHeight="1" x14ac:dyDescent="0.3">
      <c r="A412" s="20" t="s">
        <v>4452</v>
      </c>
      <c r="B412" s="14" t="s">
        <v>4453</v>
      </c>
      <c r="C412" s="71" t="str">
        <f t="shared" si="6"/>
        <v>Product Info</v>
      </c>
      <c r="D412" s="37" t="s">
        <v>6456</v>
      </c>
      <c r="E412" s="143">
        <v>10</v>
      </c>
      <c r="F412" s="12" t="s">
        <v>2170</v>
      </c>
      <c r="G412" s="38">
        <v>77.73</v>
      </c>
      <c r="H412" s="38">
        <v>66.069999999999993</v>
      </c>
      <c r="I412" s="38">
        <v>54.41</v>
      </c>
      <c r="J412" s="39"/>
      <c r="K412" s="143"/>
      <c r="L412" s="22">
        <v>2.75</v>
      </c>
      <c r="M412" s="22" t="s">
        <v>12488</v>
      </c>
      <c r="N412" s="20" t="s">
        <v>9228</v>
      </c>
      <c r="O412" s="16" t="s">
        <v>12608</v>
      </c>
      <c r="P412" s="143">
        <v>755</v>
      </c>
      <c r="Q412" s="122" t="s">
        <v>12421</v>
      </c>
      <c r="R412" s="16" t="s">
        <v>8904</v>
      </c>
      <c r="S412" s="10" t="s">
        <v>1163</v>
      </c>
      <c r="T412" s="28" t="s">
        <v>9592</v>
      </c>
      <c r="U412" s="20" t="s">
        <v>5359</v>
      </c>
      <c r="V412" s="16" t="s">
        <v>4452</v>
      </c>
      <c r="W412" s="11" t="s">
        <v>14433</v>
      </c>
      <c r="X412" s="174">
        <v>51.21</v>
      </c>
      <c r="Y412" s="174">
        <v>66.069999999999993</v>
      </c>
    </row>
    <row r="413" spans="1:25" s="91" customFormat="1" ht="15" customHeight="1" x14ac:dyDescent="0.3">
      <c r="A413" s="20" t="s">
        <v>4454</v>
      </c>
      <c r="B413" s="14" t="s">
        <v>4455</v>
      </c>
      <c r="C413" s="71" t="str">
        <f t="shared" si="6"/>
        <v>Product Info</v>
      </c>
      <c r="D413" s="37" t="s">
        <v>6457</v>
      </c>
      <c r="E413" s="143">
        <v>5</v>
      </c>
      <c r="F413" s="12" t="s">
        <v>2170</v>
      </c>
      <c r="G413" s="38">
        <v>194.41</v>
      </c>
      <c r="H413" s="38">
        <v>165.26</v>
      </c>
      <c r="I413" s="38">
        <v>136.09</v>
      </c>
      <c r="J413" s="39"/>
      <c r="K413" s="143"/>
      <c r="L413" s="22">
        <v>1.4750000000000001</v>
      </c>
      <c r="M413" s="22" t="s">
        <v>12488</v>
      </c>
      <c r="N413" s="20" t="s">
        <v>9229</v>
      </c>
      <c r="O413" s="16" t="s">
        <v>12608</v>
      </c>
      <c r="P413" s="143">
        <v>755</v>
      </c>
      <c r="Q413" s="122" t="s">
        <v>12421</v>
      </c>
      <c r="R413" s="16" t="s">
        <v>8904</v>
      </c>
      <c r="S413" s="10" t="s">
        <v>1163</v>
      </c>
      <c r="T413" s="28" t="s">
        <v>9593</v>
      </c>
      <c r="U413" s="20" t="s">
        <v>5359</v>
      </c>
      <c r="V413" s="16" t="s">
        <v>4454</v>
      </c>
      <c r="W413" s="11" t="s">
        <v>14433</v>
      </c>
      <c r="X413" s="174">
        <v>128.07</v>
      </c>
      <c r="Y413" s="174">
        <v>165.26</v>
      </c>
    </row>
    <row r="414" spans="1:25" ht="15" customHeight="1" x14ac:dyDescent="0.25">
      <c r="A414" s="20" t="s">
        <v>4456</v>
      </c>
      <c r="B414" s="14" t="s">
        <v>4457</v>
      </c>
      <c r="C414" s="71" t="str">
        <f t="shared" si="6"/>
        <v>Product Info</v>
      </c>
      <c r="D414" s="37" t="s">
        <v>6458</v>
      </c>
      <c r="E414" s="143">
        <v>9</v>
      </c>
      <c r="F414" s="12" t="s">
        <v>2170</v>
      </c>
      <c r="G414" s="38">
        <v>107.59</v>
      </c>
      <c r="H414" s="38">
        <v>91.45</v>
      </c>
      <c r="I414" s="38">
        <v>75.31</v>
      </c>
      <c r="J414" s="39"/>
      <c r="K414" s="143"/>
      <c r="L414" s="22">
        <v>26</v>
      </c>
      <c r="M414" s="22" t="s">
        <v>12488</v>
      </c>
      <c r="N414" s="20" t="s">
        <v>9230</v>
      </c>
      <c r="O414" s="16" t="s">
        <v>12608</v>
      </c>
      <c r="P414" s="143">
        <v>755</v>
      </c>
      <c r="Q414" s="121" t="s">
        <v>14285</v>
      </c>
      <c r="R414" s="16" t="s">
        <v>8904</v>
      </c>
      <c r="S414" s="10" t="s">
        <v>1163</v>
      </c>
      <c r="T414" s="28" t="s">
        <v>9594</v>
      </c>
      <c r="U414" s="20" t="s">
        <v>5359</v>
      </c>
      <c r="V414" s="16" t="s">
        <v>4456</v>
      </c>
      <c r="W414" s="11" t="s">
        <v>14433</v>
      </c>
      <c r="X414" s="174">
        <v>70.87</v>
      </c>
      <c r="Y414" s="174">
        <v>91.45</v>
      </c>
    </row>
    <row r="415" spans="1:25" ht="15" customHeight="1" x14ac:dyDescent="0.25">
      <c r="A415" s="20" t="s">
        <v>4458</v>
      </c>
      <c r="B415" s="14" t="s">
        <v>4459</v>
      </c>
      <c r="C415" s="71" t="str">
        <f t="shared" si="6"/>
        <v>Product Info</v>
      </c>
      <c r="D415" s="37" t="s">
        <v>6459</v>
      </c>
      <c r="E415" s="143">
        <v>5</v>
      </c>
      <c r="F415" s="12" t="s">
        <v>2170</v>
      </c>
      <c r="G415" s="38">
        <v>151.69</v>
      </c>
      <c r="H415" s="38">
        <v>128.94</v>
      </c>
      <c r="I415" s="38">
        <v>106.18</v>
      </c>
      <c r="J415" s="39"/>
      <c r="K415" s="143"/>
      <c r="L415" s="22">
        <v>20</v>
      </c>
      <c r="M415" s="22" t="s">
        <v>12488</v>
      </c>
      <c r="N415" s="20" t="s">
        <v>9230</v>
      </c>
      <c r="O415" s="16" t="s">
        <v>12608</v>
      </c>
      <c r="P415" s="143">
        <v>755</v>
      </c>
      <c r="Q415" s="121" t="s">
        <v>14285</v>
      </c>
      <c r="R415" s="16" t="s">
        <v>8904</v>
      </c>
      <c r="S415" s="10" t="s">
        <v>1163</v>
      </c>
      <c r="T415" s="28" t="s">
        <v>9595</v>
      </c>
      <c r="U415" s="20" t="s">
        <v>5359</v>
      </c>
      <c r="V415" s="16" t="s">
        <v>4458</v>
      </c>
      <c r="W415" s="11" t="s">
        <v>14433</v>
      </c>
      <c r="X415" s="174">
        <v>99.93</v>
      </c>
      <c r="Y415" s="174">
        <v>128.94</v>
      </c>
    </row>
    <row r="416" spans="1:25" ht="15" customHeight="1" x14ac:dyDescent="0.25">
      <c r="A416" s="20" t="s">
        <v>4460</v>
      </c>
      <c r="B416" s="14" t="s">
        <v>4461</v>
      </c>
      <c r="C416" s="71" t="str">
        <f t="shared" si="6"/>
        <v>Product Info</v>
      </c>
      <c r="D416" s="37" t="s">
        <v>8906</v>
      </c>
      <c r="E416" s="143">
        <v>1</v>
      </c>
      <c r="F416" s="12" t="s">
        <v>2170</v>
      </c>
      <c r="G416" s="38">
        <v>134.86000000000001</v>
      </c>
      <c r="H416" s="38">
        <f>I416</f>
        <v>94.4</v>
      </c>
      <c r="I416" s="38">
        <v>94.4</v>
      </c>
      <c r="J416" s="39"/>
      <c r="K416" s="143"/>
      <c r="L416" s="22">
        <v>1.89</v>
      </c>
      <c r="M416" s="22" t="s">
        <v>12488</v>
      </c>
      <c r="N416" s="20" t="s">
        <v>9231</v>
      </c>
      <c r="O416" s="16" t="s">
        <v>12608</v>
      </c>
      <c r="P416" s="143">
        <v>761</v>
      </c>
      <c r="Q416" s="122" t="s">
        <v>9227</v>
      </c>
      <c r="R416" s="16" t="s">
        <v>8904</v>
      </c>
      <c r="S416" s="10" t="s">
        <v>194</v>
      </c>
      <c r="T416" s="28" t="s">
        <v>9596</v>
      </c>
      <c r="U416" s="20" t="s">
        <v>5359</v>
      </c>
      <c r="V416" s="16" t="s">
        <v>4460</v>
      </c>
      <c r="W416" s="11" t="s">
        <v>14283</v>
      </c>
      <c r="X416" s="174">
        <v>82.49</v>
      </c>
      <c r="Y416" s="174">
        <v>94.4</v>
      </c>
    </row>
    <row r="417" spans="1:25" s="91" customFormat="1" ht="15" customHeight="1" x14ac:dyDescent="0.3">
      <c r="A417" s="20" t="s">
        <v>4728</v>
      </c>
      <c r="B417" s="14" t="s">
        <v>4729</v>
      </c>
      <c r="C417" s="71" t="str">
        <f t="shared" si="6"/>
        <v>Product Info</v>
      </c>
      <c r="D417" s="37" t="s">
        <v>8907</v>
      </c>
      <c r="E417" s="143">
        <v>1</v>
      </c>
      <c r="F417" s="12" t="s">
        <v>2170</v>
      </c>
      <c r="G417" s="38">
        <v>66.66</v>
      </c>
      <c r="H417" s="38">
        <f>I417</f>
        <v>46.66</v>
      </c>
      <c r="I417" s="38">
        <v>46.66</v>
      </c>
      <c r="J417" s="39"/>
      <c r="K417" s="143"/>
      <c r="L417" s="22">
        <v>1.96</v>
      </c>
      <c r="M417" s="22" t="s">
        <v>12488</v>
      </c>
      <c r="N417" s="20" t="s">
        <v>9232</v>
      </c>
      <c r="O417" s="16" t="s">
        <v>12608</v>
      </c>
      <c r="P417" s="143">
        <v>761</v>
      </c>
      <c r="Q417" s="122" t="s">
        <v>9227</v>
      </c>
      <c r="R417" s="16" t="s">
        <v>8904</v>
      </c>
      <c r="S417" s="10" t="s">
        <v>194</v>
      </c>
      <c r="T417" s="28" t="s">
        <v>9597</v>
      </c>
      <c r="U417" s="20" t="s">
        <v>5359</v>
      </c>
      <c r="V417" s="16" t="s">
        <v>4728</v>
      </c>
      <c r="W417" s="11" t="s">
        <v>14283</v>
      </c>
      <c r="X417" s="174">
        <v>36.24</v>
      </c>
      <c r="Y417" s="174">
        <v>46.66</v>
      </c>
    </row>
    <row r="418" spans="1:25" s="91" customFormat="1" ht="15" customHeight="1" x14ac:dyDescent="0.3">
      <c r="A418" s="20" t="s">
        <v>4730</v>
      </c>
      <c r="B418" s="14" t="s">
        <v>4731</v>
      </c>
      <c r="C418" s="71" t="str">
        <f t="shared" si="6"/>
        <v>Product Info</v>
      </c>
      <c r="D418" s="37" t="s">
        <v>4041</v>
      </c>
      <c r="E418" s="143">
        <v>1</v>
      </c>
      <c r="F418" s="12" t="s">
        <v>2170</v>
      </c>
      <c r="G418" s="38">
        <v>141.44</v>
      </c>
      <c r="H418" s="38">
        <f>I418</f>
        <v>99.01</v>
      </c>
      <c r="I418" s="38">
        <v>99.01</v>
      </c>
      <c r="J418" s="39"/>
      <c r="K418" s="143"/>
      <c r="L418" s="22">
        <v>2.98</v>
      </c>
      <c r="M418" s="22" t="s">
        <v>12488</v>
      </c>
      <c r="N418" s="20" t="s">
        <v>9233</v>
      </c>
      <c r="O418" s="16" t="s">
        <v>12608</v>
      </c>
      <c r="P418" s="143">
        <v>761</v>
      </c>
      <c r="Q418" s="122" t="s">
        <v>9227</v>
      </c>
      <c r="R418" s="16" t="s">
        <v>8904</v>
      </c>
      <c r="S418" s="10" t="s">
        <v>194</v>
      </c>
      <c r="T418" s="28" t="s">
        <v>9598</v>
      </c>
      <c r="U418" s="20" t="s">
        <v>5359</v>
      </c>
      <c r="V418" s="16" t="s">
        <v>4730</v>
      </c>
      <c r="W418" s="11" t="s">
        <v>14283</v>
      </c>
      <c r="X418" s="174">
        <v>76.900000000000006</v>
      </c>
      <c r="Y418" s="174">
        <v>99.01</v>
      </c>
    </row>
    <row r="419" spans="1:25" s="91" customFormat="1" ht="15" customHeight="1" x14ac:dyDescent="0.3">
      <c r="A419" s="20" t="s">
        <v>4987</v>
      </c>
      <c r="B419" s="14" t="s">
        <v>4988</v>
      </c>
      <c r="C419" s="71" t="str">
        <f t="shared" si="6"/>
        <v>Product Info</v>
      </c>
      <c r="D419" s="37" t="s">
        <v>7941</v>
      </c>
      <c r="E419" s="143">
        <v>1</v>
      </c>
      <c r="F419" s="12" t="s">
        <v>2170</v>
      </c>
      <c r="G419" s="38">
        <v>72.06</v>
      </c>
      <c r="H419" s="38">
        <f>I419</f>
        <v>50.44</v>
      </c>
      <c r="I419" s="38">
        <v>50.44</v>
      </c>
      <c r="J419" s="39"/>
      <c r="K419" s="143"/>
      <c r="L419" s="22">
        <v>4</v>
      </c>
      <c r="M419" s="22" t="s">
        <v>12488</v>
      </c>
      <c r="N419" s="20" t="s">
        <v>9234</v>
      </c>
      <c r="O419" s="16" t="s">
        <v>12608</v>
      </c>
      <c r="P419" s="143">
        <v>761</v>
      </c>
      <c r="Q419" s="122" t="s">
        <v>9227</v>
      </c>
      <c r="R419" s="16" t="s">
        <v>8904</v>
      </c>
      <c r="S419" s="10" t="s">
        <v>194</v>
      </c>
      <c r="T419" s="28" t="s">
        <v>9599</v>
      </c>
      <c r="U419" s="20" t="s">
        <v>5359</v>
      </c>
      <c r="V419" s="16" t="s">
        <v>4987</v>
      </c>
      <c r="W419" s="11" t="s">
        <v>14283</v>
      </c>
      <c r="X419" s="174">
        <v>39.18</v>
      </c>
      <c r="Y419" s="174">
        <v>50.44</v>
      </c>
    </row>
    <row r="420" spans="1:25" s="91" customFormat="1" ht="15" customHeight="1" x14ac:dyDescent="0.3">
      <c r="A420" s="20" t="s">
        <v>4989</v>
      </c>
      <c r="B420" s="14" t="s">
        <v>4990</v>
      </c>
      <c r="C420" s="71" t="str">
        <f t="shared" si="6"/>
        <v>Product Info</v>
      </c>
      <c r="D420" s="37" t="s">
        <v>2315</v>
      </c>
      <c r="E420" s="143">
        <v>25</v>
      </c>
      <c r="F420" s="12" t="s">
        <v>4992</v>
      </c>
      <c r="G420" s="38">
        <v>11.27</v>
      </c>
      <c r="H420" s="38">
        <f>I420</f>
        <v>7.89</v>
      </c>
      <c r="I420" s="38">
        <v>7.89</v>
      </c>
      <c r="J420" s="39"/>
      <c r="K420" s="143"/>
      <c r="L420" s="22">
        <v>0.22</v>
      </c>
      <c r="M420" s="22" t="s">
        <v>12488</v>
      </c>
      <c r="N420" s="20" t="s">
        <v>8759</v>
      </c>
      <c r="O420" s="16" t="s">
        <v>12608</v>
      </c>
      <c r="P420" s="143">
        <v>755</v>
      </c>
      <c r="Q420" s="121" t="s">
        <v>14285</v>
      </c>
      <c r="R420" s="16" t="s">
        <v>8904</v>
      </c>
      <c r="S420" s="10" t="s">
        <v>194</v>
      </c>
      <c r="T420" s="28" t="s">
        <v>9600</v>
      </c>
      <c r="U420" s="20" t="s">
        <v>5359</v>
      </c>
      <c r="V420" s="16" t="s">
        <v>4989</v>
      </c>
      <c r="W420" s="11" t="s">
        <v>14433</v>
      </c>
      <c r="X420" s="174">
        <v>6.18</v>
      </c>
      <c r="Y420" s="174">
        <v>7.89</v>
      </c>
    </row>
    <row r="421" spans="1:25" ht="15" customHeight="1" x14ac:dyDescent="0.25">
      <c r="A421" s="20" t="s">
        <v>4500</v>
      </c>
      <c r="B421" s="14" t="s">
        <v>12453</v>
      </c>
      <c r="C421" s="71" t="str">
        <f t="shared" si="6"/>
        <v>Product Info</v>
      </c>
      <c r="D421" s="37" t="s">
        <v>5160</v>
      </c>
      <c r="E421" s="143">
        <v>50</v>
      </c>
      <c r="F421" s="12" t="s">
        <v>2170</v>
      </c>
      <c r="G421" s="38">
        <v>11.17</v>
      </c>
      <c r="H421" s="38">
        <v>7.82</v>
      </c>
      <c r="I421" s="38">
        <v>7.82</v>
      </c>
      <c r="J421" s="39"/>
      <c r="K421" s="143"/>
      <c r="L421" s="22">
        <v>0.123</v>
      </c>
      <c r="M421" s="22" t="s">
        <v>12487</v>
      </c>
      <c r="N421" s="20" t="s">
        <v>8760</v>
      </c>
      <c r="O421" s="16" t="s">
        <v>13916</v>
      </c>
      <c r="P421" s="143" t="s">
        <v>12552</v>
      </c>
      <c r="Q421" s="122" t="s">
        <v>9227</v>
      </c>
      <c r="R421" s="16" t="s">
        <v>8904</v>
      </c>
      <c r="S421" s="10" t="s">
        <v>1164</v>
      </c>
      <c r="T421" s="28" t="s">
        <v>9601</v>
      </c>
      <c r="U421" s="20" t="s">
        <v>5359</v>
      </c>
      <c r="V421" s="16" t="s">
        <v>4500</v>
      </c>
      <c r="W421" s="11" t="s">
        <v>14433</v>
      </c>
      <c r="X421" s="174">
        <v>6.16</v>
      </c>
      <c r="Y421" s="174">
        <v>7.82</v>
      </c>
    </row>
    <row r="422" spans="1:25" ht="15" customHeight="1" x14ac:dyDescent="0.25">
      <c r="A422" s="20" t="s">
        <v>7407</v>
      </c>
      <c r="B422" s="14" t="s">
        <v>12434</v>
      </c>
      <c r="C422" s="71" t="str">
        <f t="shared" si="6"/>
        <v>Product Info</v>
      </c>
      <c r="D422" s="37" t="s">
        <v>0</v>
      </c>
      <c r="E422" s="143">
        <v>50</v>
      </c>
      <c r="F422" s="12" t="s">
        <v>2170</v>
      </c>
      <c r="G422" s="38">
        <v>12.79</v>
      </c>
      <c r="H422" s="38">
        <v>8.9499999999999993</v>
      </c>
      <c r="I422" s="38">
        <v>8.9499999999999993</v>
      </c>
      <c r="J422" s="39"/>
      <c r="K422" s="143"/>
      <c r="L422" s="22">
        <v>0.123</v>
      </c>
      <c r="M422" s="22" t="s">
        <v>12487</v>
      </c>
      <c r="N422" s="20" t="s">
        <v>8760</v>
      </c>
      <c r="O422" s="16" t="s">
        <v>13916</v>
      </c>
      <c r="P422" s="143" t="s">
        <v>12552</v>
      </c>
      <c r="Q422" s="122" t="s">
        <v>9227</v>
      </c>
      <c r="R422" s="16" t="s">
        <v>8904</v>
      </c>
      <c r="S422" s="10" t="s">
        <v>1164</v>
      </c>
      <c r="T422" s="28" t="s">
        <v>9602</v>
      </c>
      <c r="U422" s="20" t="s">
        <v>5359</v>
      </c>
      <c r="V422" s="16" t="s">
        <v>7407</v>
      </c>
      <c r="W422" s="11" t="s">
        <v>14433</v>
      </c>
      <c r="X422" s="174">
        <v>7.06</v>
      </c>
      <c r="Y422" s="174">
        <v>8.9499999999999993</v>
      </c>
    </row>
    <row r="423" spans="1:25" ht="15" customHeight="1" x14ac:dyDescent="0.25">
      <c r="A423" s="20" t="s">
        <v>7408</v>
      </c>
      <c r="B423" s="14" t="s">
        <v>7409</v>
      </c>
      <c r="C423" s="71" t="str">
        <f t="shared" si="6"/>
        <v>Product Info</v>
      </c>
      <c r="D423" s="37" t="s">
        <v>1</v>
      </c>
      <c r="E423" s="143">
        <v>50</v>
      </c>
      <c r="F423" s="12" t="s">
        <v>4992</v>
      </c>
      <c r="G423" s="38">
        <v>11.47</v>
      </c>
      <c r="H423" s="38">
        <v>8.0299999999999994</v>
      </c>
      <c r="I423" s="38">
        <v>8.0299999999999994</v>
      </c>
      <c r="J423" s="39"/>
      <c r="K423" s="143"/>
      <c r="L423" s="22">
        <v>0.123</v>
      </c>
      <c r="M423" s="22" t="s">
        <v>12487</v>
      </c>
      <c r="N423" s="20" t="s">
        <v>8760</v>
      </c>
      <c r="O423" s="16" t="s">
        <v>13916</v>
      </c>
      <c r="P423" s="143" t="s">
        <v>12552</v>
      </c>
      <c r="Q423" s="122" t="s">
        <v>9227</v>
      </c>
      <c r="R423" s="16" t="s">
        <v>8904</v>
      </c>
      <c r="S423" s="10" t="s">
        <v>1164</v>
      </c>
      <c r="T423" s="28" t="s">
        <v>9603</v>
      </c>
      <c r="U423" s="20" t="s">
        <v>5359</v>
      </c>
      <c r="V423" s="16" t="s">
        <v>7408</v>
      </c>
      <c r="W423" s="11" t="s">
        <v>14433</v>
      </c>
      <c r="X423" s="174">
        <v>6.33</v>
      </c>
      <c r="Y423" s="174">
        <v>8.0299999999999994</v>
      </c>
    </row>
    <row r="424" spans="1:25" ht="15" customHeight="1" x14ac:dyDescent="0.25">
      <c r="A424" s="20" t="s">
        <v>191</v>
      </c>
      <c r="B424" s="14" t="s">
        <v>192</v>
      </c>
      <c r="C424" s="71" t="str">
        <f t="shared" si="6"/>
        <v>Product Info</v>
      </c>
      <c r="D424" s="37" t="s">
        <v>193</v>
      </c>
      <c r="E424" s="143">
        <v>50</v>
      </c>
      <c r="F424" s="12" t="s">
        <v>4992</v>
      </c>
      <c r="G424" s="38">
        <v>11.47</v>
      </c>
      <c r="H424" s="38">
        <v>8.0299999999999994</v>
      </c>
      <c r="I424" s="38">
        <v>8.0299999999999994</v>
      </c>
      <c r="J424" s="39"/>
      <c r="K424" s="143"/>
      <c r="L424" s="22">
        <v>0.123</v>
      </c>
      <c r="M424" s="22" t="s">
        <v>12487</v>
      </c>
      <c r="N424" s="20" t="s">
        <v>8760</v>
      </c>
      <c r="O424" s="16" t="s">
        <v>13916</v>
      </c>
      <c r="P424" s="143" t="s">
        <v>12552</v>
      </c>
      <c r="Q424" s="122" t="s">
        <v>9227</v>
      </c>
      <c r="R424" s="16" t="s">
        <v>8904</v>
      </c>
      <c r="S424" s="10" t="s">
        <v>1164</v>
      </c>
      <c r="T424" s="28" t="s">
        <v>9604</v>
      </c>
      <c r="U424" s="20" t="s">
        <v>5359</v>
      </c>
      <c r="V424" s="16" t="s">
        <v>191</v>
      </c>
      <c r="W424" s="11" t="s">
        <v>14433</v>
      </c>
      <c r="X424" s="174">
        <v>6.33</v>
      </c>
      <c r="Y424" s="174">
        <v>8.0299999999999994</v>
      </c>
    </row>
    <row r="425" spans="1:25" s="91" customFormat="1" ht="15" customHeight="1" x14ac:dyDescent="0.3">
      <c r="A425" s="20" t="s">
        <v>4203</v>
      </c>
      <c r="B425" s="14" t="s">
        <v>3138</v>
      </c>
      <c r="C425" s="71" t="str">
        <f t="shared" si="6"/>
        <v>Product Info</v>
      </c>
      <c r="D425" s="37" t="s">
        <v>2</v>
      </c>
      <c r="E425" s="143">
        <v>50</v>
      </c>
      <c r="F425" s="12" t="s">
        <v>4992</v>
      </c>
      <c r="G425" s="38">
        <v>14.43</v>
      </c>
      <c r="H425" s="38">
        <v>10.1</v>
      </c>
      <c r="I425" s="38">
        <v>10.1</v>
      </c>
      <c r="J425" s="39"/>
      <c r="K425" s="143"/>
      <c r="L425" s="22">
        <v>0.123</v>
      </c>
      <c r="M425" s="22" t="s">
        <v>12487</v>
      </c>
      <c r="N425" s="20" t="s">
        <v>8760</v>
      </c>
      <c r="O425" s="16" t="s">
        <v>13916</v>
      </c>
      <c r="P425" s="143" t="s">
        <v>12552</v>
      </c>
      <c r="Q425" s="121" t="s">
        <v>14285</v>
      </c>
      <c r="R425" s="16" t="s">
        <v>8904</v>
      </c>
      <c r="S425" s="10" t="s">
        <v>1164</v>
      </c>
      <c r="T425" s="28" t="s">
        <v>9605</v>
      </c>
      <c r="U425" s="20" t="s">
        <v>5359</v>
      </c>
      <c r="V425" s="16" t="s">
        <v>4203</v>
      </c>
      <c r="W425" s="11" t="s">
        <v>14433</v>
      </c>
      <c r="X425" s="174">
        <v>7.96</v>
      </c>
      <c r="Y425" s="174">
        <v>10.1</v>
      </c>
    </row>
    <row r="426" spans="1:25" s="91" customFormat="1" ht="15" customHeight="1" x14ac:dyDescent="0.3">
      <c r="A426" s="20" t="s">
        <v>7411</v>
      </c>
      <c r="B426" s="14" t="s">
        <v>7412</v>
      </c>
      <c r="C426" s="71" t="str">
        <f t="shared" si="6"/>
        <v>Product Info</v>
      </c>
      <c r="D426" s="37" t="s">
        <v>3</v>
      </c>
      <c r="E426" s="143">
        <v>100</v>
      </c>
      <c r="F426" s="12" t="s">
        <v>4992</v>
      </c>
      <c r="G426" s="38">
        <v>7.7</v>
      </c>
      <c r="H426" s="38">
        <v>5.39</v>
      </c>
      <c r="I426" s="38">
        <v>5.39</v>
      </c>
      <c r="J426" s="39"/>
      <c r="K426" s="143"/>
      <c r="L426" s="22">
        <v>0</v>
      </c>
      <c r="M426" s="22">
        <v>0</v>
      </c>
      <c r="N426" s="20" t="s">
        <v>14489</v>
      </c>
      <c r="O426" s="16">
        <v>0</v>
      </c>
      <c r="P426" s="143" t="s">
        <v>12552</v>
      </c>
      <c r="Q426" s="121" t="s">
        <v>14285</v>
      </c>
      <c r="R426" s="16" t="s">
        <v>8904</v>
      </c>
      <c r="S426" s="10" t="s">
        <v>1164</v>
      </c>
      <c r="T426" s="28" t="s">
        <v>9606</v>
      </c>
      <c r="U426" s="20" t="s">
        <v>5359</v>
      </c>
      <c r="V426" s="16" t="s">
        <v>7411</v>
      </c>
      <c r="W426" s="11" t="s">
        <v>14433</v>
      </c>
      <c r="X426" s="174">
        <v>4.25</v>
      </c>
      <c r="Y426" s="174">
        <v>5.39</v>
      </c>
    </row>
    <row r="427" spans="1:25" ht="15" customHeight="1" x14ac:dyDescent="0.25">
      <c r="A427" s="20" t="s">
        <v>7413</v>
      </c>
      <c r="B427" s="14" t="s">
        <v>7414</v>
      </c>
      <c r="C427" s="71" t="str">
        <f t="shared" si="6"/>
        <v>Product Info</v>
      </c>
      <c r="D427" s="37" t="s">
        <v>4</v>
      </c>
      <c r="E427" s="143">
        <v>100</v>
      </c>
      <c r="F427" s="12" t="s">
        <v>4992</v>
      </c>
      <c r="G427" s="38">
        <v>7</v>
      </c>
      <c r="H427" s="38">
        <v>4.9000000000000004</v>
      </c>
      <c r="I427" s="38">
        <v>4.9000000000000004</v>
      </c>
      <c r="J427" s="39"/>
      <c r="K427" s="143"/>
      <c r="L427" s="22">
        <v>9.1999999999999998E-2</v>
      </c>
      <c r="M427" s="22" t="s">
        <v>12487</v>
      </c>
      <c r="N427" s="20" t="s">
        <v>8761</v>
      </c>
      <c r="O427" s="16" t="s">
        <v>13916</v>
      </c>
      <c r="P427" s="143" t="s">
        <v>12552</v>
      </c>
      <c r="Q427" s="122" t="s">
        <v>9227</v>
      </c>
      <c r="R427" s="16" t="s">
        <v>8904</v>
      </c>
      <c r="S427" s="10" t="s">
        <v>1164</v>
      </c>
      <c r="T427" s="28" t="s">
        <v>9607</v>
      </c>
      <c r="U427" s="20" t="s">
        <v>5359</v>
      </c>
      <c r="V427" s="16" t="s">
        <v>7413</v>
      </c>
      <c r="W427" s="11" t="s">
        <v>14433</v>
      </c>
      <c r="X427" s="174">
        <v>3.86</v>
      </c>
      <c r="Y427" s="174">
        <v>4.9000000000000004</v>
      </c>
    </row>
    <row r="428" spans="1:25" ht="15" customHeight="1" x14ac:dyDescent="0.25">
      <c r="A428" s="20" t="s">
        <v>7415</v>
      </c>
      <c r="B428" s="14" t="s">
        <v>7416</v>
      </c>
      <c r="C428" s="71" t="str">
        <f t="shared" si="6"/>
        <v>Product Info</v>
      </c>
      <c r="D428" s="37" t="s">
        <v>5</v>
      </c>
      <c r="E428" s="143">
        <v>100</v>
      </c>
      <c r="F428" s="12" t="s">
        <v>4992</v>
      </c>
      <c r="G428" s="38">
        <v>7.89</v>
      </c>
      <c r="H428" s="38">
        <v>5.52</v>
      </c>
      <c r="I428" s="38">
        <v>5.52</v>
      </c>
      <c r="J428" s="39"/>
      <c r="K428" s="143"/>
      <c r="L428" s="22">
        <v>9.0999999999999998E-2</v>
      </c>
      <c r="M428" s="22" t="s">
        <v>12487</v>
      </c>
      <c r="N428" s="20" t="s">
        <v>8761</v>
      </c>
      <c r="O428" s="16" t="s">
        <v>13916</v>
      </c>
      <c r="P428" s="143" t="s">
        <v>12552</v>
      </c>
      <c r="Q428" s="121" t="s">
        <v>14285</v>
      </c>
      <c r="R428" s="16" t="s">
        <v>8904</v>
      </c>
      <c r="S428" s="10" t="s">
        <v>1164</v>
      </c>
      <c r="T428" s="28" t="s">
        <v>9608</v>
      </c>
      <c r="U428" s="20" t="s">
        <v>5359</v>
      </c>
      <c r="V428" s="16" t="s">
        <v>7415</v>
      </c>
      <c r="W428" s="11" t="s">
        <v>14433</v>
      </c>
      <c r="X428" s="174">
        <v>4.3499999999999996</v>
      </c>
      <c r="Y428" s="174">
        <v>5.52</v>
      </c>
    </row>
    <row r="429" spans="1:25" ht="15" customHeight="1" x14ac:dyDescent="0.25">
      <c r="A429" s="20" t="s">
        <v>7417</v>
      </c>
      <c r="B429" s="14" t="s">
        <v>7418</v>
      </c>
      <c r="C429" s="71" t="str">
        <f t="shared" si="6"/>
        <v>Product Info</v>
      </c>
      <c r="D429" s="37" t="s">
        <v>6</v>
      </c>
      <c r="E429" s="143">
        <v>100</v>
      </c>
      <c r="F429" s="12" t="s">
        <v>4992</v>
      </c>
      <c r="G429" s="38">
        <v>7.13</v>
      </c>
      <c r="H429" s="38">
        <v>4.99</v>
      </c>
      <c r="I429" s="38">
        <v>4.99</v>
      </c>
      <c r="J429" s="39"/>
      <c r="K429" s="12" t="s">
        <v>8905</v>
      </c>
      <c r="L429" s="22">
        <v>9.1999999999999998E-2</v>
      </c>
      <c r="M429" s="22" t="s">
        <v>12487</v>
      </c>
      <c r="N429" s="20" t="s">
        <v>8761</v>
      </c>
      <c r="O429" s="16" t="s">
        <v>13916</v>
      </c>
      <c r="P429" s="143" t="s">
        <v>12552</v>
      </c>
      <c r="Q429" s="122" t="s">
        <v>9227</v>
      </c>
      <c r="R429" s="16" t="s">
        <v>8904</v>
      </c>
      <c r="S429" s="10" t="s">
        <v>1164</v>
      </c>
      <c r="T429" s="28" t="s">
        <v>9609</v>
      </c>
      <c r="U429" s="20" t="s">
        <v>5359</v>
      </c>
      <c r="V429" s="16" t="s">
        <v>7417</v>
      </c>
      <c r="W429" s="11" t="s">
        <v>14433</v>
      </c>
      <c r="X429" s="174">
        <v>3.94</v>
      </c>
      <c r="Y429" s="174">
        <v>4.99</v>
      </c>
    </row>
    <row r="430" spans="1:25" ht="15" customHeight="1" x14ac:dyDescent="0.25">
      <c r="A430" s="20" t="s">
        <v>1130</v>
      </c>
      <c r="B430" s="14" t="s">
        <v>1131</v>
      </c>
      <c r="C430" s="71" t="str">
        <f t="shared" si="6"/>
        <v>Product Info</v>
      </c>
      <c r="D430" s="37" t="s">
        <v>7</v>
      </c>
      <c r="E430" s="143">
        <v>100</v>
      </c>
      <c r="F430" s="12" t="s">
        <v>4992</v>
      </c>
      <c r="G430" s="38">
        <v>7.13</v>
      </c>
      <c r="H430" s="38">
        <v>4.99</v>
      </c>
      <c r="I430" s="38">
        <v>4.99</v>
      </c>
      <c r="J430" s="39"/>
      <c r="K430" s="143"/>
      <c r="L430" s="22">
        <v>9.1999999999999998E-2</v>
      </c>
      <c r="M430" s="22" t="s">
        <v>12487</v>
      </c>
      <c r="N430" s="20" t="s">
        <v>8761</v>
      </c>
      <c r="O430" s="16" t="s">
        <v>13916</v>
      </c>
      <c r="P430" s="143" t="s">
        <v>12552</v>
      </c>
      <c r="Q430" s="121" t="s">
        <v>14285</v>
      </c>
      <c r="R430" s="16" t="s">
        <v>8904</v>
      </c>
      <c r="S430" s="10" t="s">
        <v>1164</v>
      </c>
      <c r="T430" s="28" t="s">
        <v>9610</v>
      </c>
      <c r="U430" s="20" t="s">
        <v>5359</v>
      </c>
      <c r="V430" s="16" t="s">
        <v>1130</v>
      </c>
      <c r="W430" s="11" t="s">
        <v>14433</v>
      </c>
      <c r="X430" s="174">
        <v>3.94</v>
      </c>
      <c r="Y430" s="174">
        <v>4.99</v>
      </c>
    </row>
    <row r="431" spans="1:25" ht="15" customHeight="1" x14ac:dyDescent="0.25">
      <c r="A431" s="20" t="s">
        <v>188</v>
      </c>
      <c r="B431" s="14" t="s">
        <v>189</v>
      </c>
      <c r="C431" s="71" t="str">
        <f t="shared" si="6"/>
        <v>Product Info</v>
      </c>
      <c r="D431" s="37" t="s">
        <v>190</v>
      </c>
      <c r="E431" s="143">
        <v>1</v>
      </c>
      <c r="F431" s="12" t="s">
        <v>4992</v>
      </c>
      <c r="G431" s="38">
        <v>23.94</v>
      </c>
      <c r="H431" s="38">
        <v>16.760000000000002</v>
      </c>
      <c r="I431" s="38">
        <v>16.760000000000002</v>
      </c>
      <c r="J431" s="39"/>
      <c r="K431" s="143"/>
      <c r="L431" s="22">
        <v>0.11700000000000001</v>
      </c>
      <c r="M431" s="22" t="s">
        <v>12487</v>
      </c>
      <c r="N431" s="20" t="s">
        <v>8761</v>
      </c>
      <c r="O431" s="16" t="s">
        <v>12608</v>
      </c>
      <c r="P431" s="143" t="s">
        <v>12552</v>
      </c>
      <c r="Q431" s="122" t="s">
        <v>9227</v>
      </c>
      <c r="R431" s="16" t="s">
        <v>8904</v>
      </c>
      <c r="S431" s="10" t="s">
        <v>1164</v>
      </c>
      <c r="T431" s="28" t="s">
        <v>9611</v>
      </c>
      <c r="U431" s="20" t="s">
        <v>5359</v>
      </c>
      <c r="V431" s="16" t="s">
        <v>188</v>
      </c>
      <c r="W431" s="11" t="s">
        <v>14433</v>
      </c>
      <c r="X431" s="174">
        <v>13.21</v>
      </c>
      <c r="Y431" s="174">
        <v>16.760000000000002</v>
      </c>
    </row>
    <row r="432" spans="1:25" ht="15" customHeight="1" x14ac:dyDescent="0.25">
      <c r="A432" s="20" t="s">
        <v>186</v>
      </c>
      <c r="B432" s="14" t="s">
        <v>187</v>
      </c>
      <c r="C432" s="71" t="str">
        <f t="shared" si="6"/>
        <v>Product Info</v>
      </c>
      <c r="D432" s="37" t="s">
        <v>195</v>
      </c>
      <c r="E432" s="143">
        <v>100</v>
      </c>
      <c r="F432" s="12" t="s">
        <v>4992</v>
      </c>
      <c r="G432" s="38">
        <v>24.76</v>
      </c>
      <c r="H432" s="38">
        <v>17.329999999999998</v>
      </c>
      <c r="I432" s="38">
        <v>17.329999999999998</v>
      </c>
      <c r="J432" s="39"/>
      <c r="K432" s="143"/>
      <c r="L432" s="22">
        <v>12.9</v>
      </c>
      <c r="M432" s="22" t="s">
        <v>12487</v>
      </c>
      <c r="N432" s="20" t="s">
        <v>8762</v>
      </c>
      <c r="O432" s="16" t="s">
        <v>13912</v>
      </c>
      <c r="P432" s="143" t="s">
        <v>12553</v>
      </c>
      <c r="Q432" s="121" t="s">
        <v>14285</v>
      </c>
      <c r="R432" s="16" t="s">
        <v>8904</v>
      </c>
      <c r="S432" s="10" t="s">
        <v>1164</v>
      </c>
      <c r="T432" s="28" t="s">
        <v>9612</v>
      </c>
      <c r="U432" s="20" t="s">
        <v>5359</v>
      </c>
      <c r="V432" s="16" t="s">
        <v>186</v>
      </c>
      <c r="W432" s="11" t="s">
        <v>14433</v>
      </c>
      <c r="X432" s="174">
        <v>13.66</v>
      </c>
      <c r="Y432" s="174">
        <v>17.329999999999998</v>
      </c>
    </row>
    <row r="433" spans="1:25" ht="15" customHeight="1" x14ac:dyDescent="0.25">
      <c r="A433" s="20" t="s">
        <v>2215</v>
      </c>
      <c r="B433" s="14" t="s">
        <v>2216</v>
      </c>
      <c r="C433" s="71" t="str">
        <f t="shared" si="6"/>
        <v>Product Info</v>
      </c>
      <c r="D433" s="37" t="s">
        <v>16</v>
      </c>
      <c r="E433" s="143">
        <v>6</v>
      </c>
      <c r="F433" s="12" t="s">
        <v>2170</v>
      </c>
      <c r="G433" s="38">
        <v>11.63</v>
      </c>
      <c r="H433" s="38">
        <v>8.14</v>
      </c>
      <c r="I433" s="38">
        <v>8.14</v>
      </c>
      <c r="J433" s="39"/>
      <c r="K433" s="143" t="s">
        <v>8905</v>
      </c>
      <c r="L433" s="22">
        <v>0.23200000000000001</v>
      </c>
      <c r="M433" s="22" t="s">
        <v>12487</v>
      </c>
      <c r="N433" s="20" t="s">
        <v>8765</v>
      </c>
      <c r="O433" s="16" t="s">
        <v>13916</v>
      </c>
      <c r="P433" s="143" t="s">
        <v>12552</v>
      </c>
      <c r="Q433" s="122" t="s">
        <v>9227</v>
      </c>
      <c r="R433" s="16" t="s">
        <v>8904</v>
      </c>
      <c r="S433" s="10" t="s">
        <v>1164</v>
      </c>
      <c r="T433" s="28" t="s">
        <v>9621</v>
      </c>
      <c r="U433" s="20" t="s">
        <v>5359</v>
      </c>
      <c r="V433" s="16" t="s">
        <v>2215</v>
      </c>
      <c r="W433" s="11" t="s">
        <v>14433</v>
      </c>
      <c r="X433" s="174">
        <v>6.42</v>
      </c>
      <c r="Y433" s="174">
        <v>8.14</v>
      </c>
    </row>
    <row r="434" spans="1:25" ht="15" customHeight="1" x14ac:dyDescent="0.25">
      <c r="A434" s="20" t="s">
        <v>4045</v>
      </c>
      <c r="B434" s="14" t="s">
        <v>12433</v>
      </c>
      <c r="C434" s="71" t="str">
        <f t="shared" si="6"/>
        <v>Product Info</v>
      </c>
      <c r="D434" s="37" t="s">
        <v>17</v>
      </c>
      <c r="E434" s="143">
        <v>12</v>
      </c>
      <c r="F434" s="12" t="s">
        <v>2170</v>
      </c>
      <c r="G434" s="38">
        <v>7.36</v>
      </c>
      <c r="H434" s="38">
        <v>5.15</v>
      </c>
      <c r="I434" s="38">
        <v>5.15</v>
      </c>
      <c r="J434" s="39"/>
      <c r="K434" s="143"/>
      <c r="L434" s="22">
        <v>0.128</v>
      </c>
      <c r="M434" s="22" t="s">
        <v>12487</v>
      </c>
      <c r="N434" s="20" t="s">
        <v>8766</v>
      </c>
      <c r="O434" s="16" t="s">
        <v>13916</v>
      </c>
      <c r="P434" s="143" t="s">
        <v>12552</v>
      </c>
      <c r="Q434" s="122" t="s">
        <v>9227</v>
      </c>
      <c r="R434" s="16" t="s">
        <v>8904</v>
      </c>
      <c r="S434" s="10" t="s">
        <v>1164</v>
      </c>
      <c r="T434" s="28" t="s">
        <v>9622</v>
      </c>
      <c r="U434" s="20" t="s">
        <v>5359</v>
      </c>
      <c r="V434" s="16" t="s">
        <v>4045</v>
      </c>
      <c r="W434" s="11" t="s">
        <v>14433</v>
      </c>
      <c r="X434" s="174">
        <v>4.0599999999999996</v>
      </c>
      <c r="Y434" s="174">
        <v>5.15</v>
      </c>
    </row>
    <row r="435" spans="1:25" ht="15" customHeight="1" x14ac:dyDescent="0.25">
      <c r="A435" s="20" t="s">
        <v>4046</v>
      </c>
      <c r="B435" s="14" t="s">
        <v>12443</v>
      </c>
      <c r="C435" s="71" t="str">
        <f t="shared" si="6"/>
        <v>Product Info</v>
      </c>
      <c r="D435" s="37" t="s">
        <v>18</v>
      </c>
      <c r="E435" s="143">
        <v>12</v>
      </c>
      <c r="F435" s="12" t="s">
        <v>2170</v>
      </c>
      <c r="G435" s="38">
        <v>12.1</v>
      </c>
      <c r="H435" s="38">
        <v>8.4700000000000006</v>
      </c>
      <c r="I435" s="38">
        <v>8.4700000000000006</v>
      </c>
      <c r="J435" s="39"/>
      <c r="K435" s="143" t="s">
        <v>8905</v>
      </c>
      <c r="L435" s="22">
        <v>0.69499999999999995</v>
      </c>
      <c r="M435" s="22" t="s">
        <v>12488</v>
      </c>
      <c r="N435" s="20" t="s">
        <v>8767</v>
      </c>
      <c r="O435" s="16" t="s">
        <v>12608</v>
      </c>
      <c r="P435" s="143" t="s">
        <v>12552</v>
      </c>
      <c r="Q435" s="122" t="s">
        <v>9227</v>
      </c>
      <c r="R435" s="16" t="s">
        <v>8904</v>
      </c>
      <c r="S435" s="10" t="s">
        <v>1164</v>
      </c>
      <c r="T435" s="28" t="s">
        <v>9623</v>
      </c>
      <c r="U435" s="20" t="s">
        <v>5359</v>
      </c>
      <c r="V435" s="16" t="s">
        <v>4046</v>
      </c>
      <c r="W435" s="11" t="s">
        <v>14433</v>
      </c>
      <c r="X435" s="174">
        <v>6.68</v>
      </c>
      <c r="Y435" s="174">
        <v>8.4700000000000006</v>
      </c>
    </row>
    <row r="436" spans="1:25" ht="15" customHeight="1" x14ac:dyDescent="0.25">
      <c r="A436" s="20" t="s">
        <v>4348</v>
      </c>
      <c r="B436" s="14" t="s">
        <v>4349</v>
      </c>
      <c r="C436" s="71" t="str">
        <f t="shared" si="6"/>
        <v>Product Info</v>
      </c>
      <c r="D436" s="37" t="s">
        <v>19</v>
      </c>
      <c r="E436" s="143">
        <v>6</v>
      </c>
      <c r="F436" s="12" t="s">
        <v>2170</v>
      </c>
      <c r="G436" s="38">
        <v>10.31</v>
      </c>
      <c r="H436" s="38">
        <v>7.22</v>
      </c>
      <c r="I436" s="38">
        <v>7.22</v>
      </c>
      <c r="J436" s="39"/>
      <c r="K436" s="143"/>
      <c r="L436" s="22">
        <v>0.42</v>
      </c>
      <c r="M436" s="22" t="s">
        <v>12488</v>
      </c>
      <c r="N436" s="20" t="s">
        <v>8768</v>
      </c>
      <c r="O436" s="16" t="s">
        <v>12608</v>
      </c>
      <c r="P436" s="143" t="s">
        <v>12552</v>
      </c>
      <c r="Q436" s="122" t="s">
        <v>9227</v>
      </c>
      <c r="R436" s="16" t="s">
        <v>8904</v>
      </c>
      <c r="S436" s="10" t="s">
        <v>1164</v>
      </c>
      <c r="T436" s="28" t="s">
        <v>9624</v>
      </c>
      <c r="U436" s="20" t="s">
        <v>5359</v>
      </c>
      <c r="V436" s="16" t="s">
        <v>4348</v>
      </c>
      <c r="W436" s="11" t="s">
        <v>14433</v>
      </c>
      <c r="X436" s="174">
        <v>5.69</v>
      </c>
      <c r="Y436" s="174">
        <v>7.22</v>
      </c>
    </row>
    <row r="437" spans="1:25" ht="15" customHeight="1" x14ac:dyDescent="0.25">
      <c r="A437" s="20" t="s">
        <v>1132</v>
      </c>
      <c r="B437" s="14" t="s">
        <v>1133</v>
      </c>
      <c r="C437" s="71" t="str">
        <f t="shared" si="6"/>
        <v>Product Info</v>
      </c>
      <c r="D437" s="37" t="s">
        <v>20</v>
      </c>
      <c r="E437" s="143">
        <v>1</v>
      </c>
      <c r="F437" s="12" t="s">
        <v>2170</v>
      </c>
      <c r="G437" s="38">
        <v>0.27</v>
      </c>
      <c r="H437" s="38">
        <v>0.19</v>
      </c>
      <c r="I437" s="38">
        <v>0.19</v>
      </c>
      <c r="J437" s="39"/>
      <c r="K437" s="143"/>
      <c r="L437" s="22">
        <v>0</v>
      </c>
      <c r="M437" s="22" t="s">
        <v>12488</v>
      </c>
      <c r="N437" s="20" t="s">
        <v>14489</v>
      </c>
      <c r="O437" s="16" t="s">
        <v>12608</v>
      </c>
      <c r="P437" s="143" t="s">
        <v>12552</v>
      </c>
      <c r="Q437" s="122" t="s">
        <v>9227</v>
      </c>
      <c r="R437" s="16" t="s">
        <v>8904</v>
      </c>
      <c r="S437" s="10" t="s">
        <v>1164</v>
      </c>
      <c r="T437" s="28" t="s">
        <v>9625</v>
      </c>
      <c r="U437" s="20" t="s">
        <v>5359</v>
      </c>
      <c r="V437" s="16" t="s">
        <v>1132</v>
      </c>
      <c r="W437" s="11" t="s">
        <v>14433</v>
      </c>
      <c r="X437" s="174">
        <v>0.15</v>
      </c>
      <c r="Y437" s="174">
        <v>0.19</v>
      </c>
    </row>
    <row r="438" spans="1:25" ht="15" customHeight="1" x14ac:dyDescent="0.25">
      <c r="A438" s="20" t="s">
        <v>1128</v>
      </c>
      <c r="B438" s="14" t="s">
        <v>1129</v>
      </c>
      <c r="C438" s="71" t="str">
        <f t="shared" si="6"/>
        <v>Product Info</v>
      </c>
      <c r="D438" s="37" t="s">
        <v>36</v>
      </c>
      <c r="E438" s="143">
        <v>12</v>
      </c>
      <c r="F438" s="12" t="s">
        <v>2170</v>
      </c>
      <c r="G438" s="38">
        <v>3.96</v>
      </c>
      <c r="H438" s="38">
        <v>2.77</v>
      </c>
      <c r="I438" s="38">
        <v>2.77</v>
      </c>
      <c r="J438" s="39"/>
      <c r="K438" s="143"/>
      <c r="L438" s="22">
        <v>7.0999999999999994E-2</v>
      </c>
      <c r="M438" s="22" t="s">
        <v>12487</v>
      </c>
      <c r="N438" s="20" t="s">
        <v>8769</v>
      </c>
      <c r="O438" s="16" t="s">
        <v>13916</v>
      </c>
      <c r="P438" s="143" t="s">
        <v>12552</v>
      </c>
      <c r="Q438" s="121" t="s">
        <v>14285</v>
      </c>
      <c r="R438" s="16" t="s">
        <v>8904</v>
      </c>
      <c r="S438" s="10" t="s">
        <v>1164</v>
      </c>
      <c r="T438" s="28" t="s">
        <v>9641</v>
      </c>
      <c r="U438" s="20" t="s">
        <v>5359</v>
      </c>
      <c r="V438" s="16" t="s">
        <v>1128</v>
      </c>
      <c r="W438" s="11" t="s">
        <v>14433</v>
      </c>
      <c r="X438" s="174">
        <v>2.1800000000000002</v>
      </c>
      <c r="Y438" s="174">
        <v>2.77</v>
      </c>
    </row>
    <row r="439" spans="1:25" ht="15" customHeight="1" x14ac:dyDescent="0.25">
      <c r="A439" s="20" t="s">
        <v>1237</v>
      </c>
      <c r="B439" s="14" t="s">
        <v>1238</v>
      </c>
      <c r="C439" s="71" t="str">
        <f t="shared" si="6"/>
        <v>Product Info</v>
      </c>
      <c r="D439" s="37" t="s">
        <v>37</v>
      </c>
      <c r="E439" s="143">
        <v>12</v>
      </c>
      <c r="F439" s="12" t="s">
        <v>4992</v>
      </c>
      <c r="G439" s="38">
        <v>4.41</v>
      </c>
      <c r="H439" s="38">
        <v>3.09</v>
      </c>
      <c r="I439" s="38">
        <v>3.09</v>
      </c>
      <c r="J439" s="39"/>
      <c r="K439" s="143"/>
      <c r="L439" s="22">
        <v>7.0999999999999994E-2</v>
      </c>
      <c r="M439" s="22" t="s">
        <v>12487</v>
      </c>
      <c r="N439" s="20" t="s">
        <v>8769</v>
      </c>
      <c r="O439" s="16" t="s">
        <v>13916</v>
      </c>
      <c r="P439" s="143" t="s">
        <v>12552</v>
      </c>
      <c r="Q439" s="121" t="s">
        <v>14285</v>
      </c>
      <c r="R439" s="16" t="s">
        <v>8904</v>
      </c>
      <c r="S439" s="10" t="s">
        <v>1164</v>
      </c>
      <c r="T439" s="28" t="s">
        <v>9642</v>
      </c>
      <c r="U439" s="20" t="s">
        <v>5359</v>
      </c>
      <c r="V439" s="16" t="s">
        <v>1237</v>
      </c>
      <c r="W439" s="11" t="s">
        <v>14433</v>
      </c>
      <c r="X439" s="174">
        <v>2.4300000000000002</v>
      </c>
      <c r="Y439" s="174">
        <v>3.09</v>
      </c>
    </row>
    <row r="440" spans="1:25" ht="15" customHeight="1" x14ac:dyDescent="0.25">
      <c r="A440" s="20" t="s">
        <v>4044</v>
      </c>
      <c r="B440" s="14" t="s">
        <v>4920</v>
      </c>
      <c r="C440" s="71" t="str">
        <f t="shared" si="6"/>
        <v>Product Info</v>
      </c>
      <c r="D440" s="37" t="s">
        <v>38</v>
      </c>
      <c r="E440" s="143">
        <v>6</v>
      </c>
      <c r="F440" s="12" t="s">
        <v>2170</v>
      </c>
      <c r="G440" s="38">
        <v>13.97</v>
      </c>
      <c r="H440" s="38">
        <v>9.7799999999999994</v>
      </c>
      <c r="I440" s="38">
        <v>9.7799999999999994</v>
      </c>
      <c r="J440" s="39"/>
      <c r="K440" s="143"/>
      <c r="L440" s="22">
        <v>1.7</v>
      </c>
      <c r="M440" s="22" t="s">
        <v>12488</v>
      </c>
      <c r="N440" s="20" t="s">
        <v>14489</v>
      </c>
      <c r="O440" s="16" t="s">
        <v>12608</v>
      </c>
      <c r="P440" s="143" t="s">
        <v>12552</v>
      </c>
      <c r="Q440" s="121" t="s">
        <v>14285</v>
      </c>
      <c r="R440" s="16" t="s">
        <v>8904</v>
      </c>
      <c r="S440" s="10" t="s">
        <v>1164</v>
      </c>
      <c r="T440" s="28" t="s">
        <v>9643</v>
      </c>
      <c r="U440" s="20" t="s">
        <v>5359</v>
      </c>
      <c r="V440" s="16" t="s">
        <v>4044</v>
      </c>
      <c r="W440" s="11" t="s">
        <v>14433</v>
      </c>
      <c r="X440" s="174">
        <v>7.7</v>
      </c>
      <c r="Y440" s="174">
        <v>9.7799999999999994</v>
      </c>
    </row>
    <row r="441" spans="1:25" ht="15" customHeight="1" x14ac:dyDescent="0.25">
      <c r="A441" s="20" t="s">
        <v>1239</v>
      </c>
      <c r="B441" s="14" t="s">
        <v>1240</v>
      </c>
      <c r="C441" s="71" t="str">
        <f t="shared" si="6"/>
        <v>Product Info</v>
      </c>
      <c r="D441" s="37" t="s">
        <v>39</v>
      </c>
      <c r="E441" s="143">
        <v>12</v>
      </c>
      <c r="F441" s="12" t="s">
        <v>4992</v>
      </c>
      <c r="G441" s="38">
        <v>4.24</v>
      </c>
      <c r="H441" s="38">
        <v>2.97</v>
      </c>
      <c r="I441" s="38">
        <v>2.97</v>
      </c>
      <c r="J441" s="39"/>
      <c r="K441" s="143"/>
      <c r="L441" s="22">
        <v>7.0000000000000007E-2</v>
      </c>
      <c r="M441" s="22" t="s">
        <v>12487</v>
      </c>
      <c r="N441" s="20" t="s">
        <v>8769</v>
      </c>
      <c r="O441" s="16" t="s">
        <v>13916</v>
      </c>
      <c r="P441" s="143" t="s">
        <v>12552</v>
      </c>
      <c r="Q441" s="122" t="s">
        <v>9227</v>
      </c>
      <c r="R441" s="16" t="s">
        <v>8904</v>
      </c>
      <c r="S441" s="10" t="s">
        <v>1164</v>
      </c>
      <c r="T441" s="28" t="s">
        <v>9644</v>
      </c>
      <c r="U441" s="20" t="s">
        <v>5359</v>
      </c>
      <c r="V441" s="16" t="s">
        <v>1239</v>
      </c>
      <c r="W441" s="11" t="s">
        <v>14433</v>
      </c>
      <c r="X441" s="174">
        <v>2.34</v>
      </c>
      <c r="Y441" s="174">
        <v>2.97</v>
      </c>
    </row>
    <row r="442" spans="1:25" ht="15" customHeight="1" x14ac:dyDescent="0.25">
      <c r="A442" s="20" t="s">
        <v>2106</v>
      </c>
      <c r="B442" s="14" t="s">
        <v>2107</v>
      </c>
      <c r="C442" s="71" t="str">
        <f t="shared" si="6"/>
        <v>Product Info</v>
      </c>
      <c r="D442" s="37" t="s">
        <v>43</v>
      </c>
      <c r="E442" s="143">
        <v>12</v>
      </c>
      <c r="F442" s="12" t="s">
        <v>4992</v>
      </c>
      <c r="G442" s="38">
        <v>3.06</v>
      </c>
      <c r="H442" s="38">
        <v>2.14</v>
      </c>
      <c r="I442" s="38">
        <v>2.14</v>
      </c>
      <c r="J442" s="39"/>
      <c r="K442" s="12" t="s">
        <v>8905</v>
      </c>
      <c r="L442" s="22">
        <v>7.0000000000000007E-2</v>
      </c>
      <c r="M442" s="22" t="s">
        <v>12487</v>
      </c>
      <c r="N442" s="20" t="s">
        <v>8769</v>
      </c>
      <c r="O442" s="16" t="s">
        <v>13916</v>
      </c>
      <c r="P442" s="143" t="s">
        <v>12552</v>
      </c>
      <c r="Q442" s="122" t="s">
        <v>9227</v>
      </c>
      <c r="R442" s="16" t="s">
        <v>8904</v>
      </c>
      <c r="S442" s="10" t="s">
        <v>1164</v>
      </c>
      <c r="T442" s="28" t="s">
        <v>9648</v>
      </c>
      <c r="U442" s="20" t="s">
        <v>5359</v>
      </c>
      <c r="V442" s="16" t="s">
        <v>2106</v>
      </c>
      <c r="W442" s="11" t="s">
        <v>14433</v>
      </c>
      <c r="X442" s="174">
        <v>1.69</v>
      </c>
      <c r="Y442" s="174">
        <v>2.14</v>
      </c>
    </row>
    <row r="443" spans="1:25" ht="15" customHeight="1" x14ac:dyDescent="0.25">
      <c r="A443" s="20" t="s">
        <v>2108</v>
      </c>
      <c r="B443" s="14" t="s">
        <v>2109</v>
      </c>
      <c r="C443" s="71" t="str">
        <f t="shared" si="6"/>
        <v>Product Info</v>
      </c>
      <c r="D443" s="37" t="s">
        <v>44</v>
      </c>
      <c r="E443" s="143">
        <v>125</v>
      </c>
      <c r="F443" s="12" t="s">
        <v>4992</v>
      </c>
      <c r="G443" s="38">
        <v>2.93</v>
      </c>
      <c r="H443" s="38">
        <v>2.0499999999999998</v>
      </c>
      <c r="I443" s="38">
        <v>2.0499999999999998</v>
      </c>
      <c r="J443" s="39"/>
      <c r="K443" s="143"/>
      <c r="L443" s="22">
        <v>6.7000000000000004E-2</v>
      </c>
      <c r="M443" s="22" t="s">
        <v>12487</v>
      </c>
      <c r="N443" s="20" t="s">
        <v>8770</v>
      </c>
      <c r="O443" s="16" t="s">
        <v>13916</v>
      </c>
      <c r="P443" s="143" t="s">
        <v>12552</v>
      </c>
      <c r="Q443" s="121" t="s">
        <v>14285</v>
      </c>
      <c r="R443" s="16" t="s">
        <v>8904</v>
      </c>
      <c r="S443" s="10" t="s">
        <v>1164</v>
      </c>
      <c r="T443" s="28" t="s">
        <v>9649</v>
      </c>
      <c r="U443" s="20" t="s">
        <v>5359</v>
      </c>
      <c r="V443" s="16" t="s">
        <v>2108</v>
      </c>
      <c r="W443" s="11" t="s">
        <v>14433</v>
      </c>
      <c r="X443" s="174">
        <v>1.62</v>
      </c>
      <c r="Y443" s="174">
        <v>2.0499999999999998</v>
      </c>
    </row>
    <row r="444" spans="1:25" ht="15" customHeight="1" x14ac:dyDescent="0.25">
      <c r="A444" s="20" t="s">
        <v>1235</v>
      </c>
      <c r="B444" s="14" t="s">
        <v>1236</v>
      </c>
      <c r="C444" s="71" t="str">
        <f t="shared" si="6"/>
        <v>Product Info</v>
      </c>
      <c r="D444" s="37" t="s">
        <v>45</v>
      </c>
      <c r="E444" s="143">
        <v>12</v>
      </c>
      <c r="F444" s="12" t="s">
        <v>4992</v>
      </c>
      <c r="G444" s="38">
        <v>3.2</v>
      </c>
      <c r="H444" s="38">
        <v>2.2400000000000002</v>
      </c>
      <c r="I444" s="38">
        <v>2.2400000000000002</v>
      </c>
      <c r="J444" s="39"/>
      <c r="K444" s="143"/>
      <c r="L444" s="22">
        <v>2</v>
      </c>
      <c r="M444" s="22" t="s">
        <v>12488</v>
      </c>
      <c r="N444" s="20" t="s">
        <v>13071</v>
      </c>
      <c r="O444" s="16" t="s">
        <v>12608</v>
      </c>
      <c r="P444" s="143" t="s">
        <v>12552</v>
      </c>
      <c r="Q444" s="121" t="s">
        <v>14285</v>
      </c>
      <c r="R444" s="16" t="s">
        <v>8904</v>
      </c>
      <c r="S444" s="10" t="s">
        <v>1164</v>
      </c>
      <c r="T444" s="28" t="s">
        <v>9650</v>
      </c>
      <c r="U444" s="20" t="s">
        <v>5359</v>
      </c>
      <c r="V444" s="16" t="s">
        <v>1235</v>
      </c>
      <c r="W444" s="11" t="s">
        <v>14433</v>
      </c>
      <c r="X444" s="174">
        <v>1.77</v>
      </c>
      <c r="Y444" s="174">
        <v>2.2400000000000002</v>
      </c>
    </row>
    <row r="445" spans="1:25" ht="15" customHeight="1" x14ac:dyDescent="0.25">
      <c r="A445" s="20" t="s">
        <v>2115</v>
      </c>
      <c r="B445" s="14" t="s">
        <v>2116</v>
      </c>
      <c r="C445" s="71" t="str">
        <f t="shared" si="6"/>
        <v>Product Info</v>
      </c>
      <c r="D445" s="37" t="s">
        <v>50</v>
      </c>
      <c r="E445" s="143">
        <v>12</v>
      </c>
      <c r="F445" s="12" t="s">
        <v>2170</v>
      </c>
      <c r="G445" s="38">
        <v>21.21</v>
      </c>
      <c r="H445" s="38">
        <v>14.85</v>
      </c>
      <c r="I445" s="38">
        <v>14.85</v>
      </c>
      <c r="J445" s="39"/>
      <c r="K445" s="143"/>
      <c r="L445" s="22">
        <v>3.5</v>
      </c>
      <c r="M445" s="22" t="s">
        <v>12488</v>
      </c>
      <c r="N445" s="20" t="s">
        <v>14489</v>
      </c>
      <c r="O445" s="16" t="s">
        <v>12608</v>
      </c>
      <c r="P445" s="143" t="s">
        <v>12552</v>
      </c>
      <c r="Q445" s="121" t="s">
        <v>14285</v>
      </c>
      <c r="R445" s="16" t="s">
        <v>8904</v>
      </c>
      <c r="S445" s="10" t="s">
        <v>1164</v>
      </c>
      <c r="T445" s="28" t="s">
        <v>9655</v>
      </c>
      <c r="U445" s="20" t="s">
        <v>5359</v>
      </c>
      <c r="V445" s="16" t="s">
        <v>2115</v>
      </c>
      <c r="W445" s="11" t="s">
        <v>14433</v>
      </c>
      <c r="X445" s="174">
        <v>11.7</v>
      </c>
      <c r="Y445" s="174">
        <v>14.85</v>
      </c>
    </row>
    <row r="446" spans="1:25" ht="15" customHeight="1" x14ac:dyDescent="0.25">
      <c r="A446" s="20" t="s">
        <v>2117</v>
      </c>
      <c r="B446" s="14" t="s">
        <v>12430</v>
      </c>
      <c r="C446" s="71" t="str">
        <f t="shared" si="6"/>
        <v>Product Info</v>
      </c>
      <c r="D446" s="37" t="s">
        <v>51</v>
      </c>
      <c r="E446" s="143">
        <v>100</v>
      </c>
      <c r="F446" s="12" t="s">
        <v>2170</v>
      </c>
      <c r="G446" s="38">
        <v>18.829999999999998</v>
      </c>
      <c r="H446" s="38">
        <v>13.18</v>
      </c>
      <c r="I446" s="38">
        <v>13.18</v>
      </c>
      <c r="J446" s="39"/>
      <c r="K446" s="143"/>
      <c r="L446" s="22">
        <v>0.123</v>
      </c>
      <c r="M446" s="22" t="s">
        <v>12487</v>
      </c>
      <c r="N446" s="20" t="s">
        <v>8761</v>
      </c>
      <c r="O446" s="16" t="s">
        <v>13916</v>
      </c>
      <c r="P446" s="143" t="s">
        <v>12552</v>
      </c>
      <c r="Q446" s="121" t="s">
        <v>14285</v>
      </c>
      <c r="R446" s="16" t="s">
        <v>8904</v>
      </c>
      <c r="S446" s="10" t="s">
        <v>1164</v>
      </c>
      <c r="T446" s="28" t="s">
        <v>9656</v>
      </c>
      <c r="U446" s="20" t="s">
        <v>5359</v>
      </c>
      <c r="V446" s="16" t="s">
        <v>2117</v>
      </c>
      <c r="W446" s="11" t="s">
        <v>14433</v>
      </c>
      <c r="X446" s="174">
        <v>10.39</v>
      </c>
      <c r="Y446" s="174">
        <v>13.18</v>
      </c>
    </row>
    <row r="447" spans="1:25" ht="15" customHeight="1" x14ac:dyDescent="0.25">
      <c r="A447" s="20" t="s">
        <v>2118</v>
      </c>
      <c r="B447" s="14" t="s">
        <v>2119</v>
      </c>
      <c r="C447" s="71" t="str">
        <f t="shared" si="6"/>
        <v>Product Info</v>
      </c>
      <c r="D447" s="37" t="s">
        <v>52</v>
      </c>
      <c r="E447" s="143">
        <v>12</v>
      </c>
      <c r="F447" s="12" t="s">
        <v>2170</v>
      </c>
      <c r="G447" s="38">
        <v>20</v>
      </c>
      <c r="H447" s="38">
        <v>14</v>
      </c>
      <c r="I447" s="38">
        <v>14</v>
      </c>
      <c r="J447" s="39"/>
      <c r="K447" s="143"/>
      <c r="L447" s="22">
        <v>3.5</v>
      </c>
      <c r="M447" s="22" t="s">
        <v>12488</v>
      </c>
      <c r="N447" s="20" t="s">
        <v>14489</v>
      </c>
      <c r="O447" s="16" t="s">
        <v>12608</v>
      </c>
      <c r="P447" s="143" t="s">
        <v>12552</v>
      </c>
      <c r="Q447" s="122" t="s">
        <v>9227</v>
      </c>
      <c r="R447" s="16" t="s">
        <v>8904</v>
      </c>
      <c r="S447" s="10" t="s">
        <v>1164</v>
      </c>
      <c r="T447" s="28" t="s">
        <v>9657</v>
      </c>
      <c r="U447" s="20" t="s">
        <v>5359</v>
      </c>
      <c r="V447" s="16" t="s">
        <v>2118</v>
      </c>
      <c r="W447" s="11" t="s">
        <v>14433</v>
      </c>
      <c r="X447" s="174">
        <v>11.03</v>
      </c>
      <c r="Y447" s="174">
        <v>14</v>
      </c>
    </row>
    <row r="448" spans="1:25" ht="15" customHeight="1" x14ac:dyDescent="0.25">
      <c r="A448" s="20" t="s">
        <v>1071</v>
      </c>
      <c r="B448" s="14" t="s">
        <v>6733</v>
      </c>
      <c r="C448" s="71" t="str">
        <f t="shared" si="6"/>
        <v>Product Info</v>
      </c>
      <c r="D448" s="37" t="s">
        <v>53</v>
      </c>
      <c r="E448" s="143">
        <v>50</v>
      </c>
      <c r="F448" s="12" t="s">
        <v>4992</v>
      </c>
      <c r="G448" s="38">
        <v>20.8</v>
      </c>
      <c r="H448" s="38">
        <v>14.56</v>
      </c>
      <c r="I448" s="38">
        <v>14.56</v>
      </c>
      <c r="J448" s="39"/>
      <c r="K448" s="143"/>
      <c r="L448" s="22">
        <v>0.13100000000000001</v>
      </c>
      <c r="M448" s="22" t="s">
        <v>12487</v>
      </c>
      <c r="N448" s="20" t="s">
        <v>8760</v>
      </c>
      <c r="O448" s="16" t="s">
        <v>13916</v>
      </c>
      <c r="P448" s="143" t="s">
        <v>12552</v>
      </c>
      <c r="Q448" s="121" t="s">
        <v>14285</v>
      </c>
      <c r="R448" s="16" t="s">
        <v>8904</v>
      </c>
      <c r="S448" s="10" t="s">
        <v>1164</v>
      </c>
      <c r="T448" s="28" t="s">
        <v>9658</v>
      </c>
      <c r="U448" s="20" t="s">
        <v>5359</v>
      </c>
      <c r="V448" s="16" t="s">
        <v>1071</v>
      </c>
      <c r="W448" s="11" t="s">
        <v>14433</v>
      </c>
      <c r="X448" s="174">
        <v>11.48</v>
      </c>
      <c r="Y448" s="174">
        <v>14.56</v>
      </c>
    </row>
    <row r="449" spans="1:25" ht="15" customHeight="1" x14ac:dyDescent="0.25">
      <c r="A449" s="20" t="s">
        <v>4357</v>
      </c>
      <c r="B449" s="14" t="s">
        <v>12447</v>
      </c>
      <c r="C449" s="71" t="str">
        <f t="shared" si="6"/>
        <v>Product Info</v>
      </c>
      <c r="D449" s="37" t="s">
        <v>56</v>
      </c>
      <c r="E449" s="143">
        <v>12</v>
      </c>
      <c r="F449" s="12" t="s">
        <v>2170</v>
      </c>
      <c r="G449" s="38">
        <v>27.66</v>
      </c>
      <c r="H449" s="38">
        <v>19.36</v>
      </c>
      <c r="I449" s="38">
        <v>19.36</v>
      </c>
      <c r="J449" s="39"/>
      <c r="K449" s="12" t="s">
        <v>8905</v>
      </c>
      <c r="L449" s="22">
        <v>8.5999999999999993E-2</v>
      </c>
      <c r="M449" s="22" t="s">
        <v>12487</v>
      </c>
      <c r="N449" s="20" t="s">
        <v>8763</v>
      </c>
      <c r="O449" s="16" t="s">
        <v>13916</v>
      </c>
      <c r="P449" s="143" t="s">
        <v>12553</v>
      </c>
      <c r="Q449" s="122" t="s">
        <v>9227</v>
      </c>
      <c r="R449" s="16" t="s">
        <v>8904</v>
      </c>
      <c r="S449" s="10" t="s">
        <v>1164</v>
      </c>
      <c r="T449" s="28" t="s">
        <v>9661</v>
      </c>
      <c r="U449" s="20" t="s">
        <v>5359</v>
      </c>
      <c r="V449" s="16" t="s">
        <v>4357</v>
      </c>
      <c r="W449" s="11" t="s">
        <v>14433</v>
      </c>
      <c r="X449" s="174">
        <v>15.26</v>
      </c>
      <c r="Y449" s="174">
        <v>19.36</v>
      </c>
    </row>
    <row r="450" spans="1:25" ht="15" customHeight="1" x14ac:dyDescent="0.25">
      <c r="A450" s="20" t="s">
        <v>13302</v>
      </c>
      <c r="B450" s="14" t="s">
        <v>13921</v>
      </c>
      <c r="C450" s="71" t="str">
        <f t="shared" si="6"/>
        <v>Product Info</v>
      </c>
      <c r="D450" s="37" t="s">
        <v>14928</v>
      </c>
      <c r="E450" s="143">
        <v>1</v>
      </c>
      <c r="F450" s="12" t="s">
        <v>4992</v>
      </c>
      <c r="G450" s="38">
        <v>43.23</v>
      </c>
      <c r="H450" s="38">
        <v>36.75</v>
      </c>
      <c r="I450" s="38">
        <v>30.26</v>
      </c>
      <c r="J450" s="39"/>
      <c r="K450" s="143"/>
      <c r="L450" s="22">
        <v>0.34</v>
      </c>
      <c r="M450" s="22" t="s">
        <v>12488</v>
      </c>
      <c r="N450" s="20" t="s">
        <v>8779</v>
      </c>
      <c r="O450" s="16" t="s">
        <v>13912</v>
      </c>
      <c r="P450" s="143">
        <v>364</v>
      </c>
      <c r="Q450" s="122" t="s">
        <v>9227</v>
      </c>
      <c r="R450" s="16" t="s">
        <v>9235</v>
      </c>
      <c r="S450" s="10" t="s">
        <v>1165</v>
      </c>
      <c r="T450" s="28" t="s">
        <v>13311</v>
      </c>
      <c r="U450" s="20" t="s">
        <v>5359</v>
      </c>
      <c r="V450" s="16" t="s">
        <v>13302</v>
      </c>
      <c r="W450" s="11" t="s">
        <v>14395</v>
      </c>
      <c r="X450" s="174">
        <v>29.05</v>
      </c>
      <c r="Y450" s="174">
        <v>36.75</v>
      </c>
    </row>
    <row r="451" spans="1:25" ht="15" customHeight="1" x14ac:dyDescent="0.25">
      <c r="A451" s="20" t="s">
        <v>13308</v>
      </c>
      <c r="B451" s="14" t="s">
        <v>13922</v>
      </c>
      <c r="C451" s="71" t="str">
        <f t="shared" si="6"/>
        <v>Product Info</v>
      </c>
      <c r="D451" s="37" t="s">
        <v>14929</v>
      </c>
      <c r="E451" s="143">
        <v>1</v>
      </c>
      <c r="F451" s="12" t="s">
        <v>4992</v>
      </c>
      <c r="G451" s="38">
        <v>43.23</v>
      </c>
      <c r="H451" s="38">
        <v>36.75</v>
      </c>
      <c r="I451" s="38">
        <v>30.26</v>
      </c>
      <c r="J451" s="39"/>
      <c r="K451" s="143"/>
      <c r="L451" s="22">
        <v>0.36</v>
      </c>
      <c r="M451" s="22" t="s">
        <v>12488</v>
      </c>
      <c r="N451" s="20" t="s">
        <v>8773</v>
      </c>
      <c r="O451" s="16" t="s">
        <v>13912</v>
      </c>
      <c r="P451" s="143">
        <v>364</v>
      </c>
      <c r="Q451" s="121" t="s">
        <v>14285</v>
      </c>
      <c r="R451" s="16" t="s">
        <v>9235</v>
      </c>
      <c r="S451" s="10" t="s">
        <v>1165</v>
      </c>
      <c r="T451" s="28" t="s">
        <v>13312</v>
      </c>
      <c r="U451" s="20" t="s">
        <v>5359</v>
      </c>
      <c r="V451" s="16" t="s">
        <v>13308</v>
      </c>
      <c r="W451" s="11" t="s">
        <v>14395</v>
      </c>
      <c r="X451" s="174">
        <v>29.05</v>
      </c>
      <c r="Y451" s="174">
        <v>36.75</v>
      </c>
    </row>
    <row r="452" spans="1:25" ht="15" customHeight="1" x14ac:dyDescent="0.25">
      <c r="A452" s="20" t="s">
        <v>13303</v>
      </c>
      <c r="B452" s="14" t="s">
        <v>13923</v>
      </c>
      <c r="C452" s="71" t="str">
        <f t="shared" si="6"/>
        <v>Product Info</v>
      </c>
      <c r="D452" s="37" t="s">
        <v>14927</v>
      </c>
      <c r="E452" s="143">
        <v>1</v>
      </c>
      <c r="F452" s="12" t="s">
        <v>4992</v>
      </c>
      <c r="G452" s="38">
        <v>43.23</v>
      </c>
      <c r="H452" s="38">
        <v>36.75</v>
      </c>
      <c r="I452" s="38">
        <v>30.26</v>
      </c>
      <c r="J452" s="39"/>
      <c r="K452" s="143"/>
      <c r="L452" s="22">
        <v>0.15</v>
      </c>
      <c r="M452" s="22" t="s">
        <v>12487</v>
      </c>
      <c r="N452" s="20" t="s">
        <v>14261</v>
      </c>
      <c r="O452" s="16" t="s">
        <v>13912</v>
      </c>
      <c r="P452" s="143">
        <v>364</v>
      </c>
      <c r="Q452" s="121" t="s">
        <v>14285</v>
      </c>
      <c r="R452" s="16" t="s">
        <v>9235</v>
      </c>
      <c r="S452" s="10" t="s">
        <v>1165</v>
      </c>
      <c r="T452" s="28" t="s">
        <v>13313</v>
      </c>
      <c r="U452" s="20" t="s">
        <v>5359</v>
      </c>
      <c r="V452" s="16" t="s">
        <v>13303</v>
      </c>
      <c r="W452" s="11" t="s">
        <v>14395</v>
      </c>
      <c r="X452" s="174">
        <v>29.05</v>
      </c>
      <c r="Y452" s="174">
        <v>36.75</v>
      </c>
    </row>
    <row r="453" spans="1:25" ht="15" customHeight="1" x14ac:dyDescent="0.25">
      <c r="A453" s="20" t="s">
        <v>13300</v>
      </c>
      <c r="B453" s="14" t="s">
        <v>13919</v>
      </c>
      <c r="C453" s="71" t="str">
        <f t="shared" si="6"/>
        <v>Product Info</v>
      </c>
      <c r="D453" s="37" t="s">
        <v>14926</v>
      </c>
      <c r="E453" s="143">
        <v>1</v>
      </c>
      <c r="F453" s="12" t="s">
        <v>4992</v>
      </c>
      <c r="G453" s="38">
        <v>43.23</v>
      </c>
      <c r="H453" s="38">
        <v>36.75</v>
      </c>
      <c r="I453" s="38">
        <v>30.26</v>
      </c>
      <c r="J453" s="39"/>
      <c r="K453" s="143"/>
      <c r="L453" s="22">
        <v>0.32</v>
      </c>
      <c r="M453" s="22" t="s">
        <v>12488</v>
      </c>
      <c r="N453" s="20" t="s">
        <v>8778</v>
      </c>
      <c r="O453" s="16" t="s">
        <v>13912</v>
      </c>
      <c r="P453" s="143">
        <v>364</v>
      </c>
      <c r="Q453" s="122" t="s">
        <v>9227</v>
      </c>
      <c r="R453" s="16" t="s">
        <v>9235</v>
      </c>
      <c r="S453" s="10" t="s">
        <v>1165</v>
      </c>
      <c r="T453" s="28" t="s">
        <v>13309</v>
      </c>
      <c r="U453" s="20" t="s">
        <v>5359</v>
      </c>
      <c r="V453" s="16" t="s">
        <v>13300</v>
      </c>
      <c r="W453" s="11" t="s">
        <v>14395</v>
      </c>
      <c r="X453" s="174">
        <v>29.05</v>
      </c>
      <c r="Y453" s="174">
        <v>36.75</v>
      </c>
    </row>
    <row r="454" spans="1:25" ht="15" customHeight="1" x14ac:dyDescent="0.25">
      <c r="A454" s="20" t="s">
        <v>13301</v>
      </c>
      <c r="B454" s="14" t="s">
        <v>13920</v>
      </c>
      <c r="C454" s="71" t="str">
        <f t="shared" ref="C454:C517" si="7">HYPERLINK(T454,U454)</f>
        <v>Product Info</v>
      </c>
      <c r="D454" s="37" t="s">
        <v>14925</v>
      </c>
      <c r="E454" s="143">
        <v>1</v>
      </c>
      <c r="F454" s="12" t="s">
        <v>4992</v>
      </c>
      <c r="G454" s="38">
        <v>43.23</v>
      </c>
      <c r="H454" s="38">
        <v>36.75</v>
      </c>
      <c r="I454" s="38">
        <v>30.26</v>
      </c>
      <c r="J454" s="39"/>
      <c r="K454" s="143"/>
      <c r="L454" s="22">
        <v>0.32</v>
      </c>
      <c r="M454" s="22" t="s">
        <v>12488</v>
      </c>
      <c r="N454" s="20" t="s">
        <v>8778</v>
      </c>
      <c r="O454" s="16" t="s">
        <v>13912</v>
      </c>
      <c r="P454" s="143">
        <v>364</v>
      </c>
      <c r="Q454" s="122" t="s">
        <v>9227</v>
      </c>
      <c r="R454" s="16" t="s">
        <v>9235</v>
      </c>
      <c r="S454" s="10" t="s">
        <v>1165</v>
      </c>
      <c r="T454" s="28" t="s">
        <v>13310</v>
      </c>
      <c r="U454" s="20" t="s">
        <v>5359</v>
      </c>
      <c r="V454" s="16" t="s">
        <v>13301</v>
      </c>
      <c r="W454" s="11" t="s">
        <v>14395</v>
      </c>
      <c r="X454" s="174">
        <v>29.05</v>
      </c>
      <c r="Y454" s="174">
        <v>36.75</v>
      </c>
    </row>
    <row r="455" spans="1:25" ht="15" customHeight="1" x14ac:dyDescent="0.25">
      <c r="A455" s="20" t="s">
        <v>12419</v>
      </c>
      <c r="B455" s="14" t="s">
        <v>12420</v>
      </c>
      <c r="C455" s="71" t="str">
        <f t="shared" si="7"/>
        <v>Product Info</v>
      </c>
      <c r="D455" s="37" t="s">
        <v>9037</v>
      </c>
      <c r="E455" s="143">
        <v>10</v>
      </c>
      <c r="F455" s="12" t="s">
        <v>4992</v>
      </c>
      <c r="G455" s="38">
        <v>36.799999999999997</v>
      </c>
      <c r="H455" s="38">
        <v>31.28</v>
      </c>
      <c r="I455" s="38">
        <v>25.76</v>
      </c>
      <c r="J455" s="39"/>
      <c r="K455" s="143"/>
      <c r="L455" s="22">
        <v>0.7</v>
      </c>
      <c r="M455" s="22" t="s">
        <v>12488</v>
      </c>
      <c r="N455" s="20" t="s">
        <v>12423</v>
      </c>
      <c r="O455" s="16" t="s">
        <v>13912</v>
      </c>
      <c r="P455" s="143">
        <v>364</v>
      </c>
      <c r="Q455" s="121" t="s">
        <v>14285</v>
      </c>
      <c r="R455" s="16" t="s">
        <v>9235</v>
      </c>
      <c r="S455" s="10" t="s">
        <v>1165</v>
      </c>
      <c r="T455" s="28" t="s">
        <v>12678</v>
      </c>
      <c r="U455" s="20" t="s">
        <v>5359</v>
      </c>
      <c r="V455" s="16" t="s">
        <v>12419</v>
      </c>
      <c r="W455" s="11" t="s">
        <v>14395</v>
      </c>
      <c r="X455" s="174">
        <v>23.76</v>
      </c>
      <c r="Y455" s="174">
        <v>31.28</v>
      </c>
    </row>
    <row r="456" spans="1:25" ht="15" customHeight="1" x14ac:dyDescent="0.25">
      <c r="A456" s="20" t="s">
        <v>4694</v>
      </c>
      <c r="B456" s="14" t="s">
        <v>7161</v>
      </c>
      <c r="C456" s="71" t="str">
        <f t="shared" si="7"/>
        <v>Product Info</v>
      </c>
      <c r="D456" s="37" t="s">
        <v>1411</v>
      </c>
      <c r="E456" s="143">
        <v>1</v>
      </c>
      <c r="F456" s="12" t="s">
        <v>2170</v>
      </c>
      <c r="G456" s="38">
        <v>635.41</v>
      </c>
      <c r="H456" s="38">
        <v>540.12</v>
      </c>
      <c r="I456" s="38">
        <v>444.79</v>
      </c>
      <c r="J456" s="39"/>
      <c r="K456" s="143"/>
      <c r="L456" s="22">
        <v>2.2999999999999998</v>
      </c>
      <c r="M456" s="22" t="s">
        <v>12488</v>
      </c>
      <c r="N456" s="20" t="s">
        <v>8773</v>
      </c>
      <c r="O456" s="16" t="s">
        <v>12608</v>
      </c>
      <c r="P456" s="143">
        <v>151</v>
      </c>
      <c r="Q456" s="122" t="s">
        <v>9227</v>
      </c>
      <c r="R456" s="16" t="s">
        <v>9235</v>
      </c>
      <c r="S456" s="10" t="s">
        <v>1165</v>
      </c>
      <c r="T456" s="28" t="s">
        <v>9662</v>
      </c>
      <c r="U456" s="20" t="s">
        <v>5359</v>
      </c>
      <c r="V456" s="16" t="s">
        <v>8190</v>
      </c>
      <c r="W456" s="11" t="s">
        <v>14395</v>
      </c>
      <c r="X456" s="174">
        <v>410.42</v>
      </c>
      <c r="Y456" s="174">
        <v>540.12</v>
      </c>
    </row>
    <row r="457" spans="1:25" ht="15" customHeight="1" x14ac:dyDescent="0.25">
      <c r="A457" s="20" t="s">
        <v>5105</v>
      </c>
      <c r="B457" s="14" t="s">
        <v>5106</v>
      </c>
      <c r="C457" s="71" t="str">
        <f t="shared" si="7"/>
        <v>Product Info</v>
      </c>
      <c r="D457" s="37" t="s">
        <v>5107</v>
      </c>
      <c r="E457" s="143">
        <v>100</v>
      </c>
      <c r="F457" s="12" t="s">
        <v>2170</v>
      </c>
      <c r="G457" s="38">
        <v>0.6</v>
      </c>
      <c r="H457" s="38">
        <v>0.51</v>
      </c>
      <c r="I457" s="38">
        <v>0.42</v>
      </c>
      <c r="J457" s="39"/>
      <c r="K457" s="143"/>
      <c r="L457" s="22">
        <v>0</v>
      </c>
      <c r="M457" s="22" t="s">
        <v>12488</v>
      </c>
      <c r="N457" s="20" t="s">
        <v>14489</v>
      </c>
      <c r="O457" s="16" t="s">
        <v>12608</v>
      </c>
      <c r="P457" s="143">
        <v>202</v>
      </c>
      <c r="Q457" s="121" t="s">
        <v>14285</v>
      </c>
      <c r="R457" s="16" t="s">
        <v>14363</v>
      </c>
      <c r="S457" s="10" t="s">
        <v>1165</v>
      </c>
      <c r="T457" s="28" t="s">
        <v>12574</v>
      </c>
      <c r="U457" s="20" t="s">
        <v>5359</v>
      </c>
      <c r="V457" s="16" t="s">
        <v>8191</v>
      </c>
      <c r="W457" s="11" t="s">
        <v>14395</v>
      </c>
      <c r="X457" s="174">
        <v>0.32</v>
      </c>
      <c r="Y457" s="174">
        <v>0.51</v>
      </c>
    </row>
    <row r="458" spans="1:25" ht="15" customHeight="1" x14ac:dyDescent="0.25">
      <c r="A458" s="20" t="s">
        <v>7162</v>
      </c>
      <c r="B458" s="14" t="s">
        <v>7163</v>
      </c>
      <c r="C458" s="71" t="str">
        <f t="shared" si="7"/>
        <v>Product Info</v>
      </c>
      <c r="D458" s="37" t="s">
        <v>1412</v>
      </c>
      <c r="E458" s="143">
        <v>1</v>
      </c>
      <c r="F458" s="12" t="s">
        <v>2170</v>
      </c>
      <c r="G458" s="38">
        <v>1472.73</v>
      </c>
      <c r="H458" s="38">
        <v>1251.8599999999999</v>
      </c>
      <c r="I458" s="38">
        <v>1030.9100000000001</v>
      </c>
      <c r="J458" s="39"/>
      <c r="K458" s="143"/>
      <c r="L458" s="22">
        <v>6</v>
      </c>
      <c r="M458" s="22" t="s">
        <v>12488</v>
      </c>
      <c r="N458" s="20" t="s">
        <v>8774</v>
      </c>
      <c r="O458" s="16" t="s">
        <v>12608</v>
      </c>
      <c r="P458" s="143">
        <v>151</v>
      </c>
      <c r="Q458" s="122" t="s">
        <v>9227</v>
      </c>
      <c r="R458" s="16" t="s">
        <v>9235</v>
      </c>
      <c r="S458" s="10" t="s">
        <v>1165</v>
      </c>
      <c r="T458" s="28" t="s">
        <v>9663</v>
      </c>
      <c r="U458" s="20" t="s">
        <v>5359</v>
      </c>
      <c r="V458" s="16" t="s">
        <v>13031</v>
      </c>
      <c r="W458" s="11" t="s">
        <v>14395</v>
      </c>
      <c r="X458" s="174">
        <v>951.24</v>
      </c>
      <c r="Y458" s="174">
        <v>1251.8599999999999</v>
      </c>
    </row>
    <row r="459" spans="1:25" ht="15" customHeight="1" x14ac:dyDescent="0.25">
      <c r="A459" s="20" t="s">
        <v>7164</v>
      </c>
      <c r="B459" s="14" t="s">
        <v>7165</v>
      </c>
      <c r="C459" s="71" t="str">
        <f t="shared" si="7"/>
        <v>Product Info</v>
      </c>
      <c r="D459" s="37" t="s">
        <v>1413</v>
      </c>
      <c r="E459" s="143">
        <v>1</v>
      </c>
      <c r="F459" s="12" t="s">
        <v>2170</v>
      </c>
      <c r="G459" s="38">
        <v>2351.94</v>
      </c>
      <c r="H459" s="38">
        <v>1999.22</v>
      </c>
      <c r="I459" s="38">
        <v>1646.36</v>
      </c>
      <c r="J459" s="39"/>
      <c r="K459" s="143"/>
      <c r="L459" s="22">
        <v>10.6</v>
      </c>
      <c r="M459" s="22" t="s">
        <v>14396</v>
      </c>
      <c r="N459" s="20" t="s">
        <v>8775</v>
      </c>
      <c r="O459" s="16" t="s">
        <v>12608</v>
      </c>
      <c r="P459" s="143">
        <v>151</v>
      </c>
      <c r="Q459" s="122" t="s">
        <v>12421</v>
      </c>
      <c r="R459" s="16" t="s">
        <v>9235</v>
      </c>
      <c r="S459" s="10" t="s">
        <v>1165</v>
      </c>
      <c r="T459" s="28" t="s">
        <v>9664</v>
      </c>
      <c r="U459" s="20" t="s">
        <v>5359</v>
      </c>
      <c r="V459" s="16" t="s">
        <v>8192</v>
      </c>
      <c r="W459" s="11" t="s">
        <v>14395</v>
      </c>
      <c r="X459" s="174">
        <v>1519.13</v>
      </c>
      <c r="Y459" s="174">
        <v>1999.22</v>
      </c>
    </row>
    <row r="460" spans="1:25" ht="15" customHeight="1" x14ac:dyDescent="0.25">
      <c r="A460" s="20" t="s">
        <v>8022</v>
      </c>
      <c r="B460" s="14" t="s">
        <v>8023</v>
      </c>
      <c r="C460" s="71" t="str">
        <f t="shared" si="7"/>
        <v>Product Info</v>
      </c>
      <c r="D460" s="37" t="s">
        <v>8644</v>
      </c>
      <c r="E460" s="143">
        <v>1</v>
      </c>
      <c r="F460" s="12" t="s">
        <v>4992</v>
      </c>
      <c r="G460" s="38">
        <v>2378.89</v>
      </c>
      <c r="H460" s="38">
        <v>2022.13</v>
      </c>
      <c r="I460" s="38">
        <v>1665.22</v>
      </c>
      <c r="J460" s="39"/>
      <c r="K460" s="143"/>
      <c r="L460" s="22">
        <v>0</v>
      </c>
      <c r="M460" s="22">
        <v>0</v>
      </c>
      <c r="N460" s="20" t="s">
        <v>14489</v>
      </c>
      <c r="O460" s="16">
        <v>0</v>
      </c>
      <c r="P460" s="143">
        <v>151</v>
      </c>
      <c r="Q460" s="121" t="s">
        <v>14285</v>
      </c>
      <c r="R460" s="16" t="s">
        <v>9235</v>
      </c>
      <c r="S460" s="10" t="s">
        <v>1165</v>
      </c>
      <c r="T460" s="28" t="s">
        <v>9665</v>
      </c>
      <c r="U460" s="20" t="s">
        <v>5359</v>
      </c>
      <c r="V460" s="16" t="s">
        <v>8193</v>
      </c>
      <c r="W460" s="11" t="s">
        <v>14395</v>
      </c>
      <c r="X460" s="174">
        <v>1536.54</v>
      </c>
      <c r="Y460" s="174">
        <v>2022.13</v>
      </c>
    </row>
    <row r="461" spans="1:25" ht="15" customHeight="1" x14ac:dyDescent="0.25">
      <c r="A461" s="20" t="s">
        <v>7166</v>
      </c>
      <c r="B461" s="14" t="s">
        <v>7167</v>
      </c>
      <c r="C461" s="71" t="str">
        <f t="shared" si="7"/>
        <v>Product Info</v>
      </c>
      <c r="D461" s="37" t="s">
        <v>1414</v>
      </c>
      <c r="E461" s="143">
        <v>1</v>
      </c>
      <c r="F461" s="12" t="s">
        <v>2170</v>
      </c>
      <c r="G461" s="38">
        <v>1724.5</v>
      </c>
      <c r="H461" s="38">
        <v>1465.88</v>
      </c>
      <c r="I461" s="38">
        <v>1207.1500000000001</v>
      </c>
      <c r="J461" s="39"/>
      <c r="K461" s="143"/>
      <c r="L461" s="22">
        <v>10</v>
      </c>
      <c r="M461" s="22" t="s">
        <v>12488</v>
      </c>
      <c r="N461" s="20" t="s">
        <v>8776</v>
      </c>
      <c r="O461" s="16" t="s">
        <v>12608</v>
      </c>
      <c r="P461" s="143">
        <v>151</v>
      </c>
      <c r="Q461" s="122" t="s">
        <v>9227</v>
      </c>
      <c r="R461" s="16" t="s">
        <v>9235</v>
      </c>
      <c r="S461" s="10" t="s">
        <v>1165</v>
      </c>
      <c r="T461" s="28" t="s">
        <v>9666</v>
      </c>
      <c r="U461" s="20" t="s">
        <v>5359</v>
      </c>
      <c r="V461" s="16" t="s">
        <v>12989</v>
      </c>
      <c r="W461" s="11" t="s">
        <v>14395</v>
      </c>
      <c r="X461" s="174">
        <v>1113.8599999999999</v>
      </c>
      <c r="Y461" s="174">
        <v>1465.88</v>
      </c>
    </row>
    <row r="462" spans="1:25" ht="15" customHeight="1" x14ac:dyDescent="0.25">
      <c r="A462" s="20" t="s">
        <v>7168</v>
      </c>
      <c r="B462" s="14" t="s">
        <v>7637</v>
      </c>
      <c r="C462" s="71" t="str">
        <f t="shared" si="7"/>
        <v>Product Info</v>
      </c>
      <c r="D462" s="37" t="s">
        <v>1415</v>
      </c>
      <c r="E462" s="143">
        <v>1</v>
      </c>
      <c r="F462" s="12" t="s">
        <v>2170</v>
      </c>
      <c r="G462" s="38">
        <v>875.6</v>
      </c>
      <c r="H462" s="38">
        <v>744.29</v>
      </c>
      <c r="I462" s="38">
        <v>612.91999999999996</v>
      </c>
      <c r="J462" s="39"/>
      <c r="K462" s="143"/>
      <c r="L462" s="22">
        <v>3.4</v>
      </c>
      <c r="M462" s="22" t="s">
        <v>12488</v>
      </c>
      <c r="N462" s="20" t="s">
        <v>8777</v>
      </c>
      <c r="O462" s="16" t="s">
        <v>12608</v>
      </c>
      <c r="P462" s="143">
        <v>151</v>
      </c>
      <c r="Q462" s="122" t="s">
        <v>9227</v>
      </c>
      <c r="R462" s="16" t="s">
        <v>9235</v>
      </c>
      <c r="S462" s="10" t="s">
        <v>1165</v>
      </c>
      <c r="T462" s="28" t="s">
        <v>9667</v>
      </c>
      <c r="U462" s="20" t="s">
        <v>5359</v>
      </c>
      <c r="V462" s="16" t="s">
        <v>13002</v>
      </c>
      <c r="W462" s="11" t="s">
        <v>14395</v>
      </c>
      <c r="X462" s="174">
        <v>565.55999999999995</v>
      </c>
      <c r="Y462" s="174">
        <v>744.29</v>
      </c>
    </row>
    <row r="463" spans="1:25" ht="15" customHeight="1" x14ac:dyDescent="0.25">
      <c r="A463" s="20" t="s">
        <v>7638</v>
      </c>
      <c r="B463" s="14" t="s">
        <v>4437</v>
      </c>
      <c r="C463" s="71" t="str">
        <f t="shared" si="7"/>
        <v>Product Info</v>
      </c>
      <c r="D463" s="37" t="s">
        <v>1416</v>
      </c>
      <c r="E463" s="143">
        <v>1</v>
      </c>
      <c r="F463" s="12" t="s">
        <v>2170</v>
      </c>
      <c r="G463" s="38">
        <v>860.33</v>
      </c>
      <c r="H463" s="38">
        <v>731.31</v>
      </c>
      <c r="I463" s="38">
        <v>602.23</v>
      </c>
      <c r="J463" s="39"/>
      <c r="K463" s="143"/>
      <c r="L463" s="22">
        <v>5.0999999999999996</v>
      </c>
      <c r="M463" s="22" t="s">
        <v>12488</v>
      </c>
      <c r="N463" s="20" t="s">
        <v>8773</v>
      </c>
      <c r="O463" s="16" t="s">
        <v>12608</v>
      </c>
      <c r="P463" s="143">
        <v>151</v>
      </c>
      <c r="Q463" s="122" t="s">
        <v>9227</v>
      </c>
      <c r="R463" s="16" t="s">
        <v>9235</v>
      </c>
      <c r="S463" s="10" t="s">
        <v>1165</v>
      </c>
      <c r="T463" s="28" t="s">
        <v>9668</v>
      </c>
      <c r="U463" s="20" t="s">
        <v>5359</v>
      </c>
      <c r="V463" s="16" t="s">
        <v>8194</v>
      </c>
      <c r="W463" s="11" t="s">
        <v>14395</v>
      </c>
      <c r="X463" s="174">
        <v>555.69000000000005</v>
      </c>
      <c r="Y463" s="174">
        <v>731.31</v>
      </c>
    </row>
    <row r="464" spans="1:25" ht="15" customHeight="1" x14ac:dyDescent="0.25">
      <c r="A464" s="20" t="s">
        <v>4438</v>
      </c>
      <c r="B464" s="14" t="s">
        <v>4439</v>
      </c>
      <c r="C464" s="71" t="str">
        <f t="shared" si="7"/>
        <v>Product Info</v>
      </c>
      <c r="D464" s="37" t="s">
        <v>1417</v>
      </c>
      <c r="E464" s="143">
        <v>1</v>
      </c>
      <c r="F464" s="12" t="s">
        <v>2170</v>
      </c>
      <c r="G464" s="38">
        <v>143.53</v>
      </c>
      <c r="H464" s="38">
        <v>122</v>
      </c>
      <c r="I464" s="38">
        <v>100.47</v>
      </c>
      <c r="J464" s="39"/>
      <c r="K464" s="143"/>
      <c r="L464" s="22">
        <v>3</v>
      </c>
      <c r="M464" s="22" t="s">
        <v>12488</v>
      </c>
      <c r="N464" s="20" t="s">
        <v>8778</v>
      </c>
      <c r="O464" s="16" t="s">
        <v>12608</v>
      </c>
      <c r="P464" s="143">
        <v>151</v>
      </c>
      <c r="Q464" s="122" t="s">
        <v>9227</v>
      </c>
      <c r="R464" s="16" t="s">
        <v>9235</v>
      </c>
      <c r="S464" s="10" t="s">
        <v>1165</v>
      </c>
      <c r="T464" s="28" t="s">
        <v>9669</v>
      </c>
      <c r="U464" s="20" t="s">
        <v>5359</v>
      </c>
      <c r="V464" s="16" t="s">
        <v>13016</v>
      </c>
      <c r="W464" s="11" t="s">
        <v>14395</v>
      </c>
      <c r="X464" s="174">
        <v>92.71</v>
      </c>
      <c r="Y464" s="174">
        <v>122</v>
      </c>
    </row>
    <row r="465" spans="1:25" ht="15" customHeight="1" x14ac:dyDescent="0.25">
      <c r="A465" s="20" t="s">
        <v>4440</v>
      </c>
      <c r="B465" s="14" t="s">
        <v>4441</v>
      </c>
      <c r="C465" s="71" t="str">
        <f t="shared" si="7"/>
        <v>Product Info</v>
      </c>
      <c r="D465" s="37" t="s">
        <v>1418</v>
      </c>
      <c r="E465" s="143">
        <v>1</v>
      </c>
      <c r="F465" s="12" t="s">
        <v>2170</v>
      </c>
      <c r="G465" s="38">
        <v>63.73</v>
      </c>
      <c r="H465" s="38">
        <v>54.17</v>
      </c>
      <c r="I465" s="38">
        <v>44.61</v>
      </c>
      <c r="J465" s="39"/>
      <c r="K465" s="143"/>
      <c r="L465" s="22">
        <v>0.22</v>
      </c>
      <c r="M465" s="22" t="s">
        <v>14396</v>
      </c>
      <c r="N465" s="20" t="s">
        <v>8773</v>
      </c>
      <c r="O465" s="16" t="s">
        <v>13914</v>
      </c>
      <c r="P465" s="143">
        <v>151</v>
      </c>
      <c r="Q465" s="122" t="s">
        <v>9227</v>
      </c>
      <c r="R465" s="16" t="s">
        <v>9235</v>
      </c>
      <c r="S465" s="10" t="s">
        <v>1165</v>
      </c>
      <c r="T465" s="28" t="s">
        <v>9670</v>
      </c>
      <c r="U465" s="20" t="s">
        <v>5359</v>
      </c>
      <c r="V465" s="16" t="s">
        <v>13014</v>
      </c>
      <c r="W465" s="11" t="s">
        <v>14395</v>
      </c>
      <c r="X465" s="174">
        <v>41.16</v>
      </c>
      <c r="Y465" s="174">
        <v>54.17</v>
      </c>
    </row>
    <row r="466" spans="1:25" ht="15" customHeight="1" x14ac:dyDescent="0.25">
      <c r="A466" s="20" t="s">
        <v>4442</v>
      </c>
      <c r="B466" s="14" t="s">
        <v>4443</v>
      </c>
      <c r="C466" s="71" t="str">
        <f t="shared" si="7"/>
        <v>Product Info</v>
      </c>
      <c r="D466" s="37" t="s">
        <v>1419</v>
      </c>
      <c r="E466" s="143">
        <v>1</v>
      </c>
      <c r="F466" s="12" t="s">
        <v>2170</v>
      </c>
      <c r="G466" s="38">
        <v>70.5</v>
      </c>
      <c r="H466" s="38">
        <v>59.93</v>
      </c>
      <c r="I466" s="38">
        <v>49.35</v>
      </c>
      <c r="J466" s="39"/>
      <c r="K466" s="143"/>
      <c r="L466" s="22">
        <v>0.2</v>
      </c>
      <c r="M466" s="22" t="s">
        <v>12488</v>
      </c>
      <c r="N466" s="20" t="s">
        <v>8778</v>
      </c>
      <c r="O466" s="16" t="s">
        <v>13914</v>
      </c>
      <c r="P466" s="143">
        <v>151</v>
      </c>
      <c r="Q466" s="122" t="s">
        <v>9227</v>
      </c>
      <c r="R466" s="16" t="s">
        <v>9235</v>
      </c>
      <c r="S466" s="10" t="s">
        <v>1165</v>
      </c>
      <c r="T466" s="28" t="s">
        <v>9671</v>
      </c>
      <c r="U466" s="20" t="s">
        <v>5359</v>
      </c>
      <c r="V466" s="16" t="s">
        <v>8195</v>
      </c>
      <c r="W466" s="11" t="s">
        <v>14395</v>
      </c>
      <c r="X466" s="174">
        <v>45.53</v>
      </c>
      <c r="Y466" s="174">
        <v>59.93</v>
      </c>
    </row>
    <row r="467" spans="1:25" ht="15" customHeight="1" x14ac:dyDescent="0.25">
      <c r="A467" s="20" t="s">
        <v>4444</v>
      </c>
      <c r="B467" s="14" t="s">
        <v>4445</v>
      </c>
      <c r="C467" s="71" t="str">
        <f t="shared" si="7"/>
        <v>Product Info</v>
      </c>
      <c r="D467" s="37" t="s">
        <v>6226</v>
      </c>
      <c r="E467" s="143">
        <v>1</v>
      </c>
      <c r="F467" s="12" t="s">
        <v>2170</v>
      </c>
      <c r="G467" s="38">
        <v>270.76</v>
      </c>
      <c r="H467" s="38">
        <v>230.15</v>
      </c>
      <c r="I467" s="38">
        <v>189.53</v>
      </c>
      <c r="J467" s="39"/>
      <c r="K467" s="143"/>
      <c r="L467" s="22">
        <v>2</v>
      </c>
      <c r="M467" s="22" t="s">
        <v>12488</v>
      </c>
      <c r="N467" s="20" t="s">
        <v>8778</v>
      </c>
      <c r="O467" s="16" t="s">
        <v>12608</v>
      </c>
      <c r="P467" s="143">
        <v>151</v>
      </c>
      <c r="Q467" s="122" t="s">
        <v>9227</v>
      </c>
      <c r="R467" s="16" t="s">
        <v>9235</v>
      </c>
      <c r="S467" s="10" t="s">
        <v>1165</v>
      </c>
      <c r="T467" s="28" t="s">
        <v>9672</v>
      </c>
      <c r="U467" s="20" t="s">
        <v>5359</v>
      </c>
      <c r="V467" s="16" t="s">
        <v>13005</v>
      </c>
      <c r="W467" s="11" t="s">
        <v>14395</v>
      </c>
      <c r="X467" s="174">
        <v>174.88</v>
      </c>
      <c r="Y467" s="174">
        <v>230.15</v>
      </c>
    </row>
    <row r="468" spans="1:25" ht="15" customHeight="1" x14ac:dyDescent="0.25">
      <c r="A468" s="20" t="s">
        <v>4446</v>
      </c>
      <c r="B468" s="14" t="s">
        <v>4447</v>
      </c>
      <c r="C468" s="71" t="str">
        <f t="shared" si="7"/>
        <v>Product Info</v>
      </c>
      <c r="D468" s="37" t="s">
        <v>6227</v>
      </c>
      <c r="E468" s="143">
        <v>1</v>
      </c>
      <c r="F468" s="12" t="s">
        <v>2170</v>
      </c>
      <c r="G468" s="38">
        <v>77.64</v>
      </c>
      <c r="H468" s="38">
        <v>66</v>
      </c>
      <c r="I468" s="38">
        <v>54.35</v>
      </c>
      <c r="J468" s="39"/>
      <c r="K468" s="143"/>
      <c r="L468" s="22">
        <v>1.66E-2</v>
      </c>
      <c r="M468" s="22" t="s">
        <v>14394</v>
      </c>
      <c r="N468" s="20" t="s">
        <v>14489</v>
      </c>
      <c r="O468" s="16" t="s">
        <v>12608</v>
      </c>
      <c r="P468" s="143">
        <v>151</v>
      </c>
      <c r="Q468" s="122" t="s">
        <v>12421</v>
      </c>
      <c r="R468" s="16" t="s">
        <v>9235</v>
      </c>
      <c r="S468" s="10" t="s">
        <v>1165</v>
      </c>
      <c r="T468" s="28" t="s">
        <v>9673</v>
      </c>
      <c r="U468" s="20" t="s">
        <v>5359</v>
      </c>
      <c r="V468" s="16" t="s">
        <v>8196</v>
      </c>
      <c r="W468" s="11" t="s">
        <v>14395</v>
      </c>
      <c r="X468" s="174">
        <v>50.15</v>
      </c>
      <c r="Y468" s="174">
        <v>66</v>
      </c>
    </row>
    <row r="469" spans="1:25" ht="15" customHeight="1" x14ac:dyDescent="0.25">
      <c r="A469" s="20" t="s">
        <v>2021</v>
      </c>
      <c r="B469" s="14" t="s">
        <v>2022</v>
      </c>
      <c r="C469" s="71" t="str">
        <f t="shared" si="7"/>
        <v>Product Info</v>
      </c>
      <c r="D469" s="37" t="s">
        <v>6228</v>
      </c>
      <c r="E469" s="143">
        <v>1</v>
      </c>
      <c r="F469" s="12" t="s">
        <v>2170</v>
      </c>
      <c r="G469" s="38">
        <v>66.930000000000007</v>
      </c>
      <c r="H469" s="38">
        <v>56.89</v>
      </c>
      <c r="I469" s="38">
        <v>46.85</v>
      </c>
      <c r="J469" s="39"/>
      <c r="K469" s="143"/>
      <c r="L469" s="22">
        <v>0.18</v>
      </c>
      <c r="M469" s="22" t="s">
        <v>14396</v>
      </c>
      <c r="N469" s="20" t="s">
        <v>8778</v>
      </c>
      <c r="O469" s="16" t="s">
        <v>12608</v>
      </c>
      <c r="P469" s="143">
        <v>151</v>
      </c>
      <c r="Q469" s="122" t="s">
        <v>9227</v>
      </c>
      <c r="R469" s="16" t="s">
        <v>9235</v>
      </c>
      <c r="S469" s="10" t="s">
        <v>1165</v>
      </c>
      <c r="T469" s="28" t="s">
        <v>9674</v>
      </c>
      <c r="U469" s="20" t="s">
        <v>5359</v>
      </c>
      <c r="V469" s="16" t="s">
        <v>13046</v>
      </c>
      <c r="W469" s="11" t="s">
        <v>14395</v>
      </c>
      <c r="X469" s="174">
        <v>43.23</v>
      </c>
      <c r="Y469" s="174">
        <v>56.89</v>
      </c>
    </row>
    <row r="470" spans="1:25" ht="15" customHeight="1" x14ac:dyDescent="0.25">
      <c r="A470" s="20" t="s">
        <v>2023</v>
      </c>
      <c r="B470" s="14" t="s">
        <v>2024</v>
      </c>
      <c r="C470" s="71" t="str">
        <f t="shared" si="7"/>
        <v>Product Info</v>
      </c>
      <c r="D470" s="37" t="s">
        <v>6229</v>
      </c>
      <c r="E470" s="143">
        <v>1</v>
      </c>
      <c r="F470" s="12" t="s">
        <v>2170</v>
      </c>
      <c r="G470" s="38">
        <v>362.13</v>
      </c>
      <c r="H470" s="38">
        <v>307.82</v>
      </c>
      <c r="I470" s="38">
        <v>253.49</v>
      </c>
      <c r="J470" s="39"/>
      <c r="K470" s="143"/>
      <c r="L470" s="22">
        <v>2.66</v>
      </c>
      <c r="M470" s="22" t="s">
        <v>14396</v>
      </c>
      <c r="N470" s="20" t="s">
        <v>8773</v>
      </c>
      <c r="O470" s="16" t="s">
        <v>12608</v>
      </c>
      <c r="P470" s="143">
        <v>151</v>
      </c>
      <c r="Q470" s="122" t="s">
        <v>9227</v>
      </c>
      <c r="R470" s="16" t="s">
        <v>9235</v>
      </c>
      <c r="S470" s="10" t="s">
        <v>1165</v>
      </c>
      <c r="T470" s="28" t="s">
        <v>9675</v>
      </c>
      <c r="U470" s="20" t="s">
        <v>5359</v>
      </c>
      <c r="V470" s="16" t="s">
        <v>13008</v>
      </c>
      <c r="W470" s="11" t="s">
        <v>14395</v>
      </c>
      <c r="X470" s="174">
        <v>233.9</v>
      </c>
      <c r="Y470" s="174">
        <v>307.82</v>
      </c>
    </row>
    <row r="471" spans="1:25" ht="15" customHeight="1" x14ac:dyDescent="0.25">
      <c r="A471" s="20" t="s">
        <v>2025</v>
      </c>
      <c r="B471" s="14" t="s">
        <v>2026</v>
      </c>
      <c r="C471" s="71" t="str">
        <f t="shared" si="7"/>
        <v>Product Info</v>
      </c>
      <c r="D471" s="37" t="s">
        <v>6230</v>
      </c>
      <c r="E471" s="143">
        <v>1</v>
      </c>
      <c r="F471" s="12" t="s">
        <v>2170</v>
      </c>
      <c r="G471" s="38">
        <v>494.46</v>
      </c>
      <c r="H471" s="38">
        <v>420.3</v>
      </c>
      <c r="I471" s="38">
        <v>346.12</v>
      </c>
      <c r="J471" s="39"/>
      <c r="K471" s="143"/>
      <c r="L471" s="22">
        <v>1</v>
      </c>
      <c r="M471" s="22" t="s">
        <v>12488</v>
      </c>
      <c r="N471" s="20" t="s">
        <v>8778</v>
      </c>
      <c r="O471" s="16" t="s">
        <v>12608</v>
      </c>
      <c r="P471" s="143">
        <v>151</v>
      </c>
      <c r="Q471" s="122" t="s">
        <v>12421</v>
      </c>
      <c r="R471" s="16" t="s">
        <v>9235</v>
      </c>
      <c r="S471" s="10" t="s">
        <v>1165</v>
      </c>
      <c r="T471" s="28" t="s">
        <v>9676</v>
      </c>
      <c r="U471" s="20" t="s">
        <v>5359</v>
      </c>
      <c r="V471" s="16" t="s">
        <v>13057</v>
      </c>
      <c r="W471" s="11" t="s">
        <v>14395</v>
      </c>
      <c r="X471" s="174">
        <v>319.37</v>
      </c>
      <c r="Y471" s="174">
        <v>420.3</v>
      </c>
    </row>
    <row r="472" spans="1:25" ht="15" customHeight="1" x14ac:dyDescent="0.25">
      <c r="A472" s="20" t="s">
        <v>2027</v>
      </c>
      <c r="B472" s="14" t="s">
        <v>2028</v>
      </c>
      <c r="C472" s="71" t="str">
        <f t="shared" si="7"/>
        <v>Product Info</v>
      </c>
      <c r="D472" s="37" t="s">
        <v>6231</v>
      </c>
      <c r="E472" s="143">
        <v>1</v>
      </c>
      <c r="F472" s="12" t="s">
        <v>2170</v>
      </c>
      <c r="G472" s="38">
        <v>58.83</v>
      </c>
      <c r="H472" s="38">
        <v>50.01</v>
      </c>
      <c r="I472" s="38">
        <v>41.18</v>
      </c>
      <c r="J472" s="39"/>
      <c r="K472" s="143"/>
      <c r="L472" s="22">
        <v>0.17</v>
      </c>
      <c r="M472" s="22" t="s">
        <v>12488</v>
      </c>
      <c r="N472" s="20" t="s">
        <v>8778</v>
      </c>
      <c r="O472" s="16" t="s">
        <v>12608</v>
      </c>
      <c r="P472" s="143">
        <v>151</v>
      </c>
      <c r="Q472" s="122" t="s">
        <v>9227</v>
      </c>
      <c r="R472" s="16" t="s">
        <v>9235</v>
      </c>
      <c r="S472" s="10" t="s">
        <v>1165</v>
      </c>
      <c r="T472" s="28" t="s">
        <v>9677</v>
      </c>
      <c r="U472" s="20" t="s">
        <v>5359</v>
      </c>
      <c r="V472" s="16" t="s">
        <v>13047</v>
      </c>
      <c r="W472" s="11" t="s">
        <v>14395</v>
      </c>
      <c r="X472" s="174">
        <v>38</v>
      </c>
      <c r="Y472" s="174">
        <v>50.01</v>
      </c>
    </row>
    <row r="473" spans="1:25" ht="15" customHeight="1" x14ac:dyDescent="0.25">
      <c r="A473" s="20" t="s">
        <v>2029</v>
      </c>
      <c r="B473" s="14" t="s">
        <v>2030</v>
      </c>
      <c r="C473" s="71" t="str">
        <f t="shared" si="7"/>
        <v>Product Info</v>
      </c>
      <c r="D473" s="37" t="s">
        <v>6232</v>
      </c>
      <c r="E473" s="143">
        <v>25</v>
      </c>
      <c r="F473" s="12" t="s">
        <v>2170</v>
      </c>
      <c r="G473" s="38">
        <v>38.630000000000003</v>
      </c>
      <c r="H473" s="38">
        <v>32.840000000000003</v>
      </c>
      <c r="I473" s="38">
        <v>27.04</v>
      </c>
      <c r="J473" s="39"/>
      <c r="K473" s="143"/>
      <c r="L473" s="22">
        <v>0.8</v>
      </c>
      <c r="M473" s="22" t="s">
        <v>12488</v>
      </c>
      <c r="N473" s="20" t="s">
        <v>8779</v>
      </c>
      <c r="O473" s="16" t="s">
        <v>12608</v>
      </c>
      <c r="P473" s="143">
        <v>141</v>
      </c>
      <c r="Q473" s="122" t="s">
        <v>12421</v>
      </c>
      <c r="R473" s="16" t="s">
        <v>9235</v>
      </c>
      <c r="S473" s="10" t="s">
        <v>1165</v>
      </c>
      <c r="T473" s="28" t="s">
        <v>9678</v>
      </c>
      <c r="U473" s="20" t="s">
        <v>5359</v>
      </c>
      <c r="V473" s="16" t="s">
        <v>8197</v>
      </c>
      <c r="W473" s="11" t="s">
        <v>13938</v>
      </c>
      <c r="X473" s="174">
        <v>24.95</v>
      </c>
      <c r="Y473" s="174">
        <v>32.840000000000003</v>
      </c>
    </row>
    <row r="474" spans="1:25" ht="15" customHeight="1" x14ac:dyDescent="0.25">
      <c r="A474" s="20" t="s">
        <v>2031</v>
      </c>
      <c r="B474" s="11" t="s">
        <v>2032</v>
      </c>
      <c r="C474" s="71" t="str">
        <f t="shared" si="7"/>
        <v>Product Info</v>
      </c>
      <c r="D474" s="37" t="s">
        <v>6233</v>
      </c>
      <c r="E474" s="143">
        <v>26</v>
      </c>
      <c r="F474" s="12" t="s">
        <v>2170</v>
      </c>
      <c r="G474" s="38">
        <v>47.05</v>
      </c>
      <c r="H474" s="38">
        <v>39.99</v>
      </c>
      <c r="I474" s="38">
        <v>32.94</v>
      </c>
      <c r="J474" s="39"/>
      <c r="K474" s="143"/>
      <c r="L474" s="22">
        <v>0.72</v>
      </c>
      <c r="M474" s="22" t="s">
        <v>12488</v>
      </c>
      <c r="N474" s="20" t="s">
        <v>8779</v>
      </c>
      <c r="O474" s="16" t="s">
        <v>12608</v>
      </c>
      <c r="P474" s="143">
        <v>141</v>
      </c>
      <c r="Q474" s="122" t="s">
        <v>9227</v>
      </c>
      <c r="R474" s="16" t="s">
        <v>9235</v>
      </c>
      <c r="S474" s="10" t="s">
        <v>1165</v>
      </c>
      <c r="T474" s="28" t="s">
        <v>9679</v>
      </c>
      <c r="U474" s="20" t="s">
        <v>5359</v>
      </c>
      <c r="V474" s="11" t="s">
        <v>8198</v>
      </c>
      <c r="W474" s="11" t="s">
        <v>13938</v>
      </c>
      <c r="X474" s="174">
        <v>31.62</v>
      </c>
      <c r="Y474" s="174">
        <v>39.99</v>
      </c>
    </row>
    <row r="475" spans="1:25" ht="15" customHeight="1" x14ac:dyDescent="0.25">
      <c r="A475" s="20" t="s">
        <v>5161</v>
      </c>
      <c r="B475" s="14" t="s">
        <v>5162</v>
      </c>
      <c r="C475" s="71" t="str">
        <f t="shared" si="7"/>
        <v>Product Info</v>
      </c>
      <c r="D475" s="37" t="s">
        <v>6234</v>
      </c>
      <c r="E475" s="143">
        <v>26</v>
      </c>
      <c r="F475" s="12" t="s">
        <v>2170</v>
      </c>
      <c r="G475" s="38">
        <v>45</v>
      </c>
      <c r="H475" s="38">
        <v>38.25</v>
      </c>
      <c r="I475" s="38">
        <v>31.5</v>
      </c>
      <c r="J475" s="39"/>
      <c r="K475" s="143"/>
      <c r="L475" s="22">
        <v>0.72</v>
      </c>
      <c r="M475" s="22" t="s">
        <v>14396</v>
      </c>
      <c r="N475" s="20" t="s">
        <v>8779</v>
      </c>
      <c r="O475" s="16" t="s">
        <v>13914</v>
      </c>
      <c r="P475" s="143">
        <v>141</v>
      </c>
      <c r="Q475" s="122" t="s">
        <v>12421</v>
      </c>
      <c r="R475" s="16" t="s">
        <v>9235</v>
      </c>
      <c r="S475" s="10" t="s">
        <v>1165</v>
      </c>
      <c r="T475" s="28" t="s">
        <v>9680</v>
      </c>
      <c r="U475" s="20" t="s">
        <v>5359</v>
      </c>
      <c r="V475" s="16" t="s">
        <v>8199</v>
      </c>
      <c r="W475" s="11" t="s">
        <v>13938</v>
      </c>
      <c r="X475" s="174">
        <v>29.06</v>
      </c>
      <c r="Y475" s="174">
        <v>38.25</v>
      </c>
    </row>
    <row r="476" spans="1:25" ht="15" customHeight="1" x14ac:dyDescent="0.25">
      <c r="A476" s="20" t="s">
        <v>5163</v>
      </c>
      <c r="B476" s="14" t="s">
        <v>5164</v>
      </c>
      <c r="C476" s="71" t="str">
        <f t="shared" si="7"/>
        <v>Product Info</v>
      </c>
      <c r="D476" s="37" t="s">
        <v>6235</v>
      </c>
      <c r="E476" s="143">
        <v>25</v>
      </c>
      <c r="F476" s="12" t="s">
        <v>2170</v>
      </c>
      <c r="G476" s="38">
        <v>38.93</v>
      </c>
      <c r="H476" s="38">
        <v>33.1</v>
      </c>
      <c r="I476" s="38">
        <v>27.25</v>
      </c>
      <c r="J476" s="39"/>
      <c r="K476" s="143"/>
      <c r="L476" s="22">
        <v>0.37190000000000001</v>
      </c>
      <c r="M476" s="22" t="s">
        <v>14394</v>
      </c>
      <c r="N476" s="20" t="s">
        <v>14489</v>
      </c>
      <c r="O476" s="16" t="s">
        <v>14482</v>
      </c>
      <c r="P476" s="143">
        <v>141</v>
      </c>
      <c r="Q476" s="121" t="s">
        <v>14285</v>
      </c>
      <c r="R476" s="16" t="s">
        <v>9235</v>
      </c>
      <c r="S476" s="10" t="s">
        <v>1165</v>
      </c>
      <c r="T476" s="28" t="s">
        <v>9681</v>
      </c>
      <c r="U476" s="20" t="s">
        <v>5359</v>
      </c>
      <c r="V476" s="16" t="s">
        <v>8200</v>
      </c>
      <c r="W476" s="11" t="s">
        <v>13938</v>
      </c>
      <c r="X476" s="174">
        <v>25.15</v>
      </c>
      <c r="Y476" s="174">
        <v>33.1</v>
      </c>
    </row>
    <row r="477" spans="1:25" ht="15" customHeight="1" x14ac:dyDescent="0.25">
      <c r="A477" s="20" t="s">
        <v>5165</v>
      </c>
      <c r="B477" s="14" t="s">
        <v>5166</v>
      </c>
      <c r="C477" s="71" t="str">
        <f t="shared" si="7"/>
        <v>Product Info</v>
      </c>
      <c r="D477" s="37" t="s">
        <v>4663</v>
      </c>
      <c r="E477" s="143">
        <v>1</v>
      </c>
      <c r="F477" s="12" t="s">
        <v>2170</v>
      </c>
      <c r="G477" s="38">
        <v>105.99</v>
      </c>
      <c r="H477" s="38">
        <v>90.09</v>
      </c>
      <c r="I477" s="38">
        <v>74.19</v>
      </c>
      <c r="J477" s="39"/>
      <c r="K477" s="143"/>
      <c r="L477" s="22">
        <v>2.8</v>
      </c>
      <c r="M477" s="22" t="s">
        <v>14396</v>
      </c>
      <c r="N477" s="20" t="s">
        <v>8780</v>
      </c>
      <c r="O477" s="16" t="s">
        <v>12608</v>
      </c>
      <c r="P477" s="143">
        <v>364</v>
      </c>
      <c r="Q477" s="121" t="s">
        <v>14285</v>
      </c>
      <c r="R477" s="16" t="s">
        <v>9235</v>
      </c>
      <c r="S477" s="10" t="s">
        <v>1165</v>
      </c>
      <c r="T477" s="28" t="s">
        <v>9682</v>
      </c>
      <c r="U477" s="20" t="s">
        <v>5359</v>
      </c>
      <c r="V477" s="16" t="s">
        <v>8201</v>
      </c>
      <c r="W477" s="11" t="s">
        <v>14395</v>
      </c>
      <c r="X477" s="174">
        <v>68.459999999999994</v>
      </c>
      <c r="Y477" s="174">
        <v>90.09</v>
      </c>
    </row>
    <row r="478" spans="1:25" ht="15" customHeight="1" x14ac:dyDescent="0.25">
      <c r="A478" s="20" t="s">
        <v>4941</v>
      </c>
      <c r="B478" s="14" t="s">
        <v>4942</v>
      </c>
      <c r="C478" s="71" t="str">
        <f t="shared" si="7"/>
        <v>Product Info</v>
      </c>
      <c r="D478" s="37" t="s">
        <v>4664</v>
      </c>
      <c r="E478" s="143">
        <v>1</v>
      </c>
      <c r="F478" s="12" t="s">
        <v>2170</v>
      </c>
      <c r="G478" s="38">
        <v>24.19</v>
      </c>
      <c r="H478" s="38">
        <v>20.56</v>
      </c>
      <c r="I478" s="38">
        <v>16.93</v>
      </c>
      <c r="J478" s="39"/>
      <c r="K478" s="143"/>
      <c r="L478" s="22">
        <v>0</v>
      </c>
      <c r="M478" s="22">
        <v>0</v>
      </c>
      <c r="N478" s="20" t="s">
        <v>14489</v>
      </c>
      <c r="O478" s="16" t="s">
        <v>12608</v>
      </c>
      <c r="P478" s="143">
        <v>364</v>
      </c>
      <c r="Q478" s="121" t="s">
        <v>14285</v>
      </c>
      <c r="R478" s="16" t="s">
        <v>9235</v>
      </c>
      <c r="S478" s="10" t="s">
        <v>1165</v>
      </c>
      <c r="T478" s="28" t="s">
        <v>9683</v>
      </c>
      <c r="U478" s="20" t="s">
        <v>5359</v>
      </c>
      <c r="V478" s="16" t="s">
        <v>8202</v>
      </c>
      <c r="W478" s="11" t="s">
        <v>14395</v>
      </c>
      <c r="X478" s="174">
        <v>15.62</v>
      </c>
      <c r="Y478" s="174">
        <v>20.56</v>
      </c>
    </row>
    <row r="479" spans="1:25" ht="15" customHeight="1" x14ac:dyDescent="0.25">
      <c r="A479" s="20" t="s">
        <v>5512</v>
      </c>
      <c r="B479" s="14" t="s">
        <v>5513</v>
      </c>
      <c r="C479" s="71" t="str">
        <f t="shared" si="7"/>
        <v>Product Info</v>
      </c>
      <c r="D479" s="37" t="s">
        <v>4665</v>
      </c>
      <c r="E479" s="143">
        <v>25</v>
      </c>
      <c r="F479" s="12" t="s">
        <v>2170</v>
      </c>
      <c r="G479" s="38">
        <v>35</v>
      </c>
      <c r="H479" s="38">
        <v>29.75</v>
      </c>
      <c r="I479" s="38">
        <v>24.5</v>
      </c>
      <c r="J479" s="39"/>
      <c r="K479" s="143"/>
      <c r="L479" s="22">
        <v>0.41599999999999998</v>
      </c>
      <c r="M479" s="22" t="s">
        <v>2170</v>
      </c>
      <c r="N479" s="20" t="s">
        <v>14489</v>
      </c>
      <c r="O479" s="16">
        <v>0</v>
      </c>
      <c r="P479" s="143">
        <v>141</v>
      </c>
      <c r="Q479" s="122" t="s">
        <v>12421</v>
      </c>
      <c r="R479" s="16" t="s">
        <v>9235</v>
      </c>
      <c r="S479" s="10" t="s">
        <v>1165</v>
      </c>
      <c r="T479" s="28" t="s">
        <v>9684</v>
      </c>
      <c r="U479" s="20" t="s">
        <v>5359</v>
      </c>
      <c r="V479" s="16" t="s">
        <v>8203</v>
      </c>
      <c r="W479" s="11" t="s">
        <v>13938</v>
      </c>
      <c r="X479" s="174">
        <v>22.61</v>
      </c>
      <c r="Y479" s="174">
        <v>29.75</v>
      </c>
    </row>
    <row r="480" spans="1:25" ht="15" customHeight="1" x14ac:dyDescent="0.25">
      <c r="A480" s="20" t="s">
        <v>5514</v>
      </c>
      <c r="B480" s="14" t="s">
        <v>5515</v>
      </c>
      <c r="C480" s="71" t="str">
        <f t="shared" si="7"/>
        <v>Product Info</v>
      </c>
      <c r="D480" s="37" t="s">
        <v>4666</v>
      </c>
      <c r="E480" s="143">
        <v>25</v>
      </c>
      <c r="F480" s="12" t="s">
        <v>2170</v>
      </c>
      <c r="G480" s="38">
        <v>36.71</v>
      </c>
      <c r="H480" s="38">
        <v>31.2</v>
      </c>
      <c r="I480" s="38">
        <v>25.69</v>
      </c>
      <c r="J480" s="39"/>
      <c r="K480" s="143"/>
      <c r="L480" s="22">
        <v>0.55000000000000004</v>
      </c>
      <c r="M480" s="22" t="s">
        <v>2170</v>
      </c>
      <c r="N480" s="20" t="s">
        <v>14489</v>
      </c>
      <c r="O480" s="16">
        <v>0</v>
      </c>
      <c r="P480" s="143">
        <v>141</v>
      </c>
      <c r="Q480" s="122" t="s">
        <v>12421</v>
      </c>
      <c r="R480" s="16" t="s">
        <v>9235</v>
      </c>
      <c r="S480" s="10" t="s">
        <v>1165</v>
      </c>
      <c r="T480" s="28" t="s">
        <v>9685</v>
      </c>
      <c r="U480" s="20" t="s">
        <v>5359</v>
      </c>
      <c r="V480" s="16" t="s">
        <v>8204</v>
      </c>
      <c r="W480" s="11" t="s">
        <v>13938</v>
      </c>
      <c r="X480" s="174">
        <v>23.71</v>
      </c>
      <c r="Y480" s="174">
        <v>31.2</v>
      </c>
    </row>
    <row r="481" spans="1:25" ht="15" customHeight="1" x14ac:dyDescent="0.25">
      <c r="A481" s="20" t="s">
        <v>7563</v>
      </c>
      <c r="B481" s="14" t="s">
        <v>7564</v>
      </c>
      <c r="C481" s="71" t="str">
        <f t="shared" si="7"/>
        <v>Product Info</v>
      </c>
      <c r="D481" s="37" t="s">
        <v>4667</v>
      </c>
      <c r="E481" s="143">
        <v>25</v>
      </c>
      <c r="F481" s="12" t="s">
        <v>2170</v>
      </c>
      <c r="G481" s="38">
        <v>35.119999999999997</v>
      </c>
      <c r="H481" s="38">
        <v>29.85</v>
      </c>
      <c r="I481" s="38">
        <v>24.58</v>
      </c>
      <c r="J481" s="39"/>
      <c r="K481" s="143"/>
      <c r="L481" s="22">
        <v>2.7524999999999999</v>
      </c>
      <c r="M481" s="22" t="s">
        <v>14394</v>
      </c>
      <c r="N481" s="20" t="s">
        <v>14489</v>
      </c>
      <c r="O481" s="16">
        <v>0</v>
      </c>
      <c r="P481" s="143">
        <v>141</v>
      </c>
      <c r="Q481" s="121" t="s">
        <v>14285</v>
      </c>
      <c r="R481" s="16" t="s">
        <v>9235</v>
      </c>
      <c r="S481" s="10" t="s">
        <v>1165</v>
      </c>
      <c r="T481" s="28" t="s">
        <v>9686</v>
      </c>
      <c r="U481" s="20" t="s">
        <v>5359</v>
      </c>
      <c r="V481" s="16" t="s">
        <v>8205</v>
      </c>
      <c r="W481" s="11" t="s">
        <v>13938</v>
      </c>
      <c r="X481" s="174">
        <v>22.68</v>
      </c>
      <c r="Y481" s="174">
        <v>29.85</v>
      </c>
    </row>
    <row r="482" spans="1:25" ht="15" customHeight="1" x14ac:dyDescent="0.25">
      <c r="A482" s="20" t="s">
        <v>5146</v>
      </c>
      <c r="B482" s="14" t="s">
        <v>5147</v>
      </c>
      <c r="C482" s="71" t="str">
        <f t="shared" si="7"/>
        <v>Product Info</v>
      </c>
      <c r="D482" s="37" t="s">
        <v>4112</v>
      </c>
      <c r="E482" s="143">
        <v>10</v>
      </c>
      <c r="F482" s="12" t="s">
        <v>2170</v>
      </c>
      <c r="G482" s="38">
        <v>14.3</v>
      </c>
      <c r="H482" s="38">
        <v>12.16</v>
      </c>
      <c r="I482" s="38">
        <v>10.01</v>
      </c>
      <c r="J482" s="39"/>
      <c r="K482" s="143"/>
      <c r="L482" s="22">
        <v>0.41749999999999998</v>
      </c>
      <c r="M482" s="22" t="s">
        <v>2170</v>
      </c>
      <c r="N482" s="20" t="s">
        <v>14489</v>
      </c>
      <c r="O482" s="16">
        <v>0</v>
      </c>
      <c r="P482" s="143">
        <v>364</v>
      </c>
      <c r="Q482" s="122" t="s">
        <v>9227</v>
      </c>
      <c r="R482" s="16" t="s">
        <v>9235</v>
      </c>
      <c r="S482" s="10" t="s">
        <v>1165</v>
      </c>
      <c r="T482" s="28" t="s">
        <v>9687</v>
      </c>
      <c r="U482" s="20" t="s">
        <v>5359</v>
      </c>
      <c r="V482" s="16" t="s">
        <v>8206</v>
      </c>
      <c r="W482" s="11" t="s">
        <v>14395</v>
      </c>
      <c r="X482" s="174">
        <v>9.24</v>
      </c>
      <c r="Y482" s="174">
        <v>12.16</v>
      </c>
    </row>
    <row r="483" spans="1:25" ht="15" customHeight="1" x14ac:dyDescent="0.25">
      <c r="A483" s="20" t="s">
        <v>4399</v>
      </c>
      <c r="B483" s="14" t="s">
        <v>4400</v>
      </c>
      <c r="C483" s="71" t="str">
        <f t="shared" si="7"/>
        <v>Product Info</v>
      </c>
      <c r="D483" s="37" t="s">
        <v>4113</v>
      </c>
      <c r="E483" s="143">
        <v>2</v>
      </c>
      <c r="F483" s="12" t="s">
        <v>2170</v>
      </c>
      <c r="G483" s="38">
        <v>515.20000000000005</v>
      </c>
      <c r="H483" s="38">
        <v>437.94</v>
      </c>
      <c r="I483" s="38">
        <v>360.64</v>
      </c>
      <c r="J483" s="39"/>
      <c r="K483" s="143"/>
      <c r="L483" s="22">
        <v>3.5</v>
      </c>
      <c r="M483" s="22" t="s">
        <v>12488</v>
      </c>
      <c r="N483" s="20" t="s">
        <v>8773</v>
      </c>
      <c r="O483" s="16" t="s">
        <v>12608</v>
      </c>
      <c r="P483" s="143">
        <v>364</v>
      </c>
      <c r="Q483" s="121" t="s">
        <v>14285</v>
      </c>
      <c r="R483" s="16" t="s">
        <v>9235</v>
      </c>
      <c r="S483" s="10" t="s">
        <v>1165</v>
      </c>
      <c r="T483" s="28" t="s">
        <v>9688</v>
      </c>
      <c r="U483" s="20" t="s">
        <v>5359</v>
      </c>
      <c r="V483" s="16" t="s">
        <v>8207</v>
      </c>
      <c r="W483" s="11" t="s">
        <v>14395</v>
      </c>
      <c r="X483" s="174">
        <v>332.77</v>
      </c>
      <c r="Y483" s="174">
        <v>437.94</v>
      </c>
    </row>
    <row r="484" spans="1:25" ht="15" customHeight="1" x14ac:dyDescent="0.25">
      <c r="A484" s="20" t="s">
        <v>7169</v>
      </c>
      <c r="B484" s="14" t="s">
        <v>7170</v>
      </c>
      <c r="C484" s="71" t="str">
        <f t="shared" si="7"/>
        <v>Product Info</v>
      </c>
      <c r="D484" s="37" t="s">
        <v>4114</v>
      </c>
      <c r="E484" s="143">
        <v>3</v>
      </c>
      <c r="F484" s="12" t="s">
        <v>2170</v>
      </c>
      <c r="G484" s="38">
        <v>455.04</v>
      </c>
      <c r="H484" s="38">
        <v>386.8</v>
      </c>
      <c r="I484" s="38">
        <v>318.52999999999997</v>
      </c>
      <c r="J484" s="39"/>
      <c r="K484" s="143"/>
      <c r="L484" s="22">
        <v>2.0030000000000001</v>
      </c>
      <c r="M484" s="22" t="s">
        <v>14394</v>
      </c>
      <c r="N484" s="20" t="s">
        <v>14489</v>
      </c>
      <c r="O484" s="16">
        <v>0</v>
      </c>
      <c r="P484" s="143">
        <v>364</v>
      </c>
      <c r="Q484" s="121" t="s">
        <v>14285</v>
      </c>
      <c r="R484" s="16" t="s">
        <v>9235</v>
      </c>
      <c r="S484" s="10" t="s">
        <v>1165</v>
      </c>
      <c r="T484" s="28" t="s">
        <v>9689</v>
      </c>
      <c r="U484" s="20" t="s">
        <v>5359</v>
      </c>
      <c r="V484" s="16" t="s">
        <v>8208</v>
      </c>
      <c r="W484" s="11" t="s">
        <v>14395</v>
      </c>
      <c r="X484" s="174">
        <v>293.91000000000003</v>
      </c>
      <c r="Y484" s="174">
        <v>386.8</v>
      </c>
    </row>
    <row r="485" spans="1:25" ht="15" customHeight="1" x14ac:dyDescent="0.25">
      <c r="A485" s="20" t="s">
        <v>7171</v>
      </c>
      <c r="B485" s="14" t="s">
        <v>7172</v>
      </c>
      <c r="C485" s="71" t="str">
        <f t="shared" si="7"/>
        <v>Product Info</v>
      </c>
      <c r="D485" s="37" t="s">
        <v>1241</v>
      </c>
      <c r="E485" s="143">
        <v>3</v>
      </c>
      <c r="F485" s="12" t="s">
        <v>2170</v>
      </c>
      <c r="G485" s="38">
        <v>464.14</v>
      </c>
      <c r="H485" s="38">
        <v>394.54</v>
      </c>
      <c r="I485" s="38">
        <v>324.89999999999998</v>
      </c>
      <c r="J485" s="39"/>
      <c r="K485" s="143"/>
      <c r="L485" s="22">
        <v>13</v>
      </c>
      <c r="M485" s="22" t="s">
        <v>14394</v>
      </c>
      <c r="N485" s="20" t="s">
        <v>14489</v>
      </c>
      <c r="O485" s="16">
        <v>0</v>
      </c>
      <c r="P485" s="143">
        <v>364</v>
      </c>
      <c r="Q485" s="122" t="s">
        <v>12421</v>
      </c>
      <c r="R485" s="16" t="s">
        <v>9235</v>
      </c>
      <c r="S485" s="10" t="s">
        <v>1165</v>
      </c>
      <c r="T485" s="28" t="s">
        <v>9690</v>
      </c>
      <c r="U485" s="20" t="s">
        <v>5359</v>
      </c>
      <c r="V485" s="16" t="s">
        <v>8209</v>
      </c>
      <c r="W485" s="11" t="s">
        <v>14395</v>
      </c>
      <c r="X485" s="174">
        <v>299.79000000000002</v>
      </c>
      <c r="Y485" s="174">
        <v>394.54</v>
      </c>
    </row>
    <row r="486" spans="1:25" ht="15" customHeight="1" x14ac:dyDescent="0.25">
      <c r="A486" s="20" t="s">
        <v>7173</v>
      </c>
      <c r="B486" s="14" t="s">
        <v>7174</v>
      </c>
      <c r="C486" s="71" t="str">
        <f t="shared" si="7"/>
        <v>Product Info</v>
      </c>
      <c r="D486" s="37" t="s">
        <v>1242</v>
      </c>
      <c r="E486" s="143">
        <v>3</v>
      </c>
      <c r="F486" s="12" t="s">
        <v>2170</v>
      </c>
      <c r="G486" s="38">
        <v>464.14</v>
      </c>
      <c r="H486" s="38">
        <v>394.54</v>
      </c>
      <c r="I486" s="38">
        <v>324.89999999999998</v>
      </c>
      <c r="J486" s="39"/>
      <c r="K486" s="143"/>
      <c r="L486" s="22">
        <v>1.81</v>
      </c>
      <c r="M486" s="22" t="s">
        <v>14394</v>
      </c>
      <c r="N486" s="20" t="s">
        <v>14489</v>
      </c>
      <c r="O486" s="16">
        <v>0</v>
      </c>
      <c r="P486" s="143">
        <v>364</v>
      </c>
      <c r="Q486" s="122" t="s">
        <v>12421</v>
      </c>
      <c r="R486" s="16" t="s">
        <v>9235</v>
      </c>
      <c r="S486" s="10" t="s">
        <v>1165</v>
      </c>
      <c r="T486" s="28" t="s">
        <v>9691</v>
      </c>
      <c r="U486" s="20" t="s">
        <v>5359</v>
      </c>
      <c r="V486" s="16" t="s">
        <v>8210</v>
      </c>
      <c r="W486" s="11" t="s">
        <v>14395</v>
      </c>
      <c r="X486" s="174">
        <v>299.79000000000002</v>
      </c>
      <c r="Y486" s="174">
        <v>394.54</v>
      </c>
    </row>
    <row r="487" spans="1:25" ht="15" customHeight="1" x14ac:dyDescent="0.25">
      <c r="A487" s="20" t="s">
        <v>7175</v>
      </c>
      <c r="B487" s="14" t="s">
        <v>7176</v>
      </c>
      <c r="C487" s="71" t="str">
        <f t="shared" si="7"/>
        <v>Product Info</v>
      </c>
      <c r="D487" s="37" t="s">
        <v>1243</v>
      </c>
      <c r="E487" s="143">
        <v>3</v>
      </c>
      <c r="F487" s="12" t="s">
        <v>2170</v>
      </c>
      <c r="G487" s="38">
        <v>464.14</v>
      </c>
      <c r="H487" s="38">
        <v>394.54</v>
      </c>
      <c r="I487" s="38">
        <v>324.89999999999998</v>
      </c>
      <c r="J487" s="39"/>
      <c r="K487" s="143"/>
      <c r="L487" s="22">
        <v>1.2166600000000001</v>
      </c>
      <c r="M487" s="22" t="s">
        <v>14394</v>
      </c>
      <c r="N487" s="20" t="s">
        <v>14489</v>
      </c>
      <c r="O487" s="16">
        <v>0</v>
      </c>
      <c r="P487" s="143">
        <v>364</v>
      </c>
      <c r="Q487" s="121" t="s">
        <v>14285</v>
      </c>
      <c r="R487" s="16" t="s">
        <v>9235</v>
      </c>
      <c r="S487" s="10" t="s">
        <v>1165</v>
      </c>
      <c r="T487" s="28" t="s">
        <v>9692</v>
      </c>
      <c r="U487" s="20" t="s">
        <v>5359</v>
      </c>
      <c r="V487" s="16" t="s">
        <v>8211</v>
      </c>
      <c r="W487" s="11" t="s">
        <v>14395</v>
      </c>
      <c r="X487" s="174">
        <v>299.79000000000002</v>
      </c>
      <c r="Y487" s="174">
        <v>394.54</v>
      </c>
    </row>
    <row r="488" spans="1:25" ht="15" customHeight="1" x14ac:dyDescent="0.25">
      <c r="A488" s="20" t="s">
        <v>7902</v>
      </c>
      <c r="B488" s="14" t="s">
        <v>7903</v>
      </c>
      <c r="C488" s="71" t="str">
        <f t="shared" si="7"/>
        <v>Product Info</v>
      </c>
      <c r="D488" s="37" t="s">
        <v>1244</v>
      </c>
      <c r="E488" s="143">
        <v>3</v>
      </c>
      <c r="F488" s="12" t="s">
        <v>2170</v>
      </c>
      <c r="G488" s="38">
        <v>101.23</v>
      </c>
      <c r="H488" s="38">
        <v>86.05</v>
      </c>
      <c r="I488" s="38">
        <v>70.86</v>
      </c>
      <c r="J488" s="39"/>
      <c r="K488" s="143"/>
      <c r="L488" s="22">
        <v>1</v>
      </c>
      <c r="M488" s="22" t="s">
        <v>14396</v>
      </c>
      <c r="N488" s="20" t="s">
        <v>8773</v>
      </c>
      <c r="O488" s="16" t="s">
        <v>13914</v>
      </c>
      <c r="P488" s="143">
        <v>364</v>
      </c>
      <c r="Q488" s="121" t="s">
        <v>14285</v>
      </c>
      <c r="R488" s="16" t="s">
        <v>9235</v>
      </c>
      <c r="S488" s="10" t="s">
        <v>1165</v>
      </c>
      <c r="T488" s="28" t="s">
        <v>9693</v>
      </c>
      <c r="U488" s="20" t="s">
        <v>5359</v>
      </c>
      <c r="V488" s="16" t="s">
        <v>8212</v>
      </c>
      <c r="W488" s="11" t="s">
        <v>14395</v>
      </c>
      <c r="X488" s="174">
        <v>65.39</v>
      </c>
      <c r="Y488" s="174">
        <v>86.05</v>
      </c>
    </row>
    <row r="489" spans="1:25" ht="15" customHeight="1" x14ac:dyDescent="0.25">
      <c r="A489" s="20" t="s">
        <v>4854</v>
      </c>
      <c r="B489" s="14" t="s">
        <v>4855</v>
      </c>
      <c r="C489" s="71" t="str">
        <f t="shared" si="7"/>
        <v>Product Info</v>
      </c>
      <c r="D489" s="37" t="s">
        <v>1245</v>
      </c>
      <c r="E489" s="143">
        <v>3</v>
      </c>
      <c r="F489" s="12" t="s">
        <v>2170</v>
      </c>
      <c r="G489" s="38">
        <v>105.36</v>
      </c>
      <c r="H489" s="38">
        <v>89.56</v>
      </c>
      <c r="I489" s="38">
        <v>73.75</v>
      </c>
      <c r="J489" s="39"/>
      <c r="K489" s="143"/>
      <c r="L489" s="22">
        <v>1.66</v>
      </c>
      <c r="M489" s="22" t="s">
        <v>12488</v>
      </c>
      <c r="N489" s="20" t="s">
        <v>8773</v>
      </c>
      <c r="O489" s="16" t="s">
        <v>12608</v>
      </c>
      <c r="P489" s="143">
        <v>364</v>
      </c>
      <c r="Q489" s="122" t="s">
        <v>12421</v>
      </c>
      <c r="R489" s="16" t="s">
        <v>9235</v>
      </c>
      <c r="S489" s="10" t="s">
        <v>1165</v>
      </c>
      <c r="T489" s="28" t="s">
        <v>9694</v>
      </c>
      <c r="U489" s="20" t="s">
        <v>5359</v>
      </c>
      <c r="V489" s="16" t="s">
        <v>8213</v>
      </c>
      <c r="W489" s="11" t="s">
        <v>14395</v>
      </c>
      <c r="X489" s="174">
        <v>68.040000000000006</v>
      </c>
      <c r="Y489" s="174">
        <v>89.56</v>
      </c>
    </row>
    <row r="490" spans="1:25" ht="15" customHeight="1" x14ac:dyDescent="0.25">
      <c r="A490" s="20" t="s">
        <v>9013</v>
      </c>
      <c r="B490" s="14" t="s">
        <v>9014</v>
      </c>
      <c r="C490" s="71" t="str">
        <f t="shared" si="7"/>
        <v>Product Info</v>
      </c>
      <c r="D490" s="37" t="s">
        <v>9015</v>
      </c>
      <c r="E490" s="143">
        <v>3</v>
      </c>
      <c r="F490" s="12" t="s">
        <v>4992</v>
      </c>
      <c r="G490" s="38">
        <v>130.99</v>
      </c>
      <c r="H490" s="38">
        <v>111.34</v>
      </c>
      <c r="I490" s="38">
        <v>91.69</v>
      </c>
      <c r="J490" s="39"/>
      <c r="K490" s="143"/>
      <c r="L490" s="22">
        <v>0</v>
      </c>
      <c r="M490" s="22">
        <v>0</v>
      </c>
      <c r="N490" s="20" t="s">
        <v>14489</v>
      </c>
      <c r="O490" s="16" t="s">
        <v>4992</v>
      </c>
      <c r="P490" s="143">
        <v>364</v>
      </c>
      <c r="Q490" s="121" t="s">
        <v>14285</v>
      </c>
      <c r="R490" s="16" t="s">
        <v>9235</v>
      </c>
      <c r="S490" s="10" t="s">
        <v>1165</v>
      </c>
      <c r="T490" s="28" t="s">
        <v>9695</v>
      </c>
      <c r="U490" s="20" t="s">
        <v>5359</v>
      </c>
      <c r="V490" s="16" t="s">
        <v>9016</v>
      </c>
      <c r="W490" s="11" t="s">
        <v>14395</v>
      </c>
      <c r="X490" s="174">
        <v>84.6</v>
      </c>
      <c r="Y490" s="174">
        <v>111.34</v>
      </c>
    </row>
    <row r="491" spans="1:25" ht="15" customHeight="1" x14ac:dyDescent="0.25">
      <c r="A491" s="20" t="s">
        <v>4856</v>
      </c>
      <c r="B491" s="14" t="s">
        <v>4857</v>
      </c>
      <c r="C491" s="71" t="str">
        <f t="shared" si="7"/>
        <v>Product Info</v>
      </c>
      <c r="D491" s="37" t="s">
        <v>1246</v>
      </c>
      <c r="E491" s="143">
        <v>3</v>
      </c>
      <c r="F491" s="12" t="s">
        <v>2170</v>
      </c>
      <c r="G491" s="38">
        <v>98.01</v>
      </c>
      <c r="H491" s="38">
        <v>83.32</v>
      </c>
      <c r="I491" s="38">
        <v>68.61</v>
      </c>
      <c r="J491" s="39"/>
      <c r="K491" s="143"/>
      <c r="L491" s="22">
        <v>0.66</v>
      </c>
      <c r="M491" s="22" t="s">
        <v>12488</v>
      </c>
      <c r="N491" s="20" t="s">
        <v>8773</v>
      </c>
      <c r="O491" s="16" t="s">
        <v>12608</v>
      </c>
      <c r="P491" s="143">
        <v>364</v>
      </c>
      <c r="Q491" s="121" t="s">
        <v>14285</v>
      </c>
      <c r="R491" s="16" t="s">
        <v>9235</v>
      </c>
      <c r="S491" s="10" t="s">
        <v>1165</v>
      </c>
      <c r="T491" s="28" t="s">
        <v>9696</v>
      </c>
      <c r="U491" s="20" t="s">
        <v>5359</v>
      </c>
      <c r="V491" s="16" t="s">
        <v>8214</v>
      </c>
      <c r="W491" s="11" t="s">
        <v>14395</v>
      </c>
      <c r="X491" s="174">
        <v>63.3</v>
      </c>
      <c r="Y491" s="174">
        <v>83.32</v>
      </c>
    </row>
    <row r="492" spans="1:25" ht="15" customHeight="1" x14ac:dyDescent="0.25">
      <c r="A492" s="20" t="s">
        <v>4858</v>
      </c>
      <c r="B492" s="14" t="s">
        <v>2445</v>
      </c>
      <c r="C492" s="71" t="str">
        <f t="shared" si="7"/>
        <v>Product Info</v>
      </c>
      <c r="D492" s="37" t="s">
        <v>1247</v>
      </c>
      <c r="E492" s="143">
        <v>3</v>
      </c>
      <c r="F492" s="12" t="s">
        <v>2170</v>
      </c>
      <c r="G492" s="38">
        <v>98.49</v>
      </c>
      <c r="H492" s="38">
        <v>83.72</v>
      </c>
      <c r="I492" s="38">
        <v>68.94</v>
      </c>
      <c r="J492" s="39"/>
      <c r="K492" s="143"/>
      <c r="L492" s="22">
        <v>1</v>
      </c>
      <c r="M492" s="22" t="s">
        <v>14396</v>
      </c>
      <c r="N492" s="20" t="s">
        <v>8781</v>
      </c>
      <c r="O492" s="16" t="s">
        <v>13914</v>
      </c>
      <c r="P492" s="143">
        <v>364</v>
      </c>
      <c r="Q492" s="121" t="s">
        <v>14285</v>
      </c>
      <c r="R492" s="16" t="s">
        <v>9235</v>
      </c>
      <c r="S492" s="10" t="s">
        <v>1165</v>
      </c>
      <c r="T492" s="28" t="s">
        <v>9697</v>
      </c>
      <c r="U492" s="20" t="s">
        <v>5359</v>
      </c>
      <c r="V492" s="16" t="s">
        <v>8215</v>
      </c>
      <c r="W492" s="11" t="s">
        <v>14395</v>
      </c>
      <c r="X492" s="174">
        <v>63.61</v>
      </c>
      <c r="Y492" s="174">
        <v>83.72</v>
      </c>
    </row>
    <row r="493" spans="1:25" ht="15" customHeight="1" x14ac:dyDescent="0.25">
      <c r="A493" s="20" t="s">
        <v>2446</v>
      </c>
      <c r="B493" s="14" t="s">
        <v>2447</v>
      </c>
      <c r="C493" s="71" t="str">
        <f t="shared" si="7"/>
        <v>Product Info</v>
      </c>
      <c r="D493" s="37" t="s">
        <v>1248</v>
      </c>
      <c r="E493" s="143">
        <v>8</v>
      </c>
      <c r="F493" s="12" t="s">
        <v>2170</v>
      </c>
      <c r="G493" s="38">
        <v>84.97</v>
      </c>
      <c r="H493" s="38">
        <v>72.23</v>
      </c>
      <c r="I493" s="38">
        <v>59.48</v>
      </c>
      <c r="J493" s="39"/>
      <c r="K493" s="143"/>
      <c r="L493" s="22">
        <v>0.625</v>
      </c>
      <c r="M493" s="22" t="s">
        <v>14394</v>
      </c>
      <c r="N493" s="20" t="s">
        <v>14489</v>
      </c>
      <c r="O493" s="16">
        <v>0</v>
      </c>
      <c r="P493" s="143">
        <v>364</v>
      </c>
      <c r="Q493" s="121" t="s">
        <v>14285</v>
      </c>
      <c r="R493" s="16" t="s">
        <v>9235</v>
      </c>
      <c r="S493" s="10" t="s">
        <v>1165</v>
      </c>
      <c r="T493" s="28" t="s">
        <v>9698</v>
      </c>
      <c r="U493" s="20" t="s">
        <v>5359</v>
      </c>
      <c r="V493" s="16" t="s">
        <v>8216</v>
      </c>
      <c r="W493" s="11" t="s">
        <v>14395</v>
      </c>
      <c r="X493" s="174">
        <v>54.88</v>
      </c>
      <c r="Y493" s="174">
        <v>72.23</v>
      </c>
    </row>
    <row r="494" spans="1:25" ht="15" customHeight="1" x14ac:dyDescent="0.25">
      <c r="A494" s="20" t="s">
        <v>7325</v>
      </c>
      <c r="B494" s="14" t="s">
        <v>7326</v>
      </c>
      <c r="C494" s="71" t="str">
        <f t="shared" si="7"/>
        <v>Product Info</v>
      </c>
      <c r="D494" s="37" t="s">
        <v>5478</v>
      </c>
      <c r="E494" s="143">
        <v>125</v>
      </c>
      <c r="F494" s="12" t="s">
        <v>2170</v>
      </c>
      <c r="G494" s="38">
        <v>2.16</v>
      </c>
      <c r="H494" s="38">
        <v>1.83</v>
      </c>
      <c r="I494" s="38">
        <v>1.51</v>
      </c>
      <c r="J494" s="39"/>
      <c r="K494" s="143"/>
      <c r="L494" s="22">
        <v>8.8999999999999996E-2</v>
      </c>
      <c r="M494" s="22" t="s">
        <v>12488</v>
      </c>
      <c r="N494" s="20" t="s">
        <v>8782</v>
      </c>
      <c r="O494" s="16" t="s">
        <v>12608</v>
      </c>
      <c r="P494" s="143">
        <v>141</v>
      </c>
      <c r="Q494" s="122" t="s">
        <v>9227</v>
      </c>
      <c r="R494" s="16" t="s">
        <v>9235</v>
      </c>
      <c r="S494" s="10" t="s">
        <v>1165</v>
      </c>
      <c r="T494" s="28" t="s">
        <v>9699</v>
      </c>
      <c r="U494" s="20" t="s">
        <v>5359</v>
      </c>
      <c r="V494" s="16" t="s">
        <v>8217</v>
      </c>
      <c r="W494" s="11" t="s">
        <v>13938</v>
      </c>
      <c r="X494" s="174">
        <v>1.39</v>
      </c>
      <c r="Y494" s="174">
        <v>1.83</v>
      </c>
    </row>
    <row r="495" spans="1:25" ht="15" customHeight="1" x14ac:dyDescent="0.25">
      <c r="A495" s="20" t="s">
        <v>7327</v>
      </c>
      <c r="B495" s="14" t="s">
        <v>7328</v>
      </c>
      <c r="C495" s="71" t="str">
        <f t="shared" si="7"/>
        <v>Product Info</v>
      </c>
      <c r="D495" s="37" t="s">
        <v>5479</v>
      </c>
      <c r="E495" s="143">
        <v>0</v>
      </c>
      <c r="F495" s="12" t="s">
        <v>2170</v>
      </c>
      <c r="G495" s="38">
        <v>80.44</v>
      </c>
      <c r="H495" s="38">
        <v>68.38</v>
      </c>
      <c r="I495" s="38">
        <v>56.31</v>
      </c>
      <c r="J495" s="39"/>
      <c r="K495" s="143"/>
      <c r="L495" s="22">
        <v>2.27</v>
      </c>
      <c r="M495" s="22" t="s">
        <v>2170</v>
      </c>
      <c r="N495" s="20" t="s">
        <v>14489</v>
      </c>
      <c r="O495" s="16" t="s">
        <v>12608</v>
      </c>
      <c r="P495" s="143" t="s">
        <v>12612</v>
      </c>
      <c r="Q495" s="121" t="s">
        <v>14285</v>
      </c>
      <c r="R495" s="16" t="s">
        <v>9235</v>
      </c>
      <c r="S495" s="10" t="s">
        <v>1165</v>
      </c>
      <c r="T495" s="28" t="s">
        <v>9700</v>
      </c>
      <c r="U495" s="20" t="s">
        <v>5359</v>
      </c>
      <c r="V495" s="16" t="s">
        <v>8218</v>
      </c>
      <c r="W495" s="11" t="s">
        <v>14395</v>
      </c>
      <c r="X495" s="174">
        <v>51.19</v>
      </c>
      <c r="Y495" s="174">
        <v>68.38</v>
      </c>
    </row>
    <row r="496" spans="1:25" ht="15" customHeight="1" x14ac:dyDescent="0.25">
      <c r="A496" s="20" t="s">
        <v>7329</v>
      </c>
      <c r="B496" s="14" t="s">
        <v>7330</v>
      </c>
      <c r="C496" s="71" t="str">
        <f t="shared" si="7"/>
        <v>Product Info</v>
      </c>
      <c r="D496" s="37" t="s">
        <v>5480</v>
      </c>
      <c r="E496" s="143">
        <v>100</v>
      </c>
      <c r="F496" s="12" t="s">
        <v>2170</v>
      </c>
      <c r="G496" s="38">
        <v>56.99</v>
      </c>
      <c r="H496" s="38">
        <v>48.44</v>
      </c>
      <c r="I496" s="38">
        <v>39.89</v>
      </c>
      <c r="J496" s="39"/>
      <c r="K496" s="143"/>
      <c r="L496" s="22">
        <v>1.1399999999999999</v>
      </c>
      <c r="M496" s="22" t="s">
        <v>14394</v>
      </c>
      <c r="N496" s="20" t="s">
        <v>14489</v>
      </c>
      <c r="O496" s="16">
        <v>0</v>
      </c>
      <c r="P496" s="143">
        <v>364</v>
      </c>
      <c r="Q496" s="121" t="s">
        <v>14285</v>
      </c>
      <c r="R496" s="16" t="s">
        <v>9235</v>
      </c>
      <c r="S496" s="10" t="s">
        <v>1165</v>
      </c>
      <c r="T496" s="28" t="s">
        <v>9701</v>
      </c>
      <c r="U496" s="20" t="s">
        <v>5359</v>
      </c>
      <c r="V496" s="16" t="s">
        <v>8219</v>
      </c>
      <c r="W496" s="11" t="s">
        <v>14395</v>
      </c>
      <c r="X496" s="174">
        <v>36.81</v>
      </c>
      <c r="Y496" s="174">
        <v>48.44</v>
      </c>
    </row>
    <row r="497" spans="1:25" ht="15" customHeight="1" x14ac:dyDescent="0.25">
      <c r="A497" s="20" t="s">
        <v>7331</v>
      </c>
      <c r="B497" s="14" t="s">
        <v>7448</v>
      </c>
      <c r="C497" s="71" t="str">
        <f t="shared" si="7"/>
        <v>Product Info</v>
      </c>
      <c r="D497" s="37" t="s">
        <v>5481</v>
      </c>
      <c r="E497" s="143">
        <v>100</v>
      </c>
      <c r="F497" s="12" t="s">
        <v>2170</v>
      </c>
      <c r="G497" s="38">
        <v>4.3</v>
      </c>
      <c r="H497" s="38">
        <v>3.65</v>
      </c>
      <c r="I497" s="38">
        <v>3.01</v>
      </c>
      <c r="J497" s="39"/>
      <c r="K497" s="143"/>
      <c r="L497" s="22">
        <v>8.4000000000000005E-2</v>
      </c>
      <c r="M497" s="22" t="s">
        <v>12488</v>
      </c>
      <c r="N497" s="20" t="s">
        <v>8779</v>
      </c>
      <c r="O497" s="16" t="s">
        <v>12608</v>
      </c>
      <c r="P497" s="143">
        <v>141</v>
      </c>
      <c r="Q497" s="122" t="s">
        <v>12421</v>
      </c>
      <c r="R497" s="16" t="s">
        <v>9235</v>
      </c>
      <c r="S497" s="10" t="s">
        <v>1165</v>
      </c>
      <c r="T497" s="28" t="s">
        <v>9702</v>
      </c>
      <c r="U497" s="20" t="s">
        <v>5359</v>
      </c>
      <c r="V497" s="16" t="s">
        <v>8220</v>
      </c>
      <c r="W497" s="11" t="s">
        <v>13938</v>
      </c>
      <c r="X497" s="174">
        <v>2.77</v>
      </c>
      <c r="Y497" s="174">
        <v>3.65</v>
      </c>
    </row>
    <row r="498" spans="1:25" ht="15" customHeight="1" x14ac:dyDescent="0.25">
      <c r="A498" s="20" t="s">
        <v>7449</v>
      </c>
      <c r="B498" s="14" t="s">
        <v>7450</v>
      </c>
      <c r="C498" s="71" t="str">
        <f t="shared" si="7"/>
        <v>Product Info</v>
      </c>
      <c r="D498" s="37" t="s">
        <v>5482</v>
      </c>
      <c r="E498" s="143">
        <v>100</v>
      </c>
      <c r="F498" s="12" t="s">
        <v>2170</v>
      </c>
      <c r="G498" s="38">
        <v>4.3</v>
      </c>
      <c r="H498" s="38">
        <v>3.65</v>
      </c>
      <c r="I498" s="38">
        <v>3.01</v>
      </c>
      <c r="J498" s="39"/>
      <c r="K498" s="143"/>
      <c r="L498" s="22">
        <v>8.7999999999999995E-2</v>
      </c>
      <c r="M498" s="22" t="s">
        <v>12488</v>
      </c>
      <c r="N498" s="20" t="s">
        <v>8779</v>
      </c>
      <c r="O498" s="16" t="s">
        <v>12608</v>
      </c>
      <c r="P498" s="143">
        <v>141</v>
      </c>
      <c r="Q498" s="121" t="s">
        <v>14285</v>
      </c>
      <c r="R498" s="16" t="s">
        <v>9235</v>
      </c>
      <c r="S498" s="10" t="s">
        <v>1165</v>
      </c>
      <c r="T498" s="28" t="s">
        <v>9703</v>
      </c>
      <c r="U498" s="20" t="s">
        <v>5359</v>
      </c>
      <c r="V498" s="16" t="s">
        <v>8221</v>
      </c>
      <c r="W498" s="11" t="s">
        <v>13938</v>
      </c>
      <c r="X498" s="174">
        <v>2.77</v>
      </c>
      <c r="Y498" s="174">
        <v>3.65</v>
      </c>
    </row>
    <row r="499" spans="1:25" ht="15" customHeight="1" x14ac:dyDescent="0.25">
      <c r="A499" s="20" t="s">
        <v>7451</v>
      </c>
      <c r="B499" s="14" t="s">
        <v>7452</v>
      </c>
      <c r="C499" s="71" t="str">
        <f t="shared" si="7"/>
        <v>Product Info</v>
      </c>
      <c r="D499" s="37" t="s">
        <v>5483</v>
      </c>
      <c r="E499" s="143">
        <v>3</v>
      </c>
      <c r="F499" s="12" t="s">
        <v>2170</v>
      </c>
      <c r="G499" s="38">
        <v>364.71</v>
      </c>
      <c r="H499" s="38">
        <v>310.02</v>
      </c>
      <c r="I499" s="38">
        <v>255.3</v>
      </c>
      <c r="J499" s="39"/>
      <c r="K499" s="143"/>
      <c r="L499" s="22">
        <v>6.3666669999999996</v>
      </c>
      <c r="M499" s="22" t="s">
        <v>2170</v>
      </c>
      <c r="N499" s="20" t="s">
        <v>14489</v>
      </c>
      <c r="O499" s="16" t="s">
        <v>12608</v>
      </c>
      <c r="P499" s="143">
        <v>364</v>
      </c>
      <c r="Q499" s="122" t="s">
        <v>12421</v>
      </c>
      <c r="R499" s="16" t="s">
        <v>9235</v>
      </c>
      <c r="S499" s="10" t="s">
        <v>1165</v>
      </c>
      <c r="T499" s="28" t="s">
        <v>9704</v>
      </c>
      <c r="U499" s="20" t="s">
        <v>5359</v>
      </c>
      <c r="V499" s="16" t="s">
        <v>8222</v>
      </c>
      <c r="W499" s="11" t="s">
        <v>14395</v>
      </c>
      <c r="X499" s="174">
        <v>235.56</v>
      </c>
      <c r="Y499" s="174">
        <v>310.02</v>
      </c>
    </row>
    <row r="500" spans="1:25" ht="15" customHeight="1" x14ac:dyDescent="0.25">
      <c r="A500" s="20" t="s">
        <v>7453</v>
      </c>
      <c r="B500" s="14" t="s">
        <v>7454</v>
      </c>
      <c r="C500" s="71" t="str">
        <f t="shared" si="7"/>
        <v>Product Info</v>
      </c>
      <c r="D500" s="37" t="s">
        <v>5484</v>
      </c>
      <c r="E500" s="143">
        <v>3</v>
      </c>
      <c r="F500" s="12" t="s">
        <v>2170</v>
      </c>
      <c r="G500" s="38">
        <v>364.8</v>
      </c>
      <c r="H500" s="38">
        <v>310.08999999999997</v>
      </c>
      <c r="I500" s="38">
        <v>255.36</v>
      </c>
      <c r="J500" s="39"/>
      <c r="K500" s="143"/>
      <c r="L500" s="22">
        <v>6.33</v>
      </c>
      <c r="M500" s="22" t="s">
        <v>12488</v>
      </c>
      <c r="N500" s="20" t="s">
        <v>8779</v>
      </c>
      <c r="O500" s="16" t="s">
        <v>12608</v>
      </c>
      <c r="P500" s="143">
        <v>364</v>
      </c>
      <c r="Q500" s="122" t="s">
        <v>12421</v>
      </c>
      <c r="R500" s="16" t="s">
        <v>9235</v>
      </c>
      <c r="S500" s="10" t="s">
        <v>1165</v>
      </c>
      <c r="T500" s="28" t="s">
        <v>9705</v>
      </c>
      <c r="U500" s="20" t="s">
        <v>5359</v>
      </c>
      <c r="V500" s="16" t="s">
        <v>8223</v>
      </c>
      <c r="W500" s="11" t="s">
        <v>14395</v>
      </c>
      <c r="X500" s="174">
        <v>235.62</v>
      </c>
      <c r="Y500" s="174">
        <v>310.08999999999997</v>
      </c>
    </row>
    <row r="501" spans="1:25" ht="15" customHeight="1" x14ac:dyDescent="0.25">
      <c r="A501" s="20" t="s">
        <v>7455</v>
      </c>
      <c r="B501" s="14" t="s">
        <v>7456</v>
      </c>
      <c r="C501" s="71" t="str">
        <f t="shared" si="7"/>
        <v>Product Info</v>
      </c>
      <c r="D501" s="37" t="s">
        <v>5485</v>
      </c>
      <c r="E501" s="143">
        <v>3</v>
      </c>
      <c r="F501" s="12" t="s">
        <v>2170</v>
      </c>
      <c r="G501" s="38">
        <v>410.67</v>
      </c>
      <c r="H501" s="38">
        <v>349.08</v>
      </c>
      <c r="I501" s="38">
        <v>287.47000000000003</v>
      </c>
      <c r="J501" s="39"/>
      <c r="K501" s="143"/>
      <c r="L501" s="22">
        <v>6.3</v>
      </c>
      <c r="M501" s="22" t="s">
        <v>2170</v>
      </c>
      <c r="N501" s="20" t="s">
        <v>14489</v>
      </c>
      <c r="O501" s="16" t="s">
        <v>12608</v>
      </c>
      <c r="P501" s="143">
        <v>364</v>
      </c>
      <c r="Q501" s="121" t="s">
        <v>14285</v>
      </c>
      <c r="R501" s="16" t="s">
        <v>9235</v>
      </c>
      <c r="S501" s="10" t="s">
        <v>1165</v>
      </c>
      <c r="T501" s="28" t="s">
        <v>9706</v>
      </c>
      <c r="U501" s="20" t="s">
        <v>5359</v>
      </c>
      <c r="V501" s="16" t="s">
        <v>8224</v>
      </c>
      <c r="W501" s="11" t="s">
        <v>14395</v>
      </c>
      <c r="X501" s="174">
        <v>265.25</v>
      </c>
      <c r="Y501" s="174">
        <v>349.08</v>
      </c>
    </row>
    <row r="502" spans="1:25" ht="15" customHeight="1" x14ac:dyDescent="0.25">
      <c r="A502" s="20" t="s">
        <v>7457</v>
      </c>
      <c r="B502" s="14" t="s">
        <v>7458</v>
      </c>
      <c r="C502" s="71" t="str">
        <f t="shared" si="7"/>
        <v>Product Info</v>
      </c>
      <c r="D502" s="37" t="s">
        <v>5486</v>
      </c>
      <c r="E502" s="143">
        <v>3</v>
      </c>
      <c r="F502" s="12" t="s">
        <v>2170</v>
      </c>
      <c r="G502" s="38">
        <v>382.67</v>
      </c>
      <c r="H502" s="38">
        <v>325.27999999999997</v>
      </c>
      <c r="I502" s="38">
        <v>267.87</v>
      </c>
      <c r="J502" s="39"/>
      <c r="K502" s="143"/>
      <c r="L502" s="22">
        <v>7.33</v>
      </c>
      <c r="M502" s="22" t="s">
        <v>12488</v>
      </c>
      <c r="N502" s="20" t="s">
        <v>8779</v>
      </c>
      <c r="O502" s="16" t="s">
        <v>12608</v>
      </c>
      <c r="P502" s="143">
        <v>364</v>
      </c>
      <c r="Q502" s="121" t="s">
        <v>14285</v>
      </c>
      <c r="R502" s="16" t="s">
        <v>9235</v>
      </c>
      <c r="S502" s="10" t="s">
        <v>1165</v>
      </c>
      <c r="T502" s="28" t="s">
        <v>9707</v>
      </c>
      <c r="U502" s="20" t="s">
        <v>5359</v>
      </c>
      <c r="V502" s="16" t="s">
        <v>8225</v>
      </c>
      <c r="W502" s="11" t="s">
        <v>14395</v>
      </c>
      <c r="X502" s="174">
        <v>247.17</v>
      </c>
      <c r="Y502" s="174">
        <v>325.27999999999997</v>
      </c>
    </row>
    <row r="503" spans="1:25" ht="15" customHeight="1" x14ac:dyDescent="0.25">
      <c r="A503" s="20" t="s">
        <v>7459</v>
      </c>
      <c r="B503" s="14" t="s">
        <v>7460</v>
      </c>
      <c r="C503" s="71" t="str">
        <f t="shared" si="7"/>
        <v>Product Info</v>
      </c>
      <c r="D503" s="37" t="s">
        <v>5487</v>
      </c>
      <c r="E503" s="143">
        <v>10</v>
      </c>
      <c r="F503" s="12" t="s">
        <v>2170</v>
      </c>
      <c r="G503" s="38">
        <v>172</v>
      </c>
      <c r="H503" s="38">
        <v>146.21</v>
      </c>
      <c r="I503" s="38">
        <v>120.4</v>
      </c>
      <c r="J503" s="39"/>
      <c r="K503" s="143"/>
      <c r="L503" s="22">
        <v>3</v>
      </c>
      <c r="M503" s="22" t="s">
        <v>12488</v>
      </c>
      <c r="N503" s="20" t="s">
        <v>8783</v>
      </c>
      <c r="O503" s="16" t="s">
        <v>12608</v>
      </c>
      <c r="P503" s="143" t="s">
        <v>12612</v>
      </c>
      <c r="Q503" s="121" t="s">
        <v>14285</v>
      </c>
      <c r="R503" s="16" t="s">
        <v>9235</v>
      </c>
      <c r="S503" s="10" t="s">
        <v>1165</v>
      </c>
      <c r="T503" s="28" t="s">
        <v>9708</v>
      </c>
      <c r="U503" s="20" t="s">
        <v>5359</v>
      </c>
      <c r="V503" s="16" t="s">
        <v>8226</v>
      </c>
      <c r="W503" s="11" t="s">
        <v>14395</v>
      </c>
      <c r="X503" s="174">
        <v>109.46</v>
      </c>
      <c r="Y503" s="174">
        <v>146.21</v>
      </c>
    </row>
    <row r="504" spans="1:25" ht="15" customHeight="1" x14ac:dyDescent="0.25">
      <c r="A504" s="20" t="s">
        <v>7570</v>
      </c>
      <c r="B504" s="14" t="s">
        <v>7571</v>
      </c>
      <c r="C504" s="71" t="str">
        <f t="shared" si="7"/>
        <v>Product Info</v>
      </c>
      <c r="D504" s="37" t="s">
        <v>5488</v>
      </c>
      <c r="E504" s="143">
        <v>3</v>
      </c>
      <c r="F504" s="12" t="s">
        <v>2170</v>
      </c>
      <c r="G504" s="38">
        <v>101.47</v>
      </c>
      <c r="H504" s="38">
        <v>86.25</v>
      </c>
      <c r="I504" s="38">
        <v>71.03</v>
      </c>
      <c r="J504" s="39"/>
      <c r="K504" s="143"/>
      <c r="L504" s="22">
        <v>0</v>
      </c>
      <c r="M504" s="22">
        <v>0</v>
      </c>
      <c r="N504" s="20" t="s">
        <v>14489</v>
      </c>
      <c r="O504" s="16">
        <v>0</v>
      </c>
      <c r="P504" s="143" t="s">
        <v>12611</v>
      </c>
      <c r="Q504" s="121" t="s">
        <v>14285</v>
      </c>
      <c r="R504" s="16" t="s">
        <v>9235</v>
      </c>
      <c r="S504" s="10" t="s">
        <v>1165</v>
      </c>
      <c r="T504" s="28" t="s">
        <v>9709</v>
      </c>
      <c r="U504" s="20" t="s">
        <v>5359</v>
      </c>
      <c r="V504" s="16" t="s">
        <v>8227</v>
      </c>
      <c r="W504" s="11" t="s">
        <v>14395</v>
      </c>
      <c r="X504" s="174">
        <v>63.76</v>
      </c>
      <c r="Y504" s="174">
        <v>86.25</v>
      </c>
    </row>
    <row r="505" spans="1:25" ht="15" customHeight="1" x14ac:dyDescent="0.25">
      <c r="A505" s="20" t="s">
        <v>7572</v>
      </c>
      <c r="B505" s="14" t="s">
        <v>7573</v>
      </c>
      <c r="C505" s="71" t="str">
        <f t="shared" si="7"/>
        <v>Product Info</v>
      </c>
      <c r="D505" s="37" t="s">
        <v>5489</v>
      </c>
      <c r="E505" s="143">
        <v>100</v>
      </c>
      <c r="F505" s="12" t="s">
        <v>2170</v>
      </c>
      <c r="G505" s="38">
        <v>3.86</v>
      </c>
      <c r="H505" s="38">
        <v>3.28</v>
      </c>
      <c r="I505" s="38">
        <v>2.7</v>
      </c>
      <c r="J505" s="39"/>
      <c r="K505" s="143"/>
      <c r="L505" s="22">
        <v>0.08</v>
      </c>
      <c r="M505" s="22" t="s">
        <v>12488</v>
      </c>
      <c r="N505" s="20" t="s">
        <v>8779</v>
      </c>
      <c r="O505" s="16" t="s">
        <v>12608</v>
      </c>
      <c r="P505" s="143">
        <v>141</v>
      </c>
      <c r="Q505" s="122" t="s">
        <v>9227</v>
      </c>
      <c r="R505" s="16" t="s">
        <v>9235</v>
      </c>
      <c r="S505" s="10" t="s">
        <v>1165</v>
      </c>
      <c r="T505" s="28" t="s">
        <v>9710</v>
      </c>
      <c r="U505" s="20" t="s">
        <v>5359</v>
      </c>
      <c r="V505" s="16" t="s">
        <v>8228</v>
      </c>
      <c r="W505" s="11" t="s">
        <v>13938</v>
      </c>
      <c r="X505" s="174">
        <v>2.5</v>
      </c>
      <c r="Y505" s="174">
        <v>3.28</v>
      </c>
    </row>
    <row r="506" spans="1:25" ht="15" customHeight="1" x14ac:dyDescent="0.25">
      <c r="A506" s="20" t="s">
        <v>7574</v>
      </c>
      <c r="B506" s="14" t="s">
        <v>7575</v>
      </c>
      <c r="C506" s="71" t="str">
        <f t="shared" si="7"/>
        <v>Product Info</v>
      </c>
      <c r="D506" s="37" t="s">
        <v>5490</v>
      </c>
      <c r="E506" s="143">
        <v>100</v>
      </c>
      <c r="F506" s="12" t="s">
        <v>2170</v>
      </c>
      <c r="G506" s="38">
        <v>3.86</v>
      </c>
      <c r="H506" s="38">
        <v>3.28</v>
      </c>
      <c r="I506" s="38">
        <v>2.7</v>
      </c>
      <c r="J506" s="39"/>
      <c r="K506" s="143"/>
      <c r="L506" s="22">
        <v>0.08</v>
      </c>
      <c r="M506" s="22" t="s">
        <v>14396</v>
      </c>
      <c r="N506" s="20" t="s">
        <v>8779</v>
      </c>
      <c r="O506" s="16" t="s">
        <v>13914</v>
      </c>
      <c r="P506" s="143">
        <v>141</v>
      </c>
      <c r="Q506" s="122" t="s">
        <v>9227</v>
      </c>
      <c r="R506" s="16" t="s">
        <v>9235</v>
      </c>
      <c r="S506" s="10" t="s">
        <v>1165</v>
      </c>
      <c r="T506" s="28" t="s">
        <v>9711</v>
      </c>
      <c r="U506" s="20" t="s">
        <v>5359</v>
      </c>
      <c r="V506" s="16" t="s">
        <v>8229</v>
      </c>
      <c r="W506" s="11" t="s">
        <v>13938</v>
      </c>
      <c r="X506" s="174">
        <v>2.5</v>
      </c>
      <c r="Y506" s="174">
        <v>3.28</v>
      </c>
    </row>
    <row r="507" spans="1:25" ht="15" customHeight="1" x14ac:dyDescent="0.25">
      <c r="A507" s="20" t="s">
        <v>7576</v>
      </c>
      <c r="B507" s="14" t="s">
        <v>7577</v>
      </c>
      <c r="C507" s="71" t="str">
        <f t="shared" si="7"/>
        <v>Product Info</v>
      </c>
      <c r="D507" s="37" t="s">
        <v>5491</v>
      </c>
      <c r="E507" s="143">
        <v>100</v>
      </c>
      <c r="F507" s="12" t="s">
        <v>2170</v>
      </c>
      <c r="G507" s="38">
        <v>3.86</v>
      </c>
      <c r="H507" s="38">
        <v>3.28</v>
      </c>
      <c r="I507" s="38">
        <v>2.7</v>
      </c>
      <c r="J507" s="39"/>
      <c r="K507" s="143"/>
      <c r="L507" s="22">
        <v>8.4000000000000005E-2</v>
      </c>
      <c r="M507" s="22" t="s">
        <v>2170</v>
      </c>
      <c r="N507" s="20" t="s">
        <v>14489</v>
      </c>
      <c r="O507" s="16" t="s">
        <v>12608</v>
      </c>
      <c r="P507" s="143">
        <v>141</v>
      </c>
      <c r="Q507" s="122" t="s">
        <v>9227</v>
      </c>
      <c r="R507" s="16" t="s">
        <v>9235</v>
      </c>
      <c r="S507" s="10" t="s">
        <v>1165</v>
      </c>
      <c r="T507" s="28" t="s">
        <v>9712</v>
      </c>
      <c r="U507" s="20" t="s">
        <v>5359</v>
      </c>
      <c r="V507" s="16" t="s">
        <v>8230</v>
      </c>
      <c r="W507" s="11" t="s">
        <v>13938</v>
      </c>
      <c r="X507" s="174">
        <v>2.5</v>
      </c>
      <c r="Y507" s="174">
        <v>3.28</v>
      </c>
    </row>
    <row r="508" spans="1:25" ht="15" customHeight="1" x14ac:dyDescent="0.25">
      <c r="A508" s="20" t="s">
        <v>7578</v>
      </c>
      <c r="B508" s="14" t="s">
        <v>7579</v>
      </c>
      <c r="C508" s="71" t="str">
        <f t="shared" si="7"/>
        <v>Product Info</v>
      </c>
      <c r="D508" s="37" t="s">
        <v>5492</v>
      </c>
      <c r="E508" s="143">
        <v>100</v>
      </c>
      <c r="F508" s="12" t="s">
        <v>2170</v>
      </c>
      <c r="G508" s="38">
        <v>3.86</v>
      </c>
      <c r="H508" s="38">
        <v>3.28</v>
      </c>
      <c r="I508" s="38">
        <v>2.7</v>
      </c>
      <c r="J508" s="39"/>
      <c r="K508" s="143"/>
      <c r="L508" s="22">
        <v>8.5000000000000006E-2</v>
      </c>
      <c r="M508" s="22" t="s">
        <v>12488</v>
      </c>
      <c r="N508" s="20" t="s">
        <v>8779</v>
      </c>
      <c r="O508" s="16" t="s">
        <v>12608</v>
      </c>
      <c r="P508" s="143">
        <v>141</v>
      </c>
      <c r="Q508" s="122" t="s">
        <v>9227</v>
      </c>
      <c r="R508" s="16" t="s">
        <v>9235</v>
      </c>
      <c r="S508" s="10" t="s">
        <v>1165</v>
      </c>
      <c r="T508" s="28" t="s">
        <v>9713</v>
      </c>
      <c r="U508" s="20" t="s">
        <v>5359</v>
      </c>
      <c r="V508" s="16" t="s">
        <v>8231</v>
      </c>
      <c r="W508" s="11" t="s">
        <v>13938</v>
      </c>
      <c r="X508" s="174">
        <v>2.5</v>
      </c>
      <c r="Y508" s="174">
        <v>3.28</v>
      </c>
    </row>
    <row r="509" spans="1:25" ht="15" customHeight="1" x14ac:dyDescent="0.25">
      <c r="A509" s="20" t="s">
        <v>7580</v>
      </c>
      <c r="B509" s="14" t="s">
        <v>7581</v>
      </c>
      <c r="C509" s="71" t="str">
        <f t="shared" si="7"/>
        <v>Product Info</v>
      </c>
      <c r="D509" s="37" t="s">
        <v>5493</v>
      </c>
      <c r="E509" s="143">
        <v>100</v>
      </c>
      <c r="F509" s="12" t="s">
        <v>2170</v>
      </c>
      <c r="G509" s="38">
        <v>4.01</v>
      </c>
      <c r="H509" s="38">
        <v>3.41</v>
      </c>
      <c r="I509" s="38">
        <v>2.81</v>
      </c>
      <c r="J509" s="39"/>
      <c r="K509" s="143"/>
      <c r="L509" s="22">
        <v>8.5000000000000006E-2</v>
      </c>
      <c r="M509" s="22" t="s">
        <v>2170</v>
      </c>
      <c r="N509" s="20" t="s">
        <v>14489</v>
      </c>
      <c r="O509" s="16" t="s">
        <v>12608</v>
      </c>
      <c r="P509" s="143">
        <v>141</v>
      </c>
      <c r="Q509" s="122" t="s">
        <v>9227</v>
      </c>
      <c r="R509" s="16" t="s">
        <v>9235</v>
      </c>
      <c r="S509" s="10" t="s">
        <v>1165</v>
      </c>
      <c r="T509" s="28" t="s">
        <v>9714</v>
      </c>
      <c r="U509" s="20" t="s">
        <v>5359</v>
      </c>
      <c r="V509" s="16" t="s">
        <v>8232</v>
      </c>
      <c r="W509" s="11" t="s">
        <v>13938</v>
      </c>
      <c r="X509" s="174">
        <v>2.59</v>
      </c>
      <c r="Y509" s="174">
        <v>3.41</v>
      </c>
    </row>
    <row r="510" spans="1:25" ht="15" customHeight="1" x14ac:dyDescent="0.25">
      <c r="A510" s="20" t="s">
        <v>7582</v>
      </c>
      <c r="B510" s="14" t="s">
        <v>7583</v>
      </c>
      <c r="C510" s="71" t="str">
        <f t="shared" si="7"/>
        <v>Product Info</v>
      </c>
      <c r="D510" s="37" t="s">
        <v>5494</v>
      </c>
      <c r="E510" s="143">
        <v>100</v>
      </c>
      <c r="F510" s="12" t="s">
        <v>2170</v>
      </c>
      <c r="G510" s="38">
        <v>3.86</v>
      </c>
      <c r="H510" s="38">
        <v>3.28</v>
      </c>
      <c r="I510" s="38">
        <v>2.7</v>
      </c>
      <c r="J510" s="39"/>
      <c r="K510" s="143"/>
      <c r="L510" s="22">
        <v>8.7999999999999995E-2</v>
      </c>
      <c r="M510" s="22" t="s">
        <v>2170</v>
      </c>
      <c r="N510" s="20" t="s">
        <v>14489</v>
      </c>
      <c r="O510" s="16" t="s">
        <v>12608</v>
      </c>
      <c r="P510" s="143">
        <v>141</v>
      </c>
      <c r="Q510" s="122" t="s">
        <v>9227</v>
      </c>
      <c r="R510" s="16" t="s">
        <v>9235</v>
      </c>
      <c r="S510" s="10" t="s">
        <v>1165</v>
      </c>
      <c r="T510" s="28" t="s">
        <v>9715</v>
      </c>
      <c r="U510" s="20" t="s">
        <v>5359</v>
      </c>
      <c r="V510" s="16" t="s">
        <v>8233</v>
      </c>
      <c r="W510" s="11" t="s">
        <v>13938</v>
      </c>
      <c r="X510" s="174">
        <v>2.5</v>
      </c>
      <c r="Y510" s="174">
        <v>3.28</v>
      </c>
    </row>
    <row r="511" spans="1:25" ht="15" customHeight="1" x14ac:dyDescent="0.25">
      <c r="A511" s="20" t="s">
        <v>7584</v>
      </c>
      <c r="B511" s="14" t="s">
        <v>7585</v>
      </c>
      <c r="C511" s="71" t="str">
        <f t="shared" si="7"/>
        <v>Product Info</v>
      </c>
      <c r="D511" s="37" t="s">
        <v>5495</v>
      </c>
      <c r="E511" s="143">
        <v>100</v>
      </c>
      <c r="F511" s="12" t="s">
        <v>2170</v>
      </c>
      <c r="G511" s="38">
        <v>3.86</v>
      </c>
      <c r="H511" s="38">
        <v>3.28</v>
      </c>
      <c r="I511" s="38">
        <v>2.7</v>
      </c>
      <c r="J511" s="39"/>
      <c r="K511" s="143"/>
      <c r="L511" s="22">
        <v>8.7999999999999995E-2</v>
      </c>
      <c r="M511" s="22" t="s">
        <v>14396</v>
      </c>
      <c r="N511" s="20" t="s">
        <v>8779</v>
      </c>
      <c r="O511" s="16" t="s">
        <v>13914</v>
      </c>
      <c r="P511" s="143">
        <v>141</v>
      </c>
      <c r="Q511" s="122" t="s">
        <v>12421</v>
      </c>
      <c r="R511" s="16" t="s">
        <v>9235</v>
      </c>
      <c r="S511" s="10" t="s">
        <v>1165</v>
      </c>
      <c r="T511" s="28" t="s">
        <v>9716</v>
      </c>
      <c r="U511" s="20" t="s">
        <v>5359</v>
      </c>
      <c r="V511" s="16" t="s">
        <v>8234</v>
      </c>
      <c r="W511" s="11" t="s">
        <v>13938</v>
      </c>
      <c r="X511" s="174">
        <v>2.5</v>
      </c>
      <c r="Y511" s="174">
        <v>3.28</v>
      </c>
    </row>
    <row r="512" spans="1:25" ht="15" customHeight="1" x14ac:dyDescent="0.25">
      <c r="A512" s="20" t="s">
        <v>7586</v>
      </c>
      <c r="B512" s="14" t="s">
        <v>7587</v>
      </c>
      <c r="C512" s="71" t="str">
        <f t="shared" si="7"/>
        <v>Product Info</v>
      </c>
      <c r="D512" s="37" t="s">
        <v>5496</v>
      </c>
      <c r="E512" s="143">
        <v>100</v>
      </c>
      <c r="F512" s="12" t="s">
        <v>2170</v>
      </c>
      <c r="G512" s="38">
        <v>3.86</v>
      </c>
      <c r="H512" s="38">
        <v>3.28</v>
      </c>
      <c r="I512" s="38">
        <v>2.7</v>
      </c>
      <c r="J512" s="39"/>
      <c r="K512" s="143"/>
      <c r="L512" s="22">
        <v>0.09</v>
      </c>
      <c r="M512" s="22" t="s">
        <v>12488</v>
      </c>
      <c r="N512" s="20" t="s">
        <v>8779</v>
      </c>
      <c r="O512" s="16" t="s">
        <v>12608</v>
      </c>
      <c r="P512" s="143">
        <v>141</v>
      </c>
      <c r="Q512" s="122" t="s">
        <v>9227</v>
      </c>
      <c r="R512" s="16" t="s">
        <v>9235</v>
      </c>
      <c r="S512" s="10" t="s">
        <v>1165</v>
      </c>
      <c r="T512" s="28" t="s">
        <v>9717</v>
      </c>
      <c r="U512" s="20" t="s">
        <v>5359</v>
      </c>
      <c r="V512" s="16" t="s">
        <v>8235</v>
      </c>
      <c r="W512" s="11" t="s">
        <v>13938</v>
      </c>
      <c r="X512" s="174">
        <v>2.5</v>
      </c>
      <c r="Y512" s="174">
        <v>3.28</v>
      </c>
    </row>
    <row r="513" spans="1:25" ht="15" customHeight="1" x14ac:dyDescent="0.25">
      <c r="A513" s="20" t="s">
        <v>7588</v>
      </c>
      <c r="B513" s="14" t="s">
        <v>7589</v>
      </c>
      <c r="C513" s="71" t="str">
        <f t="shared" si="7"/>
        <v>Product Info</v>
      </c>
      <c r="D513" s="37" t="s">
        <v>5497</v>
      </c>
      <c r="E513" s="143">
        <v>100</v>
      </c>
      <c r="F513" s="12" t="s">
        <v>2170</v>
      </c>
      <c r="G513" s="38">
        <v>3.86</v>
      </c>
      <c r="H513" s="38">
        <v>3.28</v>
      </c>
      <c r="I513" s="38">
        <v>2.7</v>
      </c>
      <c r="J513" s="39"/>
      <c r="K513" s="143"/>
      <c r="L513" s="22">
        <v>0.1</v>
      </c>
      <c r="M513" s="22" t="s">
        <v>2170</v>
      </c>
      <c r="N513" s="20" t="s">
        <v>14489</v>
      </c>
      <c r="O513" s="16" t="s">
        <v>12608</v>
      </c>
      <c r="P513" s="143">
        <v>141</v>
      </c>
      <c r="Q513" s="122" t="s">
        <v>9227</v>
      </c>
      <c r="R513" s="16" t="s">
        <v>9235</v>
      </c>
      <c r="S513" s="10" t="s">
        <v>1165</v>
      </c>
      <c r="T513" s="28" t="s">
        <v>9718</v>
      </c>
      <c r="U513" s="20" t="s">
        <v>5359</v>
      </c>
      <c r="V513" s="16" t="s">
        <v>8236</v>
      </c>
      <c r="W513" s="11" t="s">
        <v>13938</v>
      </c>
      <c r="X513" s="174">
        <v>2.5</v>
      </c>
      <c r="Y513" s="174">
        <v>3.28</v>
      </c>
    </row>
    <row r="514" spans="1:25" ht="15" customHeight="1" x14ac:dyDescent="0.25">
      <c r="A514" s="20" t="s">
        <v>7590</v>
      </c>
      <c r="B514" s="14" t="s">
        <v>7591</v>
      </c>
      <c r="C514" s="71" t="str">
        <f t="shared" si="7"/>
        <v>Product Info</v>
      </c>
      <c r="D514" s="37" t="s">
        <v>5498</v>
      </c>
      <c r="E514" s="143">
        <v>100</v>
      </c>
      <c r="F514" s="12" t="s">
        <v>2170</v>
      </c>
      <c r="G514" s="38">
        <v>4.01</v>
      </c>
      <c r="H514" s="38">
        <v>3.41</v>
      </c>
      <c r="I514" s="38">
        <v>2.81</v>
      </c>
      <c r="J514" s="39"/>
      <c r="K514" s="143"/>
      <c r="L514" s="22">
        <v>0.09</v>
      </c>
      <c r="M514" s="22" t="s">
        <v>14396</v>
      </c>
      <c r="N514" s="20" t="s">
        <v>8779</v>
      </c>
      <c r="O514" s="16" t="s">
        <v>12608</v>
      </c>
      <c r="P514" s="143">
        <v>141</v>
      </c>
      <c r="Q514" s="121" t="s">
        <v>14285</v>
      </c>
      <c r="R514" s="16" t="s">
        <v>9235</v>
      </c>
      <c r="S514" s="10" t="s">
        <v>1165</v>
      </c>
      <c r="T514" s="28" t="s">
        <v>9719</v>
      </c>
      <c r="U514" s="20" t="s">
        <v>5359</v>
      </c>
      <c r="V514" s="16" t="s">
        <v>8237</v>
      </c>
      <c r="W514" s="11" t="s">
        <v>13938</v>
      </c>
      <c r="X514" s="174">
        <v>2.59</v>
      </c>
      <c r="Y514" s="174">
        <v>3.41</v>
      </c>
    </row>
    <row r="515" spans="1:25" ht="15" customHeight="1" x14ac:dyDescent="0.25">
      <c r="A515" s="20" t="s">
        <v>7217</v>
      </c>
      <c r="B515" s="14" t="s">
        <v>7218</v>
      </c>
      <c r="C515" s="71" t="str">
        <f t="shared" si="7"/>
        <v>Product Info</v>
      </c>
      <c r="D515" s="37" t="s">
        <v>5499</v>
      </c>
      <c r="E515" s="143">
        <v>100</v>
      </c>
      <c r="F515" s="12" t="s">
        <v>2170</v>
      </c>
      <c r="G515" s="38">
        <v>4.01</v>
      </c>
      <c r="H515" s="38">
        <v>3.41</v>
      </c>
      <c r="I515" s="38">
        <v>2.81</v>
      </c>
      <c r="J515" s="39"/>
      <c r="K515" s="143"/>
      <c r="L515" s="22">
        <v>0.09</v>
      </c>
      <c r="M515" s="22" t="s">
        <v>14396</v>
      </c>
      <c r="N515" s="20" t="s">
        <v>8778</v>
      </c>
      <c r="O515" s="16" t="s">
        <v>13914</v>
      </c>
      <c r="P515" s="143">
        <v>141</v>
      </c>
      <c r="Q515" s="121" t="s">
        <v>14285</v>
      </c>
      <c r="R515" s="16" t="s">
        <v>9235</v>
      </c>
      <c r="S515" s="10" t="s">
        <v>1165</v>
      </c>
      <c r="T515" s="28" t="s">
        <v>9720</v>
      </c>
      <c r="U515" s="20" t="s">
        <v>5359</v>
      </c>
      <c r="V515" s="16" t="s">
        <v>8238</v>
      </c>
      <c r="W515" s="11" t="s">
        <v>13938</v>
      </c>
      <c r="X515" s="174">
        <v>2.59</v>
      </c>
      <c r="Y515" s="174">
        <v>3.41</v>
      </c>
    </row>
    <row r="516" spans="1:25" ht="15" customHeight="1" x14ac:dyDescent="0.25">
      <c r="A516" s="20" t="s">
        <v>7219</v>
      </c>
      <c r="B516" s="14" t="s">
        <v>2033</v>
      </c>
      <c r="C516" s="71" t="str">
        <f t="shared" si="7"/>
        <v>Product Info</v>
      </c>
      <c r="D516" s="37" t="s">
        <v>5500</v>
      </c>
      <c r="E516" s="143">
        <v>100</v>
      </c>
      <c r="F516" s="12" t="s">
        <v>2170</v>
      </c>
      <c r="G516" s="38">
        <v>4.01</v>
      </c>
      <c r="H516" s="38">
        <v>3.41</v>
      </c>
      <c r="I516" s="38">
        <v>2.81</v>
      </c>
      <c r="J516" s="39"/>
      <c r="K516" s="143"/>
      <c r="L516" s="22">
        <v>0.09</v>
      </c>
      <c r="M516" s="22" t="s">
        <v>14396</v>
      </c>
      <c r="N516" s="20" t="s">
        <v>8779</v>
      </c>
      <c r="O516" s="16" t="s">
        <v>13914</v>
      </c>
      <c r="P516" s="143">
        <v>141</v>
      </c>
      <c r="Q516" s="121" t="s">
        <v>14285</v>
      </c>
      <c r="R516" s="16" t="s">
        <v>9235</v>
      </c>
      <c r="S516" s="10" t="s">
        <v>1165</v>
      </c>
      <c r="T516" s="28" t="s">
        <v>9721</v>
      </c>
      <c r="U516" s="20" t="s">
        <v>5359</v>
      </c>
      <c r="V516" s="16" t="s">
        <v>8239</v>
      </c>
      <c r="W516" s="11" t="s">
        <v>13938</v>
      </c>
      <c r="X516" s="174">
        <v>2.59</v>
      </c>
      <c r="Y516" s="174">
        <v>3.41</v>
      </c>
    </row>
    <row r="517" spans="1:25" ht="15" customHeight="1" x14ac:dyDescent="0.25">
      <c r="A517" s="20" t="s">
        <v>2034</v>
      </c>
      <c r="B517" s="14" t="s">
        <v>2035</v>
      </c>
      <c r="C517" s="71" t="str">
        <f t="shared" si="7"/>
        <v>Product Info</v>
      </c>
      <c r="D517" s="37" t="s">
        <v>5501</v>
      </c>
      <c r="E517" s="143">
        <v>100</v>
      </c>
      <c r="F517" s="12" t="s">
        <v>2170</v>
      </c>
      <c r="G517" s="38">
        <v>4.01</v>
      </c>
      <c r="H517" s="38">
        <v>3.41</v>
      </c>
      <c r="I517" s="38">
        <v>2.81</v>
      </c>
      <c r="J517" s="39"/>
      <c r="K517" s="143"/>
      <c r="L517" s="22">
        <v>0.09</v>
      </c>
      <c r="M517" s="22" t="s">
        <v>12488</v>
      </c>
      <c r="N517" s="20" t="s">
        <v>8779</v>
      </c>
      <c r="O517" s="16" t="s">
        <v>12608</v>
      </c>
      <c r="P517" s="143">
        <v>141</v>
      </c>
      <c r="Q517" s="122" t="s">
        <v>9227</v>
      </c>
      <c r="R517" s="16" t="s">
        <v>9235</v>
      </c>
      <c r="S517" s="10" t="s">
        <v>1165</v>
      </c>
      <c r="T517" s="28" t="s">
        <v>9722</v>
      </c>
      <c r="U517" s="20" t="s">
        <v>5359</v>
      </c>
      <c r="V517" s="16" t="s">
        <v>8240</v>
      </c>
      <c r="W517" s="11" t="s">
        <v>13938</v>
      </c>
      <c r="X517" s="174">
        <v>2.59</v>
      </c>
      <c r="Y517" s="174">
        <v>3.41</v>
      </c>
    </row>
    <row r="518" spans="1:25" ht="15" customHeight="1" x14ac:dyDescent="0.25">
      <c r="A518" s="20" t="s">
        <v>2036</v>
      </c>
      <c r="B518" s="14" t="s">
        <v>2037</v>
      </c>
      <c r="C518" s="71" t="str">
        <f t="shared" ref="C518:C581" si="8">HYPERLINK(T518,U518)</f>
        <v>Product Info</v>
      </c>
      <c r="D518" s="37" t="s">
        <v>5502</v>
      </c>
      <c r="E518" s="143">
        <v>100</v>
      </c>
      <c r="F518" s="12" t="s">
        <v>2170</v>
      </c>
      <c r="G518" s="38">
        <v>7.75</v>
      </c>
      <c r="H518" s="38">
        <v>6.59</v>
      </c>
      <c r="I518" s="38">
        <v>5.43</v>
      </c>
      <c r="J518" s="39"/>
      <c r="K518" s="143"/>
      <c r="L518" s="22">
        <v>9.2999999999999999E-2</v>
      </c>
      <c r="M518" s="22" t="s">
        <v>2170</v>
      </c>
      <c r="N518" s="20" t="s">
        <v>14489</v>
      </c>
      <c r="O518" s="16" t="s">
        <v>12608</v>
      </c>
      <c r="P518" s="143">
        <v>141</v>
      </c>
      <c r="Q518" s="122" t="s">
        <v>9227</v>
      </c>
      <c r="R518" s="16" t="s">
        <v>9235</v>
      </c>
      <c r="S518" s="10" t="s">
        <v>1165</v>
      </c>
      <c r="T518" s="28" t="s">
        <v>9723</v>
      </c>
      <c r="U518" s="20" t="s">
        <v>5359</v>
      </c>
      <c r="V518" s="16" t="s">
        <v>8241</v>
      </c>
      <c r="W518" s="11" t="s">
        <v>13938</v>
      </c>
      <c r="X518" s="174">
        <v>5.01</v>
      </c>
      <c r="Y518" s="174">
        <v>6.59</v>
      </c>
    </row>
    <row r="519" spans="1:25" ht="15" customHeight="1" x14ac:dyDescent="0.25">
      <c r="A519" s="20" t="s">
        <v>2038</v>
      </c>
      <c r="B519" s="14" t="s">
        <v>2039</v>
      </c>
      <c r="C519" s="71" t="str">
        <f t="shared" si="8"/>
        <v>Product Info</v>
      </c>
      <c r="D519" s="37" t="s">
        <v>5503</v>
      </c>
      <c r="E519" s="143">
        <v>100</v>
      </c>
      <c r="F519" s="12" t="s">
        <v>2170</v>
      </c>
      <c r="G519" s="38">
        <v>4.2699999999999996</v>
      </c>
      <c r="H519" s="38">
        <v>3.63</v>
      </c>
      <c r="I519" s="38">
        <v>2.99</v>
      </c>
      <c r="J519" s="39"/>
      <c r="K519" s="143"/>
      <c r="L519" s="22">
        <v>9.1999999999999998E-2</v>
      </c>
      <c r="M519" s="22" t="s">
        <v>2170</v>
      </c>
      <c r="N519" s="20" t="s">
        <v>14489</v>
      </c>
      <c r="O519" s="16" t="s">
        <v>13914</v>
      </c>
      <c r="P519" s="143">
        <v>141</v>
      </c>
      <c r="Q519" s="122" t="s">
        <v>9227</v>
      </c>
      <c r="R519" s="16" t="s">
        <v>9235</v>
      </c>
      <c r="S519" s="10" t="s">
        <v>1165</v>
      </c>
      <c r="T519" s="28" t="s">
        <v>9724</v>
      </c>
      <c r="U519" s="20" t="s">
        <v>5359</v>
      </c>
      <c r="V519" s="16" t="s">
        <v>8242</v>
      </c>
      <c r="W519" s="11" t="s">
        <v>13938</v>
      </c>
      <c r="X519" s="174">
        <v>2.76</v>
      </c>
      <c r="Y519" s="174">
        <v>3.63</v>
      </c>
    </row>
    <row r="520" spans="1:25" ht="15" customHeight="1" x14ac:dyDescent="0.25">
      <c r="A520" s="20" t="s">
        <v>2040</v>
      </c>
      <c r="B520" s="14" t="s">
        <v>2041</v>
      </c>
      <c r="C520" s="71" t="str">
        <f t="shared" si="8"/>
        <v>Product Info</v>
      </c>
      <c r="D520" s="37" t="s">
        <v>2784</v>
      </c>
      <c r="E520" s="143">
        <v>100</v>
      </c>
      <c r="F520" s="12" t="s">
        <v>2170</v>
      </c>
      <c r="G520" s="38">
        <v>4.01</v>
      </c>
      <c r="H520" s="38">
        <v>3.41</v>
      </c>
      <c r="I520" s="38">
        <v>2.81</v>
      </c>
      <c r="J520" s="39"/>
      <c r="K520" s="143"/>
      <c r="L520" s="22">
        <v>0.09</v>
      </c>
      <c r="M520" s="22" t="s">
        <v>14396</v>
      </c>
      <c r="N520" s="20" t="s">
        <v>8779</v>
      </c>
      <c r="O520" s="16" t="s">
        <v>12608</v>
      </c>
      <c r="P520" s="143">
        <v>141</v>
      </c>
      <c r="Q520" s="122" t="s">
        <v>9227</v>
      </c>
      <c r="R520" s="16" t="s">
        <v>9235</v>
      </c>
      <c r="S520" s="10" t="s">
        <v>1165</v>
      </c>
      <c r="T520" s="28" t="s">
        <v>9725</v>
      </c>
      <c r="U520" s="20" t="s">
        <v>5359</v>
      </c>
      <c r="V520" s="16" t="s">
        <v>8243</v>
      </c>
      <c r="W520" s="11" t="s">
        <v>13938</v>
      </c>
      <c r="X520" s="174">
        <v>2.59</v>
      </c>
      <c r="Y520" s="174">
        <v>3.41</v>
      </c>
    </row>
    <row r="521" spans="1:25" ht="15" customHeight="1" x14ac:dyDescent="0.25">
      <c r="A521" s="20" t="s">
        <v>2042</v>
      </c>
      <c r="B521" s="14" t="s">
        <v>2043</v>
      </c>
      <c r="C521" s="71" t="str">
        <f t="shared" si="8"/>
        <v>Product Info</v>
      </c>
      <c r="D521" s="37" t="s">
        <v>2785</v>
      </c>
      <c r="E521" s="143">
        <v>100</v>
      </c>
      <c r="F521" s="12" t="s">
        <v>2170</v>
      </c>
      <c r="G521" s="38">
        <v>4.01</v>
      </c>
      <c r="H521" s="38">
        <v>3.41</v>
      </c>
      <c r="I521" s="38">
        <v>2.81</v>
      </c>
      <c r="J521" s="39"/>
      <c r="K521" s="143"/>
      <c r="L521" s="22">
        <v>8.7999999999999995E-2</v>
      </c>
      <c r="M521" s="22" t="s">
        <v>14396</v>
      </c>
      <c r="N521" s="20" t="s">
        <v>8779</v>
      </c>
      <c r="O521" s="16" t="s">
        <v>12608</v>
      </c>
      <c r="P521" s="143">
        <v>141</v>
      </c>
      <c r="Q521" s="122" t="s">
        <v>9227</v>
      </c>
      <c r="R521" s="16" t="s">
        <v>9235</v>
      </c>
      <c r="S521" s="10" t="s">
        <v>1165</v>
      </c>
      <c r="T521" s="28" t="s">
        <v>9726</v>
      </c>
      <c r="U521" s="20" t="s">
        <v>5359</v>
      </c>
      <c r="V521" s="16" t="s">
        <v>8244</v>
      </c>
      <c r="W521" s="11" t="s">
        <v>13938</v>
      </c>
      <c r="X521" s="174">
        <v>2.59</v>
      </c>
      <c r="Y521" s="174">
        <v>3.41</v>
      </c>
    </row>
    <row r="522" spans="1:25" ht="15" customHeight="1" x14ac:dyDescent="0.25">
      <c r="A522" s="20" t="s">
        <v>2044</v>
      </c>
      <c r="B522" s="14" t="s">
        <v>2045</v>
      </c>
      <c r="C522" s="71" t="str">
        <f t="shared" si="8"/>
        <v>Product Info</v>
      </c>
      <c r="D522" s="37" t="s">
        <v>2786</v>
      </c>
      <c r="E522" s="143">
        <v>100</v>
      </c>
      <c r="F522" s="12" t="s">
        <v>2170</v>
      </c>
      <c r="G522" s="38">
        <v>4.01</v>
      </c>
      <c r="H522" s="38">
        <v>3.41</v>
      </c>
      <c r="I522" s="38">
        <v>2.81</v>
      </c>
      <c r="J522" s="39"/>
      <c r="K522" s="143"/>
      <c r="L522" s="22">
        <v>8.8999999999999996E-2</v>
      </c>
      <c r="M522" s="22" t="s">
        <v>2170</v>
      </c>
      <c r="N522" s="20" t="s">
        <v>14489</v>
      </c>
      <c r="O522" s="16" t="s">
        <v>12608</v>
      </c>
      <c r="P522" s="143">
        <v>141</v>
      </c>
      <c r="Q522" s="122" t="s">
        <v>9227</v>
      </c>
      <c r="R522" s="16" t="s">
        <v>9235</v>
      </c>
      <c r="S522" s="10" t="s">
        <v>1165</v>
      </c>
      <c r="T522" s="28" t="s">
        <v>9727</v>
      </c>
      <c r="U522" s="20" t="s">
        <v>5359</v>
      </c>
      <c r="V522" s="16" t="s">
        <v>8245</v>
      </c>
      <c r="W522" s="11" t="s">
        <v>13938</v>
      </c>
      <c r="X522" s="174">
        <v>2.59</v>
      </c>
      <c r="Y522" s="174">
        <v>3.41</v>
      </c>
    </row>
    <row r="523" spans="1:25" ht="15" customHeight="1" x14ac:dyDescent="0.25">
      <c r="A523" s="20" t="s">
        <v>2046</v>
      </c>
      <c r="B523" s="14" t="s">
        <v>2047</v>
      </c>
      <c r="C523" s="71" t="str">
        <f t="shared" si="8"/>
        <v>Product Info</v>
      </c>
      <c r="D523" s="37" t="s">
        <v>2787</v>
      </c>
      <c r="E523" s="143">
        <v>100</v>
      </c>
      <c r="F523" s="12" t="s">
        <v>2170</v>
      </c>
      <c r="G523" s="38">
        <v>4.01</v>
      </c>
      <c r="H523" s="38">
        <v>3.41</v>
      </c>
      <c r="I523" s="38">
        <v>2.81</v>
      </c>
      <c r="J523" s="39"/>
      <c r="K523" s="143"/>
      <c r="L523" s="22">
        <v>2.5000000000000001E-2</v>
      </c>
      <c r="M523" s="22" t="s">
        <v>14394</v>
      </c>
      <c r="N523" s="20" t="s">
        <v>14489</v>
      </c>
      <c r="O523" s="16">
        <v>0</v>
      </c>
      <c r="P523" s="143">
        <v>141</v>
      </c>
      <c r="Q523" s="122" t="s">
        <v>9227</v>
      </c>
      <c r="R523" s="16" t="s">
        <v>9235</v>
      </c>
      <c r="S523" s="10" t="s">
        <v>1165</v>
      </c>
      <c r="T523" s="28" t="s">
        <v>9728</v>
      </c>
      <c r="U523" s="20" t="s">
        <v>5359</v>
      </c>
      <c r="V523" s="16" t="s">
        <v>8246</v>
      </c>
      <c r="W523" s="11" t="s">
        <v>13938</v>
      </c>
      <c r="X523" s="174">
        <v>2.59</v>
      </c>
      <c r="Y523" s="174">
        <v>3.41</v>
      </c>
    </row>
    <row r="524" spans="1:25" ht="15" customHeight="1" x14ac:dyDescent="0.25">
      <c r="A524" s="20" t="s">
        <v>2048</v>
      </c>
      <c r="B524" s="14" t="s">
        <v>2049</v>
      </c>
      <c r="C524" s="71" t="str">
        <f t="shared" si="8"/>
        <v>Product Info</v>
      </c>
      <c r="D524" s="37" t="s">
        <v>2788</v>
      </c>
      <c r="E524" s="143">
        <v>100</v>
      </c>
      <c r="F524" s="12" t="s">
        <v>2170</v>
      </c>
      <c r="G524" s="38">
        <v>4.01</v>
      </c>
      <c r="H524" s="38">
        <v>3.41</v>
      </c>
      <c r="I524" s="38">
        <v>2.81</v>
      </c>
      <c r="J524" s="39"/>
      <c r="K524" s="143"/>
      <c r="L524" s="22">
        <v>0.09</v>
      </c>
      <c r="M524" s="22" t="s">
        <v>12488</v>
      </c>
      <c r="N524" s="20" t="s">
        <v>8779</v>
      </c>
      <c r="O524" s="16" t="s">
        <v>12608</v>
      </c>
      <c r="P524" s="143">
        <v>141</v>
      </c>
      <c r="Q524" s="122" t="s">
        <v>9227</v>
      </c>
      <c r="R524" s="16" t="s">
        <v>9235</v>
      </c>
      <c r="S524" s="10" t="s">
        <v>1165</v>
      </c>
      <c r="T524" s="28" t="s">
        <v>9729</v>
      </c>
      <c r="U524" s="20" t="s">
        <v>5359</v>
      </c>
      <c r="V524" s="16" t="s">
        <v>8247</v>
      </c>
      <c r="W524" s="11" t="s">
        <v>13938</v>
      </c>
      <c r="X524" s="174">
        <v>2.59</v>
      </c>
      <c r="Y524" s="174">
        <v>3.41</v>
      </c>
    </row>
    <row r="525" spans="1:25" ht="15" customHeight="1" x14ac:dyDescent="0.25">
      <c r="A525" s="20" t="s">
        <v>2050</v>
      </c>
      <c r="B525" s="14" t="s">
        <v>2051</v>
      </c>
      <c r="C525" s="71" t="str">
        <f t="shared" si="8"/>
        <v>Product Info</v>
      </c>
      <c r="D525" s="37" t="s">
        <v>2789</v>
      </c>
      <c r="E525" s="143">
        <v>100</v>
      </c>
      <c r="F525" s="12" t="s">
        <v>2170</v>
      </c>
      <c r="G525" s="38">
        <v>4.01</v>
      </c>
      <c r="H525" s="38">
        <v>3.41</v>
      </c>
      <c r="I525" s="38">
        <v>2.81</v>
      </c>
      <c r="J525" s="39"/>
      <c r="K525" s="143"/>
      <c r="L525" s="22">
        <v>1.8700000000000001E-2</v>
      </c>
      <c r="M525" s="22" t="s">
        <v>14394</v>
      </c>
      <c r="N525" s="20" t="s">
        <v>14489</v>
      </c>
      <c r="O525" s="16">
        <v>0</v>
      </c>
      <c r="P525" s="143">
        <v>141</v>
      </c>
      <c r="Q525" s="122" t="s">
        <v>12421</v>
      </c>
      <c r="R525" s="16" t="s">
        <v>9235</v>
      </c>
      <c r="S525" s="10" t="s">
        <v>1165</v>
      </c>
      <c r="T525" s="28" t="s">
        <v>9730</v>
      </c>
      <c r="U525" s="20" t="s">
        <v>5359</v>
      </c>
      <c r="V525" s="16" t="s">
        <v>8248</v>
      </c>
      <c r="W525" s="11" t="s">
        <v>13938</v>
      </c>
      <c r="X525" s="174">
        <v>2.59</v>
      </c>
      <c r="Y525" s="174">
        <v>3.41</v>
      </c>
    </row>
    <row r="526" spans="1:25" ht="15" customHeight="1" x14ac:dyDescent="0.25">
      <c r="A526" s="20" t="s">
        <v>2052</v>
      </c>
      <c r="B526" s="14" t="s">
        <v>3952</v>
      </c>
      <c r="C526" s="71" t="str">
        <f t="shared" si="8"/>
        <v>Product Info</v>
      </c>
      <c r="D526" s="37" t="s">
        <v>2790</v>
      </c>
      <c r="E526" s="143">
        <v>100</v>
      </c>
      <c r="F526" s="12" t="s">
        <v>2170</v>
      </c>
      <c r="G526" s="38">
        <v>4.01</v>
      </c>
      <c r="H526" s="38">
        <v>3.41</v>
      </c>
      <c r="I526" s="38">
        <v>2.81</v>
      </c>
      <c r="J526" s="39"/>
      <c r="K526" s="143"/>
      <c r="L526" s="22">
        <v>9.4E-2</v>
      </c>
      <c r="M526" s="22" t="s">
        <v>14396</v>
      </c>
      <c r="N526" s="20" t="s">
        <v>8779</v>
      </c>
      <c r="O526" s="16" t="s">
        <v>13914</v>
      </c>
      <c r="P526" s="143">
        <v>141</v>
      </c>
      <c r="Q526" s="122" t="s">
        <v>9227</v>
      </c>
      <c r="R526" s="16" t="s">
        <v>9235</v>
      </c>
      <c r="S526" s="10" t="s">
        <v>1165</v>
      </c>
      <c r="T526" s="28" t="s">
        <v>9731</v>
      </c>
      <c r="U526" s="20" t="s">
        <v>5359</v>
      </c>
      <c r="V526" s="16" t="s">
        <v>8249</v>
      </c>
      <c r="W526" s="11" t="s">
        <v>13938</v>
      </c>
      <c r="X526" s="174">
        <v>2.59</v>
      </c>
      <c r="Y526" s="174">
        <v>3.41</v>
      </c>
    </row>
    <row r="527" spans="1:25" ht="15" customHeight="1" x14ac:dyDescent="0.25">
      <c r="A527" s="20" t="s">
        <v>3953</v>
      </c>
      <c r="B527" s="14" t="s">
        <v>3954</v>
      </c>
      <c r="C527" s="71" t="str">
        <f t="shared" si="8"/>
        <v>Product Info</v>
      </c>
      <c r="D527" s="37" t="s">
        <v>2791</v>
      </c>
      <c r="E527" s="143">
        <v>100</v>
      </c>
      <c r="F527" s="12" t="s">
        <v>2170</v>
      </c>
      <c r="G527" s="38">
        <v>4.01</v>
      </c>
      <c r="H527" s="38">
        <v>3.41</v>
      </c>
      <c r="I527" s="38">
        <v>2.81</v>
      </c>
      <c r="J527" s="39"/>
      <c r="K527" s="143"/>
      <c r="L527" s="22">
        <v>9.4E-2</v>
      </c>
      <c r="M527" s="22" t="s">
        <v>14396</v>
      </c>
      <c r="N527" s="20" t="s">
        <v>8779</v>
      </c>
      <c r="O527" s="16" t="s">
        <v>12608</v>
      </c>
      <c r="P527" s="143">
        <v>141</v>
      </c>
      <c r="Q527" s="122" t="s">
        <v>12421</v>
      </c>
      <c r="R527" s="16" t="s">
        <v>9235</v>
      </c>
      <c r="S527" s="10" t="s">
        <v>1165</v>
      </c>
      <c r="T527" s="28" t="s">
        <v>9732</v>
      </c>
      <c r="U527" s="20" t="s">
        <v>5359</v>
      </c>
      <c r="V527" s="16" t="s">
        <v>8250</v>
      </c>
      <c r="W527" s="11" t="s">
        <v>13938</v>
      </c>
      <c r="X527" s="174">
        <v>2.59</v>
      </c>
      <c r="Y527" s="174">
        <v>3.41</v>
      </c>
    </row>
    <row r="528" spans="1:25" ht="15" customHeight="1" x14ac:dyDescent="0.25">
      <c r="A528" s="20" t="s">
        <v>3955</v>
      </c>
      <c r="B528" s="14" t="s">
        <v>7178</v>
      </c>
      <c r="C528" s="71" t="str">
        <f t="shared" si="8"/>
        <v>Product Info</v>
      </c>
      <c r="D528" s="37" t="s">
        <v>5400</v>
      </c>
      <c r="E528" s="143">
        <v>100</v>
      </c>
      <c r="F528" s="12" t="s">
        <v>2170</v>
      </c>
      <c r="G528" s="38">
        <v>4.01</v>
      </c>
      <c r="H528" s="38">
        <v>3.41</v>
      </c>
      <c r="I528" s="38">
        <v>2.81</v>
      </c>
      <c r="J528" s="39"/>
      <c r="K528" s="143"/>
      <c r="L528" s="22">
        <v>0.1</v>
      </c>
      <c r="M528" s="22" t="s">
        <v>14396</v>
      </c>
      <c r="N528" s="20" t="s">
        <v>8779</v>
      </c>
      <c r="O528" s="16" t="s">
        <v>12608</v>
      </c>
      <c r="P528" s="143">
        <v>141</v>
      </c>
      <c r="Q528" s="122" t="s">
        <v>9227</v>
      </c>
      <c r="R528" s="16" t="s">
        <v>9235</v>
      </c>
      <c r="S528" s="10" t="s">
        <v>1165</v>
      </c>
      <c r="T528" s="28" t="s">
        <v>9733</v>
      </c>
      <c r="U528" s="20" t="s">
        <v>5359</v>
      </c>
      <c r="V528" s="16" t="s">
        <v>8251</v>
      </c>
      <c r="W528" s="11" t="s">
        <v>13938</v>
      </c>
      <c r="X528" s="174">
        <v>2.59</v>
      </c>
      <c r="Y528" s="174">
        <v>3.41</v>
      </c>
    </row>
    <row r="529" spans="1:25" ht="15" customHeight="1" x14ac:dyDescent="0.25">
      <c r="A529" s="20" t="s">
        <v>7179</v>
      </c>
      <c r="B529" s="14" t="s">
        <v>7180</v>
      </c>
      <c r="C529" s="71" t="str">
        <f t="shared" si="8"/>
        <v>Product Info</v>
      </c>
      <c r="D529" s="37" t="s">
        <v>5401</v>
      </c>
      <c r="E529" s="143">
        <v>100</v>
      </c>
      <c r="F529" s="12" t="s">
        <v>2170</v>
      </c>
      <c r="G529" s="38">
        <v>4.01</v>
      </c>
      <c r="H529" s="38">
        <v>3.41</v>
      </c>
      <c r="I529" s="38">
        <v>2.81</v>
      </c>
      <c r="J529" s="39"/>
      <c r="K529" s="143"/>
      <c r="L529" s="22">
        <v>4.2999999999999997E-2</v>
      </c>
      <c r="M529" s="22" t="s">
        <v>14394</v>
      </c>
      <c r="N529" s="20" t="s">
        <v>14489</v>
      </c>
      <c r="O529" s="16">
        <v>0</v>
      </c>
      <c r="P529" s="143">
        <v>141</v>
      </c>
      <c r="Q529" s="121" t="s">
        <v>14285</v>
      </c>
      <c r="R529" s="16" t="s">
        <v>9235</v>
      </c>
      <c r="S529" s="10" t="s">
        <v>1165</v>
      </c>
      <c r="T529" s="28" t="s">
        <v>9734</v>
      </c>
      <c r="U529" s="20" t="s">
        <v>5359</v>
      </c>
      <c r="V529" s="16" t="s">
        <v>8252</v>
      </c>
      <c r="W529" s="11" t="s">
        <v>13938</v>
      </c>
      <c r="X529" s="174">
        <v>2.59</v>
      </c>
      <c r="Y529" s="174">
        <v>3.41</v>
      </c>
    </row>
    <row r="530" spans="1:25" ht="15" customHeight="1" x14ac:dyDescent="0.25">
      <c r="A530" s="20" t="s">
        <v>7181</v>
      </c>
      <c r="B530" s="14" t="s">
        <v>7182</v>
      </c>
      <c r="C530" s="71" t="str">
        <f t="shared" si="8"/>
        <v>Product Info</v>
      </c>
      <c r="D530" s="37" t="s">
        <v>5402</v>
      </c>
      <c r="E530" s="143">
        <v>100</v>
      </c>
      <c r="F530" s="12" t="s">
        <v>2170</v>
      </c>
      <c r="G530" s="38">
        <v>4.01</v>
      </c>
      <c r="H530" s="38">
        <v>3.41</v>
      </c>
      <c r="I530" s="38">
        <v>2.81</v>
      </c>
      <c r="J530" s="39"/>
      <c r="K530" s="143"/>
      <c r="L530" s="22">
        <v>0</v>
      </c>
      <c r="M530" s="22">
        <v>0</v>
      </c>
      <c r="N530" s="20" t="s">
        <v>14489</v>
      </c>
      <c r="O530" s="16">
        <v>0</v>
      </c>
      <c r="P530" s="143">
        <v>141</v>
      </c>
      <c r="Q530" s="121" t="s">
        <v>14285</v>
      </c>
      <c r="R530" s="16" t="s">
        <v>9235</v>
      </c>
      <c r="S530" s="10" t="s">
        <v>1165</v>
      </c>
      <c r="T530" s="28" t="s">
        <v>9735</v>
      </c>
      <c r="U530" s="20" t="s">
        <v>5359</v>
      </c>
      <c r="V530" s="16" t="s">
        <v>8253</v>
      </c>
      <c r="W530" s="11" t="s">
        <v>13938</v>
      </c>
      <c r="X530" s="174">
        <v>2.59</v>
      </c>
      <c r="Y530" s="174">
        <v>3.41</v>
      </c>
    </row>
    <row r="531" spans="1:25" ht="15" customHeight="1" x14ac:dyDescent="0.25">
      <c r="A531" s="20" t="s">
        <v>4573</v>
      </c>
      <c r="B531" s="14" t="s">
        <v>5095</v>
      </c>
      <c r="C531" s="71" t="str">
        <f t="shared" si="8"/>
        <v>Product Info</v>
      </c>
      <c r="D531" s="37" t="s">
        <v>5403</v>
      </c>
      <c r="E531" s="143">
        <v>100</v>
      </c>
      <c r="F531" s="12" t="s">
        <v>2170</v>
      </c>
      <c r="G531" s="38">
        <v>4.04</v>
      </c>
      <c r="H531" s="38">
        <v>3.43</v>
      </c>
      <c r="I531" s="38">
        <v>2.83</v>
      </c>
      <c r="J531" s="39"/>
      <c r="K531" s="143"/>
      <c r="L531" s="22">
        <v>0.11</v>
      </c>
      <c r="M531" s="22" t="s">
        <v>2170</v>
      </c>
      <c r="N531" s="20" t="s">
        <v>14489</v>
      </c>
      <c r="O531" s="16" t="s">
        <v>12608</v>
      </c>
      <c r="P531" s="143">
        <v>141</v>
      </c>
      <c r="Q531" s="122" t="s">
        <v>9227</v>
      </c>
      <c r="R531" s="16" t="s">
        <v>9235</v>
      </c>
      <c r="S531" s="10" t="s">
        <v>1165</v>
      </c>
      <c r="T531" s="28" t="s">
        <v>9736</v>
      </c>
      <c r="U531" s="20" t="s">
        <v>5359</v>
      </c>
      <c r="V531" s="16" t="s">
        <v>8254</v>
      </c>
      <c r="W531" s="11" t="s">
        <v>13938</v>
      </c>
      <c r="X531" s="174">
        <v>2.61</v>
      </c>
      <c r="Y531" s="174">
        <v>3.43</v>
      </c>
    </row>
    <row r="532" spans="1:25" ht="15" customHeight="1" x14ac:dyDescent="0.25">
      <c r="A532" s="20" t="s">
        <v>5096</v>
      </c>
      <c r="B532" s="14" t="s">
        <v>5097</v>
      </c>
      <c r="C532" s="71" t="str">
        <f t="shared" si="8"/>
        <v>Product Info</v>
      </c>
      <c r="D532" s="37" t="s">
        <v>5404</v>
      </c>
      <c r="E532" s="143">
        <v>100</v>
      </c>
      <c r="F532" s="12" t="s">
        <v>2170</v>
      </c>
      <c r="G532" s="38">
        <v>4.04</v>
      </c>
      <c r="H532" s="38">
        <v>3.43</v>
      </c>
      <c r="I532" s="38">
        <v>2.83</v>
      </c>
      <c r="J532" s="39"/>
      <c r="K532" s="143"/>
      <c r="L532" s="22">
        <v>0.105</v>
      </c>
      <c r="M532" s="22" t="s">
        <v>2170</v>
      </c>
      <c r="N532" s="20" t="s">
        <v>14489</v>
      </c>
      <c r="O532" s="16">
        <v>0</v>
      </c>
      <c r="P532" s="143">
        <v>141</v>
      </c>
      <c r="Q532" s="122" t="s">
        <v>9227</v>
      </c>
      <c r="R532" s="16" t="s">
        <v>9235</v>
      </c>
      <c r="S532" s="10" t="s">
        <v>1165</v>
      </c>
      <c r="T532" s="28" t="s">
        <v>9737</v>
      </c>
      <c r="U532" s="20" t="s">
        <v>5359</v>
      </c>
      <c r="V532" s="16" t="s">
        <v>8255</v>
      </c>
      <c r="W532" s="11" t="s">
        <v>13938</v>
      </c>
      <c r="X532" s="174">
        <v>2.61</v>
      </c>
      <c r="Y532" s="174">
        <v>3.43</v>
      </c>
    </row>
    <row r="533" spans="1:25" ht="15" customHeight="1" x14ac:dyDescent="0.25">
      <c r="A533" s="20" t="s">
        <v>5098</v>
      </c>
      <c r="B533" s="14" t="s">
        <v>5099</v>
      </c>
      <c r="C533" s="71" t="str">
        <f t="shared" si="8"/>
        <v>Product Info</v>
      </c>
      <c r="D533" s="37" t="s">
        <v>5405</v>
      </c>
      <c r="E533" s="143">
        <v>100</v>
      </c>
      <c r="F533" s="12" t="s">
        <v>2170</v>
      </c>
      <c r="G533" s="38">
        <v>4.2</v>
      </c>
      <c r="H533" s="38">
        <v>3.57</v>
      </c>
      <c r="I533" s="38">
        <v>2.94</v>
      </c>
      <c r="J533" s="39"/>
      <c r="K533" s="143"/>
      <c r="L533" s="22">
        <v>0.1</v>
      </c>
      <c r="M533" s="22" t="s">
        <v>12488</v>
      </c>
      <c r="N533" s="20" t="s">
        <v>8779</v>
      </c>
      <c r="O533" s="16" t="s">
        <v>12608</v>
      </c>
      <c r="P533" s="143">
        <v>141</v>
      </c>
      <c r="Q533" s="122" t="s">
        <v>9227</v>
      </c>
      <c r="R533" s="16" t="s">
        <v>9235</v>
      </c>
      <c r="S533" s="10" t="s">
        <v>1165</v>
      </c>
      <c r="T533" s="28" t="s">
        <v>9738</v>
      </c>
      <c r="U533" s="20" t="s">
        <v>5359</v>
      </c>
      <c r="V533" s="16" t="s">
        <v>8256</v>
      </c>
      <c r="W533" s="11" t="s">
        <v>13938</v>
      </c>
      <c r="X533" s="174">
        <v>2.71</v>
      </c>
      <c r="Y533" s="174">
        <v>3.57</v>
      </c>
    </row>
    <row r="534" spans="1:25" ht="15" customHeight="1" x14ac:dyDescent="0.25">
      <c r="A534" s="20" t="s">
        <v>5100</v>
      </c>
      <c r="B534" s="14" t="s">
        <v>5101</v>
      </c>
      <c r="C534" s="71" t="str">
        <f t="shared" si="8"/>
        <v>Product Info</v>
      </c>
      <c r="D534" s="37" t="s">
        <v>5406</v>
      </c>
      <c r="E534" s="143">
        <v>100</v>
      </c>
      <c r="F534" s="12" t="s">
        <v>2170</v>
      </c>
      <c r="G534" s="38">
        <v>4.04</v>
      </c>
      <c r="H534" s="38">
        <v>3.43</v>
      </c>
      <c r="I534" s="38">
        <v>2.83</v>
      </c>
      <c r="J534" s="39"/>
      <c r="K534" s="143"/>
      <c r="L534" s="22">
        <v>0.11</v>
      </c>
      <c r="M534" s="22" t="s">
        <v>12488</v>
      </c>
      <c r="N534" s="20" t="s">
        <v>8779</v>
      </c>
      <c r="O534" s="16" t="s">
        <v>12608</v>
      </c>
      <c r="P534" s="143">
        <v>141</v>
      </c>
      <c r="Q534" s="122" t="s">
        <v>9227</v>
      </c>
      <c r="R534" s="16" t="s">
        <v>9235</v>
      </c>
      <c r="S534" s="10" t="s">
        <v>1165</v>
      </c>
      <c r="T534" s="28" t="s">
        <v>9739</v>
      </c>
      <c r="U534" s="20" t="s">
        <v>5359</v>
      </c>
      <c r="V534" s="16" t="s">
        <v>8257</v>
      </c>
      <c r="W534" s="11" t="s">
        <v>13938</v>
      </c>
      <c r="X534" s="174">
        <v>2.61</v>
      </c>
      <c r="Y534" s="174">
        <v>3.43</v>
      </c>
    </row>
    <row r="535" spans="1:25" ht="15" customHeight="1" x14ac:dyDescent="0.25">
      <c r="A535" s="20" t="s">
        <v>5102</v>
      </c>
      <c r="B535" s="14" t="s">
        <v>5103</v>
      </c>
      <c r="C535" s="71" t="str">
        <f t="shared" si="8"/>
        <v>Product Info</v>
      </c>
      <c r="D535" s="37" t="s">
        <v>5407</v>
      </c>
      <c r="E535" s="143">
        <v>100</v>
      </c>
      <c r="F535" s="12" t="s">
        <v>2170</v>
      </c>
      <c r="G535" s="38">
        <v>4.04</v>
      </c>
      <c r="H535" s="38">
        <v>3.43</v>
      </c>
      <c r="I535" s="38">
        <v>2.83</v>
      </c>
      <c r="J535" s="39"/>
      <c r="K535" s="143"/>
      <c r="L535" s="22">
        <v>0.1</v>
      </c>
      <c r="M535" s="22" t="s">
        <v>12488</v>
      </c>
      <c r="N535" s="20" t="s">
        <v>8779</v>
      </c>
      <c r="O535" s="16" t="s">
        <v>12608</v>
      </c>
      <c r="P535" s="143">
        <v>141</v>
      </c>
      <c r="Q535" s="122" t="s">
        <v>12421</v>
      </c>
      <c r="R535" s="16" t="s">
        <v>9235</v>
      </c>
      <c r="S535" s="10" t="s">
        <v>1165</v>
      </c>
      <c r="T535" s="28" t="s">
        <v>9740</v>
      </c>
      <c r="U535" s="20" t="s">
        <v>5359</v>
      </c>
      <c r="V535" s="16" t="s">
        <v>8258</v>
      </c>
      <c r="W535" s="11" t="s">
        <v>13938</v>
      </c>
      <c r="X535" s="174">
        <v>2.61</v>
      </c>
      <c r="Y535" s="174">
        <v>3.43</v>
      </c>
    </row>
    <row r="536" spans="1:25" ht="15" customHeight="1" x14ac:dyDescent="0.25">
      <c r="A536" s="20" t="s">
        <v>5104</v>
      </c>
      <c r="B536" s="14" t="s">
        <v>7364</v>
      </c>
      <c r="C536" s="71" t="str">
        <f t="shared" si="8"/>
        <v>Product Info</v>
      </c>
      <c r="D536" s="37" t="s">
        <v>5408</v>
      </c>
      <c r="E536" s="143">
        <v>100</v>
      </c>
      <c r="F536" s="12" t="s">
        <v>2170</v>
      </c>
      <c r="G536" s="38">
        <v>4.04</v>
      </c>
      <c r="H536" s="38">
        <v>3.43</v>
      </c>
      <c r="I536" s="38">
        <v>2.83</v>
      </c>
      <c r="J536" s="39"/>
      <c r="K536" s="143"/>
      <c r="L536" s="22">
        <v>0.10476199999999999</v>
      </c>
      <c r="M536" s="22" t="s">
        <v>2170</v>
      </c>
      <c r="N536" s="20" t="s">
        <v>14489</v>
      </c>
      <c r="O536" s="16" t="s">
        <v>12608</v>
      </c>
      <c r="P536" s="143">
        <v>141</v>
      </c>
      <c r="Q536" s="121" t="s">
        <v>14285</v>
      </c>
      <c r="R536" s="16" t="s">
        <v>9235</v>
      </c>
      <c r="S536" s="10" t="s">
        <v>1165</v>
      </c>
      <c r="T536" s="28" t="s">
        <v>9741</v>
      </c>
      <c r="U536" s="20" t="s">
        <v>5359</v>
      </c>
      <c r="V536" s="16" t="s">
        <v>8259</v>
      </c>
      <c r="W536" s="11" t="s">
        <v>13938</v>
      </c>
      <c r="X536" s="174">
        <v>2.61</v>
      </c>
      <c r="Y536" s="174">
        <v>3.43</v>
      </c>
    </row>
    <row r="537" spans="1:25" ht="15" customHeight="1" x14ac:dyDescent="0.25">
      <c r="A537" s="20" t="s">
        <v>7365</v>
      </c>
      <c r="B537" s="14" t="s">
        <v>7366</v>
      </c>
      <c r="C537" s="71" t="str">
        <f t="shared" si="8"/>
        <v>Product Info</v>
      </c>
      <c r="D537" s="37" t="s">
        <v>5409</v>
      </c>
      <c r="E537" s="143">
        <v>100</v>
      </c>
      <c r="F537" s="12" t="s">
        <v>2170</v>
      </c>
      <c r="G537" s="38">
        <v>4.04</v>
      </c>
      <c r="H537" s="38">
        <v>3.43</v>
      </c>
      <c r="I537" s="38">
        <v>2.83</v>
      </c>
      <c r="J537" s="39"/>
      <c r="K537" s="143"/>
      <c r="L537" s="22">
        <v>0.11600000000000001</v>
      </c>
      <c r="M537" s="22" t="s">
        <v>2170</v>
      </c>
      <c r="N537" s="20" t="s">
        <v>14489</v>
      </c>
      <c r="O537" s="16" t="s">
        <v>12608</v>
      </c>
      <c r="P537" s="143">
        <v>141</v>
      </c>
      <c r="Q537" s="122" t="s">
        <v>9227</v>
      </c>
      <c r="R537" s="16" t="s">
        <v>9235</v>
      </c>
      <c r="S537" s="10" t="s">
        <v>1165</v>
      </c>
      <c r="T537" s="28" t="s">
        <v>9742</v>
      </c>
      <c r="U537" s="20" t="s">
        <v>5359</v>
      </c>
      <c r="V537" s="16" t="s">
        <v>8260</v>
      </c>
      <c r="W537" s="11" t="s">
        <v>13938</v>
      </c>
      <c r="X537" s="174">
        <v>2.61</v>
      </c>
      <c r="Y537" s="174">
        <v>3.43</v>
      </c>
    </row>
    <row r="538" spans="1:25" ht="15" customHeight="1" x14ac:dyDescent="0.25">
      <c r="A538" s="20" t="s">
        <v>7367</v>
      </c>
      <c r="B538" s="14" t="s">
        <v>7368</v>
      </c>
      <c r="C538" s="71" t="str">
        <f t="shared" si="8"/>
        <v>Product Info</v>
      </c>
      <c r="D538" s="37" t="s">
        <v>5410</v>
      </c>
      <c r="E538" s="143">
        <v>100</v>
      </c>
      <c r="F538" s="12" t="s">
        <v>2170</v>
      </c>
      <c r="G538" s="38">
        <v>4.04</v>
      </c>
      <c r="H538" s="38">
        <v>3.43</v>
      </c>
      <c r="I538" s="38">
        <v>2.83</v>
      </c>
      <c r="J538" s="39"/>
      <c r="K538" s="143"/>
      <c r="L538" s="22">
        <v>0.11</v>
      </c>
      <c r="M538" s="22" t="s">
        <v>2170</v>
      </c>
      <c r="N538" s="20" t="s">
        <v>14489</v>
      </c>
      <c r="O538" s="16" t="s">
        <v>12608</v>
      </c>
      <c r="P538" s="143">
        <v>141</v>
      </c>
      <c r="Q538" s="122" t="s">
        <v>9227</v>
      </c>
      <c r="R538" s="16" t="s">
        <v>9235</v>
      </c>
      <c r="S538" s="10" t="s">
        <v>1165</v>
      </c>
      <c r="T538" s="28" t="s">
        <v>9743</v>
      </c>
      <c r="U538" s="20" t="s">
        <v>5359</v>
      </c>
      <c r="V538" s="16" t="s">
        <v>8261</v>
      </c>
      <c r="W538" s="11" t="s">
        <v>13938</v>
      </c>
      <c r="X538" s="174">
        <v>2.61</v>
      </c>
      <c r="Y538" s="174">
        <v>3.43</v>
      </c>
    </row>
    <row r="539" spans="1:25" ht="15" customHeight="1" x14ac:dyDescent="0.25">
      <c r="A539" s="20" t="s">
        <v>7369</v>
      </c>
      <c r="B539" s="14" t="s">
        <v>7370</v>
      </c>
      <c r="C539" s="71" t="str">
        <f t="shared" si="8"/>
        <v>Product Info</v>
      </c>
      <c r="D539" s="37" t="s">
        <v>5411</v>
      </c>
      <c r="E539" s="143">
        <v>100</v>
      </c>
      <c r="F539" s="12" t="s">
        <v>2170</v>
      </c>
      <c r="G539" s="38">
        <v>4.04</v>
      </c>
      <c r="H539" s="38">
        <v>3.43</v>
      </c>
      <c r="I539" s="38">
        <v>2.83</v>
      </c>
      <c r="J539" s="39"/>
      <c r="K539" s="143"/>
      <c r="L539" s="22">
        <v>0.1</v>
      </c>
      <c r="M539" s="22" t="s">
        <v>12488</v>
      </c>
      <c r="N539" s="20" t="s">
        <v>8779</v>
      </c>
      <c r="O539" s="16" t="s">
        <v>12608</v>
      </c>
      <c r="P539" s="143">
        <v>141</v>
      </c>
      <c r="Q539" s="122" t="s">
        <v>9227</v>
      </c>
      <c r="R539" s="16" t="s">
        <v>9235</v>
      </c>
      <c r="S539" s="10" t="s">
        <v>1165</v>
      </c>
      <c r="T539" s="28" t="s">
        <v>9744</v>
      </c>
      <c r="U539" s="20" t="s">
        <v>5359</v>
      </c>
      <c r="V539" s="16" t="s">
        <v>8262</v>
      </c>
      <c r="W539" s="11" t="s">
        <v>13938</v>
      </c>
      <c r="X539" s="174">
        <v>2.61</v>
      </c>
      <c r="Y539" s="174">
        <v>3.43</v>
      </c>
    </row>
    <row r="540" spans="1:25" ht="15" customHeight="1" x14ac:dyDescent="0.25">
      <c r="A540" s="20" t="s">
        <v>7664</v>
      </c>
      <c r="B540" s="14" t="s">
        <v>7665</v>
      </c>
      <c r="C540" s="71" t="str">
        <f t="shared" si="8"/>
        <v>Product Info</v>
      </c>
      <c r="D540" s="37" t="s">
        <v>2359</v>
      </c>
      <c r="E540" s="143">
        <v>100</v>
      </c>
      <c r="F540" s="12" t="s">
        <v>2170</v>
      </c>
      <c r="G540" s="38">
        <v>5.09</v>
      </c>
      <c r="H540" s="38">
        <v>4.32</v>
      </c>
      <c r="I540" s="38">
        <v>3.56</v>
      </c>
      <c r="J540" s="39"/>
      <c r="K540" s="143"/>
      <c r="L540" s="22">
        <v>0</v>
      </c>
      <c r="M540" s="22">
        <v>0</v>
      </c>
      <c r="N540" s="20" t="s">
        <v>14489</v>
      </c>
      <c r="O540" s="16">
        <v>0</v>
      </c>
      <c r="P540" s="143">
        <v>364</v>
      </c>
      <c r="Q540" s="121" t="s">
        <v>14285</v>
      </c>
      <c r="R540" s="16" t="s">
        <v>9235</v>
      </c>
      <c r="S540" s="10" t="s">
        <v>1165</v>
      </c>
      <c r="T540" s="28" t="s">
        <v>9745</v>
      </c>
      <c r="U540" s="20" t="s">
        <v>5359</v>
      </c>
      <c r="V540" s="16" t="s">
        <v>8263</v>
      </c>
      <c r="W540" s="11" t="s">
        <v>14395</v>
      </c>
      <c r="X540" s="174">
        <v>3.28</v>
      </c>
      <c r="Y540" s="174">
        <v>4.32</v>
      </c>
    </row>
    <row r="541" spans="1:25" ht="15" customHeight="1" x14ac:dyDescent="0.25">
      <c r="A541" s="20" t="s">
        <v>5412</v>
      </c>
      <c r="B541" s="14" t="s">
        <v>5413</v>
      </c>
      <c r="C541" s="71" t="str">
        <f t="shared" si="8"/>
        <v>Product Info</v>
      </c>
      <c r="D541" s="37" t="s">
        <v>2360</v>
      </c>
      <c r="E541" s="143">
        <v>8</v>
      </c>
      <c r="F541" s="12" t="s">
        <v>2170</v>
      </c>
      <c r="G541" s="38">
        <v>47.05</v>
      </c>
      <c r="H541" s="38">
        <v>39.99</v>
      </c>
      <c r="I541" s="38">
        <v>32.94</v>
      </c>
      <c r="J541" s="39"/>
      <c r="K541" s="143"/>
      <c r="L541" s="22">
        <v>1.1200000000000001</v>
      </c>
      <c r="M541" s="22" t="s">
        <v>12488</v>
      </c>
      <c r="N541" s="20" t="s">
        <v>8778</v>
      </c>
      <c r="O541" s="16" t="s">
        <v>12608</v>
      </c>
      <c r="P541" s="143">
        <v>141</v>
      </c>
      <c r="Q541" s="121" t="s">
        <v>14285</v>
      </c>
      <c r="R541" s="16" t="s">
        <v>9235</v>
      </c>
      <c r="S541" s="10" t="s">
        <v>1165</v>
      </c>
      <c r="T541" s="28" t="s">
        <v>9746</v>
      </c>
      <c r="U541" s="20" t="s">
        <v>5359</v>
      </c>
      <c r="V541" s="16" t="s">
        <v>8264</v>
      </c>
      <c r="W541" s="11" t="s">
        <v>13938</v>
      </c>
      <c r="X541" s="174">
        <v>30.39</v>
      </c>
      <c r="Y541" s="174">
        <v>39.99</v>
      </c>
    </row>
    <row r="542" spans="1:25" ht="15" customHeight="1" x14ac:dyDescent="0.25">
      <c r="A542" s="20" t="s">
        <v>5414</v>
      </c>
      <c r="B542" s="14" t="s">
        <v>5415</v>
      </c>
      <c r="C542" s="71" t="str">
        <f t="shared" si="8"/>
        <v>Product Info</v>
      </c>
      <c r="D542" s="37" t="s">
        <v>2361</v>
      </c>
      <c r="E542" s="143">
        <v>8</v>
      </c>
      <c r="F542" s="12" t="s">
        <v>2170</v>
      </c>
      <c r="G542" s="38">
        <v>54.88</v>
      </c>
      <c r="H542" s="38">
        <v>46.65</v>
      </c>
      <c r="I542" s="38">
        <v>38.409999999999997</v>
      </c>
      <c r="J542" s="39"/>
      <c r="K542" s="143"/>
      <c r="L542" s="22">
        <v>1</v>
      </c>
      <c r="M542" s="22" t="s">
        <v>12488</v>
      </c>
      <c r="N542" s="20" t="s">
        <v>8778</v>
      </c>
      <c r="O542" s="16" t="s">
        <v>12608</v>
      </c>
      <c r="P542" s="143">
        <v>141</v>
      </c>
      <c r="Q542" s="121" t="s">
        <v>14285</v>
      </c>
      <c r="R542" s="16" t="s">
        <v>9235</v>
      </c>
      <c r="S542" s="10" t="s">
        <v>1165</v>
      </c>
      <c r="T542" s="28" t="s">
        <v>9747</v>
      </c>
      <c r="U542" s="20" t="s">
        <v>5359</v>
      </c>
      <c r="V542" s="16" t="s">
        <v>8265</v>
      </c>
      <c r="W542" s="11" t="s">
        <v>13938</v>
      </c>
      <c r="X542" s="174">
        <v>35.44</v>
      </c>
      <c r="Y542" s="174">
        <v>46.65</v>
      </c>
    </row>
    <row r="543" spans="1:25" ht="15" customHeight="1" x14ac:dyDescent="0.25">
      <c r="A543" s="20" t="s">
        <v>7114</v>
      </c>
      <c r="B543" s="14" t="s">
        <v>7115</v>
      </c>
      <c r="C543" s="71" t="str">
        <f t="shared" si="8"/>
        <v>Product Info</v>
      </c>
      <c r="D543" s="37" t="s">
        <v>2362</v>
      </c>
      <c r="E543" s="143">
        <v>8</v>
      </c>
      <c r="F543" s="12" t="s">
        <v>2170</v>
      </c>
      <c r="G543" s="38">
        <v>53.51</v>
      </c>
      <c r="H543" s="38">
        <v>45.48</v>
      </c>
      <c r="I543" s="38">
        <v>37.450000000000003</v>
      </c>
      <c r="J543" s="39"/>
      <c r="K543" s="143"/>
      <c r="L543" s="22">
        <v>1</v>
      </c>
      <c r="M543" s="22" t="s">
        <v>2170</v>
      </c>
      <c r="N543" s="20" t="s">
        <v>14489</v>
      </c>
      <c r="O543" s="16">
        <v>0</v>
      </c>
      <c r="P543" s="143">
        <v>141</v>
      </c>
      <c r="Q543" s="121" t="s">
        <v>14285</v>
      </c>
      <c r="R543" s="16" t="s">
        <v>9235</v>
      </c>
      <c r="S543" s="10" t="s">
        <v>1165</v>
      </c>
      <c r="T543" s="28" t="s">
        <v>9748</v>
      </c>
      <c r="U543" s="20" t="s">
        <v>5359</v>
      </c>
      <c r="V543" s="16" t="s">
        <v>8266</v>
      </c>
      <c r="W543" s="11" t="s">
        <v>13938</v>
      </c>
      <c r="X543" s="174">
        <v>34.56</v>
      </c>
      <c r="Y543" s="174">
        <v>45.48</v>
      </c>
    </row>
    <row r="544" spans="1:25" ht="15" customHeight="1" x14ac:dyDescent="0.25">
      <c r="A544" s="20" t="s">
        <v>7116</v>
      </c>
      <c r="B544" s="14" t="s">
        <v>7117</v>
      </c>
      <c r="C544" s="71" t="str">
        <f t="shared" si="8"/>
        <v>Product Info</v>
      </c>
      <c r="D544" s="37" t="s">
        <v>2363</v>
      </c>
      <c r="E544" s="143">
        <v>8</v>
      </c>
      <c r="F544" s="12" t="s">
        <v>2170</v>
      </c>
      <c r="G544" s="38">
        <v>47.05</v>
      </c>
      <c r="H544" s="38">
        <v>39.99</v>
      </c>
      <c r="I544" s="38">
        <v>32.94</v>
      </c>
      <c r="J544" s="39"/>
      <c r="K544" s="143"/>
      <c r="L544" s="22">
        <v>1</v>
      </c>
      <c r="M544" s="22" t="s">
        <v>14396</v>
      </c>
      <c r="N544" s="20" t="s">
        <v>8778</v>
      </c>
      <c r="O544" s="16" t="s">
        <v>12608</v>
      </c>
      <c r="P544" s="143">
        <v>141</v>
      </c>
      <c r="Q544" s="122" t="s">
        <v>12421</v>
      </c>
      <c r="R544" s="16" t="s">
        <v>9235</v>
      </c>
      <c r="S544" s="10" t="s">
        <v>1165</v>
      </c>
      <c r="T544" s="28" t="s">
        <v>9749</v>
      </c>
      <c r="U544" s="20" t="s">
        <v>5359</v>
      </c>
      <c r="V544" s="16" t="s">
        <v>8267</v>
      </c>
      <c r="W544" s="11" t="s">
        <v>13938</v>
      </c>
      <c r="X544" s="174">
        <v>30.39</v>
      </c>
      <c r="Y544" s="174">
        <v>39.99</v>
      </c>
    </row>
    <row r="545" spans="1:25" ht="15" customHeight="1" x14ac:dyDescent="0.25">
      <c r="A545" s="20" t="s">
        <v>7118</v>
      </c>
      <c r="B545" s="14" t="s">
        <v>7119</v>
      </c>
      <c r="C545" s="71" t="str">
        <f t="shared" si="8"/>
        <v>Product Info</v>
      </c>
      <c r="D545" s="37" t="s">
        <v>2364</v>
      </c>
      <c r="E545" s="143">
        <v>8</v>
      </c>
      <c r="F545" s="12" t="s">
        <v>2170</v>
      </c>
      <c r="G545" s="38">
        <v>47.05</v>
      </c>
      <c r="H545" s="38">
        <v>39.99</v>
      </c>
      <c r="I545" s="38">
        <v>32.94</v>
      </c>
      <c r="J545" s="39"/>
      <c r="K545" s="143"/>
      <c r="L545" s="22">
        <v>1.0900000000000001</v>
      </c>
      <c r="M545" s="22" t="s">
        <v>14396</v>
      </c>
      <c r="N545" s="20" t="s">
        <v>8778</v>
      </c>
      <c r="O545" s="16" t="s">
        <v>13914</v>
      </c>
      <c r="P545" s="143">
        <v>141</v>
      </c>
      <c r="Q545" s="122" t="s">
        <v>12421</v>
      </c>
      <c r="R545" s="16" t="s">
        <v>9235</v>
      </c>
      <c r="S545" s="10" t="s">
        <v>1165</v>
      </c>
      <c r="T545" s="28" t="s">
        <v>9750</v>
      </c>
      <c r="U545" s="20" t="s">
        <v>5359</v>
      </c>
      <c r="V545" s="16" t="s">
        <v>8268</v>
      </c>
      <c r="W545" s="11" t="s">
        <v>13938</v>
      </c>
      <c r="X545" s="174">
        <v>30.39</v>
      </c>
      <c r="Y545" s="174">
        <v>39.99</v>
      </c>
    </row>
    <row r="546" spans="1:25" ht="15" customHeight="1" x14ac:dyDescent="0.25">
      <c r="A546" s="20" t="s">
        <v>7120</v>
      </c>
      <c r="B546" s="14" t="s">
        <v>7121</v>
      </c>
      <c r="C546" s="71" t="str">
        <f t="shared" si="8"/>
        <v>Product Info</v>
      </c>
      <c r="D546" s="37" t="s">
        <v>2365</v>
      </c>
      <c r="E546" s="143">
        <v>8</v>
      </c>
      <c r="F546" s="12" t="s">
        <v>2170</v>
      </c>
      <c r="G546" s="38">
        <v>47.05</v>
      </c>
      <c r="H546" s="38">
        <v>39.99</v>
      </c>
      <c r="I546" s="38">
        <v>32.94</v>
      </c>
      <c r="J546" s="39"/>
      <c r="K546" s="143"/>
      <c r="L546" s="22">
        <v>1.06</v>
      </c>
      <c r="M546" s="22" t="s">
        <v>12488</v>
      </c>
      <c r="N546" s="20" t="s">
        <v>8778</v>
      </c>
      <c r="O546" s="16" t="s">
        <v>12608</v>
      </c>
      <c r="P546" s="143">
        <v>141</v>
      </c>
      <c r="Q546" s="122" t="s">
        <v>9227</v>
      </c>
      <c r="R546" s="16" t="s">
        <v>9235</v>
      </c>
      <c r="S546" s="10" t="s">
        <v>1165</v>
      </c>
      <c r="T546" s="28" t="s">
        <v>9751</v>
      </c>
      <c r="U546" s="20" t="s">
        <v>5359</v>
      </c>
      <c r="V546" s="16" t="s">
        <v>8269</v>
      </c>
      <c r="W546" s="11" t="s">
        <v>13938</v>
      </c>
      <c r="X546" s="174">
        <v>30.39</v>
      </c>
      <c r="Y546" s="174">
        <v>39.99</v>
      </c>
    </row>
    <row r="547" spans="1:25" ht="15" customHeight="1" x14ac:dyDescent="0.25">
      <c r="A547" s="20" t="s">
        <v>7122</v>
      </c>
      <c r="B547" s="14" t="s">
        <v>7123</v>
      </c>
      <c r="C547" s="71" t="str">
        <f t="shared" si="8"/>
        <v>Product Info</v>
      </c>
      <c r="D547" s="37" t="s">
        <v>2366</v>
      </c>
      <c r="E547" s="143">
        <v>8</v>
      </c>
      <c r="F547" s="12" t="s">
        <v>2170</v>
      </c>
      <c r="G547" s="38">
        <v>47.05</v>
      </c>
      <c r="H547" s="38">
        <v>39.99</v>
      </c>
      <c r="I547" s="38">
        <v>32.94</v>
      </c>
      <c r="J547" s="39"/>
      <c r="K547" s="143"/>
      <c r="L547" s="22">
        <v>1</v>
      </c>
      <c r="M547" s="22" t="s">
        <v>14396</v>
      </c>
      <c r="N547" s="20" t="s">
        <v>8778</v>
      </c>
      <c r="O547" s="16" t="s">
        <v>12608</v>
      </c>
      <c r="P547" s="143">
        <v>141</v>
      </c>
      <c r="Q547" s="122" t="s">
        <v>12421</v>
      </c>
      <c r="R547" s="16" t="s">
        <v>9235</v>
      </c>
      <c r="S547" s="10" t="s">
        <v>1165</v>
      </c>
      <c r="T547" s="28" t="s">
        <v>9752</v>
      </c>
      <c r="U547" s="20" t="s">
        <v>5359</v>
      </c>
      <c r="V547" s="16" t="s">
        <v>8270</v>
      </c>
      <c r="W547" s="11" t="s">
        <v>13938</v>
      </c>
      <c r="X547" s="174">
        <v>30.39</v>
      </c>
      <c r="Y547" s="174">
        <v>39.99</v>
      </c>
    </row>
    <row r="548" spans="1:25" ht="15" customHeight="1" x14ac:dyDescent="0.25">
      <c r="A548" s="20" t="s">
        <v>7124</v>
      </c>
      <c r="B548" s="14" t="s">
        <v>7125</v>
      </c>
      <c r="C548" s="71" t="str">
        <f t="shared" si="8"/>
        <v>Product Info</v>
      </c>
      <c r="D548" s="37" t="s">
        <v>2367</v>
      </c>
      <c r="E548" s="143">
        <v>8</v>
      </c>
      <c r="F548" s="12" t="s">
        <v>2170</v>
      </c>
      <c r="G548" s="38">
        <v>47.05</v>
      </c>
      <c r="H548" s="38">
        <v>39.99</v>
      </c>
      <c r="I548" s="38">
        <v>32.94</v>
      </c>
      <c r="J548" s="39"/>
      <c r="K548" s="143"/>
      <c r="L548" s="22">
        <v>1</v>
      </c>
      <c r="M548" s="22" t="s">
        <v>2170</v>
      </c>
      <c r="N548" s="20" t="s">
        <v>14489</v>
      </c>
      <c r="O548" s="16" t="s">
        <v>13914</v>
      </c>
      <c r="P548" s="143">
        <v>141</v>
      </c>
      <c r="Q548" s="121" t="s">
        <v>14285</v>
      </c>
      <c r="R548" s="16" t="s">
        <v>9235</v>
      </c>
      <c r="S548" s="10" t="s">
        <v>1165</v>
      </c>
      <c r="T548" s="28" t="s">
        <v>9753</v>
      </c>
      <c r="U548" s="20" t="s">
        <v>5359</v>
      </c>
      <c r="V548" s="16" t="s">
        <v>8271</v>
      </c>
      <c r="W548" s="11" t="s">
        <v>13938</v>
      </c>
      <c r="X548" s="174">
        <v>30.39</v>
      </c>
      <c r="Y548" s="174">
        <v>39.99</v>
      </c>
    </row>
    <row r="549" spans="1:25" ht="15" customHeight="1" x14ac:dyDescent="0.25">
      <c r="A549" s="20" t="s">
        <v>7126</v>
      </c>
      <c r="B549" s="14" t="s">
        <v>7127</v>
      </c>
      <c r="C549" s="71" t="str">
        <f t="shared" si="8"/>
        <v>Product Info</v>
      </c>
      <c r="D549" s="37" t="s">
        <v>2368</v>
      </c>
      <c r="E549" s="143">
        <v>8</v>
      </c>
      <c r="F549" s="12" t="s">
        <v>2170</v>
      </c>
      <c r="G549" s="38">
        <v>47.05</v>
      </c>
      <c r="H549" s="38">
        <v>39.99</v>
      </c>
      <c r="I549" s="38">
        <v>32.94</v>
      </c>
      <c r="J549" s="39"/>
      <c r="K549" s="143"/>
      <c r="L549" s="22">
        <v>1.1200000000000001</v>
      </c>
      <c r="M549" s="22" t="s">
        <v>14396</v>
      </c>
      <c r="N549" s="20" t="s">
        <v>8778</v>
      </c>
      <c r="O549" s="16" t="s">
        <v>13914</v>
      </c>
      <c r="P549" s="143">
        <v>141</v>
      </c>
      <c r="Q549" s="121" t="s">
        <v>14285</v>
      </c>
      <c r="R549" s="16" t="s">
        <v>9235</v>
      </c>
      <c r="S549" s="10" t="s">
        <v>1165</v>
      </c>
      <c r="T549" s="28" t="s">
        <v>9754</v>
      </c>
      <c r="U549" s="20" t="s">
        <v>5359</v>
      </c>
      <c r="V549" s="16" t="s">
        <v>8272</v>
      </c>
      <c r="W549" s="11" t="s">
        <v>13938</v>
      </c>
      <c r="X549" s="174">
        <v>30.39</v>
      </c>
      <c r="Y549" s="174">
        <v>39.99</v>
      </c>
    </row>
    <row r="550" spans="1:25" ht="15" customHeight="1" x14ac:dyDescent="0.25">
      <c r="A550" s="20" t="s">
        <v>7128</v>
      </c>
      <c r="B550" s="14" t="s">
        <v>7129</v>
      </c>
      <c r="C550" s="71" t="str">
        <f t="shared" si="8"/>
        <v>Product Info</v>
      </c>
      <c r="D550" s="37" t="s">
        <v>2369</v>
      </c>
      <c r="E550" s="143">
        <v>8</v>
      </c>
      <c r="F550" s="12" t="s">
        <v>2170</v>
      </c>
      <c r="G550" s="38">
        <v>47.05</v>
      </c>
      <c r="H550" s="38">
        <v>39.99</v>
      </c>
      <c r="I550" s="38">
        <v>32.94</v>
      </c>
      <c r="J550" s="39"/>
      <c r="K550" s="143"/>
      <c r="L550" s="22">
        <v>1.090625</v>
      </c>
      <c r="M550" s="22" t="s">
        <v>2170</v>
      </c>
      <c r="N550" s="20" t="s">
        <v>14489</v>
      </c>
      <c r="O550" s="16" t="s">
        <v>12608</v>
      </c>
      <c r="P550" s="143">
        <v>141</v>
      </c>
      <c r="Q550" s="122" t="s">
        <v>12421</v>
      </c>
      <c r="R550" s="16" t="s">
        <v>9235</v>
      </c>
      <c r="S550" s="10" t="s">
        <v>1165</v>
      </c>
      <c r="T550" s="28" t="s">
        <v>9755</v>
      </c>
      <c r="U550" s="20" t="s">
        <v>5359</v>
      </c>
      <c r="V550" s="16" t="s">
        <v>8273</v>
      </c>
      <c r="W550" s="11" t="s">
        <v>13938</v>
      </c>
      <c r="X550" s="174">
        <v>30.39</v>
      </c>
      <c r="Y550" s="174">
        <v>39.99</v>
      </c>
    </row>
    <row r="551" spans="1:25" ht="15" customHeight="1" x14ac:dyDescent="0.25">
      <c r="A551" s="20" t="s">
        <v>7130</v>
      </c>
      <c r="B551" s="14" t="s">
        <v>7131</v>
      </c>
      <c r="C551" s="71" t="str">
        <f t="shared" si="8"/>
        <v>Product Info</v>
      </c>
      <c r="D551" s="37" t="s">
        <v>2370</v>
      </c>
      <c r="E551" s="143">
        <v>8</v>
      </c>
      <c r="F551" s="12" t="s">
        <v>2170</v>
      </c>
      <c r="G551" s="38">
        <v>47.05</v>
      </c>
      <c r="H551" s="38">
        <v>39.99</v>
      </c>
      <c r="I551" s="38">
        <v>32.94</v>
      </c>
      <c r="J551" s="39"/>
      <c r="K551" s="143"/>
      <c r="L551" s="22">
        <v>1.0687500000000001</v>
      </c>
      <c r="M551" s="22" t="s">
        <v>2170</v>
      </c>
      <c r="N551" s="20" t="s">
        <v>14489</v>
      </c>
      <c r="O551" s="16" t="s">
        <v>12608</v>
      </c>
      <c r="P551" s="143">
        <v>141</v>
      </c>
      <c r="Q551" s="122" t="s">
        <v>12421</v>
      </c>
      <c r="R551" s="16" t="s">
        <v>9235</v>
      </c>
      <c r="S551" s="10" t="s">
        <v>1165</v>
      </c>
      <c r="T551" s="28" t="s">
        <v>9756</v>
      </c>
      <c r="U551" s="20" t="s">
        <v>5359</v>
      </c>
      <c r="V551" s="16" t="s">
        <v>8274</v>
      </c>
      <c r="W551" s="11" t="s">
        <v>13938</v>
      </c>
      <c r="X551" s="174">
        <v>30.39</v>
      </c>
      <c r="Y551" s="174">
        <v>39.99</v>
      </c>
    </row>
    <row r="552" spans="1:25" ht="15" customHeight="1" x14ac:dyDescent="0.25">
      <c r="A552" s="20" t="s">
        <v>7132</v>
      </c>
      <c r="B552" s="14" t="s">
        <v>7133</v>
      </c>
      <c r="C552" s="71" t="str">
        <f t="shared" si="8"/>
        <v>Product Info</v>
      </c>
      <c r="D552" s="37" t="s">
        <v>5624</v>
      </c>
      <c r="E552" s="143">
        <v>8</v>
      </c>
      <c r="F552" s="12" t="s">
        <v>2170</v>
      </c>
      <c r="G552" s="38">
        <v>47.05</v>
      </c>
      <c r="H552" s="38">
        <v>39.99</v>
      </c>
      <c r="I552" s="38">
        <v>32.94</v>
      </c>
      <c r="J552" s="39"/>
      <c r="K552" s="143"/>
      <c r="L552" s="22">
        <v>1</v>
      </c>
      <c r="M552" s="22" t="s">
        <v>12488</v>
      </c>
      <c r="N552" s="20" t="s">
        <v>8778</v>
      </c>
      <c r="O552" s="16" t="s">
        <v>12608</v>
      </c>
      <c r="P552" s="143">
        <v>141</v>
      </c>
      <c r="Q552" s="122" t="s">
        <v>12421</v>
      </c>
      <c r="R552" s="16" t="s">
        <v>9235</v>
      </c>
      <c r="S552" s="10" t="s">
        <v>1165</v>
      </c>
      <c r="T552" s="28" t="s">
        <v>9757</v>
      </c>
      <c r="U552" s="20" t="s">
        <v>5359</v>
      </c>
      <c r="V552" s="16" t="s">
        <v>8275</v>
      </c>
      <c r="W552" s="11" t="s">
        <v>13938</v>
      </c>
      <c r="X552" s="174">
        <v>30.39</v>
      </c>
      <c r="Y552" s="174">
        <v>39.99</v>
      </c>
    </row>
    <row r="553" spans="1:25" ht="15" customHeight="1" x14ac:dyDescent="0.25">
      <c r="A553" s="20" t="s">
        <v>7992</v>
      </c>
      <c r="B553" s="14" t="s">
        <v>7993</v>
      </c>
      <c r="C553" s="71" t="str">
        <f t="shared" si="8"/>
        <v>Product Info</v>
      </c>
      <c r="D553" s="37" t="s">
        <v>5625</v>
      </c>
      <c r="E553" s="143">
        <v>5</v>
      </c>
      <c r="F553" s="12" t="s">
        <v>2170</v>
      </c>
      <c r="G553" s="38">
        <v>70.72</v>
      </c>
      <c r="H553" s="38">
        <v>60.11</v>
      </c>
      <c r="I553" s="38">
        <v>49.5</v>
      </c>
      <c r="J553" s="39"/>
      <c r="K553" s="143"/>
      <c r="L553" s="22">
        <v>1.78</v>
      </c>
      <c r="M553" s="22" t="s">
        <v>2170</v>
      </c>
      <c r="N553" s="20" t="s">
        <v>14489</v>
      </c>
      <c r="O553" s="16" t="s">
        <v>12608</v>
      </c>
      <c r="P553" s="143">
        <v>141</v>
      </c>
      <c r="Q553" s="122" t="s">
        <v>12421</v>
      </c>
      <c r="R553" s="16" t="s">
        <v>9235</v>
      </c>
      <c r="S553" s="10" t="s">
        <v>1165</v>
      </c>
      <c r="T553" s="28" t="s">
        <v>9758</v>
      </c>
      <c r="U553" s="20" t="s">
        <v>5359</v>
      </c>
      <c r="V553" s="16" t="s">
        <v>8276</v>
      </c>
      <c r="W553" s="11" t="s">
        <v>13938</v>
      </c>
      <c r="X553" s="174">
        <v>45.68</v>
      </c>
      <c r="Y553" s="174">
        <v>60.11</v>
      </c>
    </row>
    <row r="554" spans="1:25" ht="15" customHeight="1" x14ac:dyDescent="0.25">
      <c r="A554" s="20" t="s">
        <v>5390</v>
      </c>
      <c r="B554" s="14" t="s">
        <v>5391</v>
      </c>
      <c r="C554" s="71" t="str">
        <f t="shared" si="8"/>
        <v>Product Info</v>
      </c>
      <c r="D554" s="37" t="s">
        <v>5626</v>
      </c>
      <c r="E554" s="143">
        <v>5</v>
      </c>
      <c r="F554" s="12" t="s">
        <v>2170</v>
      </c>
      <c r="G554" s="38">
        <v>81.95</v>
      </c>
      <c r="H554" s="38">
        <v>69.66</v>
      </c>
      <c r="I554" s="38">
        <v>57.36</v>
      </c>
      <c r="J554" s="39"/>
      <c r="K554" s="143"/>
      <c r="L554" s="22">
        <v>0</v>
      </c>
      <c r="M554" s="22">
        <v>0</v>
      </c>
      <c r="N554" s="20" t="s">
        <v>14489</v>
      </c>
      <c r="O554" s="16">
        <v>0</v>
      </c>
      <c r="P554" s="143">
        <v>141</v>
      </c>
      <c r="Q554" s="121" t="s">
        <v>14285</v>
      </c>
      <c r="R554" s="16" t="s">
        <v>9235</v>
      </c>
      <c r="S554" s="10" t="s">
        <v>1165</v>
      </c>
      <c r="T554" s="28" t="s">
        <v>9759</v>
      </c>
      <c r="U554" s="20" t="s">
        <v>5359</v>
      </c>
      <c r="V554" s="16" t="s">
        <v>8277</v>
      </c>
      <c r="W554" s="11" t="s">
        <v>13938</v>
      </c>
      <c r="X554" s="174">
        <v>52.93</v>
      </c>
      <c r="Y554" s="174">
        <v>69.66</v>
      </c>
    </row>
    <row r="555" spans="1:25" ht="15" customHeight="1" x14ac:dyDescent="0.25">
      <c r="A555" s="20" t="s">
        <v>5392</v>
      </c>
      <c r="B555" s="14" t="s">
        <v>5393</v>
      </c>
      <c r="C555" s="71" t="str">
        <f t="shared" si="8"/>
        <v>Product Info</v>
      </c>
      <c r="D555" s="37" t="s">
        <v>5627</v>
      </c>
      <c r="E555" s="143">
        <v>5</v>
      </c>
      <c r="F555" s="12" t="s">
        <v>2170</v>
      </c>
      <c r="G555" s="38">
        <v>81.95</v>
      </c>
      <c r="H555" s="38">
        <v>69.66</v>
      </c>
      <c r="I555" s="38">
        <v>57.36</v>
      </c>
      <c r="J555" s="39"/>
      <c r="K555" s="143"/>
      <c r="L555" s="22">
        <v>1.62</v>
      </c>
      <c r="M555" s="22" t="s">
        <v>2170</v>
      </c>
      <c r="N555" s="20" t="s">
        <v>14489</v>
      </c>
      <c r="O555" s="16">
        <v>0</v>
      </c>
      <c r="P555" s="143">
        <v>141</v>
      </c>
      <c r="Q555" s="121" t="s">
        <v>14285</v>
      </c>
      <c r="R555" s="16" t="s">
        <v>9235</v>
      </c>
      <c r="S555" s="10" t="s">
        <v>1165</v>
      </c>
      <c r="T555" s="28" t="s">
        <v>9760</v>
      </c>
      <c r="U555" s="20" t="s">
        <v>5359</v>
      </c>
      <c r="V555" s="16" t="s">
        <v>8278</v>
      </c>
      <c r="W555" s="11" t="s">
        <v>13938</v>
      </c>
      <c r="X555" s="174">
        <v>52.93</v>
      </c>
      <c r="Y555" s="174">
        <v>69.66</v>
      </c>
    </row>
    <row r="556" spans="1:25" ht="15" customHeight="1" x14ac:dyDescent="0.25">
      <c r="A556" s="20" t="s">
        <v>5394</v>
      </c>
      <c r="B556" s="14" t="s">
        <v>5395</v>
      </c>
      <c r="C556" s="71" t="str">
        <f t="shared" si="8"/>
        <v>Product Info</v>
      </c>
      <c r="D556" s="37" t="s">
        <v>5628</v>
      </c>
      <c r="E556" s="143">
        <v>5</v>
      </c>
      <c r="F556" s="12" t="s">
        <v>2170</v>
      </c>
      <c r="G556" s="38">
        <v>82.15</v>
      </c>
      <c r="H556" s="38">
        <v>69.83</v>
      </c>
      <c r="I556" s="38">
        <v>57.51</v>
      </c>
      <c r="J556" s="39"/>
      <c r="K556" s="143"/>
      <c r="L556" s="22">
        <v>1.7649999999999999</v>
      </c>
      <c r="M556" s="22" t="s">
        <v>2170</v>
      </c>
      <c r="N556" s="20" t="s">
        <v>14489</v>
      </c>
      <c r="O556" s="16" t="s">
        <v>12608</v>
      </c>
      <c r="P556" s="143">
        <v>141</v>
      </c>
      <c r="Q556" s="122" t="s">
        <v>9227</v>
      </c>
      <c r="R556" s="16" t="s">
        <v>9235</v>
      </c>
      <c r="S556" s="10" t="s">
        <v>1165</v>
      </c>
      <c r="T556" s="28" t="s">
        <v>9761</v>
      </c>
      <c r="U556" s="20" t="s">
        <v>5359</v>
      </c>
      <c r="V556" s="16" t="s">
        <v>8279</v>
      </c>
      <c r="W556" s="11" t="s">
        <v>13938</v>
      </c>
      <c r="X556" s="174">
        <v>53.06</v>
      </c>
      <c r="Y556" s="174">
        <v>69.83</v>
      </c>
    </row>
    <row r="557" spans="1:25" ht="15" customHeight="1" x14ac:dyDescent="0.25">
      <c r="A557" s="20" t="s">
        <v>5396</v>
      </c>
      <c r="B557" s="14" t="s">
        <v>5397</v>
      </c>
      <c r="C557" s="71" t="str">
        <f t="shared" si="8"/>
        <v>Product Info</v>
      </c>
      <c r="D557" s="37" t="s">
        <v>5629</v>
      </c>
      <c r="E557" s="143">
        <v>5</v>
      </c>
      <c r="F557" s="12" t="s">
        <v>2170</v>
      </c>
      <c r="G557" s="38">
        <v>90.55</v>
      </c>
      <c r="H557" s="38">
        <v>76.97</v>
      </c>
      <c r="I557" s="38">
        <v>63.38</v>
      </c>
      <c r="J557" s="39"/>
      <c r="K557" s="143"/>
      <c r="L557" s="22">
        <v>1.645</v>
      </c>
      <c r="M557" s="22" t="s">
        <v>2170</v>
      </c>
      <c r="N557" s="20" t="s">
        <v>14489</v>
      </c>
      <c r="O557" s="16">
        <v>0</v>
      </c>
      <c r="P557" s="143">
        <v>141</v>
      </c>
      <c r="Q557" s="121" t="s">
        <v>14285</v>
      </c>
      <c r="R557" s="16" t="s">
        <v>9235</v>
      </c>
      <c r="S557" s="10" t="s">
        <v>1165</v>
      </c>
      <c r="T557" s="28" t="s">
        <v>9762</v>
      </c>
      <c r="U557" s="20" t="s">
        <v>5359</v>
      </c>
      <c r="V557" s="16" t="s">
        <v>8280</v>
      </c>
      <c r="W557" s="11" t="s">
        <v>13938</v>
      </c>
      <c r="X557" s="174">
        <v>58.48</v>
      </c>
      <c r="Y557" s="174">
        <v>76.97</v>
      </c>
    </row>
    <row r="558" spans="1:25" ht="15" customHeight="1" x14ac:dyDescent="0.25">
      <c r="A558" s="20" t="s">
        <v>5398</v>
      </c>
      <c r="B558" s="14" t="s">
        <v>5399</v>
      </c>
      <c r="C558" s="71" t="str">
        <f t="shared" si="8"/>
        <v>Product Info</v>
      </c>
      <c r="D558" s="37" t="s">
        <v>5630</v>
      </c>
      <c r="E558" s="143">
        <v>2</v>
      </c>
      <c r="F558" s="12" t="s">
        <v>2170</v>
      </c>
      <c r="G558" s="38">
        <v>74.459999999999994</v>
      </c>
      <c r="H558" s="38">
        <v>63.29</v>
      </c>
      <c r="I558" s="38">
        <v>52.12</v>
      </c>
      <c r="J558" s="39"/>
      <c r="K558" s="143"/>
      <c r="L558" s="22">
        <v>2</v>
      </c>
      <c r="M558" s="22" t="s">
        <v>14396</v>
      </c>
      <c r="N558" s="20" t="s">
        <v>8778</v>
      </c>
      <c r="O558" s="16" t="s">
        <v>12608</v>
      </c>
      <c r="P558" s="143" t="s">
        <v>12611</v>
      </c>
      <c r="Q558" s="122" t="s">
        <v>9227</v>
      </c>
      <c r="R558" s="16" t="s">
        <v>9235</v>
      </c>
      <c r="S558" s="10" t="s">
        <v>1165</v>
      </c>
      <c r="T558" s="28" t="s">
        <v>9763</v>
      </c>
      <c r="U558" s="20" t="s">
        <v>5359</v>
      </c>
      <c r="V558" s="16" t="s">
        <v>8281</v>
      </c>
      <c r="W558" s="11" t="s">
        <v>14395</v>
      </c>
      <c r="X558" s="174">
        <v>46.78</v>
      </c>
      <c r="Y558" s="174">
        <v>63.29</v>
      </c>
    </row>
    <row r="559" spans="1:25" ht="15" customHeight="1" x14ac:dyDescent="0.25">
      <c r="A559" s="20" t="s">
        <v>2826</v>
      </c>
      <c r="B559" s="14" t="s">
        <v>2827</v>
      </c>
      <c r="C559" s="71" t="str">
        <f t="shared" si="8"/>
        <v>Product Info</v>
      </c>
      <c r="D559" s="37" t="s">
        <v>5631</v>
      </c>
      <c r="E559" s="143">
        <v>2</v>
      </c>
      <c r="F559" s="12" t="s">
        <v>2170</v>
      </c>
      <c r="G559" s="38">
        <v>74.459999999999994</v>
      </c>
      <c r="H559" s="38">
        <v>63.29</v>
      </c>
      <c r="I559" s="38">
        <v>52.12</v>
      </c>
      <c r="J559" s="39"/>
      <c r="K559" s="143"/>
      <c r="L559" s="22">
        <v>1.87</v>
      </c>
      <c r="M559" s="22" t="s">
        <v>14396</v>
      </c>
      <c r="N559" s="20" t="s">
        <v>8773</v>
      </c>
      <c r="O559" s="16" t="s">
        <v>13914</v>
      </c>
      <c r="P559" s="143" t="s">
        <v>12611</v>
      </c>
      <c r="Q559" s="122" t="s">
        <v>9227</v>
      </c>
      <c r="R559" s="16" t="s">
        <v>9235</v>
      </c>
      <c r="S559" s="10" t="s">
        <v>1165</v>
      </c>
      <c r="T559" s="28" t="s">
        <v>9764</v>
      </c>
      <c r="U559" s="20" t="s">
        <v>5359</v>
      </c>
      <c r="V559" s="16" t="s">
        <v>8282</v>
      </c>
      <c r="W559" s="11" t="s">
        <v>14395</v>
      </c>
      <c r="X559" s="174">
        <v>46.78</v>
      </c>
      <c r="Y559" s="174">
        <v>63.29</v>
      </c>
    </row>
    <row r="560" spans="1:25" ht="15" customHeight="1" x14ac:dyDescent="0.25">
      <c r="A560" s="20" t="s">
        <v>2828</v>
      </c>
      <c r="B560" s="14" t="s">
        <v>2829</v>
      </c>
      <c r="C560" s="71" t="str">
        <f t="shared" si="8"/>
        <v>Product Info</v>
      </c>
      <c r="D560" s="37" t="s">
        <v>5632</v>
      </c>
      <c r="E560" s="143">
        <v>2</v>
      </c>
      <c r="F560" s="12" t="s">
        <v>2170</v>
      </c>
      <c r="G560" s="38">
        <v>74.459999999999994</v>
      </c>
      <c r="H560" s="38">
        <v>63.29</v>
      </c>
      <c r="I560" s="38">
        <v>52.12</v>
      </c>
      <c r="J560" s="39"/>
      <c r="K560" s="143"/>
      <c r="L560" s="22">
        <v>1.8875</v>
      </c>
      <c r="M560" s="22" t="s">
        <v>2170</v>
      </c>
      <c r="N560" s="20" t="s">
        <v>14489</v>
      </c>
      <c r="O560" s="16" t="s">
        <v>12608</v>
      </c>
      <c r="P560" s="143" t="s">
        <v>12611</v>
      </c>
      <c r="Q560" s="122" t="s">
        <v>9227</v>
      </c>
      <c r="R560" s="16" t="s">
        <v>9235</v>
      </c>
      <c r="S560" s="10" t="s">
        <v>1165</v>
      </c>
      <c r="T560" s="28" t="s">
        <v>9765</v>
      </c>
      <c r="U560" s="20" t="s">
        <v>5359</v>
      </c>
      <c r="V560" s="16" t="s">
        <v>8283</v>
      </c>
      <c r="W560" s="11" t="s">
        <v>14395</v>
      </c>
      <c r="X560" s="174">
        <v>46.78</v>
      </c>
      <c r="Y560" s="174">
        <v>63.29</v>
      </c>
    </row>
    <row r="561" spans="1:25" ht="15" customHeight="1" x14ac:dyDescent="0.25">
      <c r="A561" s="20" t="s">
        <v>2830</v>
      </c>
      <c r="B561" s="14" t="s">
        <v>2831</v>
      </c>
      <c r="C561" s="71" t="str">
        <f t="shared" si="8"/>
        <v>Product Info</v>
      </c>
      <c r="D561" s="37" t="s">
        <v>5560</v>
      </c>
      <c r="E561" s="143">
        <v>2</v>
      </c>
      <c r="F561" s="12" t="s">
        <v>2170</v>
      </c>
      <c r="G561" s="38">
        <v>74.459999999999994</v>
      </c>
      <c r="H561" s="38">
        <v>63.29</v>
      </c>
      <c r="I561" s="38">
        <v>52.12</v>
      </c>
      <c r="J561" s="39"/>
      <c r="K561" s="143"/>
      <c r="L561" s="22">
        <v>1.8625</v>
      </c>
      <c r="M561" s="22" t="s">
        <v>2170</v>
      </c>
      <c r="N561" s="20" t="s">
        <v>14489</v>
      </c>
      <c r="O561" s="16" t="s">
        <v>12608</v>
      </c>
      <c r="P561" s="143" t="s">
        <v>12611</v>
      </c>
      <c r="Q561" s="122" t="s">
        <v>12421</v>
      </c>
      <c r="R561" s="16" t="s">
        <v>9235</v>
      </c>
      <c r="S561" s="10" t="s">
        <v>1165</v>
      </c>
      <c r="T561" s="28" t="s">
        <v>9766</v>
      </c>
      <c r="U561" s="20" t="s">
        <v>5359</v>
      </c>
      <c r="V561" s="16" t="s">
        <v>8284</v>
      </c>
      <c r="W561" s="11" t="s">
        <v>14395</v>
      </c>
      <c r="X561" s="174">
        <v>46.78</v>
      </c>
      <c r="Y561" s="174">
        <v>63.29</v>
      </c>
    </row>
    <row r="562" spans="1:25" ht="15" customHeight="1" x14ac:dyDescent="0.25">
      <c r="A562" s="20" t="s">
        <v>2832</v>
      </c>
      <c r="B562" s="14" t="s">
        <v>2833</v>
      </c>
      <c r="C562" s="71" t="str">
        <f t="shared" si="8"/>
        <v>Product Info</v>
      </c>
      <c r="D562" s="37" t="s">
        <v>5561</v>
      </c>
      <c r="E562" s="143">
        <v>2</v>
      </c>
      <c r="F562" s="12" t="s">
        <v>2170</v>
      </c>
      <c r="G562" s="38">
        <v>74.459999999999994</v>
      </c>
      <c r="H562" s="38">
        <v>63.29</v>
      </c>
      <c r="I562" s="38">
        <v>52.12</v>
      </c>
      <c r="J562" s="39"/>
      <c r="K562" s="143"/>
      <c r="L562" s="22">
        <v>0</v>
      </c>
      <c r="M562" s="22" t="s">
        <v>14396</v>
      </c>
      <c r="N562" s="20" t="s">
        <v>14489</v>
      </c>
      <c r="O562" s="16" t="s">
        <v>4992</v>
      </c>
      <c r="P562" s="143" t="s">
        <v>12611</v>
      </c>
      <c r="Q562" s="122" t="s">
        <v>9227</v>
      </c>
      <c r="R562" s="16" t="s">
        <v>9235</v>
      </c>
      <c r="S562" s="10" t="s">
        <v>1165</v>
      </c>
      <c r="T562" s="28" t="s">
        <v>9767</v>
      </c>
      <c r="U562" s="20" t="s">
        <v>5359</v>
      </c>
      <c r="V562" s="16" t="s">
        <v>8285</v>
      </c>
      <c r="W562" s="11" t="s">
        <v>14395</v>
      </c>
      <c r="X562" s="174">
        <v>46.78</v>
      </c>
      <c r="Y562" s="174">
        <v>63.29</v>
      </c>
    </row>
    <row r="563" spans="1:25" ht="15" customHeight="1" x14ac:dyDescent="0.25">
      <c r="A563" s="20" t="s">
        <v>2834</v>
      </c>
      <c r="B563" s="14" t="s">
        <v>6467</v>
      </c>
      <c r="C563" s="71" t="str">
        <f t="shared" si="8"/>
        <v>Product Info</v>
      </c>
      <c r="D563" s="37" t="s">
        <v>5562</v>
      </c>
      <c r="E563" s="143">
        <v>2</v>
      </c>
      <c r="F563" s="12" t="s">
        <v>2170</v>
      </c>
      <c r="G563" s="38">
        <v>74.459999999999994</v>
      </c>
      <c r="H563" s="38">
        <v>63.29</v>
      </c>
      <c r="I563" s="38">
        <v>52.12</v>
      </c>
      <c r="J563" s="39"/>
      <c r="K563" s="143"/>
      <c r="L563" s="22">
        <v>1.875</v>
      </c>
      <c r="M563" s="22" t="s">
        <v>2170</v>
      </c>
      <c r="N563" s="20" t="s">
        <v>14489</v>
      </c>
      <c r="O563" s="16" t="s">
        <v>4992</v>
      </c>
      <c r="P563" s="143" t="s">
        <v>12611</v>
      </c>
      <c r="Q563" s="122" t="s">
        <v>9227</v>
      </c>
      <c r="R563" s="16" t="s">
        <v>9235</v>
      </c>
      <c r="S563" s="10" t="s">
        <v>1165</v>
      </c>
      <c r="T563" s="28" t="s">
        <v>9768</v>
      </c>
      <c r="U563" s="20" t="s">
        <v>5359</v>
      </c>
      <c r="V563" s="16" t="s">
        <v>8286</v>
      </c>
      <c r="W563" s="11" t="s">
        <v>14395</v>
      </c>
      <c r="X563" s="174">
        <v>46.78</v>
      </c>
      <c r="Y563" s="174">
        <v>63.29</v>
      </c>
    </row>
    <row r="564" spans="1:25" ht="15" customHeight="1" x14ac:dyDescent="0.25">
      <c r="A564" s="20" t="s">
        <v>6468</v>
      </c>
      <c r="B564" s="14" t="s">
        <v>6469</v>
      </c>
      <c r="C564" s="71" t="str">
        <f t="shared" si="8"/>
        <v>Product Info</v>
      </c>
      <c r="D564" s="37" t="s">
        <v>5563</v>
      </c>
      <c r="E564" s="143">
        <v>2</v>
      </c>
      <c r="F564" s="12" t="s">
        <v>2170</v>
      </c>
      <c r="G564" s="38">
        <v>74.459999999999994</v>
      </c>
      <c r="H564" s="38">
        <v>63.29</v>
      </c>
      <c r="I564" s="38">
        <v>52.12</v>
      </c>
      <c r="J564" s="39"/>
      <c r="K564" s="143"/>
      <c r="L564" s="22">
        <v>2.0375000000000001</v>
      </c>
      <c r="M564" s="22" t="s">
        <v>2170</v>
      </c>
      <c r="N564" s="20" t="s">
        <v>14489</v>
      </c>
      <c r="O564" s="16" t="s">
        <v>12608</v>
      </c>
      <c r="P564" s="143" t="s">
        <v>12611</v>
      </c>
      <c r="Q564" s="122" t="s">
        <v>9227</v>
      </c>
      <c r="R564" s="16" t="s">
        <v>9235</v>
      </c>
      <c r="S564" s="10" t="s">
        <v>1165</v>
      </c>
      <c r="T564" s="28" t="s">
        <v>9769</v>
      </c>
      <c r="U564" s="20" t="s">
        <v>5359</v>
      </c>
      <c r="V564" s="16" t="s">
        <v>8287</v>
      </c>
      <c r="W564" s="11" t="s">
        <v>14395</v>
      </c>
      <c r="X564" s="174">
        <v>46.78</v>
      </c>
      <c r="Y564" s="174">
        <v>63.29</v>
      </c>
    </row>
    <row r="565" spans="1:25" ht="15" customHeight="1" x14ac:dyDescent="0.25">
      <c r="A565" s="20" t="s">
        <v>6470</v>
      </c>
      <c r="B565" s="14" t="s">
        <v>6471</v>
      </c>
      <c r="C565" s="71" t="str">
        <f t="shared" si="8"/>
        <v>Product Info</v>
      </c>
      <c r="D565" s="37" t="s">
        <v>5564</v>
      </c>
      <c r="E565" s="143">
        <v>2</v>
      </c>
      <c r="F565" s="12" t="s">
        <v>2170</v>
      </c>
      <c r="G565" s="38">
        <v>74.459999999999994</v>
      </c>
      <c r="H565" s="38">
        <v>63.29</v>
      </c>
      <c r="I565" s="38">
        <v>52.12</v>
      </c>
      <c r="J565" s="39"/>
      <c r="K565" s="143"/>
      <c r="L565" s="22">
        <v>0</v>
      </c>
      <c r="M565" s="22">
        <v>0</v>
      </c>
      <c r="N565" s="20" t="s">
        <v>14489</v>
      </c>
      <c r="O565" s="16" t="s">
        <v>4992</v>
      </c>
      <c r="P565" s="143" t="s">
        <v>12611</v>
      </c>
      <c r="Q565" s="122" t="s">
        <v>9227</v>
      </c>
      <c r="R565" s="16" t="s">
        <v>9235</v>
      </c>
      <c r="S565" s="10" t="s">
        <v>1165</v>
      </c>
      <c r="T565" s="28" t="s">
        <v>9770</v>
      </c>
      <c r="U565" s="20" t="s">
        <v>5359</v>
      </c>
      <c r="V565" s="16" t="s">
        <v>8288</v>
      </c>
      <c r="W565" s="11" t="s">
        <v>14395</v>
      </c>
      <c r="X565" s="174">
        <v>46.78</v>
      </c>
      <c r="Y565" s="174">
        <v>63.29</v>
      </c>
    </row>
    <row r="566" spans="1:25" ht="15" customHeight="1" x14ac:dyDescent="0.25">
      <c r="A566" s="20" t="s">
        <v>6472</v>
      </c>
      <c r="B566" s="14" t="s">
        <v>6473</v>
      </c>
      <c r="C566" s="71" t="str">
        <f t="shared" si="8"/>
        <v>Product Info</v>
      </c>
      <c r="D566" s="37" t="s">
        <v>5565</v>
      </c>
      <c r="E566" s="143">
        <v>2</v>
      </c>
      <c r="F566" s="12" t="s">
        <v>2170</v>
      </c>
      <c r="G566" s="38">
        <v>74.459999999999994</v>
      </c>
      <c r="H566" s="38">
        <v>63.29</v>
      </c>
      <c r="I566" s="38">
        <v>52.12</v>
      </c>
      <c r="J566" s="39"/>
      <c r="K566" s="143"/>
      <c r="L566" s="22">
        <v>0</v>
      </c>
      <c r="M566" s="22">
        <v>0</v>
      </c>
      <c r="N566" s="20" t="s">
        <v>14489</v>
      </c>
      <c r="O566" s="16" t="s">
        <v>4992</v>
      </c>
      <c r="P566" s="143" t="s">
        <v>12611</v>
      </c>
      <c r="Q566" s="122" t="s">
        <v>9227</v>
      </c>
      <c r="R566" s="16" t="s">
        <v>9235</v>
      </c>
      <c r="S566" s="10" t="s">
        <v>1165</v>
      </c>
      <c r="T566" s="28" t="s">
        <v>9771</v>
      </c>
      <c r="U566" s="20" t="s">
        <v>5359</v>
      </c>
      <c r="V566" s="16" t="s">
        <v>8289</v>
      </c>
      <c r="W566" s="11" t="s">
        <v>14395</v>
      </c>
      <c r="X566" s="174">
        <v>46.78</v>
      </c>
      <c r="Y566" s="174">
        <v>63.29</v>
      </c>
    </row>
    <row r="567" spans="1:25" ht="15" customHeight="1" x14ac:dyDescent="0.25">
      <c r="A567" s="20" t="s">
        <v>6474</v>
      </c>
      <c r="B567" s="14" t="s">
        <v>6475</v>
      </c>
      <c r="C567" s="71" t="str">
        <f t="shared" si="8"/>
        <v>Product Info</v>
      </c>
      <c r="D567" s="37" t="s">
        <v>5566</v>
      </c>
      <c r="E567" s="143">
        <v>8</v>
      </c>
      <c r="F567" s="12" t="s">
        <v>2170</v>
      </c>
      <c r="G567" s="38">
        <v>458.17</v>
      </c>
      <c r="H567" s="38">
        <v>389.46</v>
      </c>
      <c r="I567" s="38">
        <v>320.72000000000003</v>
      </c>
      <c r="J567" s="39"/>
      <c r="K567" s="143"/>
      <c r="L567" s="22">
        <v>3.5</v>
      </c>
      <c r="M567" s="22" t="s">
        <v>12488</v>
      </c>
      <c r="N567" s="20" t="s">
        <v>8778</v>
      </c>
      <c r="O567" s="16" t="s">
        <v>12608</v>
      </c>
      <c r="P567" s="143">
        <v>364</v>
      </c>
      <c r="Q567" s="121" t="s">
        <v>14285</v>
      </c>
      <c r="R567" s="16" t="s">
        <v>9235</v>
      </c>
      <c r="S567" s="10" t="s">
        <v>1165</v>
      </c>
      <c r="T567" s="28" t="s">
        <v>9772</v>
      </c>
      <c r="U567" s="20" t="s">
        <v>5359</v>
      </c>
      <c r="V567" s="16" t="s">
        <v>8290</v>
      </c>
      <c r="W567" s="11" t="s">
        <v>14395</v>
      </c>
      <c r="X567" s="174">
        <v>295.93</v>
      </c>
      <c r="Y567" s="174">
        <v>389.46</v>
      </c>
    </row>
    <row r="568" spans="1:25" ht="15" customHeight="1" x14ac:dyDescent="0.25">
      <c r="A568" s="20" t="s">
        <v>6476</v>
      </c>
      <c r="B568" s="14" t="s">
        <v>6477</v>
      </c>
      <c r="C568" s="71" t="str">
        <f t="shared" si="8"/>
        <v>Product Info</v>
      </c>
      <c r="D568" s="37" t="s">
        <v>5567</v>
      </c>
      <c r="E568" s="143">
        <v>1</v>
      </c>
      <c r="F568" s="12" t="s">
        <v>2170</v>
      </c>
      <c r="G568" s="38">
        <v>2111.96</v>
      </c>
      <c r="H568" s="38">
        <v>1795.23</v>
      </c>
      <c r="I568" s="38">
        <v>1478.37</v>
      </c>
      <c r="J568" s="39"/>
      <c r="K568" s="143"/>
      <c r="L568" s="22">
        <v>15.8</v>
      </c>
      <c r="M568" s="22" t="s">
        <v>14396</v>
      </c>
      <c r="N568" s="20" t="s">
        <v>8785</v>
      </c>
      <c r="O568" s="16" t="s">
        <v>13914</v>
      </c>
      <c r="P568" s="143">
        <v>151</v>
      </c>
      <c r="Q568" s="121" t="s">
        <v>14285</v>
      </c>
      <c r="R568" s="16" t="s">
        <v>9235</v>
      </c>
      <c r="S568" s="10" t="s">
        <v>1165</v>
      </c>
      <c r="T568" s="28" t="s">
        <v>9773</v>
      </c>
      <c r="U568" s="20" t="s">
        <v>5359</v>
      </c>
      <c r="V568" s="16" t="s">
        <v>8291</v>
      </c>
      <c r="W568" s="11" t="s">
        <v>14395</v>
      </c>
      <c r="X568" s="174">
        <v>1364.12</v>
      </c>
      <c r="Y568" s="174">
        <v>1795.23</v>
      </c>
    </row>
    <row r="569" spans="1:25" ht="15" customHeight="1" x14ac:dyDescent="0.25">
      <c r="A569" s="20" t="s">
        <v>6478</v>
      </c>
      <c r="B569" s="14" t="s">
        <v>5955</v>
      </c>
      <c r="C569" s="71" t="str">
        <f t="shared" si="8"/>
        <v>Product Info</v>
      </c>
      <c r="D569" s="37" t="s">
        <v>5568</v>
      </c>
      <c r="E569" s="143">
        <v>1</v>
      </c>
      <c r="F569" s="12" t="s">
        <v>2170</v>
      </c>
      <c r="G569" s="38">
        <v>2389.67</v>
      </c>
      <c r="H569" s="38">
        <v>2031.29</v>
      </c>
      <c r="I569" s="38">
        <v>1672.77</v>
      </c>
      <c r="J569" s="39"/>
      <c r="K569" s="143"/>
      <c r="L569" s="22">
        <v>0</v>
      </c>
      <c r="M569" s="22">
        <v>0</v>
      </c>
      <c r="N569" s="20" t="s">
        <v>14489</v>
      </c>
      <c r="O569" s="16" t="s">
        <v>4992</v>
      </c>
      <c r="P569" s="143">
        <v>151</v>
      </c>
      <c r="Q569" s="121" t="s">
        <v>14285</v>
      </c>
      <c r="R569" s="16" t="s">
        <v>9235</v>
      </c>
      <c r="S569" s="10" t="s">
        <v>1165</v>
      </c>
      <c r="T569" s="28" t="s">
        <v>9774</v>
      </c>
      <c r="U569" s="20" t="s">
        <v>5359</v>
      </c>
      <c r="V569" s="16" t="s">
        <v>8292</v>
      </c>
      <c r="W569" s="11" t="s">
        <v>14395</v>
      </c>
      <c r="X569" s="174">
        <v>1543.5</v>
      </c>
      <c r="Y569" s="174">
        <v>2031.29</v>
      </c>
    </row>
    <row r="570" spans="1:25" ht="15" customHeight="1" x14ac:dyDescent="0.25">
      <c r="A570" s="20" t="s">
        <v>6539</v>
      </c>
      <c r="B570" s="14" t="s">
        <v>6540</v>
      </c>
      <c r="C570" s="71" t="str">
        <f t="shared" si="8"/>
        <v>Product Info</v>
      </c>
      <c r="D570" s="37" t="s">
        <v>5569</v>
      </c>
      <c r="E570" s="143">
        <v>20</v>
      </c>
      <c r="F570" s="12" t="s">
        <v>2170</v>
      </c>
      <c r="G570" s="38">
        <v>35.43</v>
      </c>
      <c r="H570" s="38">
        <v>30.12</v>
      </c>
      <c r="I570" s="38">
        <v>24.8</v>
      </c>
      <c r="J570" s="39"/>
      <c r="K570" s="143"/>
      <c r="L570" s="22">
        <v>0.20399999999999999</v>
      </c>
      <c r="M570" s="22" t="s">
        <v>14394</v>
      </c>
      <c r="N570" s="20" t="s">
        <v>14489</v>
      </c>
      <c r="O570" s="16">
        <v>0</v>
      </c>
      <c r="P570" s="143">
        <v>364</v>
      </c>
      <c r="Q570" s="122" t="s">
        <v>9227</v>
      </c>
      <c r="R570" s="16" t="s">
        <v>9235</v>
      </c>
      <c r="S570" s="10" t="s">
        <v>1165</v>
      </c>
      <c r="T570" s="28" t="s">
        <v>9775</v>
      </c>
      <c r="U570" s="20" t="s">
        <v>5359</v>
      </c>
      <c r="V570" s="16" t="s">
        <v>8293</v>
      </c>
      <c r="W570" s="11" t="s">
        <v>14395</v>
      </c>
      <c r="X570" s="174">
        <v>22.88</v>
      </c>
      <c r="Y570" s="174">
        <v>30.12</v>
      </c>
    </row>
    <row r="571" spans="1:25" ht="15" customHeight="1" x14ac:dyDescent="0.25">
      <c r="A571" s="20" t="s">
        <v>6535</v>
      </c>
      <c r="B571" s="14" t="s">
        <v>6536</v>
      </c>
      <c r="C571" s="71" t="str">
        <f t="shared" si="8"/>
        <v>Product Info</v>
      </c>
      <c r="D571" s="37" t="s">
        <v>5570</v>
      </c>
      <c r="E571" s="143">
        <v>2</v>
      </c>
      <c r="F571" s="12" t="s">
        <v>2170</v>
      </c>
      <c r="G571" s="38">
        <v>420.16</v>
      </c>
      <c r="H571" s="38">
        <v>357.15</v>
      </c>
      <c r="I571" s="38">
        <v>294.11</v>
      </c>
      <c r="J571" s="39"/>
      <c r="K571" s="143"/>
      <c r="L571" s="22">
        <v>3.5</v>
      </c>
      <c r="M571" s="22" t="s">
        <v>14396</v>
      </c>
      <c r="N571" s="20" t="s">
        <v>8778</v>
      </c>
      <c r="O571" s="16" t="s">
        <v>13914</v>
      </c>
      <c r="P571" s="143">
        <v>364</v>
      </c>
      <c r="Q571" s="122" t="s">
        <v>12421</v>
      </c>
      <c r="R571" s="16" t="s">
        <v>9235</v>
      </c>
      <c r="S571" s="10" t="s">
        <v>1165</v>
      </c>
      <c r="T571" s="28" t="s">
        <v>9776</v>
      </c>
      <c r="U571" s="20" t="s">
        <v>5359</v>
      </c>
      <c r="V571" s="16" t="s">
        <v>8294</v>
      </c>
      <c r="W571" s="11" t="s">
        <v>14395</v>
      </c>
      <c r="X571" s="174">
        <v>271.38</v>
      </c>
      <c r="Y571" s="174">
        <v>357.15</v>
      </c>
    </row>
    <row r="572" spans="1:25" ht="15" customHeight="1" x14ac:dyDescent="0.25">
      <c r="A572" s="20" t="s">
        <v>6537</v>
      </c>
      <c r="B572" s="14" t="s">
        <v>6538</v>
      </c>
      <c r="C572" s="71" t="str">
        <f t="shared" si="8"/>
        <v>Product Info</v>
      </c>
      <c r="D572" s="37" t="s">
        <v>5571</v>
      </c>
      <c r="E572" s="143">
        <v>8</v>
      </c>
      <c r="F572" s="12" t="s">
        <v>2170</v>
      </c>
      <c r="G572" s="38">
        <v>420.16</v>
      </c>
      <c r="H572" s="38">
        <v>357.15</v>
      </c>
      <c r="I572" s="38">
        <v>294.11</v>
      </c>
      <c r="J572" s="39"/>
      <c r="K572" s="143"/>
      <c r="L572" s="22">
        <v>2.8</v>
      </c>
      <c r="M572" s="22" t="s">
        <v>14394</v>
      </c>
      <c r="N572" s="20" t="s">
        <v>14489</v>
      </c>
      <c r="O572" s="16">
        <v>0</v>
      </c>
      <c r="P572" s="143">
        <v>364</v>
      </c>
      <c r="Q572" s="121" t="s">
        <v>14285</v>
      </c>
      <c r="R572" s="16" t="s">
        <v>9235</v>
      </c>
      <c r="S572" s="10" t="s">
        <v>1165</v>
      </c>
      <c r="T572" s="28" t="s">
        <v>9777</v>
      </c>
      <c r="U572" s="20" t="s">
        <v>5359</v>
      </c>
      <c r="V572" s="16" t="s">
        <v>8295</v>
      </c>
      <c r="W572" s="11" t="s">
        <v>14395</v>
      </c>
      <c r="X572" s="174">
        <v>271.38</v>
      </c>
      <c r="Y572" s="174">
        <v>357.15</v>
      </c>
    </row>
    <row r="573" spans="1:25" ht="15" customHeight="1" x14ac:dyDescent="0.25">
      <c r="A573" s="20" t="s">
        <v>4050</v>
      </c>
      <c r="B573" s="14" t="s">
        <v>4051</v>
      </c>
      <c r="C573" s="71" t="str">
        <f t="shared" si="8"/>
        <v>Product Info</v>
      </c>
      <c r="D573" s="37" t="s">
        <v>2355</v>
      </c>
      <c r="E573" s="143">
        <v>1</v>
      </c>
      <c r="F573" s="12" t="s">
        <v>2170</v>
      </c>
      <c r="G573" s="38">
        <v>62.32</v>
      </c>
      <c r="H573" s="38">
        <v>52.98</v>
      </c>
      <c r="I573" s="38">
        <v>43.63</v>
      </c>
      <c r="J573" s="39"/>
      <c r="K573" s="143"/>
      <c r="L573" s="22">
        <v>0</v>
      </c>
      <c r="M573" s="22">
        <v>0</v>
      </c>
      <c r="N573" s="20" t="s">
        <v>14489</v>
      </c>
      <c r="O573" s="16" t="s">
        <v>14483</v>
      </c>
      <c r="P573" s="143">
        <v>141</v>
      </c>
      <c r="Q573" s="122" t="s">
        <v>12421</v>
      </c>
      <c r="R573" s="16" t="s">
        <v>9235</v>
      </c>
      <c r="S573" s="10" t="s">
        <v>1165</v>
      </c>
      <c r="T573" s="28" t="s">
        <v>9778</v>
      </c>
      <c r="U573" s="20" t="s">
        <v>5359</v>
      </c>
      <c r="V573" s="16" t="s">
        <v>8296</v>
      </c>
      <c r="W573" s="11" t="s">
        <v>13938</v>
      </c>
      <c r="X573" s="174">
        <v>40.25</v>
      </c>
      <c r="Y573" s="174">
        <v>52.98</v>
      </c>
    </row>
    <row r="574" spans="1:25" ht="15" customHeight="1" x14ac:dyDescent="0.25">
      <c r="A574" s="20" t="s">
        <v>4052</v>
      </c>
      <c r="B574" s="14" t="s">
        <v>4053</v>
      </c>
      <c r="C574" s="71" t="str">
        <f t="shared" si="8"/>
        <v>Product Info</v>
      </c>
      <c r="D574" s="37" t="s">
        <v>2356</v>
      </c>
      <c r="E574" s="143">
        <v>25</v>
      </c>
      <c r="F574" s="12" t="s">
        <v>2170</v>
      </c>
      <c r="G574" s="38">
        <v>35.770000000000003</v>
      </c>
      <c r="H574" s="38">
        <v>30.41</v>
      </c>
      <c r="I574" s="38">
        <v>25.04</v>
      </c>
      <c r="J574" s="39"/>
      <c r="K574" s="143"/>
      <c r="L574" s="22">
        <v>1.3153999999999999</v>
      </c>
      <c r="M574" s="22" t="s">
        <v>14394</v>
      </c>
      <c r="N574" s="20" t="s">
        <v>14489</v>
      </c>
      <c r="O574" s="16">
        <v>0</v>
      </c>
      <c r="P574" s="143">
        <v>364</v>
      </c>
      <c r="Q574" s="122" t="s">
        <v>9227</v>
      </c>
      <c r="R574" s="16" t="s">
        <v>9235</v>
      </c>
      <c r="S574" s="10" t="s">
        <v>1165</v>
      </c>
      <c r="T574" s="28" t="s">
        <v>9779</v>
      </c>
      <c r="U574" s="20" t="s">
        <v>5359</v>
      </c>
      <c r="V574" s="16" t="s">
        <v>8297</v>
      </c>
      <c r="W574" s="11" t="s">
        <v>14395</v>
      </c>
      <c r="X574" s="174">
        <v>23.11</v>
      </c>
      <c r="Y574" s="174">
        <v>30.41</v>
      </c>
    </row>
    <row r="575" spans="1:25" ht="15" customHeight="1" x14ac:dyDescent="0.25">
      <c r="A575" s="20" t="s">
        <v>6159</v>
      </c>
      <c r="B575" s="14" t="s">
        <v>6160</v>
      </c>
      <c r="C575" s="71" t="str">
        <f t="shared" si="8"/>
        <v>Product Info</v>
      </c>
      <c r="D575" s="37" t="s">
        <v>2357</v>
      </c>
      <c r="E575" s="143">
        <v>25</v>
      </c>
      <c r="F575" s="12" t="s">
        <v>2170</v>
      </c>
      <c r="G575" s="38">
        <v>35.770000000000003</v>
      </c>
      <c r="H575" s="38">
        <v>30.41</v>
      </c>
      <c r="I575" s="38">
        <v>25.04</v>
      </c>
      <c r="J575" s="39"/>
      <c r="K575" s="143"/>
      <c r="L575" s="22">
        <v>0.7</v>
      </c>
      <c r="M575" s="22" t="s">
        <v>12488</v>
      </c>
      <c r="N575" s="20" t="s">
        <v>8778</v>
      </c>
      <c r="O575" s="16" t="s">
        <v>12608</v>
      </c>
      <c r="P575" s="143">
        <v>364</v>
      </c>
      <c r="Q575" s="122" t="s">
        <v>12421</v>
      </c>
      <c r="R575" s="16" t="s">
        <v>9235</v>
      </c>
      <c r="S575" s="10" t="s">
        <v>1165</v>
      </c>
      <c r="T575" s="28" t="s">
        <v>9780</v>
      </c>
      <c r="U575" s="20" t="s">
        <v>5359</v>
      </c>
      <c r="V575" s="16" t="s">
        <v>8298</v>
      </c>
      <c r="W575" s="11" t="s">
        <v>14395</v>
      </c>
      <c r="X575" s="174">
        <v>23.11</v>
      </c>
      <c r="Y575" s="174">
        <v>30.41</v>
      </c>
    </row>
    <row r="576" spans="1:25" ht="15" customHeight="1" x14ac:dyDescent="0.25">
      <c r="A576" s="20" t="s">
        <v>6161</v>
      </c>
      <c r="B576" s="14" t="s">
        <v>6162</v>
      </c>
      <c r="C576" s="71" t="str">
        <f t="shared" si="8"/>
        <v>Product Info</v>
      </c>
      <c r="D576" s="37" t="s">
        <v>2358</v>
      </c>
      <c r="E576" s="143">
        <v>25</v>
      </c>
      <c r="F576" s="12" t="s">
        <v>2170</v>
      </c>
      <c r="G576" s="38">
        <v>35.770000000000003</v>
      </c>
      <c r="H576" s="38">
        <v>30.41</v>
      </c>
      <c r="I576" s="38">
        <v>25.04</v>
      </c>
      <c r="J576" s="39"/>
      <c r="K576" s="143"/>
      <c r="L576" s="22">
        <v>0.72</v>
      </c>
      <c r="M576" s="22" t="s">
        <v>12488</v>
      </c>
      <c r="N576" s="20" t="s">
        <v>8778</v>
      </c>
      <c r="O576" s="16" t="s">
        <v>12608</v>
      </c>
      <c r="P576" s="143">
        <v>364</v>
      </c>
      <c r="Q576" s="122" t="s">
        <v>9227</v>
      </c>
      <c r="R576" s="16" t="s">
        <v>9235</v>
      </c>
      <c r="S576" s="10" t="s">
        <v>1165</v>
      </c>
      <c r="T576" s="28" t="s">
        <v>9781</v>
      </c>
      <c r="U576" s="20" t="s">
        <v>5359</v>
      </c>
      <c r="V576" s="16" t="s">
        <v>8299</v>
      </c>
      <c r="W576" s="11" t="s">
        <v>14395</v>
      </c>
      <c r="X576" s="174">
        <v>23.11</v>
      </c>
      <c r="Y576" s="174">
        <v>30.41</v>
      </c>
    </row>
    <row r="577" spans="1:25" ht="15" customHeight="1" x14ac:dyDescent="0.25">
      <c r="A577" s="20" t="s">
        <v>6163</v>
      </c>
      <c r="B577" s="14" t="s">
        <v>6164</v>
      </c>
      <c r="C577" s="71" t="str">
        <f t="shared" si="8"/>
        <v>Product Info</v>
      </c>
      <c r="D577" s="37" t="s">
        <v>3086</v>
      </c>
      <c r="E577" s="143">
        <v>25</v>
      </c>
      <c r="F577" s="12" t="s">
        <v>2170</v>
      </c>
      <c r="G577" s="38">
        <v>35.770000000000003</v>
      </c>
      <c r="H577" s="38">
        <v>30.41</v>
      </c>
      <c r="I577" s="38">
        <v>25.04</v>
      </c>
      <c r="J577" s="39"/>
      <c r="K577" s="143"/>
      <c r="L577" s="22">
        <v>0.13</v>
      </c>
      <c r="M577" s="22" t="s">
        <v>14394</v>
      </c>
      <c r="N577" s="20" t="s">
        <v>14489</v>
      </c>
      <c r="O577" s="16">
        <v>0</v>
      </c>
      <c r="P577" s="143">
        <v>364</v>
      </c>
      <c r="Q577" s="122" t="s">
        <v>9227</v>
      </c>
      <c r="R577" s="16" t="s">
        <v>9235</v>
      </c>
      <c r="S577" s="10" t="s">
        <v>1165</v>
      </c>
      <c r="T577" s="28" t="s">
        <v>9782</v>
      </c>
      <c r="U577" s="20" t="s">
        <v>5359</v>
      </c>
      <c r="V577" s="16" t="s">
        <v>8300</v>
      </c>
      <c r="W577" s="11" t="s">
        <v>14395</v>
      </c>
      <c r="X577" s="174">
        <v>23.11</v>
      </c>
      <c r="Y577" s="174">
        <v>30.41</v>
      </c>
    </row>
    <row r="578" spans="1:25" ht="15" customHeight="1" x14ac:dyDescent="0.25">
      <c r="A578" s="20" t="s">
        <v>6165</v>
      </c>
      <c r="B578" s="14" t="s">
        <v>6166</v>
      </c>
      <c r="C578" s="71" t="str">
        <f t="shared" si="8"/>
        <v>Product Info</v>
      </c>
      <c r="D578" s="37" t="s">
        <v>3087</v>
      </c>
      <c r="E578" s="143">
        <v>25</v>
      </c>
      <c r="F578" s="12" t="s">
        <v>2170</v>
      </c>
      <c r="G578" s="38">
        <v>35.770000000000003</v>
      </c>
      <c r="H578" s="38">
        <v>30.41</v>
      </c>
      <c r="I578" s="38">
        <v>25.04</v>
      </c>
      <c r="J578" s="39"/>
      <c r="K578" s="143"/>
      <c r="L578" s="22">
        <v>0.73599999999999999</v>
      </c>
      <c r="M578" s="22" t="s">
        <v>2170</v>
      </c>
      <c r="N578" s="20" t="s">
        <v>14489</v>
      </c>
      <c r="O578" s="16" t="s">
        <v>13914</v>
      </c>
      <c r="P578" s="143">
        <v>364</v>
      </c>
      <c r="Q578" s="122" t="s">
        <v>9227</v>
      </c>
      <c r="R578" s="16" t="s">
        <v>9235</v>
      </c>
      <c r="S578" s="10" t="s">
        <v>1165</v>
      </c>
      <c r="T578" s="28" t="s">
        <v>9783</v>
      </c>
      <c r="U578" s="20" t="s">
        <v>5359</v>
      </c>
      <c r="V578" s="16" t="s">
        <v>8301</v>
      </c>
      <c r="W578" s="11" t="s">
        <v>14395</v>
      </c>
      <c r="X578" s="174">
        <v>23.11</v>
      </c>
      <c r="Y578" s="174">
        <v>30.41</v>
      </c>
    </row>
    <row r="579" spans="1:25" ht="15" customHeight="1" x14ac:dyDescent="0.25">
      <c r="A579" s="20" t="s">
        <v>6167</v>
      </c>
      <c r="B579" s="14" t="s">
        <v>6168</v>
      </c>
      <c r="C579" s="71" t="str">
        <f t="shared" si="8"/>
        <v>Product Info</v>
      </c>
      <c r="D579" s="37" t="s">
        <v>3088</v>
      </c>
      <c r="E579" s="143">
        <v>25</v>
      </c>
      <c r="F579" s="12" t="s">
        <v>2170</v>
      </c>
      <c r="G579" s="38">
        <v>35.770000000000003</v>
      </c>
      <c r="H579" s="38">
        <v>30.41</v>
      </c>
      <c r="I579" s="38">
        <v>25.04</v>
      </c>
      <c r="J579" s="39"/>
      <c r="K579" s="143"/>
      <c r="L579" s="22">
        <v>0.71</v>
      </c>
      <c r="M579" s="22" t="s">
        <v>2170</v>
      </c>
      <c r="N579" s="20" t="s">
        <v>14489</v>
      </c>
      <c r="O579" s="16" t="s">
        <v>12608</v>
      </c>
      <c r="P579" s="143">
        <v>364</v>
      </c>
      <c r="Q579" s="122" t="s">
        <v>9227</v>
      </c>
      <c r="R579" s="16" t="s">
        <v>9235</v>
      </c>
      <c r="S579" s="10" t="s">
        <v>1165</v>
      </c>
      <c r="T579" s="28" t="s">
        <v>9784</v>
      </c>
      <c r="U579" s="20" t="s">
        <v>5359</v>
      </c>
      <c r="V579" s="16" t="s">
        <v>8302</v>
      </c>
      <c r="W579" s="11" t="s">
        <v>14395</v>
      </c>
      <c r="X579" s="174">
        <v>23.11</v>
      </c>
      <c r="Y579" s="174">
        <v>30.41</v>
      </c>
    </row>
    <row r="580" spans="1:25" ht="15" customHeight="1" x14ac:dyDescent="0.25">
      <c r="A580" s="20" t="s">
        <v>6169</v>
      </c>
      <c r="B580" s="14" t="s">
        <v>6170</v>
      </c>
      <c r="C580" s="71" t="str">
        <f t="shared" si="8"/>
        <v>Product Info</v>
      </c>
      <c r="D580" s="37" t="s">
        <v>3089</v>
      </c>
      <c r="E580" s="143">
        <v>25</v>
      </c>
      <c r="F580" s="12" t="s">
        <v>2170</v>
      </c>
      <c r="G580" s="38">
        <v>35.770000000000003</v>
      </c>
      <c r="H580" s="38">
        <v>30.41</v>
      </c>
      <c r="I580" s="38">
        <v>25.04</v>
      </c>
      <c r="J580" s="39"/>
      <c r="K580" s="143"/>
      <c r="L580" s="22">
        <v>0.72</v>
      </c>
      <c r="M580" s="22" t="s">
        <v>12488</v>
      </c>
      <c r="N580" s="20" t="s">
        <v>8778</v>
      </c>
      <c r="O580" s="16" t="s">
        <v>12608</v>
      </c>
      <c r="P580" s="143">
        <v>364</v>
      </c>
      <c r="Q580" s="122" t="s">
        <v>12421</v>
      </c>
      <c r="R580" s="16" t="s">
        <v>9235</v>
      </c>
      <c r="S580" s="10" t="s">
        <v>1165</v>
      </c>
      <c r="T580" s="28" t="s">
        <v>9785</v>
      </c>
      <c r="U580" s="20" t="s">
        <v>5359</v>
      </c>
      <c r="V580" s="16" t="s">
        <v>8303</v>
      </c>
      <c r="W580" s="11" t="s">
        <v>14395</v>
      </c>
      <c r="X580" s="174">
        <v>23.11</v>
      </c>
      <c r="Y580" s="174">
        <v>30.41</v>
      </c>
    </row>
    <row r="581" spans="1:25" ht="15" customHeight="1" x14ac:dyDescent="0.25">
      <c r="A581" s="20" t="s">
        <v>6171</v>
      </c>
      <c r="B581" s="14" t="s">
        <v>6172</v>
      </c>
      <c r="C581" s="71" t="str">
        <f t="shared" si="8"/>
        <v>Product Info</v>
      </c>
      <c r="D581" s="37" t="s">
        <v>3090</v>
      </c>
      <c r="E581" s="143">
        <v>25</v>
      </c>
      <c r="F581" s="12" t="s">
        <v>2170</v>
      </c>
      <c r="G581" s="38">
        <v>35.770000000000003</v>
      </c>
      <c r="H581" s="38">
        <v>30.41</v>
      </c>
      <c r="I581" s="38">
        <v>25.04</v>
      </c>
      <c r="J581" s="39"/>
      <c r="K581" s="143"/>
      <c r="L581" s="22">
        <v>0.76</v>
      </c>
      <c r="M581" s="22" t="s">
        <v>12488</v>
      </c>
      <c r="N581" s="20" t="s">
        <v>8778</v>
      </c>
      <c r="O581" s="16" t="s">
        <v>12608</v>
      </c>
      <c r="P581" s="143">
        <v>364</v>
      </c>
      <c r="Q581" s="122" t="s">
        <v>9227</v>
      </c>
      <c r="R581" s="16" t="s">
        <v>9235</v>
      </c>
      <c r="S581" s="10" t="s">
        <v>1165</v>
      </c>
      <c r="T581" s="28" t="s">
        <v>9786</v>
      </c>
      <c r="U581" s="20" t="s">
        <v>5359</v>
      </c>
      <c r="V581" s="16" t="s">
        <v>8304</v>
      </c>
      <c r="W581" s="11" t="s">
        <v>14395</v>
      </c>
      <c r="X581" s="174">
        <v>23.11</v>
      </c>
      <c r="Y581" s="174">
        <v>30.41</v>
      </c>
    </row>
    <row r="582" spans="1:25" ht="15" customHeight="1" x14ac:dyDescent="0.25">
      <c r="A582" s="20" t="s">
        <v>6173</v>
      </c>
      <c r="B582" s="14" t="s">
        <v>6174</v>
      </c>
      <c r="C582" s="71" t="str">
        <f t="shared" ref="C582:C645" si="9">HYPERLINK(T582,U582)</f>
        <v>Product Info</v>
      </c>
      <c r="D582" s="37" t="s">
        <v>3091</v>
      </c>
      <c r="E582" s="143">
        <v>25</v>
      </c>
      <c r="F582" s="12" t="s">
        <v>2170</v>
      </c>
      <c r="G582" s="38">
        <v>35.770000000000003</v>
      </c>
      <c r="H582" s="38">
        <v>30.41</v>
      </c>
      <c r="I582" s="38">
        <v>25.04</v>
      </c>
      <c r="J582" s="39"/>
      <c r="K582" s="143"/>
      <c r="L582" s="22">
        <v>0.15870000000000001</v>
      </c>
      <c r="M582" s="22" t="s">
        <v>14394</v>
      </c>
      <c r="N582" s="20" t="s">
        <v>14489</v>
      </c>
      <c r="O582" s="16">
        <v>0</v>
      </c>
      <c r="P582" s="143">
        <v>364</v>
      </c>
      <c r="Q582" s="122" t="s">
        <v>12421</v>
      </c>
      <c r="R582" s="16" t="s">
        <v>9235</v>
      </c>
      <c r="S582" s="10" t="s">
        <v>1165</v>
      </c>
      <c r="T582" s="28" t="s">
        <v>9787</v>
      </c>
      <c r="U582" s="20" t="s">
        <v>5359</v>
      </c>
      <c r="V582" s="16" t="s">
        <v>8305</v>
      </c>
      <c r="W582" s="11" t="s">
        <v>14395</v>
      </c>
      <c r="X582" s="174">
        <v>23.11</v>
      </c>
      <c r="Y582" s="174">
        <v>30.41</v>
      </c>
    </row>
    <row r="583" spans="1:25" ht="15" customHeight="1" x14ac:dyDescent="0.25">
      <c r="A583" s="20" t="s">
        <v>6175</v>
      </c>
      <c r="B583" s="14" t="s">
        <v>6176</v>
      </c>
      <c r="C583" s="71" t="str">
        <f t="shared" si="9"/>
        <v>Product Info</v>
      </c>
      <c r="D583" s="37" t="s">
        <v>3092</v>
      </c>
      <c r="E583" s="143">
        <v>40</v>
      </c>
      <c r="F583" s="12" t="s">
        <v>2170</v>
      </c>
      <c r="G583" s="38">
        <v>28.63</v>
      </c>
      <c r="H583" s="38">
        <v>24.34</v>
      </c>
      <c r="I583" s="38">
        <v>20.04</v>
      </c>
      <c r="J583" s="39"/>
      <c r="K583" s="143"/>
      <c r="L583" s="22">
        <v>0.72</v>
      </c>
      <c r="M583" s="22" t="s">
        <v>14396</v>
      </c>
      <c r="N583" s="20" t="s">
        <v>8778</v>
      </c>
      <c r="O583" s="16" t="s">
        <v>12608</v>
      </c>
      <c r="P583" s="143">
        <v>364</v>
      </c>
      <c r="Q583" s="122" t="s">
        <v>9227</v>
      </c>
      <c r="R583" s="16" t="s">
        <v>9235</v>
      </c>
      <c r="S583" s="10" t="s">
        <v>1165</v>
      </c>
      <c r="T583" s="28" t="s">
        <v>9788</v>
      </c>
      <c r="U583" s="20" t="s">
        <v>5359</v>
      </c>
      <c r="V583" s="16" t="s">
        <v>8306</v>
      </c>
      <c r="W583" s="11" t="s">
        <v>14395</v>
      </c>
      <c r="X583" s="174">
        <v>18.489999999999998</v>
      </c>
      <c r="Y583" s="174">
        <v>24.34</v>
      </c>
    </row>
    <row r="584" spans="1:25" ht="15" customHeight="1" x14ac:dyDescent="0.25">
      <c r="A584" s="20" t="s">
        <v>6177</v>
      </c>
      <c r="B584" s="14" t="s">
        <v>6178</v>
      </c>
      <c r="C584" s="71" t="str">
        <f t="shared" si="9"/>
        <v>Product Info</v>
      </c>
      <c r="D584" s="37" t="s">
        <v>3093</v>
      </c>
      <c r="E584" s="143">
        <v>40</v>
      </c>
      <c r="F584" s="12" t="s">
        <v>2170</v>
      </c>
      <c r="G584" s="38">
        <v>28.99</v>
      </c>
      <c r="H584" s="38">
        <v>24.64</v>
      </c>
      <c r="I584" s="38">
        <v>20.29</v>
      </c>
      <c r="J584" s="39"/>
      <c r="K584" s="143"/>
      <c r="L584" s="22">
        <v>0.72</v>
      </c>
      <c r="M584" s="22" t="s">
        <v>12488</v>
      </c>
      <c r="N584" s="20" t="s">
        <v>8778</v>
      </c>
      <c r="O584" s="16" t="s">
        <v>12608</v>
      </c>
      <c r="P584" s="143">
        <v>364</v>
      </c>
      <c r="Q584" s="122" t="s">
        <v>9227</v>
      </c>
      <c r="R584" s="16" t="s">
        <v>9235</v>
      </c>
      <c r="S584" s="10" t="s">
        <v>1165</v>
      </c>
      <c r="T584" s="28" t="s">
        <v>9789</v>
      </c>
      <c r="U584" s="20" t="s">
        <v>5359</v>
      </c>
      <c r="V584" s="16" t="s">
        <v>8307</v>
      </c>
      <c r="W584" s="11" t="s">
        <v>14395</v>
      </c>
      <c r="X584" s="174">
        <v>18.45</v>
      </c>
      <c r="Y584" s="174">
        <v>24.64</v>
      </c>
    </row>
    <row r="585" spans="1:25" ht="15" customHeight="1" x14ac:dyDescent="0.25">
      <c r="A585" s="20" t="s">
        <v>6179</v>
      </c>
      <c r="B585" s="14" t="s">
        <v>6180</v>
      </c>
      <c r="C585" s="71" t="str">
        <f t="shared" si="9"/>
        <v>Product Info</v>
      </c>
      <c r="D585" s="37" t="s">
        <v>3094</v>
      </c>
      <c r="E585" s="143">
        <v>3</v>
      </c>
      <c r="F585" s="12" t="s">
        <v>2170</v>
      </c>
      <c r="G585" s="38">
        <v>446.67</v>
      </c>
      <c r="H585" s="38">
        <v>379.68</v>
      </c>
      <c r="I585" s="38">
        <v>312.67</v>
      </c>
      <c r="J585" s="39"/>
      <c r="K585" s="143"/>
      <c r="L585" s="22">
        <v>0.4536</v>
      </c>
      <c r="M585" s="22" t="s">
        <v>14394</v>
      </c>
      <c r="N585" s="20" t="s">
        <v>14489</v>
      </c>
      <c r="O585" s="16">
        <v>0</v>
      </c>
      <c r="P585" s="143">
        <v>364</v>
      </c>
      <c r="Q585" s="121" t="s">
        <v>14285</v>
      </c>
      <c r="R585" s="16" t="s">
        <v>9235</v>
      </c>
      <c r="S585" s="10" t="s">
        <v>1165</v>
      </c>
      <c r="T585" s="28" t="s">
        <v>9790</v>
      </c>
      <c r="U585" s="20" t="s">
        <v>5359</v>
      </c>
      <c r="V585" s="16" t="s">
        <v>8308</v>
      </c>
      <c r="W585" s="11" t="s">
        <v>14395</v>
      </c>
      <c r="X585" s="174">
        <v>284.25</v>
      </c>
      <c r="Y585" s="174">
        <v>379.68</v>
      </c>
    </row>
    <row r="586" spans="1:25" ht="15" customHeight="1" x14ac:dyDescent="0.25">
      <c r="A586" s="20" t="s">
        <v>6181</v>
      </c>
      <c r="B586" s="14" t="s">
        <v>6182</v>
      </c>
      <c r="C586" s="71" t="str">
        <f t="shared" si="9"/>
        <v>Product Info</v>
      </c>
      <c r="D586" s="37" t="s">
        <v>3095</v>
      </c>
      <c r="E586" s="143">
        <v>15</v>
      </c>
      <c r="F586" s="12" t="s">
        <v>2170</v>
      </c>
      <c r="G586" s="38">
        <v>43.07</v>
      </c>
      <c r="H586" s="38">
        <v>36.61</v>
      </c>
      <c r="I586" s="38">
        <v>30.15</v>
      </c>
      <c r="J586" s="39"/>
      <c r="K586" s="143"/>
      <c r="L586" s="22">
        <v>0.99</v>
      </c>
      <c r="M586" s="22" t="s">
        <v>12625</v>
      </c>
      <c r="N586" s="20" t="s">
        <v>8779</v>
      </c>
      <c r="O586" s="16" t="s">
        <v>12608</v>
      </c>
      <c r="P586" s="143">
        <v>364</v>
      </c>
      <c r="Q586" s="121" t="s">
        <v>14285</v>
      </c>
      <c r="R586" s="16" t="s">
        <v>9235</v>
      </c>
      <c r="S586" s="10" t="s">
        <v>1165</v>
      </c>
      <c r="T586" s="28" t="s">
        <v>9791</v>
      </c>
      <c r="U586" s="20" t="s">
        <v>5359</v>
      </c>
      <c r="V586" s="16" t="s">
        <v>8309</v>
      </c>
      <c r="W586" s="11" t="s">
        <v>14395</v>
      </c>
      <c r="X586" s="174">
        <v>27.41</v>
      </c>
      <c r="Y586" s="174">
        <v>36.61</v>
      </c>
    </row>
    <row r="587" spans="1:25" ht="15" customHeight="1" x14ac:dyDescent="0.25">
      <c r="A587" s="20" t="s">
        <v>6556</v>
      </c>
      <c r="B587" s="14" t="s">
        <v>6557</v>
      </c>
      <c r="C587" s="71" t="str">
        <f t="shared" si="9"/>
        <v>Product Info</v>
      </c>
      <c r="D587" s="37" t="s">
        <v>3096</v>
      </c>
      <c r="E587" s="143">
        <v>15</v>
      </c>
      <c r="F587" s="12" t="s">
        <v>2170</v>
      </c>
      <c r="G587" s="38">
        <v>43.07</v>
      </c>
      <c r="H587" s="38">
        <v>36.61</v>
      </c>
      <c r="I587" s="38">
        <v>30.15</v>
      </c>
      <c r="J587" s="39"/>
      <c r="K587" s="143"/>
      <c r="L587" s="22">
        <v>1.1299999999999999</v>
      </c>
      <c r="M587" s="22" t="s">
        <v>12488</v>
      </c>
      <c r="N587" s="20" t="s">
        <v>8778</v>
      </c>
      <c r="O587" s="16" t="s">
        <v>12608</v>
      </c>
      <c r="P587" s="143">
        <v>364</v>
      </c>
      <c r="Q587" s="122" t="s">
        <v>9227</v>
      </c>
      <c r="R587" s="16" t="s">
        <v>9235</v>
      </c>
      <c r="S587" s="10" t="s">
        <v>1165</v>
      </c>
      <c r="T587" s="28" t="s">
        <v>9792</v>
      </c>
      <c r="U587" s="20" t="s">
        <v>5359</v>
      </c>
      <c r="V587" s="16" t="s">
        <v>8310</v>
      </c>
      <c r="W587" s="11" t="s">
        <v>14395</v>
      </c>
      <c r="X587" s="174">
        <v>27.41</v>
      </c>
      <c r="Y587" s="174">
        <v>36.61</v>
      </c>
    </row>
    <row r="588" spans="1:25" ht="15" customHeight="1" x14ac:dyDescent="0.25">
      <c r="A588" s="20" t="s">
        <v>6558</v>
      </c>
      <c r="B588" s="14" t="s">
        <v>6559</v>
      </c>
      <c r="C588" s="71" t="str">
        <f t="shared" si="9"/>
        <v>Product Info</v>
      </c>
      <c r="D588" s="37" t="s">
        <v>3097</v>
      </c>
      <c r="E588" s="143">
        <v>15</v>
      </c>
      <c r="F588" s="12" t="s">
        <v>2170</v>
      </c>
      <c r="G588" s="38">
        <v>43.07</v>
      </c>
      <c r="H588" s="38">
        <v>36.61</v>
      </c>
      <c r="I588" s="38">
        <v>30.15</v>
      </c>
      <c r="J588" s="39"/>
      <c r="K588" s="143"/>
      <c r="L588" s="22">
        <v>1.05</v>
      </c>
      <c r="M588" s="22" t="s">
        <v>2170</v>
      </c>
      <c r="N588" s="20" t="s">
        <v>14489</v>
      </c>
      <c r="O588" s="16">
        <v>0</v>
      </c>
      <c r="P588" s="143">
        <v>364</v>
      </c>
      <c r="Q588" s="122" t="s">
        <v>12421</v>
      </c>
      <c r="R588" s="16" t="s">
        <v>9235</v>
      </c>
      <c r="S588" s="10" t="s">
        <v>1165</v>
      </c>
      <c r="T588" s="28" t="s">
        <v>9793</v>
      </c>
      <c r="U588" s="20" t="s">
        <v>5359</v>
      </c>
      <c r="V588" s="16" t="s">
        <v>8311</v>
      </c>
      <c r="W588" s="11" t="s">
        <v>14395</v>
      </c>
      <c r="X588" s="174">
        <v>27.41</v>
      </c>
      <c r="Y588" s="174">
        <v>36.61</v>
      </c>
    </row>
    <row r="589" spans="1:25" ht="15" customHeight="1" x14ac:dyDescent="0.25">
      <c r="A589" s="20" t="s">
        <v>6560</v>
      </c>
      <c r="B589" s="14" t="s">
        <v>6561</v>
      </c>
      <c r="C589" s="71" t="str">
        <f t="shared" si="9"/>
        <v>Product Info</v>
      </c>
      <c r="D589" s="37" t="s">
        <v>3098</v>
      </c>
      <c r="E589" s="143">
        <v>15</v>
      </c>
      <c r="F589" s="12" t="s">
        <v>2170</v>
      </c>
      <c r="G589" s="38">
        <v>43.07</v>
      </c>
      <c r="H589" s="38">
        <v>36.61</v>
      </c>
      <c r="I589" s="38">
        <v>30.15</v>
      </c>
      <c r="J589" s="39"/>
      <c r="K589" s="143"/>
      <c r="L589" s="22">
        <v>0.48080000000000001</v>
      </c>
      <c r="M589" s="22" t="s">
        <v>14394</v>
      </c>
      <c r="N589" s="20" t="s">
        <v>14489</v>
      </c>
      <c r="O589" s="16">
        <v>0</v>
      </c>
      <c r="P589" s="143">
        <v>364</v>
      </c>
      <c r="Q589" s="121" t="s">
        <v>14285</v>
      </c>
      <c r="R589" s="16" t="s">
        <v>9235</v>
      </c>
      <c r="S589" s="10" t="s">
        <v>1165</v>
      </c>
      <c r="T589" s="28" t="s">
        <v>9794</v>
      </c>
      <c r="U589" s="20" t="s">
        <v>5359</v>
      </c>
      <c r="V589" s="16" t="s">
        <v>8312</v>
      </c>
      <c r="W589" s="11" t="s">
        <v>14395</v>
      </c>
      <c r="X589" s="174">
        <v>27.41</v>
      </c>
      <c r="Y589" s="174">
        <v>36.61</v>
      </c>
    </row>
    <row r="590" spans="1:25" ht="15" customHeight="1" x14ac:dyDescent="0.25">
      <c r="A590" s="20" t="s">
        <v>6562</v>
      </c>
      <c r="B590" s="14" t="s">
        <v>6563</v>
      </c>
      <c r="C590" s="71" t="str">
        <f t="shared" si="9"/>
        <v>Product Info</v>
      </c>
      <c r="D590" s="37" t="s">
        <v>3099</v>
      </c>
      <c r="E590" s="143">
        <v>15</v>
      </c>
      <c r="F590" s="12" t="s">
        <v>2170</v>
      </c>
      <c r="G590" s="38">
        <v>43.07</v>
      </c>
      <c r="H590" s="38">
        <v>36.61</v>
      </c>
      <c r="I590" s="38">
        <v>30.15</v>
      </c>
      <c r="J590" s="39"/>
      <c r="K590" s="143"/>
      <c r="L590" s="22">
        <v>1.0266660000000001</v>
      </c>
      <c r="M590" s="22" t="s">
        <v>2170</v>
      </c>
      <c r="N590" s="20" t="s">
        <v>14489</v>
      </c>
      <c r="O590" s="16" t="s">
        <v>13914</v>
      </c>
      <c r="P590" s="143">
        <v>364</v>
      </c>
      <c r="Q590" s="122" t="s">
        <v>12421</v>
      </c>
      <c r="R590" s="16" t="s">
        <v>9235</v>
      </c>
      <c r="S590" s="10" t="s">
        <v>1165</v>
      </c>
      <c r="T590" s="28" t="s">
        <v>9795</v>
      </c>
      <c r="U590" s="20" t="s">
        <v>5359</v>
      </c>
      <c r="V590" s="16" t="s">
        <v>8313</v>
      </c>
      <c r="W590" s="11" t="s">
        <v>14395</v>
      </c>
      <c r="X590" s="174">
        <v>27.41</v>
      </c>
      <c r="Y590" s="174">
        <v>36.61</v>
      </c>
    </row>
    <row r="591" spans="1:25" ht="15" customHeight="1" x14ac:dyDescent="0.25">
      <c r="A591" s="20" t="s">
        <v>6564</v>
      </c>
      <c r="B591" s="14" t="s">
        <v>6565</v>
      </c>
      <c r="C591" s="71" t="str">
        <f t="shared" si="9"/>
        <v>Product Info</v>
      </c>
      <c r="D591" s="37" t="s">
        <v>3100</v>
      </c>
      <c r="E591" s="143">
        <v>15</v>
      </c>
      <c r="F591" s="12" t="s">
        <v>2170</v>
      </c>
      <c r="G591" s="38">
        <v>43.07</v>
      </c>
      <c r="H591" s="38">
        <v>36.61</v>
      </c>
      <c r="I591" s="38">
        <v>30.15</v>
      </c>
      <c r="J591" s="39"/>
      <c r="K591" s="143"/>
      <c r="L591" s="22">
        <v>1.27</v>
      </c>
      <c r="M591" s="22" t="s">
        <v>2170</v>
      </c>
      <c r="N591" s="20" t="s">
        <v>14489</v>
      </c>
      <c r="O591" s="16" t="s">
        <v>12608</v>
      </c>
      <c r="P591" s="143">
        <v>364</v>
      </c>
      <c r="Q591" s="122" t="s">
        <v>12421</v>
      </c>
      <c r="R591" s="16" t="s">
        <v>9235</v>
      </c>
      <c r="S591" s="10" t="s">
        <v>1165</v>
      </c>
      <c r="T591" s="28" t="s">
        <v>9796</v>
      </c>
      <c r="U591" s="20" t="s">
        <v>5359</v>
      </c>
      <c r="V591" s="16" t="s">
        <v>8314</v>
      </c>
      <c r="W591" s="11" t="s">
        <v>14395</v>
      </c>
      <c r="X591" s="174">
        <v>27.41</v>
      </c>
      <c r="Y591" s="174">
        <v>36.61</v>
      </c>
    </row>
    <row r="592" spans="1:25" ht="15" customHeight="1" x14ac:dyDescent="0.25">
      <c r="A592" s="20" t="s">
        <v>6566</v>
      </c>
      <c r="B592" s="14" t="s">
        <v>6567</v>
      </c>
      <c r="C592" s="71" t="str">
        <f t="shared" si="9"/>
        <v>Product Info</v>
      </c>
      <c r="D592" s="37" t="s">
        <v>3101</v>
      </c>
      <c r="E592" s="143">
        <v>40</v>
      </c>
      <c r="F592" s="12" t="s">
        <v>2170</v>
      </c>
      <c r="G592" s="38">
        <v>24.2</v>
      </c>
      <c r="H592" s="38">
        <v>20.57</v>
      </c>
      <c r="I592" s="38">
        <v>16.940000000000001</v>
      </c>
      <c r="J592" s="39"/>
      <c r="K592" s="143"/>
      <c r="L592" s="22">
        <v>0.63</v>
      </c>
      <c r="M592" s="22" t="s">
        <v>12488</v>
      </c>
      <c r="N592" s="20" t="s">
        <v>8786</v>
      </c>
      <c r="O592" s="16" t="s">
        <v>12608</v>
      </c>
      <c r="P592" s="143">
        <v>364</v>
      </c>
      <c r="Q592" s="122" t="s">
        <v>9227</v>
      </c>
      <c r="R592" s="16" t="s">
        <v>9235</v>
      </c>
      <c r="S592" s="10" t="s">
        <v>1165</v>
      </c>
      <c r="T592" s="28" t="s">
        <v>9797</v>
      </c>
      <c r="U592" s="20" t="s">
        <v>5359</v>
      </c>
      <c r="V592" s="16" t="s">
        <v>8315</v>
      </c>
      <c r="W592" s="11" t="s">
        <v>14395</v>
      </c>
      <c r="X592" s="174">
        <v>15.4</v>
      </c>
      <c r="Y592" s="174">
        <v>20.57</v>
      </c>
    </row>
    <row r="593" spans="1:25" ht="15" customHeight="1" x14ac:dyDescent="0.3">
      <c r="A593" s="20" t="s">
        <v>13390</v>
      </c>
      <c r="B593" s="16" t="s">
        <v>13391</v>
      </c>
      <c r="C593" s="71" t="str">
        <f t="shared" si="9"/>
        <v>Product Info</v>
      </c>
      <c r="D593" s="170" t="s">
        <v>14923</v>
      </c>
      <c r="E593" s="143">
        <v>0</v>
      </c>
      <c r="F593" s="12" t="s">
        <v>4992</v>
      </c>
      <c r="G593" s="38">
        <v>10.62</v>
      </c>
      <c r="H593" s="38">
        <v>9.0299999999999994</v>
      </c>
      <c r="I593" s="38">
        <v>7.44</v>
      </c>
      <c r="J593" s="39"/>
      <c r="K593" s="143"/>
      <c r="L593" s="22">
        <v>0.35</v>
      </c>
      <c r="M593" s="22" t="s">
        <v>12488</v>
      </c>
      <c r="N593" s="20" t="s">
        <v>14259</v>
      </c>
      <c r="O593" s="16" t="s">
        <v>13912</v>
      </c>
      <c r="P593" s="143">
        <v>814</v>
      </c>
      <c r="Q593" s="122" t="s">
        <v>9227</v>
      </c>
      <c r="R593" s="16" t="s">
        <v>9235</v>
      </c>
      <c r="S593" s="10" t="s">
        <v>1163</v>
      </c>
      <c r="T593" s="28" t="s">
        <v>13735</v>
      </c>
      <c r="U593" s="20" t="s">
        <v>5359</v>
      </c>
      <c r="V593" s="16" t="s">
        <v>13937</v>
      </c>
      <c r="W593" s="11" t="s">
        <v>13938</v>
      </c>
      <c r="X593" s="174">
        <v>6.84</v>
      </c>
      <c r="Y593" s="174">
        <v>9.0299999999999994</v>
      </c>
    </row>
    <row r="594" spans="1:25" ht="15" customHeight="1" x14ac:dyDescent="0.25">
      <c r="A594" s="20" t="s">
        <v>4837</v>
      </c>
      <c r="B594" s="14" t="s">
        <v>4838</v>
      </c>
      <c r="C594" s="71" t="str">
        <f t="shared" si="9"/>
        <v>Product Info</v>
      </c>
      <c r="D594" s="37" t="s">
        <v>3102</v>
      </c>
      <c r="E594" s="143">
        <v>2</v>
      </c>
      <c r="F594" s="12" t="s">
        <v>2170</v>
      </c>
      <c r="G594" s="38">
        <v>446.67</v>
      </c>
      <c r="H594" s="38">
        <v>379.68</v>
      </c>
      <c r="I594" s="38">
        <v>312.67</v>
      </c>
      <c r="J594" s="39"/>
      <c r="K594" s="143"/>
      <c r="L594" s="22">
        <v>3.25</v>
      </c>
      <c r="M594" s="22" t="s">
        <v>2170</v>
      </c>
      <c r="N594" s="20" t="s">
        <v>14489</v>
      </c>
      <c r="O594" s="16">
        <v>0</v>
      </c>
      <c r="P594" s="143">
        <v>364</v>
      </c>
      <c r="Q594" s="122" t="s">
        <v>12421</v>
      </c>
      <c r="R594" s="16" t="s">
        <v>9235</v>
      </c>
      <c r="S594" s="10" t="s">
        <v>1165</v>
      </c>
      <c r="T594" s="28" t="s">
        <v>9798</v>
      </c>
      <c r="U594" s="20" t="s">
        <v>5359</v>
      </c>
      <c r="V594" s="16" t="s">
        <v>8316</v>
      </c>
      <c r="W594" s="11" t="s">
        <v>14395</v>
      </c>
      <c r="X594" s="174">
        <v>284.25</v>
      </c>
      <c r="Y594" s="174">
        <v>379.68</v>
      </c>
    </row>
    <row r="595" spans="1:25" ht="15" customHeight="1" x14ac:dyDescent="0.25">
      <c r="A595" s="20" t="s">
        <v>2408</v>
      </c>
      <c r="B595" s="14" t="s">
        <v>2409</v>
      </c>
      <c r="C595" s="71" t="str">
        <f t="shared" si="9"/>
        <v>Product Info</v>
      </c>
      <c r="D595" s="37" t="s">
        <v>3103</v>
      </c>
      <c r="E595" s="143">
        <v>1</v>
      </c>
      <c r="F595" s="12" t="s">
        <v>2170</v>
      </c>
      <c r="G595" s="38">
        <v>1467.99</v>
      </c>
      <c r="H595" s="38">
        <v>1247.83</v>
      </c>
      <c r="I595" s="38">
        <v>1027.5899999999999</v>
      </c>
      <c r="J595" s="39"/>
      <c r="K595" s="143"/>
      <c r="L595" s="22">
        <v>2.2000000000000002</v>
      </c>
      <c r="M595" s="22" t="s">
        <v>12488</v>
      </c>
      <c r="N595" s="20" t="s">
        <v>8778</v>
      </c>
      <c r="O595" s="16" t="s">
        <v>12608</v>
      </c>
      <c r="P595" s="143">
        <v>151</v>
      </c>
      <c r="Q595" s="122" t="s">
        <v>12421</v>
      </c>
      <c r="R595" s="16" t="s">
        <v>9235</v>
      </c>
      <c r="S595" s="10" t="s">
        <v>1165</v>
      </c>
      <c r="T595" s="28" t="s">
        <v>9799</v>
      </c>
      <c r="U595" s="20" t="s">
        <v>5359</v>
      </c>
      <c r="V595" s="16" t="s">
        <v>8317</v>
      </c>
      <c r="W595" s="11" t="s">
        <v>14395</v>
      </c>
      <c r="X595" s="174">
        <v>948.18</v>
      </c>
      <c r="Y595" s="174">
        <v>1247.83</v>
      </c>
    </row>
    <row r="596" spans="1:25" ht="15" customHeight="1" x14ac:dyDescent="0.25">
      <c r="A596" s="20" t="s">
        <v>2410</v>
      </c>
      <c r="B596" s="14" t="s">
        <v>4919</v>
      </c>
      <c r="C596" s="71" t="str">
        <f t="shared" si="9"/>
        <v>Product Info</v>
      </c>
      <c r="D596" s="37" t="s">
        <v>2515</v>
      </c>
      <c r="E596" s="143">
        <v>1</v>
      </c>
      <c r="F596" s="12" t="s">
        <v>2170</v>
      </c>
      <c r="G596" s="38">
        <v>103.99</v>
      </c>
      <c r="H596" s="38">
        <v>88.39</v>
      </c>
      <c r="I596" s="38">
        <v>72.790000000000006</v>
      </c>
      <c r="J596" s="39"/>
      <c r="K596" s="143"/>
      <c r="L596" s="22">
        <v>1.2</v>
      </c>
      <c r="M596" s="22" t="s">
        <v>14396</v>
      </c>
      <c r="N596" s="20" t="s">
        <v>8777</v>
      </c>
      <c r="O596" s="16" t="s">
        <v>12608</v>
      </c>
      <c r="P596" s="143">
        <v>151</v>
      </c>
      <c r="Q596" s="122" t="s">
        <v>9227</v>
      </c>
      <c r="R596" s="16" t="s">
        <v>9235</v>
      </c>
      <c r="S596" s="10" t="s">
        <v>1165</v>
      </c>
      <c r="T596" s="28" t="s">
        <v>9800</v>
      </c>
      <c r="U596" s="20" t="s">
        <v>5359</v>
      </c>
      <c r="V596" s="16" t="s">
        <v>8318</v>
      </c>
      <c r="W596" s="11" t="s">
        <v>14395</v>
      </c>
      <c r="X596" s="174">
        <v>67.16</v>
      </c>
      <c r="Y596" s="174">
        <v>88.39</v>
      </c>
    </row>
    <row r="597" spans="1:25" ht="15" customHeight="1" x14ac:dyDescent="0.25">
      <c r="A597" s="20" t="s">
        <v>2068</v>
      </c>
      <c r="B597" s="14" t="s">
        <v>2069</v>
      </c>
      <c r="C597" s="71" t="str">
        <f t="shared" si="9"/>
        <v>Product Info</v>
      </c>
      <c r="D597" s="37" t="s">
        <v>2516</v>
      </c>
      <c r="E597" s="143">
        <v>1</v>
      </c>
      <c r="F597" s="12" t="s">
        <v>2170</v>
      </c>
      <c r="G597" s="38">
        <v>214.64</v>
      </c>
      <c r="H597" s="38">
        <v>182.45</v>
      </c>
      <c r="I597" s="38">
        <v>150.25</v>
      </c>
      <c r="J597" s="39"/>
      <c r="K597" s="143"/>
      <c r="L597" s="22">
        <v>0.7</v>
      </c>
      <c r="M597" s="22" t="s">
        <v>12488</v>
      </c>
      <c r="N597" s="20" t="s">
        <v>8778</v>
      </c>
      <c r="O597" s="16" t="s">
        <v>12608</v>
      </c>
      <c r="P597" s="143">
        <v>151</v>
      </c>
      <c r="Q597" s="122" t="s">
        <v>9227</v>
      </c>
      <c r="R597" s="16" t="s">
        <v>9235</v>
      </c>
      <c r="S597" s="10" t="s">
        <v>1165</v>
      </c>
      <c r="T597" s="28" t="s">
        <v>9801</v>
      </c>
      <c r="U597" s="20" t="s">
        <v>5359</v>
      </c>
      <c r="V597" s="16" t="s">
        <v>8319</v>
      </c>
      <c r="W597" s="11" t="s">
        <v>14395</v>
      </c>
      <c r="X597" s="174">
        <v>138.63</v>
      </c>
      <c r="Y597" s="174">
        <v>182.45</v>
      </c>
    </row>
    <row r="598" spans="1:25" ht="15" customHeight="1" x14ac:dyDescent="0.25">
      <c r="A598" s="20" t="s">
        <v>2070</v>
      </c>
      <c r="B598" s="14" t="s">
        <v>2071</v>
      </c>
      <c r="C598" s="71" t="str">
        <f t="shared" si="9"/>
        <v>Product Info</v>
      </c>
      <c r="D598" s="37" t="s">
        <v>2517</v>
      </c>
      <c r="E598" s="143">
        <v>1</v>
      </c>
      <c r="F598" s="12" t="s">
        <v>2170</v>
      </c>
      <c r="G598" s="38">
        <v>195.53</v>
      </c>
      <c r="H598" s="38">
        <v>166.21</v>
      </c>
      <c r="I598" s="38">
        <v>136.87</v>
      </c>
      <c r="J598" s="39"/>
      <c r="K598" s="143"/>
      <c r="L598" s="22">
        <v>1</v>
      </c>
      <c r="M598" s="22" t="s">
        <v>14396</v>
      </c>
      <c r="N598" s="20" t="s">
        <v>8778</v>
      </c>
      <c r="O598" s="16" t="s">
        <v>13914</v>
      </c>
      <c r="P598" s="143">
        <v>151</v>
      </c>
      <c r="Q598" s="122" t="s">
        <v>12421</v>
      </c>
      <c r="R598" s="16" t="s">
        <v>9235</v>
      </c>
      <c r="S598" s="10" t="s">
        <v>1165</v>
      </c>
      <c r="T598" s="28" t="s">
        <v>9802</v>
      </c>
      <c r="U598" s="20" t="s">
        <v>5359</v>
      </c>
      <c r="V598" s="16" t="s">
        <v>8320</v>
      </c>
      <c r="W598" s="11" t="s">
        <v>14395</v>
      </c>
      <c r="X598" s="174">
        <v>126.3</v>
      </c>
      <c r="Y598" s="174">
        <v>166.21</v>
      </c>
    </row>
    <row r="599" spans="1:25" ht="15" customHeight="1" x14ac:dyDescent="0.25">
      <c r="A599" s="20" t="s">
        <v>2072</v>
      </c>
      <c r="B599" s="14" t="s">
        <v>2073</v>
      </c>
      <c r="C599" s="71" t="str">
        <f t="shared" si="9"/>
        <v>Product Info</v>
      </c>
      <c r="D599" s="37" t="s">
        <v>2518</v>
      </c>
      <c r="E599" s="143">
        <v>1</v>
      </c>
      <c r="F599" s="12" t="s">
        <v>2170</v>
      </c>
      <c r="G599" s="38">
        <v>305.33</v>
      </c>
      <c r="H599" s="38">
        <v>259.54000000000002</v>
      </c>
      <c r="I599" s="38">
        <v>213.73</v>
      </c>
      <c r="J599" s="39"/>
      <c r="K599" s="143"/>
      <c r="L599" s="22">
        <v>1.6</v>
      </c>
      <c r="M599" s="22" t="s">
        <v>2170</v>
      </c>
      <c r="N599" s="20" t="s">
        <v>14489</v>
      </c>
      <c r="O599" s="16" t="s">
        <v>12608</v>
      </c>
      <c r="P599" s="143">
        <v>151</v>
      </c>
      <c r="Q599" s="122" t="s">
        <v>9227</v>
      </c>
      <c r="R599" s="16" t="s">
        <v>9235</v>
      </c>
      <c r="S599" s="10" t="s">
        <v>1165</v>
      </c>
      <c r="T599" s="28" t="s">
        <v>9803</v>
      </c>
      <c r="U599" s="20" t="s">
        <v>5359</v>
      </c>
      <c r="V599" s="16" t="s">
        <v>8321</v>
      </c>
      <c r="W599" s="11" t="s">
        <v>14395</v>
      </c>
      <c r="X599" s="174">
        <v>197.21</v>
      </c>
      <c r="Y599" s="174">
        <v>259.54000000000002</v>
      </c>
    </row>
    <row r="600" spans="1:25" ht="15" customHeight="1" x14ac:dyDescent="0.25">
      <c r="A600" s="20" t="s">
        <v>2074</v>
      </c>
      <c r="B600" s="14" t="s">
        <v>2075</v>
      </c>
      <c r="C600" s="71" t="str">
        <f t="shared" si="9"/>
        <v>Product Info</v>
      </c>
      <c r="D600" s="37" t="s">
        <v>2519</v>
      </c>
      <c r="E600" s="143">
        <v>1</v>
      </c>
      <c r="F600" s="12" t="s">
        <v>2170</v>
      </c>
      <c r="G600" s="38">
        <v>52.14</v>
      </c>
      <c r="H600" s="38">
        <v>44.32</v>
      </c>
      <c r="I600" s="38">
        <v>36.5</v>
      </c>
      <c r="J600" s="39"/>
      <c r="K600" s="143"/>
      <c r="L600" s="22">
        <v>0.1</v>
      </c>
      <c r="M600" s="22" t="s">
        <v>14396</v>
      </c>
      <c r="N600" s="20" t="s">
        <v>8775</v>
      </c>
      <c r="O600" s="16" t="s">
        <v>13914</v>
      </c>
      <c r="P600" s="143">
        <v>151</v>
      </c>
      <c r="Q600" s="121" t="s">
        <v>14285</v>
      </c>
      <c r="R600" s="16" t="s">
        <v>9235</v>
      </c>
      <c r="S600" s="10" t="s">
        <v>1165</v>
      </c>
      <c r="T600" s="28" t="s">
        <v>9804</v>
      </c>
      <c r="U600" s="20" t="s">
        <v>5359</v>
      </c>
      <c r="V600" s="16" t="s">
        <v>8322</v>
      </c>
      <c r="W600" s="11" t="s">
        <v>14395</v>
      </c>
      <c r="X600" s="174">
        <v>33.68</v>
      </c>
      <c r="Y600" s="174">
        <v>44.32</v>
      </c>
    </row>
    <row r="601" spans="1:25" ht="15" customHeight="1" x14ac:dyDescent="0.25">
      <c r="A601" s="20" t="s">
        <v>5046</v>
      </c>
      <c r="B601" s="14" t="s">
        <v>5047</v>
      </c>
      <c r="C601" s="71" t="str">
        <f t="shared" si="9"/>
        <v>Product Info</v>
      </c>
      <c r="D601" s="37" t="s">
        <v>2520</v>
      </c>
      <c r="E601" s="143">
        <v>1</v>
      </c>
      <c r="F601" s="12" t="s">
        <v>2170</v>
      </c>
      <c r="G601" s="38">
        <v>559.04</v>
      </c>
      <c r="H601" s="38">
        <v>475.2</v>
      </c>
      <c r="I601" s="38">
        <v>391.33</v>
      </c>
      <c r="J601" s="39"/>
      <c r="K601" s="143"/>
      <c r="L601" s="22">
        <v>2.2000000000000002</v>
      </c>
      <c r="M601" s="22" t="s">
        <v>14396</v>
      </c>
      <c r="N601" s="20" t="s">
        <v>8777</v>
      </c>
      <c r="O601" s="16" t="s">
        <v>13914</v>
      </c>
      <c r="P601" s="143">
        <v>151</v>
      </c>
      <c r="Q601" s="122" t="s">
        <v>9227</v>
      </c>
      <c r="R601" s="16" t="s">
        <v>9235</v>
      </c>
      <c r="S601" s="10" t="s">
        <v>1165</v>
      </c>
      <c r="T601" s="28" t="s">
        <v>9805</v>
      </c>
      <c r="U601" s="20" t="s">
        <v>5359</v>
      </c>
      <c r="V601" s="16" t="s">
        <v>8323</v>
      </c>
      <c r="W601" s="11" t="s">
        <v>14395</v>
      </c>
      <c r="X601" s="174">
        <v>361.09</v>
      </c>
      <c r="Y601" s="174">
        <v>475.2</v>
      </c>
    </row>
    <row r="602" spans="1:25" ht="15" customHeight="1" x14ac:dyDescent="0.25">
      <c r="A602" s="20" t="s">
        <v>3642</v>
      </c>
      <c r="B602" s="14" t="s">
        <v>3643</v>
      </c>
      <c r="C602" s="71" t="str">
        <f t="shared" si="9"/>
        <v>Product Info</v>
      </c>
      <c r="D602" s="37" t="s">
        <v>2521</v>
      </c>
      <c r="E602" s="143">
        <v>1</v>
      </c>
      <c r="F602" s="12" t="s">
        <v>2170</v>
      </c>
      <c r="G602" s="38">
        <v>433.19</v>
      </c>
      <c r="H602" s="38">
        <v>368.22</v>
      </c>
      <c r="I602" s="38">
        <v>303.23</v>
      </c>
      <c r="J602" s="39"/>
      <c r="K602" s="143"/>
      <c r="L602" s="22">
        <v>1.4</v>
      </c>
      <c r="M602" s="22" t="s">
        <v>12488</v>
      </c>
      <c r="N602" s="20" t="s">
        <v>8777</v>
      </c>
      <c r="O602" s="16" t="s">
        <v>12608</v>
      </c>
      <c r="P602" s="143">
        <v>151</v>
      </c>
      <c r="Q602" s="122" t="s">
        <v>9227</v>
      </c>
      <c r="R602" s="16" t="s">
        <v>9235</v>
      </c>
      <c r="S602" s="10" t="s">
        <v>1165</v>
      </c>
      <c r="T602" s="28" t="s">
        <v>9806</v>
      </c>
      <c r="U602" s="20" t="s">
        <v>5359</v>
      </c>
      <c r="V602" s="16" t="s">
        <v>8324</v>
      </c>
      <c r="W602" s="11" t="s">
        <v>14395</v>
      </c>
      <c r="X602" s="174">
        <v>279.79000000000002</v>
      </c>
      <c r="Y602" s="174">
        <v>368.22</v>
      </c>
    </row>
    <row r="603" spans="1:25" ht="15" customHeight="1" x14ac:dyDescent="0.25">
      <c r="A603" s="20" t="s">
        <v>3644</v>
      </c>
      <c r="B603" s="14" t="s">
        <v>3645</v>
      </c>
      <c r="C603" s="71" t="str">
        <f t="shared" si="9"/>
        <v>Product Info</v>
      </c>
      <c r="D603" s="37" t="s">
        <v>2522</v>
      </c>
      <c r="E603" s="143">
        <v>1</v>
      </c>
      <c r="F603" s="12" t="s">
        <v>2170</v>
      </c>
      <c r="G603" s="38">
        <v>30.33</v>
      </c>
      <c r="H603" s="38">
        <v>25.78</v>
      </c>
      <c r="I603" s="38">
        <v>21.23</v>
      </c>
      <c r="J603" s="39"/>
      <c r="K603" s="143"/>
      <c r="L603" s="22">
        <v>6.6000000000000003E-2</v>
      </c>
      <c r="M603" s="22" t="s">
        <v>12488</v>
      </c>
      <c r="N603" s="20" t="s">
        <v>8778</v>
      </c>
      <c r="O603" s="16" t="s">
        <v>12608</v>
      </c>
      <c r="P603" s="143">
        <v>151</v>
      </c>
      <c r="Q603" s="122" t="s">
        <v>9227</v>
      </c>
      <c r="R603" s="16" t="s">
        <v>9235</v>
      </c>
      <c r="S603" s="10" t="s">
        <v>1165</v>
      </c>
      <c r="T603" s="28" t="s">
        <v>9807</v>
      </c>
      <c r="U603" s="20" t="s">
        <v>5359</v>
      </c>
      <c r="V603" s="16" t="s">
        <v>8325</v>
      </c>
      <c r="W603" s="11" t="s">
        <v>14395</v>
      </c>
      <c r="X603" s="174">
        <v>19.579999999999998</v>
      </c>
      <c r="Y603" s="174">
        <v>25.78</v>
      </c>
    </row>
    <row r="604" spans="1:25" ht="15" customHeight="1" x14ac:dyDescent="0.25">
      <c r="A604" s="20" t="s">
        <v>3646</v>
      </c>
      <c r="B604" s="14" t="s">
        <v>3647</v>
      </c>
      <c r="C604" s="71" t="str">
        <f t="shared" si="9"/>
        <v>Product Info</v>
      </c>
      <c r="D604" s="37" t="s">
        <v>2523</v>
      </c>
      <c r="E604" s="143">
        <v>100</v>
      </c>
      <c r="F604" s="12" t="s">
        <v>4992</v>
      </c>
      <c r="G604" s="38">
        <v>3.59</v>
      </c>
      <c r="H604" s="38">
        <v>3.05</v>
      </c>
      <c r="I604" s="38">
        <v>2.5099999999999998</v>
      </c>
      <c r="J604" s="39"/>
      <c r="K604" s="143"/>
      <c r="L604" s="22">
        <v>0.11</v>
      </c>
      <c r="M604" s="22" t="s">
        <v>12488</v>
      </c>
      <c r="N604" s="20" t="s">
        <v>8787</v>
      </c>
      <c r="O604" s="16" t="s">
        <v>12608</v>
      </c>
      <c r="P604" s="143">
        <v>435</v>
      </c>
      <c r="Q604" s="121" t="s">
        <v>14285</v>
      </c>
      <c r="R604" s="16" t="s">
        <v>9235</v>
      </c>
      <c r="S604" s="10" t="s">
        <v>1165</v>
      </c>
      <c r="T604" s="28" t="s">
        <v>9808</v>
      </c>
      <c r="U604" s="20" t="s">
        <v>5359</v>
      </c>
      <c r="V604" s="16" t="s">
        <v>8326</v>
      </c>
      <c r="W604" s="11" t="s">
        <v>14395</v>
      </c>
      <c r="X604" s="174">
        <v>2.2799999999999998</v>
      </c>
      <c r="Y604" s="174">
        <v>3.05</v>
      </c>
    </row>
    <row r="605" spans="1:25" ht="15" customHeight="1" x14ac:dyDescent="0.25">
      <c r="A605" s="20" t="s">
        <v>3648</v>
      </c>
      <c r="B605" s="14" t="s">
        <v>4849</v>
      </c>
      <c r="C605" s="71" t="str">
        <f t="shared" si="9"/>
        <v>Product Info</v>
      </c>
      <c r="D605" s="37" t="s">
        <v>2524</v>
      </c>
      <c r="E605" s="143">
        <v>120</v>
      </c>
      <c r="F605" s="12" t="s">
        <v>2170</v>
      </c>
      <c r="G605" s="38">
        <v>14.36</v>
      </c>
      <c r="H605" s="38">
        <v>12.2</v>
      </c>
      <c r="I605" s="38">
        <v>10.050000000000001</v>
      </c>
      <c r="J605" s="39"/>
      <c r="K605" s="143"/>
      <c r="L605" s="22">
        <v>3.3000000000000002E-2</v>
      </c>
      <c r="M605" s="22" t="s">
        <v>12488</v>
      </c>
      <c r="N605" s="20" t="s">
        <v>8773</v>
      </c>
      <c r="O605" s="16" t="s">
        <v>12608</v>
      </c>
      <c r="P605" s="143">
        <v>364</v>
      </c>
      <c r="Q605" s="122" t="s">
        <v>9227</v>
      </c>
      <c r="R605" s="16" t="s">
        <v>9235</v>
      </c>
      <c r="S605" s="10" t="s">
        <v>1165</v>
      </c>
      <c r="T605" s="28" t="s">
        <v>9809</v>
      </c>
      <c r="U605" s="20" t="s">
        <v>5359</v>
      </c>
      <c r="V605" s="16" t="s">
        <v>8327</v>
      </c>
      <c r="W605" s="11" t="s">
        <v>14395</v>
      </c>
      <c r="X605" s="174">
        <v>9.1300000000000008</v>
      </c>
      <c r="Y605" s="174">
        <v>12.2</v>
      </c>
    </row>
    <row r="606" spans="1:25" ht="15" customHeight="1" x14ac:dyDescent="0.25">
      <c r="A606" s="20" t="s">
        <v>6734</v>
      </c>
      <c r="B606" s="14" t="s">
        <v>6735</v>
      </c>
      <c r="C606" s="71" t="str">
        <f t="shared" si="9"/>
        <v>Product Info</v>
      </c>
      <c r="D606" s="37" t="s">
        <v>2525</v>
      </c>
      <c r="E606" s="143">
        <v>100</v>
      </c>
      <c r="F606" s="12" t="s">
        <v>2170</v>
      </c>
      <c r="G606" s="38">
        <v>16.04</v>
      </c>
      <c r="H606" s="38">
        <v>13.64</v>
      </c>
      <c r="I606" s="38">
        <v>11.23</v>
      </c>
      <c r="J606" s="39"/>
      <c r="K606" s="143"/>
      <c r="L606" s="22">
        <v>1.2</v>
      </c>
      <c r="M606" s="22" t="s">
        <v>12488</v>
      </c>
      <c r="N606" s="20" t="s">
        <v>8788</v>
      </c>
      <c r="O606" s="16" t="s">
        <v>12608</v>
      </c>
      <c r="P606" s="143">
        <v>364</v>
      </c>
      <c r="Q606" s="122" t="s">
        <v>12421</v>
      </c>
      <c r="R606" s="16" t="s">
        <v>9235</v>
      </c>
      <c r="S606" s="10" t="s">
        <v>1165</v>
      </c>
      <c r="T606" s="28" t="s">
        <v>9810</v>
      </c>
      <c r="U606" s="20" t="s">
        <v>5359</v>
      </c>
      <c r="V606" s="16" t="s">
        <v>8328</v>
      </c>
      <c r="W606" s="11" t="s">
        <v>14395</v>
      </c>
      <c r="X606" s="174">
        <v>10.210000000000001</v>
      </c>
      <c r="Y606" s="174">
        <v>13.64</v>
      </c>
    </row>
    <row r="607" spans="1:25" ht="15" customHeight="1" x14ac:dyDescent="0.25">
      <c r="A607" s="20" t="s">
        <v>6736</v>
      </c>
      <c r="B607" s="14" t="s">
        <v>6737</v>
      </c>
      <c r="C607" s="71" t="str">
        <f t="shared" si="9"/>
        <v>Product Info</v>
      </c>
      <c r="D607" s="37" t="s">
        <v>2526</v>
      </c>
      <c r="E607" s="143">
        <v>25</v>
      </c>
      <c r="F607" s="12" t="s">
        <v>2170</v>
      </c>
      <c r="G607" s="38">
        <v>5.26</v>
      </c>
      <c r="H607" s="38">
        <v>4.47</v>
      </c>
      <c r="I607" s="38">
        <v>3.68</v>
      </c>
      <c r="J607" s="39"/>
      <c r="K607" s="143"/>
      <c r="L607" s="22">
        <v>0.32600000000000001</v>
      </c>
      <c r="M607" s="22" t="s">
        <v>2170</v>
      </c>
      <c r="N607" s="20" t="s">
        <v>14489</v>
      </c>
      <c r="O607" s="16" t="s">
        <v>12608</v>
      </c>
      <c r="P607" s="143">
        <v>364</v>
      </c>
      <c r="Q607" s="122" t="s">
        <v>9227</v>
      </c>
      <c r="R607" s="16" t="s">
        <v>9235</v>
      </c>
      <c r="S607" s="10" t="s">
        <v>1165</v>
      </c>
      <c r="T607" s="28" t="s">
        <v>9811</v>
      </c>
      <c r="U607" s="20" t="s">
        <v>5359</v>
      </c>
      <c r="V607" s="16" t="s">
        <v>13009</v>
      </c>
      <c r="W607" s="11" t="s">
        <v>14395</v>
      </c>
      <c r="X607" s="174">
        <v>3.35</v>
      </c>
      <c r="Y607" s="174">
        <v>4.47</v>
      </c>
    </row>
    <row r="608" spans="1:25" ht="15" customHeight="1" x14ac:dyDescent="0.25">
      <c r="A608" s="20" t="s">
        <v>6738</v>
      </c>
      <c r="B608" s="14" t="s">
        <v>6739</v>
      </c>
      <c r="C608" s="71" t="str">
        <f t="shared" si="9"/>
        <v>Product Info</v>
      </c>
      <c r="D608" s="37" t="s">
        <v>2527</v>
      </c>
      <c r="E608" s="143">
        <v>25</v>
      </c>
      <c r="F608" s="12" t="s">
        <v>2170</v>
      </c>
      <c r="G608" s="38">
        <v>5.26</v>
      </c>
      <c r="H608" s="38">
        <v>4.47</v>
      </c>
      <c r="I608" s="38">
        <v>3.68</v>
      </c>
      <c r="J608" s="39"/>
      <c r="K608" s="143"/>
      <c r="L608" s="22">
        <v>0.315</v>
      </c>
      <c r="M608" s="22" t="s">
        <v>2170</v>
      </c>
      <c r="N608" s="20" t="s">
        <v>14489</v>
      </c>
      <c r="O608" s="16" t="s">
        <v>12608</v>
      </c>
      <c r="P608" s="143">
        <v>364</v>
      </c>
      <c r="Q608" s="122" t="s">
        <v>9227</v>
      </c>
      <c r="R608" s="16" t="s">
        <v>9235</v>
      </c>
      <c r="S608" s="10" t="s">
        <v>1165</v>
      </c>
      <c r="T608" s="28" t="s">
        <v>9812</v>
      </c>
      <c r="U608" s="20" t="s">
        <v>5359</v>
      </c>
      <c r="V608" s="16" t="s">
        <v>13021</v>
      </c>
      <c r="W608" s="11" t="s">
        <v>14395</v>
      </c>
      <c r="X608" s="174">
        <v>3.35</v>
      </c>
      <c r="Y608" s="174">
        <v>4.47</v>
      </c>
    </row>
    <row r="609" spans="1:25" ht="15" customHeight="1" x14ac:dyDescent="0.25">
      <c r="A609" s="20" t="s">
        <v>6740</v>
      </c>
      <c r="B609" s="14" t="s">
        <v>6741</v>
      </c>
      <c r="C609" s="71" t="str">
        <f t="shared" si="9"/>
        <v>Product Info</v>
      </c>
      <c r="D609" s="37" t="s">
        <v>2528</v>
      </c>
      <c r="E609" s="143">
        <v>25</v>
      </c>
      <c r="F609" s="12" t="s">
        <v>2170</v>
      </c>
      <c r="G609" s="38">
        <v>5.26</v>
      </c>
      <c r="H609" s="38">
        <v>4.47</v>
      </c>
      <c r="I609" s="38">
        <v>3.68</v>
      </c>
      <c r="J609" s="39"/>
      <c r="K609" s="143"/>
      <c r="L609" s="22">
        <v>0.33</v>
      </c>
      <c r="M609" s="22" t="s">
        <v>12488</v>
      </c>
      <c r="N609" s="20" t="s">
        <v>8778</v>
      </c>
      <c r="O609" s="16" t="s">
        <v>12608</v>
      </c>
      <c r="P609" s="143">
        <v>364</v>
      </c>
      <c r="Q609" s="122" t="s">
        <v>9227</v>
      </c>
      <c r="R609" s="16" t="s">
        <v>9235</v>
      </c>
      <c r="S609" s="10" t="s">
        <v>1165</v>
      </c>
      <c r="T609" s="28" t="s">
        <v>9813</v>
      </c>
      <c r="U609" s="20" t="s">
        <v>5359</v>
      </c>
      <c r="V609" s="16" t="s">
        <v>13039</v>
      </c>
      <c r="W609" s="11" t="s">
        <v>14395</v>
      </c>
      <c r="X609" s="174">
        <v>3.35</v>
      </c>
      <c r="Y609" s="174">
        <v>4.47</v>
      </c>
    </row>
    <row r="610" spans="1:25" ht="15" customHeight="1" x14ac:dyDescent="0.25">
      <c r="A610" s="20" t="s">
        <v>6742</v>
      </c>
      <c r="B610" s="14" t="s">
        <v>6743</v>
      </c>
      <c r="C610" s="71" t="str">
        <f t="shared" si="9"/>
        <v>Product Info</v>
      </c>
      <c r="D610" s="37" t="s">
        <v>2529</v>
      </c>
      <c r="E610" s="143">
        <v>25</v>
      </c>
      <c r="F610" s="12" t="s">
        <v>2170</v>
      </c>
      <c r="G610" s="38">
        <v>5.26</v>
      </c>
      <c r="H610" s="38">
        <v>4.47</v>
      </c>
      <c r="I610" s="38">
        <v>3.68</v>
      </c>
      <c r="J610" s="39"/>
      <c r="K610" s="143"/>
      <c r="L610" s="22">
        <v>0.32500000000000001</v>
      </c>
      <c r="M610" s="22" t="s">
        <v>2170</v>
      </c>
      <c r="N610" s="20" t="s">
        <v>14489</v>
      </c>
      <c r="O610" s="16" t="s">
        <v>12608</v>
      </c>
      <c r="P610" s="143">
        <v>364</v>
      </c>
      <c r="Q610" s="122" t="s">
        <v>9227</v>
      </c>
      <c r="R610" s="16" t="s">
        <v>9235</v>
      </c>
      <c r="S610" s="10" t="s">
        <v>1165</v>
      </c>
      <c r="T610" s="28" t="s">
        <v>9814</v>
      </c>
      <c r="U610" s="20" t="s">
        <v>5359</v>
      </c>
      <c r="V610" s="16" t="s">
        <v>13032</v>
      </c>
      <c r="W610" s="11" t="s">
        <v>14395</v>
      </c>
      <c r="X610" s="174">
        <v>3.35</v>
      </c>
      <c r="Y610" s="174">
        <v>4.47</v>
      </c>
    </row>
    <row r="611" spans="1:25" ht="15" customHeight="1" x14ac:dyDescent="0.25">
      <c r="A611" s="20" t="s">
        <v>6744</v>
      </c>
      <c r="B611" s="14" t="s">
        <v>6745</v>
      </c>
      <c r="C611" s="71" t="str">
        <f t="shared" si="9"/>
        <v>Product Info</v>
      </c>
      <c r="D611" s="37" t="s">
        <v>2530</v>
      </c>
      <c r="E611" s="143">
        <v>25</v>
      </c>
      <c r="F611" s="12" t="s">
        <v>2170</v>
      </c>
      <c r="G611" s="38">
        <v>5.26</v>
      </c>
      <c r="H611" s="38">
        <v>4.47</v>
      </c>
      <c r="I611" s="38">
        <v>3.68</v>
      </c>
      <c r="J611" s="39"/>
      <c r="K611" s="143"/>
      <c r="L611" s="22">
        <v>0.32300000000000001</v>
      </c>
      <c r="M611" s="22" t="s">
        <v>2170</v>
      </c>
      <c r="N611" s="20" t="s">
        <v>14489</v>
      </c>
      <c r="O611" s="16" t="s">
        <v>12608</v>
      </c>
      <c r="P611" s="143">
        <v>364</v>
      </c>
      <c r="Q611" s="122" t="s">
        <v>9227</v>
      </c>
      <c r="R611" s="16" t="s">
        <v>9235</v>
      </c>
      <c r="S611" s="10" t="s">
        <v>1165</v>
      </c>
      <c r="T611" s="28" t="s">
        <v>9815</v>
      </c>
      <c r="U611" s="20" t="s">
        <v>5359</v>
      </c>
      <c r="V611" s="16" t="s">
        <v>13050</v>
      </c>
      <c r="W611" s="11" t="s">
        <v>14395</v>
      </c>
      <c r="X611" s="174">
        <v>3.35</v>
      </c>
      <c r="Y611" s="174">
        <v>4.47</v>
      </c>
    </row>
    <row r="612" spans="1:25" ht="15" customHeight="1" x14ac:dyDescent="0.25">
      <c r="A612" s="20" t="s">
        <v>6746</v>
      </c>
      <c r="B612" s="14" t="s">
        <v>6747</v>
      </c>
      <c r="C612" s="71" t="str">
        <f t="shared" si="9"/>
        <v>Product Info</v>
      </c>
      <c r="D612" s="37" t="s">
        <v>2531</v>
      </c>
      <c r="E612" s="143">
        <v>25</v>
      </c>
      <c r="F612" s="12" t="s">
        <v>2170</v>
      </c>
      <c r="G612" s="38">
        <v>5.26</v>
      </c>
      <c r="H612" s="38">
        <v>4.47</v>
      </c>
      <c r="I612" s="38">
        <v>3.68</v>
      </c>
      <c r="J612" s="39"/>
      <c r="K612" s="143"/>
      <c r="L612" s="22">
        <v>0.33</v>
      </c>
      <c r="M612" s="22" t="s">
        <v>14396</v>
      </c>
      <c r="N612" s="20" t="s">
        <v>8778</v>
      </c>
      <c r="O612" s="16" t="s">
        <v>12608</v>
      </c>
      <c r="P612" s="143">
        <v>364</v>
      </c>
      <c r="Q612" s="122" t="s">
        <v>9227</v>
      </c>
      <c r="R612" s="16" t="s">
        <v>9235</v>
      </c>
      <c r="S612" s="10" t="s">
        <v>1165</v>
      </c>
      <c r="T612" s="28" t="s">
        <v>9816</v>
      </c>
      <c r="U612" s="20" t="s">
        <v>5359</v>
      </c>
      <c r="V612" s="16" t="s">
        <v>13013</v>
      </c>
      <c r="W612" s="11" t="s">
        <v>14395</v>
      </c>
      <c r="X612" s="174">
        <v>3.35</v>
      </c>
      <c r="Y612" s="174">
        <v>4.47</v>
      </c>
    </row>
    <row r="613" spans="1:25" ht="15" customHeight="1" x14ac:dyDescent="0.25">
      <c r="A613" s="20" t="s">
        <v>6748</v>
      </c>
      <c r="B613" s="14" t="s">
        <v>2414</v>
      </c>
      <c r="C613" s="71" t="str">
        <f t="shared" si="9"/>
        <v>Product Info</v>
      </c>
      <c r="D613" s="37" t="s">
        <v>3452</v>
      </c>
      <c r="E613" s="143">
        <v>25</v>
      </c>
      <c r="F613" s="12" t="s">
        <v>2170</v>
      </c>
      <c r="G613" s="38">
        <v>5.26</v>
      </c>
      <c r="H613" s="38">
        <v>4.47</v>
      </c>
      <c r="I613" s="38">
        <v>3.68</v>
      </c>
      <c r="J613" s="39"/>
      <c r="K613" s="143"/>
      <c r="L613" s="22">
        <v>0.32</v>
      </c>
      <c r="M613" s="22" t="s">
        <v>2170</v>
      </c>
      <c r="N613" s="20" t="s">
        <v>14489</v>
      </c>
      <c r="O613" s="16" t="s">
        <v>12608</v>
      </c>
      <c r="P613" s="143">
        <v>364</v>
      </c>
      <c r="Q613" s="122" t="s">
        <v>9227</v>
      </c>
      <c r="R613" s="16" t="s">
        <v>9235</v>
      </c>
      <c r="S613" s="10" t="s">
        <v>1165</v>
      </c>
      <c r="T613" s="28" t="s">
        <v>9817</v>
      </c>
      <c r="U613" s="20" t="s">
        <v>5359</v>
      </c>
      <c r="V613" s="16" t="s">
        <v>13048</v>
      </c>
      <c r="W613" s="11" t="s">
        <v>14395</v>
      </c>
      <c r="X613" s="174">
        <v>3.35</v>
      </c>
      <c r="Y613" s="174">
        <v>4.47</v>
      </c>
    </row>
    <row r="614" spans="1:25" ht="15" customHeight="1" x14ac:dyDescent="0.25">
      <c r="A614" s="20" t="s">
        <v>2415</v>
      </c>
      <c r="B614" s="14" t="s">
        <v>2416</v>
      </c>
      <c r="C614" s="71" t="str">
        <f t="shared" si="9"/>
        <v>Product Info</v>
      </c>
      <c r="D614" s="37" t="s">
        <v>3453</v>
      </c>
      <c r="E614" s="143">
        <v>25</v>
      </c>
      <c r="F614" s="12" t="s">
        <v>2170</v>
      </c>
      <c r="G614" s="38">
        <v>5.26</v>
      </c>
      <c r="H614" s="38">
        <v>4.47</v>
      </c>
      <c r="I614" s="38">
        <v>3.68</v>
      </c>
      <c r="J614" s="39"/>
      <c r="K614" s="143"/>
      <c r="L614" s="22">
        <v>0.309</v>
      </c>
      <c r="M614" s="22" t="s">
        <v>2170</v>
      </c>
      <c r="N614" s="20" t="s">
        <v>14489</v>
      </c>
      <c r="O614" s="16" t="s">
        <v>12608</v>
      </c>
      <c r="P614" s="143">
        <v>364</v>
      </c>
      <c r="Q614" s="122" t="s">
        <v>9227</v>
      </c>
      <c r="R614" s="16" t="s">
        <v>9235</v>
      </c>
      <c r="S614" s="10" t="s">
        <v>1165</v>
      </c>
      <c r="T614" s="28" t="s">
        <v>9818</v>
      </c>
      <c r="U614" s="20" t="s">
        <v>5359</v>
      </c>
      <c r="V614" s="16" t="s">
        <v>13052</v>
      </c>
      <c r="W614" s="11" t="s">
        <v>14395</v>
      </c>
      <c r="X614" s="174">
        <v>3.35</v>
      </c>
      <c r="Y614" s="174">
        <v>4.47</v>
      </c>
    </row>
    <row r="615" spans="1:25" ht="15" customHeight="1" x14ac:dyDescent="0.25">
      <c r="A615" s="20" t="s">
        <v>2417</v>
      </c>
      <c r="B615" s="14" t="s">
        <v>2418</v>
      </c>
      <c r="C615" s="71" t="str">
        <f t="shared" si="9"/>
        <v>Product Info</v>
      </c>
      <c r="D615" s="37" t="s">
        <v>3454</v>
      </c>
      <c r="E615" s="143">
        <v>25</v>
      </c>
      <c r="F615" s="12" t="s">
        <v>2170</v>
      </c>
      <c r="G615" s="38">
        <v>5.26</v>
      </c>
      <c r="H615" s="38">
        <v>4.47</v>
      </c>
      <c r="I615" s="38">
        <v>3.68</v>
      </c>
      <c r="J615" s="39"/>
      <c r="K615" s="143"/>
      <c r="L615" s="22">
        <v>0.30299999999999999</v>
      </c>
      <c r="M615" s="22" t="s">
        <v>2170</v>
      </c>
      <c r="N615" s="20" t="s">
        <v>14489</v>
      </c>
      <c r="O615" s="16" t="s">
        <v>12608</v>
      </c>
      <c r="P615" s="143">
        <v>364</v>
      </c>
      <c r="Q615" s="122" t="s">
        <v>9227</v>
      </c>
      <c r="R615" s="16" t="s">
        <v>9235</v>
      </c>
      <c r="S615" s="10" t="s">
        <v>1165</v>
      </c>
      <c r="T615" s="28" t="s">
        <v>9819</v>
      </c>
      <c r="U615" s="20" t="s">
        <v>5359</v>
      </c>
      <c r="V615" s="16" t="s">
        <v>12990</v>
      </c>
      <c r="W615" s="11" t="s">
        <v>14395</v>
      </c>
      <c r="X615" s="174">
        <v>3.35</v>
      </c>
      <c r="Y615" s="174">
        <v>4.47</v>
      </c>
    </row>
    <row r="616" spans="1:25" ht="15" customHeight="1" x14ac:dyDescent="0.25">
      <c r="A616" s="20" t="s">
        <v>2419</v>
      </c>
      <c r="B616" s="14" t="s">
        <v>2420</v>
      </c>
      <c r="C616" s="71" t="str">
        <f t="shared" si="9"/>
        <v>Product Info</v>
      </c>
      <c r="D616" s="37" t="s">
        <v>3455</v>
      </c>
      <c r="E616" s="143">
        <v>10</v>
      </c>
      <c r="F616" s="12" t="s">
        <v>2170</v>
      </c>
      <c r="G616" s="38">
        <v>24.76</v>
      </c>
      <c r="H616" s="38">
        <v>21.04</v>
      </c>
      <c r="I616" s="38">
        <v>17.329999999999998</v>
      </c>
      <c r="J616" s="39"/>
      <c r="K616" s="143"/>
      <c r="L616" s="22">
        <v>0.6</v>
      </c>
      <c r="M616" s="22" t="s">
        <v>12488</v>
      </c>
      <c r="N616" s="20" t="s">
        <v>8778</v>
      </c>
      <c r="O616" s="16" t="s">
        <v>12608</v>
      </c>
      <c r="P616" s="143">
        <v>364</v>
      </c>
      <c r="Q616" s="121" t="s">
        <v>14285</v>
      </c>
      <c r="R616" s="16" t="s">
        <v>9235</v>
      </c>
      <c r="S616" s="10" t="s">
        <v>1165</v>
      </c>
      <c r="T616" s="28" t="s">
        <v>9820</v>
      </c>
      <c r="U616" s="20" t="s">
        <v>5359</v>
      </c>
      <c r="V616" s="16" t="s">
        <v>13006</v>
      </c>
      <c r="W616" s="11" t="s">
        <v>14395</v>
      </c>
      <c r="X616" s="174">
        <v>15.75</v>
      </c>
      <c r="Y616" s="174">
        <v>21.04</v>
      </c>
    </row>
    <row r="617" spans="1:25" ht="15" customHeight="1" x14ac:dyDescent="0.25">
      <c r="A617" s="20" t="s">
        <v>2421</v>
      </c>
      <c r="B617" s="14" t="s">
        <v>2422</v>
      </c>
      <c r="C617" s="71" t="str">
        <f t="shared" si="9"/>
        <v>Product Info</v>
      </c>
      <c r="D617" s="37" t="s">
        <v>3456</v>
      </c>
      <c r="E617" s="143">
        <v>10</v>
      </c>
      <c r="F617" s="12" t="s">
        <v>2170</v>
      </c>
      <c r="G617" s="38">
        <v>23.33</v>
      </c>
      <c r="H617" s="38">
        <v>19.829999999999998</v>
      </c>
      <c r="I617" s="38">
        <v>16.329999999999998</v>
      </c>
      <c r="J617" s="39"/>
      <c r="K617" s="143"/>
      <c r="L617" s="22">
        <v>0.56999999999999995</v>
      </c>
      <c r="M617" s="22" t="s">
        <v>14396</v>
      </c>
      <c r="N617" s="20" t="s">
        <v>8789</v>
      </c>
      <c r="O617" s="16" t="s">
        <v>13914</v>
      </c>
      <c r="P617" s="143">
        <v>364</v>
      </c>
      <c r="Q617" s="122" t="s">
        <v>9227</v>
      </c>
      <c r="R617" s="16" t="s">
        <v>9235</v>
      </c>
      <c r="S617" s="10" t="s">
        <v>1165</v>
      </c>
      <c r="T617" s="28" t="s">
        <v>9821</v>
      </c>
      <c r="U617" s="20" t="s">
        <v>5359</v>
      </c>
      <c r="V617" s="16" t="s">
        <v>13030</v>
      </c>
      <c r="W617" s="11" t="s">
        <v>14395</v>
      </c>
      <c r="X617" s="174">
        <v>14.84</v>
      </c>
      <c r="Y617" s="174">
        <v>19.829999999999998</v>
      </c>
    </row>
    <row r="618" spans="1:25" ht="15" customHeight="1" x14ac:dyDescent="0.25">
      <c r="A618" s="20" t="s">
        <v>2423</v>
      </c>
      <c r="B618" s="14" t="s">
        <v>2424</v>
      </c>
      <c r="C618" s="71" t="str">
        <f t="shared" si="9"/>
        <v>Product Info</v>
      </c>
      <c r="D618" s="37" t="s">
        <v>3457</v>
      </c>
      <c r="E618" s="143">
        <v>25</v>
      </c>
      <c r="F618" s="12" t="s">
        <v>2170</v>
      </c>
      <c r="G618" s="38">
        <v>5.26</v>
      </c>
      <c r="H618" s="38">
        <v>4.47</v>
      </c>
      <c r="I618" s="38">
        <v>3.68</v>
      </c>
      <c r="J618" s="39"/>
      <c r="K618" s="143"/>
      <c r="L618" s="22">
        <v>0.29599999999999999</v>
      </c>
      <c r="M618" s="22" t="s">
        <v>2170</v>
      </c>
      <c r="N618" s="20" t="s">
        <v>14489</v>
      </c>
      <c r="O618" s="16" t="s">
        <v>12608</v>
      </c>
      <c r="P618" s="143">
        <v>364</v>
      </c>
      <c r="Q618" s="122" t="s">
        <v>9227</v>
      </c>
      <c r="R618" s="16" t="s">
        <v>9235</v>
      </c>
      <c r="S618" s="10" t="s">
        <v>1165</v>
      </c>
      <c r="T618" s="28" t="s">
        <v>9822</v>
      </c>
      <c r="U618" s="20" t="s">
        <v>5359</v>
      </c>
      <c r="V618" s="16" t="s">
        <v>13051</v>
      </c>
      <c r="W618" s="11" t="s">
        <v>14395</v>
      </c>
      <c r="X618" s="174">
        <v>3.35</v>
      </c>
      <c r="Y618" s="174">
        <v>4.47</v>
      </c>
    </row>
    <row r="619" spans="1:25" ht="15" customHeight="1" x14ac:dyDescent="0.25">
      <c r="A619" s="20" t="s">
        <v>2425</v>
      </c>
      <c r="B619" s="14" t="s">
        <v>2426</v>
      </c>
      <c r="C619" s="71" t="str">
        <f t="shared" si="9"/>
        <v>Product Info</v>
      </c>
      <c r="D619" s="37" t="s">
        <v>3458</v>
      </c>
      <c r="E619" s="143">
        <v>25</v>
      </c>
      <c r="F619" s="12" t="s">
        <v>2170</v>
      </c>
      <c r="G619" s="38">
        <v>5.27</v>
      </c>
      <c r="H619" s="38">
        <v>4.4800000000000004</v>
      </c>
      <c r="I619" s="38">
        <v>3.69</v>
      </c>
      <c r="J619" s="39"/>
      <c r="K619" s="143"/>
      <c r="L619" s="22">
        <v>0.29099999999999998</v>
      </c>
      <c r="M619" s="22" t="s">
        <v>2170</v>
      </c>
      <c r="N619" s="20" t="s">
        <v>14489</v>
      </c>
      <c r="O619" s="16" t="s">
        <v>12608</v>
      </c>
      <c r="P619" s="143">
        <v>364</v>
      </c>
      <c r="Q619" s="122" t="s">
        <v>9227</v>
      </c>
      <c r="R619" s="16" t="s">
        <v>9235</v>
      </c>
      <c r="S619" s="10" t="s">
        <v>1165</v>
      </c>
      <c r="T619" s="28" t="s">
        <v>9823</v>
      </c>
      <c r="U619" s="20" t="s">
        <v>5359</v>
      </c>
      <c r="V619" s="16" t="s">
        <v>13010</v>
      </c>
      <c r="W619" s="11" t="s">
        <v>14395</v>
      </c>
      <c r="X619" s="174">
        <v>3.36</v>
      </c>
      <c r="Y619" s="174">
        <v>4.4800000000000004</v>
      </c>
    </row>
    <row r="620" spans="1:25" ht="15" customHeight="1" x14ac:dyDescent="0.25">
      <c r="A620" s="20" t="s">
        <v>2427</v>
      </c>
      <c r="B620" s="14" t="s">
        <v>2428</v>
      </c>
      <c r="C620" s="71" t="str">
        <f t="shared" si="9"/>
        <v>Product Info</v>
      </c>
      <c r="D620" s="37" t="s">
        <v>3459</v>
      </c>
      <c r="E620" s="143">
        <v>10</v>
      </c>
      <c r="F620" s="12" t="s">
        <v>2170</v>
      </c>
      <c r="G620" s="38">
        <v>24.76</v>
      </c>
      <c r="H620" s="38">
        <v>21.04</v>
      </c>
      <c r="I620" s="38">
        <v>17.329999999999998</v>
      </c>
      <c r="J620" s="39"/>
      <c r="K620" s="143"/>
      <c r="L620" s="22">
        <v>0.57999999999999996</v>
      </c>
      <c r="M620" s="22" t="s">
        <v>12488</v>
      </c>
      <c r="N620" s="20" t="s">
        <v>8778</v>
      </c>
      <c r="O620" s="16" t="s">
        <v>12608</v>
      </c>
      <c r="P620" s="143">
        <v>364</v>
      </c>
      <c r="Q620" s="121" t="s">
        <v>14285</v>
      </c>
      <c r="R620" s="16" t="s">
        <v>9235</v>
      </c>
      <c r="S620" s="10" t="s">
        <v>1165</v>
      </c>
      <c r="T620" s="28" t="s">
        <v>9824</v>
      </c>
      <c r="U620" s="20" t="s">
        <v>5359</v>
      </c>
      <c r="V620" s="16" t="s">
        <v>12986</v>
      </c>
      <c r="W620" s="11" t="s">
        <v>14395</v>
      </c>
      <c r="X620" s="174">
        <v>15.75</v>
      </c>
      <c r="Y620" s="174">
        <v>21.04</v>
      </c>
    </row>
    <row r="621" spans="1:25" ht="15" customHeight="1" x14ac:dyDescent="0.25">
      <c r="A621" s="20" t="s">
        <v>2429</v>
      </c>
      <c r="B621" s="14" t="s">
        <v>2430</v>
      </c>
      <c r="C621" s="71" t="str">
        <f t="shared" si="9"/>
        <v>Product Info</v>
      </c>
      <c r="D621" s="37" t="s">
        <v>3460</v>
      </c>
      <c r="E621" s="143">
        <v>10</v>
      </c>
      <c r="F621" s="12" t="s">
        <v>2170</v>
      </c>
      <c r="G621" s="38">
        <v>24.76</v>
      </c>
      <c r="H621" s="38">
        <v>21.04</v>
      </c>
      <c r="I621" s="38">
        <v>17.329999999999998</v>
      </c>
      <c r="J621" s="39"/>
      <c r="K621" s="143"/>
      <c r="L621" s="22">
        <v>0.54</v>
      </c>
      <c r="M621" s="22" t="s">
        <v>12488</v>
      </c>
      <c r="N621" s="20" t="s">
        <v>8778</v>
      </c>
      <c r="O621" s="16" t="s">
        <v>12608</v>
      </c>
      <c r="P621" s="143">
        <v>364</v>
      </c>
      <c r="Q621" s="122" t="s">
        <v>9227</v>
      </c>
      <c r="R621" s="16" t="s">
        <v>9235</v>
      </c>
      <c r="S621" s="10" t="s">
        <v>1165</v>
      </c>
      <c r="T621" s="28" t="s">
        <v>9825</v>
      </c>
      <c r="U621" s="20" t="s">
        <v>5359</v>
      </c>
      <c r="V621" s="16" t="s">
        <v>13044</v>
      </c>
      <c r="W621" s="11" t="s">
        <v>14395</v>
      </c>
      <c r="X621" s="174">
        <v>15.75</v>
      </c>
      <c r="Y621" s="174">
        <v>21.04</v>
      </c>
    </row>
    <row r="622" spans="1:25" ht="15" customHeight="1" x14ac:dyDescent="0.25">
      <c r="A622" s="20" t="s">
        <v>2431</v>
      </c>
      <c r="B622" s="14" t="s">
        <v>2432</v>
      </c>
      <c r="C622" s="71" t="str">
        <f t="shared" si="9"/>
        <v>Product Info</v>
      </c>
      <c r="D622" s="37" t="s">
        <v>3461</v>
      </c>
      <c r="E622" s="143">
        <v>10</v>
      </c>
      <c r="F622" s="12" t="s">
        <v>2170</v>
      </c>
      <c r="G622" s="38">
        <v>62.17</v>
      </c>
      <c r="H622" s="38">
        <v>52.85</v>
      </c>
      <c r="I622" s="38">
        <v>43.52</v>
      </c>
      <c r="J622" s="39"/>
      <c r="K622" s="143"/>
      <c r="L622" s="22">
        <v>1.46</v>
      </c>
      <c r="M622" s="22" t="s">
        <v>2170</v>
      </c>
      <c r="N622" s="20" t="s">
        <v>14489</v>
      </c>
      <c r="O622" s="16" t="s">
        <v>12608</v>
      </c>
      <c r="P622" s="143">
        <v>364</v>
      </c>
      <c r="Q622" s="122" t="s">
        <v>9227</v>
      </c>
      <c r="R622" s="16" t="s">
        <v>9235</v>
      </c>
      <c r="S622" s="10" t="s">
        <v>1165</v>
      </c>
      <c r="T622" s="28" t="s">
        <v>9826</v>
      </c>
      <c r="U622" s="20" t="s">
        <v>5359</v>
      </c>
      <c r="V622" s="16" t="s">
        <v>13058</v>
      </c>
      <c r="W622" s="11" t="s">
        <v>14395</v>
      </c>
      <c r="X622" s="174">
        <v>39.57</v>
      </c>
      <c r="Y622" s="174">
        <v>52.85</v>
      </c>
    </row>
    <row r="623" spans="1:25" ht="15" customHeight="1" x14ac:dyDescent="0.25">
      <c r="A623" s="20" t="s">
        <v>2433</v>
      </c>
      <c r="B623" s="14" t="s">
        <v>2434</v>
      </c>
      <c r="C623" s="71" t="str">
        <f t="shared" si="9"/>
        <v>Product Info</v>
      </c>
      <c r="D623" s="37" t="s">
        <v>3462</v>
      </c>
      <c r="E623" s="143">
        <v>5</v>
      </c>
      <c r="F623" s="12" t="s">
        <v>2170</v>
      </c>
      <c r="G623" s="38">
        <v>33.49</v>
      </c>
      <c r="H623" s="38">
        <v>28.46</v>
      </c>
      <c r="I623" s="38">
        <v>23.44</v>
      </c>
      <c r="J623" s="39">
        <v>3000</v>
      </c>
      <c r="K623" s="143"/>
      <c r="L623" s="22">
        <v>1.05</v>
      </c>
      <c r="M623" s="22" t="s">
        <v>2170</v>
      </c>
      <c r="N623" s="20" t="s">
        <v>14489</v>
      </c>
      <c r="O623" s="16" t="s">
        <v>12608</v>
      </c>
      <c r="P623" s="143">
        <v>364</v>
      </c>
      <c r="Q623" s="122" t="s">
        <v>9227</v>
      </c>
      <c r="R623" s="16" t="s">
        <v>9235</v>
      </c>
      <c r="S623" s="10" t="s">
        <v>1165</v>
      </c>
      <c r="T623" s="28" t="s">
        <v>9827</v>
      </c>
      <c r="U623" s="20" t="s">
        <v>5359</v>
      </c>
      <c r="V623" s="16" t="s">
        <v>13038</v>
      </c>
      <c r="W623" s="11" t="s">
        <v>14395</v>
      </c>
      <c r="X623" s="174">
        <v>21.31</v>
      </c>
      <c r="Y623" s="174">
        <v>28.46</v>
      </c>
    </row>
    <row r="624" spans="1:25" ht="15" customHeight="1" x14ac:dyDescent="0.25">
      <c r="A624" s="20" t="s">
        <v>4338</v>
      </c>
      <c r="B624" s="14" t="s">
        <v>4339</v>
      </c>
      <c r="C624" s="71" t="str">
        <f t="shared" si="9"/>
        <v>Product Info</v>
      </c>
      <c r="D624" s="37" t="s">
        <v>3463</v>
      </c>
      <c r="E624" s="143">
        <v>5</v>
      </c>
      <c r="F624" s="12" t="s">
        <v>2170</v>
      </c>
      <c r="G624" s="38">
        <v>33.49</v>
      </c>
      <c r="H624" s="38">
        <v>28.46</v>
      </c>
      <c r="I624" s="38">
        <v>23.44</v>
      </c>
      <c r="J624" s="39">
        <v>3000</v>
      </c>
      <c r="K624" s="143"/>
      <c r="L624" s="22">
        <v>1.0349999999999999</v>
      </c>
      <c r="M624" s="22" t="s">
        <v>2170</v>
      </c>
      <c r="N624" s="20" t="s">
        <v>14489</v>
      </c>
      <c r="O624" s="16" t="s">
        <v>12608</v>
      </c>
      <c r="P624" s="143">
        <v>364</v>
      </c>
      <c r="Q624" s="122" t="s">
        <v>9227</v>
      </c>
      <c r="R624" s="16" t="s">
        <v>9235</v>
      </c>
      <c r="S624" s="10" t="s">
        <v>1165</v>
      </c>
      <c r="T624" s="28" t="s">
        <v>9828</v>
      </c>
      <c r="U624" s="20" t="s">
        <v>5359</v>
      </c>
      <c r="V624" s="16" t="s">
        <v>13028</v>
      </c>
      <c r="W624" s="11" t="s">
        <v>14395</v>
      </c>
      <c r="X624" s="174">
        <v>21.31</v>
      </c>
      <c r="Y624" s="174">
        <v>28.46</v>
      </c>
    </row>
    <row r="625" spans="1:25" ht="15" customHeight="1" x14ac:dyDescent="0.25">
      <c r="A625" s="20" t="s">
        <v>2192</v>
      </c>
      <c r="B625" s="14" t="s">
        <v>2193</v>
      </c>
      <c r="C625" s="71" t="str">
        <f t="shared" si="9"/>
        <v>Product Info</v>
      </c>
      <c r="D625" s="37" t="s">
        <v>3464</v>
      </c>
      <c r="E625" s="143">
        <v>5</v>
      </c>
      <c r="F625" s="12" t="s">
        <v>2170</v>
      </c>
      <c r="G625" s="38">
        <v>33.49</v>
      </c>
      <c r="H625" s="38">
        <v>28.46</v>
      </c>
      <c r="I625" s="38">
        <v>23.44</v>
      </c>
      <c r="J625" s="39">
        <v>3000</v>
      </c>
      <c r="K625" s="143"/>
      <c r="L625" s="22">
        <v>1</v>
      </c>
      <c r="M625" s="22" t="s">
        <v>2170</v>
      </c>
      <c r="N625" s="20" t="s">
        <v>14489</v>
      </c>
      <c r="O625" s="16" t="s">
        <v>12608</v>
      </c>
      <c r="P625" s="143">
        <v>364</v>
      </c>
      <c r="Q625" s="122" t="s">
        <v>9227</v>
      </c>
      <c r="R625" s="16" t="s">
        <v>9235</v>
      </c>
      <c r="S625" s="10" t="s">
        <v>1165</v>
      </c>
      <c r="T625" s="28" t="s">
        <v>9829</v>
      </c>
      <c r="U625" s="20" t="s">
        <v>5359</v>
      </c>
      <c r="V625" s="16" t="s">
        <v>13018</v>
      </c>
      <c r="W625" s="11" t="s">
        <v>14395</v>
      </c>
      <c r="X625" s="174">
        <v>21.31</v>
      </c>
      <c r="Y625" s="174">
        <v>28.46</v>
      </c>
    </row>
    <row r="626" spans="1:25" ht="15" customHeight="1" x14ac:dyDescent="0.25">
      <c r="A626" s="20" t="s">
        <v>2194</v>
      </c>
      <c r="B626" s="14" t="s">
        <v>2195</v>
      </c>
      <c r="C626" s="71" t="str">
        <f t="shared" si="9"/>
        <v>Product Info</v>
      </c>
      <c r="D626" s="37" t="s">
        <v>3465</v>
      </c>
      <c r="E626" s="143">
        <v>5</v>
      </c>
      <c r="F626" s="12" t="s">
        <v>2170</v>
      </c>
      <c r="G626" s="38">
        <v>33.49</v>
      </c>
      <c r="H626" s="38">
        <v>28.46</v>
      </c>
      <c r="I626" s="38">
        <v>23.44</v>
      </c>
      <c r="J626" s="39">
        <v>3000</v>
      </c>
      <c r="K626" s="143"/>
      <c r="L626" s="22">
        <v>1.01</v>
      </c>
      <c r="M626" s="22" t="s">
        <v>2170</v>
      </c>
      <c r="N626" s="20" t="s">
        <v>14489</v>
      </c>
      <c r="O626" s="16" t="s">
        <v>12608</v>
      </c>
      <c r="P626" s="143">
        <v>364</v>
      </c>
      <c r="Q626" s="122" t="s">
        <v>9227</v>
      </c>
      <c r="R626" s="16" t="s">
        <v>9235</v>
      </c>
      <c r="S626" s="10" t="s">
        <v>1165</v>
      </c>
      <c r="T626" s="28" t="s">
        <v>9830</v>
      </c>
      <c r="U626" s="20" t="s">
        <v>5359</v>
      </c>
      <c r="V626" s="16" t="s">
        <v>13004</v>
      </c>
      <c r="W626" s="11" t="s">
        <v>14395</v>
      </c>
      <c r="X626" s="174">
        <v>21.31</v>
      </c>
      <c r="Y626" s="174">
        <v>28.46</v>
      </c>
    </row>
    <row r="627" spans="1:25" ht="15" customHeight="1" x14ac:dyDescent="0.25">
      <c r="A627" s="20" t="s">
        <v>2196</v>
      </c>
      <c r="B627" s="14" t="s">
        <v>2197</v>
      </c>
      <c r="C627" s="71" t="str">
        <f t="shared" si="9"/>
        <v>Product Info</v>
      </c>
      <c r="D627" s="37" t="s">
        <v>3466</v>
      </c>
      <c r="E627" s="143">
        <v>5</v>
      </c>
      <c r="F627" s="12" t="s">
        <v>2170</v>
      </c>
      <c r="G627" s="38">
        <v>33.49</v>
      </c>
      <c r="H627" s="38">
        <v>28.46</v>
      </c>
      <c r="I627" s="38">
        <v>23.44</v>
      </c>
      <c r="J627" s="39">
        <v>3000</v>
      </c>
      <c r="K627" s="143"/>
      <c r="L627" s="22">
        <v>0.99</v>
      </c>
      <c r="M627" s="22" t="s">
        <v>2170</v>
      </c>
      <c r="N627" s="20" t="s">
        <v>14489</v>
      </c>
      <c r="O627" s="16" t="s">
        <v>12608</v>
      </c>
      <c r="P627" s="143">
        <v>364</v>
      </c>
      <c r="Q627" s="122" t="s">
        <v>9227</v>
      </c>
      <c r="R627" s="16" t="s">
        <v>9235</v>
      </c>
      <c r="S627" s="10" t="s">
        <v>1165</v>
      </c>
      <c r="T627" s="28" t="s">
        <v>9831</v>
      </c>
      <c r="U627" s="20" t="s">
        <v>5359</v>
      </c>
      <c r="V627" s="16" t="s">
        <v>13053</v>
      </c>
      <c r="W627" s="11" t="s">
        <v>14395</v>
      </c>
      <c r="X627" s="174">
        <v>21.31</v>
      </c>
      <c r="Y627" s="174">
        <v>28.46</v>
      </c>
    </row>
    <row r="628" spans="1:25" ht="15" customHeight="1" x14ac:dyDescent="0.25">
      <c r="A628" s="20" t="s">
        <v>2198</v>
      </c>
      <c r="B628" s="14" t="s">
        <v>2199</v>
      </c>
      <c r="C628" s="71" t="str">
        <f t="shared" si="9"/>
        <v>Product Info</v>
      </c>
      <c r="D628" s="37" t="s">
        <v>3467</v>
      </c>
      <c r="E628" s="143">
        <v>5</v>
      </c>
      <c r="F628" s="12" t="s">
        <v>2170</v>
      </c>
      <c r="G628" s="38">
        <v>33.49</v>
      </c>
      <c r="H628" s="38">
        <v>28.46</v>
      </c>
      <c r="I628" s="38">
        <v>23.44</v>
      </c>
      <c r="J628" s="39">
        <v>3000</v>
      </c>
      <c r="K628" s="143"/>
      <c r="L628" s="22">
        <v>0.96</v>
      </c>
      <c r="M628" s="22" t="s">
        <v>14396</v>
      </c>
      <c r="N628" s="20" t="s">
        <v>8778</v>
      </c>
      <c r="O628" s="16" t="s">
        <v>13914</v>
      </c>
      <c r="P628" s="143">
        <v>364</v>
      </c>
      <c r="Q628" s="122" t="s">
        <v>9227</v>
      </c>
      <c r="R628" s="16" t="s">
        <v>9235</v>
      </c>
      <c r="S628" s="10" t="s">
        <v>1165</v>
      </c>
      <c r="T628" s="28" t="s">
        <v>9832</v>
      </c>
      <c r="U628" s="20" t="s">
        <v>5359</v>
      </c>
      <c r="V628" s="16" t="s">
        <v>13040</v>
      </c>
      <c r="W628" s="11" t="s">
        <v>14395</v>
      </c>
      <c r="X628" s="174">
        <v>21.31</v>
      </c>
      <c r="Y628" s="174">
        <v>28.46</v>
      </c>
    </row>
    <row r="629" spans="1:25" ht="15" customHeight="1" x14ac:dyDescent="0.25">
      <c r="A629" s="20" t="s">
        <v>2200</v>
      </c>
      <c r="B629" s="14" t="s">
        <v>2201</v>
      </c>
      <c r="C629" s="71" t="str">
        <f t="shared" si="9"/>
        <v>Product Info</v>
      </c>
      <c r="D629" s="37" t="s">
        <v>3468</v>
      </c>
      <c r="E629" s="143">
        <v>5</v>
      </c>
      <c r="F629" s="12" t="s">
        <v>2170</v>
      </c>
      <c r="G629" s="38">
        <v>33.49</v>
      </c>
      <c r="H629" s="38">
        <v>28.46</v>
      </c>
      <c r="I629" s="38">
        <v>23.44</v>
      </c>
      <c r="J629" s="39">
        <v>3000</v>
      </c>
      <c r="K629" s="143"/>
      <c r="L629" s="22">
        <v>0.96</v>
      </c>
      <c r="M629" s="22" t="s">
        <v>2170</v>
      </c>
      <c r="N629" s="20" t="s">
        <v>14489</v>
      </c>
      <c r="O629" s="16" t="s">
        <v>12608</v>
      </c>
      <c r="P629" s="143">
        <v>364</v>
      </c>
      <c r="Q629" s="122" t="s">
        <v>9227</v>
      </c>
      <c r="R629" s="16" t="s">
        <v>9235</v>
      </c>
      <c r="S629" s="10" t="s">
        <v>1165</v>
      </c>
      <c r="T629" s="28" t="s">
        <v>9833</v>
      </c>
      <c r="U629" s="20" t="s">
        <v>5359</v>
      </c>
      <c r="V629" s="16" t="s">
        <v>13012</v>
      </c>
      <c r="W629" s="11" t="s">
        <v>14395</v>
      </c>
      <c r="X629" s="174">
        <v>21.31</v>
      </c>
      <c r="Y629" s="174">
        <v>28.46</v>
      </c>
    </row>
    <row r="630" spans="1:25" ht="15" customHeight="1" x14ac:dyDescent="0.25">
      <c r="A630" s="20" t="s">
        <v>2202</v>
      </c>
      <c r="B630" s="14" t="s">
        <v>2203</v>
      </c>
      <c r="C630" s="71" t="str">
        <f t="shared" si="9"/>
        <v>Product Info</v>
      </c>
      <c r="D630" s="37" t="s">
        <v>3469</v>
      </c>
      <c r="E630" s="143">
        <v>5</v>
      </c>
      <c r="F630" s="12" t="s">
        <v>2170</v>
      </c>
      <c r="G630" s="38">
        <v>33.49</v>
      </c>
      <c r="H630" s="38">
        <v>28.46</v>
      </c>
      <c r="I630" s="38">
        <v>23.44</v>
      </c>
      <c r="J630" s="39">
        <v>3000</v>
      </c>
      <c r="K630" s="143"/>
      <c r="L630" s="22">
        <v>1.05</v>
      </c>
      <c r="M630" s="22" t="s">
        <v>2170</v>
      </c>
      <c r="N630" s="20" t="s">
        <v>14489</v>
      </c>
      <c r="O630" s="16" t="s">
        <v>13914</v>
      </c>
      <c r="P630" s="143">
        <v>364</v>
      </c>
      <c r="Q630" s="122" t="s">
        <v>9227</v>
      </c>
      <c r="R630" s="16" t="s">
        <v>9235</v>
      </c>
      <c r="S630" s="10" t="s">
        <v>1165</v>
      </c>
      <c r="T630" s="28" t="s">
        <v>9834</v>
      </c>
      <c r="U630" s="20" t="s">
        <v>5359</v>
      </c>
      <c r="V630" s="16" t="s">
        <v>13041</v>
      </c>
      <c r="W630" s="11" t="s">
        <v>14395</v>
      </c>
      <c r="X630" s="174">
        <v>21.31</v>
      </c>
      <c r="Y630" s="174">
        <v>28.46</v>
      </c>
    </row>
    <row r="631" spans="1:25" ht="15" customHeight="1" x14ac:dyDescent="0.25">
      <c r="A631" s="20" t="s">
        <v>2204</v>
      </c>
      <c r="B631" s="14" t="s">
        <v>2205</v>
      </c>
      <c r="C631" s="71" t="str">
        <f t="shared" si="9"/>
        <v>Product Info</v>
      </c>
      <c r="D631" s="37" t="s">
        <v>3470</v>
      </c>
      <c r="E631" s="143">
        <v>5</v>
      </c>
      <c r="F631" s="12" t="s">
        <v>2170</v>
      </c>
      <c r="G631" s="38">
        <v>33.49</v>
      </c>
      <c r="H631" s="38">
        <v>28.46</v>
      </c>
      <c r="I631" s="38">
        <v>23.44</v>
      </c>
      <c r="J631" s="39">
        <v>3000</v>
      </c>
      <c r="K631" s="143"/>
      <c r="L631" s="22">
        <v>1.0549999999999999</v>
      </c>
      <c r="M631" s="22" t="s">
        <v>2170</v>
      </c>
      <c r="N631" s="20" t="s">
        <v>14489</v>
      </c>
      <c r="O631" s="16" t="s">
        <v>12608</v>
      </c>
      <c r="P631" s="143">
        <v>364</v>
      </c>
      <c r="Q631" s="122" t="s">
        <v>9227</v>
      </c>
      <c r="R631" s="16" t="s">
        <v>9235</v>
      </c>
      <c r="S631" s="10" t="s">
        <v>1165</v>
      </c>
      <c r="T631" s="28" t="s">
        <v>9835</v>
      </c>
      <c r="U631" s="20" t="s">
        <v>5359</v>
      </c>
      <c r="V631" s="16" t="s">
        <v>12987</v>
      </c>
      <c r="W631" s="11" t="s">
        <v>14395</v>
      </c>
      <c r="X631" s="174">
        <v>21.31</v>
      </c>
      <c r="Y631" s="174">
        <v>28.46</v>
      </c>
    </row>
    <row r="632" spans="1:25" ht="15" customHeight="1" x14ac:dyDescent="0.25">
      <c r="A632" s="20" t="s">
        <v>2206</v>
      </c>
      <c r="B632" s="14" t="s">
        <v>2207</v>
      </c>
      <c r="C632" s="71" t="str">
        <f t="shared" si="9"/>
        <v>Product Info</v>
      </c>
      <c r="D632" s="37" t="s">
        <v>6704</v>
      </c>
      <c r="E632" s="143">
        <v>5</v>
      </c>
      <c r="F632" s="12" t="s">
        <v>2170</v>
      </c>
      <c r="G632" s="38">
        <v>36.729999999999997</v>
      </c>
      <c r="H632" s="38">
        <v>31.22</v>
      </c>
      <c r="I632" s="38">
        <v>25.71</v>
      </c>
      <c r="J632" s="39">
        <v>3000</v>
      </c>
      <c r="K632" s="143"/>
      <c r="L632" s="22">
        <v>1.2</v>
      </c>
      <c r="M632" s="22" t="s">
        <v>14396</v>
      </c>
      <c r="N632" s="20" t="s">
        <v>8778</v>
      </c>
      <c r="O632" s="16" t="s">
        <v>13914</v>
      </c>
      <c r="P632" s="143">
        <v>364</v>
      </c>
      <c r="Q632" s="122" t="s">
        <v>9227</v>
      </c>
      <c r="R632" s="16" t="s">
        <v>9235</v>
      </c>
      <c r="S632" s="10" t="s">
        <v>1165</v>
      </c>
      <c r="T632" s="28" t="s">
        <v>9836</v>
      </c>
      <c r="U632" s="20" t="s">
        <v>5359</v>
      </c>
      <c r="V632" s="16" t="s">
        <v>8329</v>
      </c>
      <c r="W632" s="11" t="s">
        <v>14395</v>
      </c>
      <c r="X632" s="174">
        <v>23.38</v>
      </c>
      <c r="Y632" s="174">
        <v>31.22</v>
      </c>
    </row>
    <row r="633" spans="1:25" ht="15" customHeight="1" x14ac:dyDescent="0.25">
      <c r="A633" s="20" t="s">
        <v>2208</v>
      </c>
      <c r="B633" s="14" t="s">
        <v>2209</v>
      </c>
      <c r="C633" s="71" t="str">
        <f t="shared" si="9"/>
        <v>Product Info</v>
      </c>
      <c r="D633" s="37" t="s">
        <v>6705</v>
      </c>
      <c r="E633" s="143">
        <v>5</v>
      </c>
      <c r="F633" s="12" t="s">
        <v>2170</v>
      </c>
      <c r="G633" s="38">
        <v>36.729999999999997</v>
      </c>
      <c r="H633" s="38">
        <v>31.22</v>
      </c>
      <c r="I633" s="38">
        <v>25.71</v>
      </c>
      <c r="J633" s="39">
        <v>3000</v>
      </c>
      <c r="K633" s="143"/>
      <c r="L633" s="22">
        <v>1.18</v>
      </c>
      <c r="M633" s="22" t="s">
        <v>2170</v>
      </c>
      <c r="N633" s="20" t="s">
        <v>14489</v>
      </c>
      <c r="O633" s="16" t="s">
        <v>12608</v>
      </c>
      <c r="P633" s="143">
        <v>364</v>
      </c>
      <c r="Q633" s="122" t="s">
        <v>9227</v>
      </c>
      <c r="R633" s="16" t="s">
        <v>9235</v>
      </c>
      <c r="S633" s="10" t="s">
        <v>1165</v>
      </c>
      <c r="T633" s="28" t="s">
        <v>9837</v>
      </c>
      <c r="U633" s="20" t="s">
        <v>5359</v>
      </c>
      <c r="V633" s="16" t="s">
        <v>8330</v>
      </c>
      <c r="W633" s="11" t="s">
        <v>14395</v>
      </c>
      <c r="X633" s="174">
        <v>23.38</v>
      </c>
      <c r="Y633" s="174">
        <v>31.22</v>
      </c>
    </row>
    <row r="634" spans="1:25" ht="15" customHeight="1" x14ac:dyDescent="0.25">
      <c r="A634" s="20" t="s">
        <v>2210</v>
      </c>
      <c r="B634" s="14" t="s">
        <v>2211</v>
      </c>
      <c r="C634" s="71" t="str">
        <f t="shared" si="9"/>
        <v>Product Info</v>
      </c>
      <c r="D634" s="37" t="s">
        <v>6706</v>
      </c>
      <c r="E634" s="143">
        <v>25</v>
      </c>
      <c r="F634" s="12" t="s">
        <v>2170</v>
      </c>
      <c r="G634" s="38">
        <v>8.09</v>
      </c>
      <c r="H634" s="38">
        <v>6.87</v>
      </c>
      <c r="I634" s="38">
        <v>5.66</v>
      </c>
      <c r="J634" s="39"/>
      <c r="K634" s="143"/>
      <c r="L634" s="22">
        <v>0.4</v>
      </c>
      <c r="M634" s="22" t="s">
        <v>12488</v>
      </c>
      <c r="N634" s="20" t="s">
        <v>8773</v>
      </c>
      <c r="O634" s="16" t="s">
        <v>12608</v>
      </c>
      <c r="P634" s="143">
        <v>364</v>
      </c>
      <c r="Q634" s="121" t="s">
        <v>14285</v>
      </c>
      <c r="R634" s="16" t="s">
        <v>9235</v>
      </c>
      <c r="S634" s="10" t="s">
        <v>1165</v>
      </c>
      <c r="T634" s="28" t="s">
        <v>9838</v>
      </c>
      <c r="U634" s="20" t="s">
        <v>5359</v>
      </c>
      <c r="V634" s="16" t="s">
        <v>8331</v>
      </c>
      <c r="W634" s="11" t="s">
        <v>14395</v>
      </c>
      <c r="X634" s="174">
        <v>5.15</v>
      </c>
      <c r="Y634" s="174">
        <v>6.87</v>
      </c>
    </row>
    <row r="635" spans="1:25" ht="15" customHeight="1" x14ac:dyDescent="0.25">
      <c r="A635" s="20" t="s">
        <v>3662</v>
      </c>
      <c r="B635" s="14" t="s">
        <v>3663</v>
      </c>
      <c r="C635" s="71" t="str">
        <f t="shared" si="9"/>
        <v>Product Info</v>
      </c>
      <c r="D635" s="37" t="s">
        <v>6707</v>
      </c>
      <c r="E635" s="143">
        <v>25</v>
      </c>
      <c r="F635" s="12" t="s">
        <v>2170</v>
      </c>
      <c r="G635" s="38">
        <v>8.09</v>
      </c>
      <c r="H635" s="38">
        <v>6.87</v>
      </c>
      <c r="I635" s="38">
        <v>5.66</v>
      </c>
      <c r="J635" s="39"/>
      <c r="K635" s="143"/>
      <c r="L635" s="22">
        <v>0.378</v>
      </c>
      <c r="M635" s="22" t="s">
        <v>2170</v>
      </c>
      <c r="N635" s="20" t="s">
        <v>14489</v>
      </c>
      <c r="O635" s="16" t="s">
        <v>12608</v>
      </c>
      <c r="P635" s="143">
        <v>364</v>
      </c>
      <c r="Q635" s="121" t="s">
        <v>14285</v>
      </c>
      <c r="R635" s="16" t="s">
        <v>9235</v>
      </c>
      <c r="S635" s="10" t="s">
        <v>1165</v>
      </c>
      <c r="T635" s="28" t="s">
        <v>9839</v>
      </c>
      <c r="U635" s="20" t="s">
        <v>5359</v>
      </c>
      <c r="V635" s="16" t="s">
        <v>8332</v>
      </c>
      <c r="W635" s="11" t="s">
        <v>14395</v>
      </c>
      <c r="X635" s="174">
        <v>5.15</v>
      </c>
      <c r="Y635" s="174">
        <v>6.87</v>
      </c>
    </row>
    <row r="636" spans="1:25" ht="15" customHeight="1" x14ac:dyDescent="0.25">
      <c r="A636" s="20" t="s">
        <v>3664</v>
      </c>
      <c r="B636" s="14" t="s">
        <v>3665</v>
      </c>
      <c r="C636" s="71" t="str">
        <f t="shared" si="9"/>
        <v>Product Info</v>
      </c>
      <c r="D636" s="37" t="s">
        <v>6708</v>
      </c>
      <c r="E636" s="143">
        <v>25</v>
      </c>
      <c r="F636" s="12" t="s">
        <v>2170</v>
      </c>
      <c r="G636" s="38">
        <v>8.09</v>
      </c>
      <c r="H636" s="38">
        <v>6.87</v>
      </c>
      <c r="I636" s="38">
        <v>5.66</v>
      </c>
      <c r="J636" s="39"/>
      <c r="K636" s="143"/>
      <c r="L636" s="22">
        <v>0.37</v>
      </c>
      <c r="M636" s="22" t="s">
        <v>12488</v>
      </c>
      <c r="N636" s="20" t="s">
        <v>8773</v>
      </c>
      <c r="O636" s="16" t="s">
        <v>12608</v>
      </c>
      <c r="P636" s="143">
        <v>364</v>
      </c>
      <c r="Q636" s="122" t="s">
        <v>9227</v>
      </c>
      <c r="R636" s="16" t="s">
        <v>9235</v>
      </c>
      <c r="S636" s="10" t="s">
        <v>1165</v>
      </c>
      <c r="T636" s="28" t="s">
        <v>9840</v>
      </c>
      <c r="U636" s="20" t="s">
        <v>5359</v>
      </c>
      <c r="V636" s="16" t="s">
        <v>8333</v>
      </c>
      <c r="W636" s="11" t="s">
        <v>14395</v>
      </c>
      <c r="X636" s="174">
        <v>5.15</v>
      </c>
      <c r="Y636" s="174">
        <v>6.87</v>
      </c>
    </row>
    <row r="637" spans="1:25" ht="15" customHeight="1" x14ac:dyDescent="0.25">
      <c r="A637" s="20" t="s">
        <v>3666</v>
      </c>
      <c r="B637" s="14" t="s">
        <v>3667</v>
      </c>
      <c r="C637" s="71" t="str">
        <f t="shared" si="9"/>
        <v>Product Info</v>
      </c>
      <c r="D637" s="37" t="s">
        <v>6709</v>
      </c>
      <c r="E637" s="143">
        <v>25</v>
      </c>
      <c r="F637" s="12" t="s">
        <v>2170</v>
      </c>
      <c r="G637" s="38">
        <v>8.09</v>
      </c>
      <c r="H637" s="38">
        <v>6.87</v>
      </c>
      <c r="I637" s="38">
        <v>5.66</v>
      </c>
      <c r="J637" s="39"/>
      <c r="K637" s="143"/>
      <c r="L637" s="22">
        <v>0.36799999999999999</v>
      </c>
      <c r="M637" s="22" t="s">
        <v>2170</v>
      </c>
      <c r="N637" s="20" t="s">
        <v>14489</v>
      </c>
      <c r="O637" s="16" t="s">
        <v>12608</v>
      </c>
      <c r="P637" s="143">
        <v>364</v>
      </c>
      <c r="Q637" s="122" t="s">
        <v>9227</v>
      </c>
      <c r="R637" s="16" t="s">
        <v>9235</v>
      </c>
      <c r="S637" s="10" t="s">
        <v>1165</v>
      </c>
      <c r="T637" s="28" t="s">
        <v>9841</v>
      </c>
      <c r="U637" s="20" t="s">
        <v>5359</v>
      </c>
      <c r="V637" s="16" t="s">
        <v>8334</v>
      </c>
      <c r="W637" s="11" t="s">
        <v>14395</v>
      </c>
      <c r="X637" s="174">
        <v>5.15</v>
      </c>
      <c r="Y637" s="174">
        <v>6.87</v>
      </c>
    </row>
    <row r="638" spans="1:25" ht="15" customHeight="1" x14ac:dyDescent="0.25">
      <c r="A638" s="20" t="s">
        <v>3668</v>
      </c>
      <c r="B638" s="14" t="s">
        <v>3669</v>
      </c>
      <c r="C638" s="71" t="str">
        <f t="shared" si="9"/>
        <v>Product Info</v>
      </c>
      <c r="D638" s="37" t="s">
        <v>6710</v>
      </c>
      <c r="E638" s="143">
        <v>25</v>
      </c>
      <c r="F638" s="12" t="s">
        <v>2170</v>
      </c>
      <c r="G638" s="38">
        <v>8.09</v>
      </c>
      <c r="H638" s="38">
        <v>6.87</v>
      </c>
      <c r="I638" s="38">
        <v>5.66</v>
      </c>
      <c r="J638" s="39"/>
      <c r="K638" s="143"/>
      <c r="L638" s="22">
        <v>0.35599999999999998</v>
      </c>
      <c r="M638" s="22" t="s">
        <v>2170</v>
      </c>
      <c r="N638" s="20" t="s">
        <v>14489</v>
      </c>
      <c r="O638" s="16" t="s">
        <v>13914</v>
      </c>
      <c r="P638" s="143">
        <v>364</v>
      </c>
      <c r="Q638" s="122" t="s">
        <v>12421</v>
      </c>
      <c r="R638" s="16" t="s">
        <v>9235</v>
      </c>
      <c r="S638" s="10" t="s">
        <v>1165</v>
      </c>
      <c r="T638" s="28" t="s">
        <v>9842</v>
      </c>
      <c r="U638" s="20" t="s">
        <v>5359</v>
      </c>
      <c r="V638" s="16" t="s">
        <v>8335</v>
      </c>
      <c r="W638" s="11" t="s">
        <v>14395</v>
      </c>
      <c r="X638" s="174">
        <v>5.15</v>
      </c>
      <c r="Y638" s="174">
        <v>6.87</v>
      </c>
    </row>
    <row r="639" spans="1:25" ht="15" customHeight="1" x14ac:dyDescent="0.25">
      <c r="A639" s="20" t="s">
        <v>3670</v>
      </c>
      <c r="B639" s="14" t="s">
        <v>3671</v>
      </c>
      <c r="C639" s="71" t="str">
        <f t="shared" si="9"/>
        <v>Product Info</v>
      </c>
      <c r="D639" s="37" t="s">
        <v>6711</v>
      </c>
      <c r="E639" s="143">
        <v>25</v>
      </c>
      <c r="F639" s="12" t="s">
        <v>2170</v>
      </c>
      <c r="G639" s="38">
        <v>8.09</v>
      </c>
      <c r="H639" s="38">
        <v>6.87</v>
      </c>
      <c r="I639" s="38">
        <v>5.66</v>
      </c>
      <c r="J639" s="39"/>
      <c r="K639" s="143"/>
      <c r="L639" s="22">
        <v>0.36</v>
      </c>
      <c r="M639" s="22" t="s">
        <v>12488</v>
      </c>
      <c r="N639" s="20" t="s">
        <v>8778</v>
      </c>
      <c r="O639" s="16" t="s">
        <v>12608</v>
      </c>
      <c r="P639" s="143">
        <v>364</v>
      </c>
      <c r="Q639" s="122" t="s">
        <v>12421</v>
      </c>
      <c r="R639" s="16" t="s">
        <v>9235</v>
      </c>
      <c r="S639" s="10" t="s">
        <v>1165</v>
      </c>
      <c r="T639" s="28" t="s">
        <v>9843</v>
      </c>
      <c r="U639" s="20" t="s">
        <v>5359</v>
      </c>
      <c r="V639" s="16" t="s">
        <v>8336</v>
      </c>
      <c r="W639" s="11" t="s">
        <v>14395</v>
      </c>
      <c r="X639" s="174">
        <v>5.15</v>
      </c>
      <c r="Y639" s="174">
        <v>6.87</v>
      </c>
    </row>
    <row r="640" spans="1:25" ht="15" customHeight="1" x14ac:dyDescent="0.25">
      <c r="A640" s="20" t="s">
        <v>3672</v>
      </c>
      <c r="B640" s="14" t="s">
        <v>3673</v>
      </c>
      <c r="C640" s="71" t="str">
        <f t="shared" si="9"/>
        <v>Product Info</v>
      </c>
      <c r="D640" s="37" t="s">
        <v>6712</v>
      </c>
      <c r="E640" s="143">
        <v>25</v>
      </c>
      <c r="F640" s="12" t="s">
        <v>2170</v>
      </c>
      <c r="G640" s="38">
        <v>8.09</v>
      </c>
      <c r="H640" s="38">
        <v>6.87</v>
      </c>
      <c r="I640" s="38">
        <v>5.66</v>
      </c>
      <c r="J640" s="39"/>
      <c r="K640" s="143"/>
      <c r="L640" s="22">
        <v>0.33900000000000002</v>
      </c>
      <c r="M640" s="22" t="s">
        <v>2170</v>
      </c>
      <c r="N640" s="20" t="s">
        <v>14489</v>
      </c>
      <c r="O640" s="16" t="s">
        <v>12608</v>
      </c>
      <c r="P640" s="143">
        <v>364</v>
      </c>
      <c r="Q640" s="122" t="s">
        <v>9227</v>
      </c>
      <c r="R640" s="16" t="s">
        <v>9235</v>
      </c>
      <c r="S640" s="10" t="s">
        <v>1165</v>
      </c>
      <c r="T640" s="28" t="s">
        <v>9844</v>
      </c>
      <c r="U640" s="20" t="s">
        <v>5359</v>
      </c>
      <c r="V640" s="16" t="s">
        <v>8337</v>
      </c>
      <c r="W640" s="11" t="s">
        <v>14395</v>
      </c>
      <c r="X640" s="174">
        <v>5.15</v>
      </c>
      <c r="Y640" s="174">
        <v>6.87</v>
      </c>
    </row>
    <row r="641" spans="1:25" ht="15" customHeight="1" x14ac:dyDescent="0.25">
      <c r="A641" s="20" t="s">
        <v>3674</v>
      </c>
      <c r="B641" s="14" t="s">
        <v>3675</v>
      </c>
      <c r="C641" s="71" t="str">
        <f t="shared" si="9"/>
        <v>Product Info</v>
      </c>
      <c r="D641" s="37" t="s">
        <v>6713</v>
      </c>
      <c r="E641" s="143">
        <v>25</v>
      </c>
      <c r="F641" s="12" t="s">
        <v>2170</v>
      </c>
      <c r="G641" s="38">
        <v>8.09</v>
      </c>
      <c r="H641" s="38">
        <v>6.87</v>
      </c>
      <c r="I641" s="38">
        <v>5.66</v>
      </c>
      <c r="J641" s="39"/>
      <c r="K641" s="143"/>
      <c r="L641" s="22">
        <v>0.32500000000000001</v>
      </c>
      <c r="M641" s="22" t="s">
        <v>2170</v>
      </c>
      <c r="N641" s="20" t="s">
        <v>14489</v>
      </c>
      <c r="O641" s="16" t="s">
        <v>12608</v>
      </c>
      <c r="P641" s="143">
        <v>364</v>
      </c>
      <c r="Q641" s="122" t="s">
        <v>9227</v>
      </c>
      <c r="R641" s="16" t="s">
        <v>9235</v>
      </c>
      <c r="S641" s="10" t="s">
        <v>1165</v>
      </c>
      <c r="T641" s="28" t="s">
        <v>9845</v>
      </c>
      <c r="U641" s="20" t="s">
        <v>5359</v>
      </c>
      <c r="V641" s="16" t="s">
        <v>8338</v>
      </c>
      <c r="W641" s="11" t="s">
        <v>14395</v>
      </c>
      <c r="X641" s="174">
        <v>5.15</v>
      </c>
      <c r="Y641" s="174">
        <v>6.87</v>
      </c>
    </row>
    <row r="642" spans="1:25" ht="15" customHeight="1" x14ac:dyDescent="0.25">
      <c r="A642" s="20" t="s">
        <v>3676</v>
      </c>
      <c r="B642" s="14" t="s">
        <v>3677</v>
      </c>
      <c r="C642" s="71" t="str">
        <f t="shared" si="9"/>
        <v>Product Info</v>
      </c>
      <c r="D642" s="37" t="s">
        <v>6714</v>
      </c>
      <c r="E642" s="143">
        <v>8</v>
      </c>
      <c r="F642" s="12" t="s">
        <v>2170</v>
      </c>
      <c r="G642" s="38">
        <v>66.209999999999994</v>
      </c>
      <c r="H642" s="38">
        <v>56.28</v>
      </c>
      <c r="I642" s="38">
        <v>46.35</v>
      </c>
      <c r="J642" s="39"/>
      <c r="K642" s="143"/>
      <c r="L642" s="22">
        <v>1.62</v>
      </c>
      <c r="M642" s="22" t="s">
        <v>2170</v>
      </c>
      <c r="N642" s="20" t="s">
        <v>14489</v>
      </c>
      <c r="O642" s="16" t="s">
        <v>12608</v>
      </c>
      <c r="P642" s="143">
        <v>364</v>
      </c>
      <c r="Q642" s="122" t="s">
        <v>9227</v>
      </c>
      <c r="R642" s="16" t="s">
        <v>9235</v>
      </c>
      <c r="S642" s="10" t="s">
        <v>1165</v>
      </c>
      <c r="T642" s="28" t="s">
        <v>9846</v>
      </c>
      <c r="U642" s="20" t="s">
        <v>5359</v>
      </c>
      <c r="V642" s="16" t="s">
        <v>13025</v>
      </c>
      <c r="W642" s="11" t="s">
        <v>14395</v>
      </c>
      <c r="X642" s="174">
        <v>42.13</v>
      </c>
      <c r="Y642" s="174">
        <v>56.28</v>
      </c>
    </row>
    <row r="643" spans="1:25" ht="15" customHeight="1" x14ac:dyDescent="0.25">
      <c r="A643" s="20" t="s">
        <v>6057</v>
      </c>
      <c r="B643" s="14" t="s">
        <v>6058</v>
      </c>
      <c r="C643" s="71" t="str">
        <f t="shared" si="9"/>
        <v>Product Info</v>
      </c>
      <c r="D643" s="37" t="s">
        <v>6715</v>
      </c>
      <c r="E643" s="143">
        <v>180</v>
      </c>
      <c r="F643" s="12" t="s">
        <v>2170</v>
      </c>
      <c r="G643" s="38">
        <v>3.66</v>
      </c>
      <c r="H643" s="38">
        <v>3.11</v>
      </c>
      <c r="I643" s="38">
        <v>2.56</v>
      </c>
      <c r="J643" s="39"/>
      <c r="K643" s="143"/>
      <c r="L643" s="22">
        <v>5.5E-2</v>
      </c>
      <c r="M643" s="22" t="s">
        <v>12488</v>
      </c>
      <c r="N643" s="20" t="s">
        <v>8791</v>
      </c>
      <c r="O643" s="16" t="s">
        <v>12608</v>
      </c>
      <c r="P643" s="143">
        <v>364</v>
      </c>
      <c r="Q643" s="122" t="s">
        <v>9227</v>
      </c>
      <c r="R643" s="16" t="s">
        <v>9235</v>
      </c>
      <c r="S643" s="10" t="s">
        <v>1165</v>
      </c>
      <c r="T643" s="28" t="s">
        <v>9847</v>
      </c>
      <c r="U643" s="20" t="s">
        <v>5359</v>
      </c>
      <c r="V643" s="16" t="s">
        <v>13020</v>
      </c>
      <c r="W643" s="11" t="s">
        <v>14395</v>
      </c>
      <c r="X643" s="174">
        <v>2.3199999999999998</v>
      </c>
      <c r="Y643" s="174">
        <v>3.11</v>
      </c>
    </row>
    <row r="644" spans="1:25" ht="15" customHeight="1" x14ac:dyDescent="0.25">
      <c r="A644" s="20" t="s">
        <v>6059</v>
      </c>
      <c r="B644" s="14" t="s">
        <v>6060</v>
      </c>
      <c r="C644" s="71" t="str">
        <f t="shared" si="9"/>
        <v>Product Info</v>
      </c>
      <c r="D644" s="37" t="s">
        <v>6716</v>
      </c>
      <c r="E644" s="143">
        <v>100</v>
      </c>
      <c r="F644" s="12" t="s">
        <v>2170</v>
      </c>
      <c r="G644" s="38">
        <v>3.19</v>
      </c>
      <c r="H644" s="38">
        <v>2.71</v>
      </c>
      <c r="I644" s="38">
        <v>2.23</v>
      </c>
      <c r="J644" s="39"/>
      <c r="K644" s="143"/>
      <c r="L644" s="22">
        <v>0.12</v>
      </c>
      <c r="M644" s="22" t="s">
        <v>12488</v>
      </c>
      <c r="N644" s="20" t="s">
        <v>8791</v>
      </c>
      <c r="O644" s="16" t="s">
        <v>12608</v>
      </c>
      <c r="P644" s="143">
        <v>364</v>
      </c>
      <c r="Q644" s="122" t="s">
        <v>9227</v>
      </c>
      <c r="R644" s="16" t="s">
        <v>9235</v>
      </c>
      <c r="S644" s="10" t="s">
        <v>1165</v>
      </c>
      <c r="T644" s="28" t="s">
        <v>9848</v>
      </c>
      <c r="U644" s="20" t="s">
        <v>5359</v>
      </c>
      <c r="V644" s="16" t="s">
        <v>12998</v>
      </c>
      <c r="W644" s="11" t="s">
        <v>14395</v>
      </c>
      <c r="X644" s="174">
        <v>2.04</v>
      </c>
      <c r="Y644" s="174">
        <v>2.71</v>
      </c>
    </row>
    <row r="645" spans="1:25" ht="15" customHeight="1" x14ac:dyDescent="0.25">
      <c r="A645" s="20" t="s">
        <v>6061</v>
      </c>
      <c r="B645" s="14" t="s">
        <v>6062</v>
      </c>
      <c r="C645" s="71" t="str">
        <f t="shared" si="9"/>
        <v>Product Info</v>
      </c>
      <c r="D645" s="37" t="s">
        <v>6717</v>
      </c>
      <c r="E645" s="143">
        <v>25</v>
      </c>
      <c r="F645" s="12" t="s">
        <v>2170</v>
      </c>
      <c r="G645" s="38">
        <v>11.63</v>
      </c>
      <c r="H645" s="38">
        <v>9.8800000000000008</v>
      </c>
      <c r="I645" s="38">
        <v>8.14</v>
      </c>
      <c r="J645" s="39"/>
      <c r="K645" s="143"/>
      <c r="L645" s="22">
        <v>0.22800000000000001</v>
      </c>
      <c r="M645" s="22" t="s">
        <v>2170</v>
      </c>
      <c r="N645" s="20" t="s">
        <v>14489</v>
      </c>
      <c r="O645" s="16" t="s">
        <v>12608</v>
      </c>
      <c r="P645" s="143">
        <v>364</v>
      </c>
      <c r="Q645" s="122" t="s">
        <v>9227</v>
      </c>
      <c r="R645" s="16" t="s">
        <v>9235</v>
      </c>
      <c r="S645" s="10" t="s">
        <v>1165</v>
      </c>
      <c r="T645" s="28" t="s">
        <v>9849</v>
      </c>
      <c r="U645" s="20" t="s">
        <v>5359</v>
      </c>
      <c r="V645" s="16" t="s">
        <v>13000</v>
      </c>
      <c r="W645" s="11" t="s">
        <v>14395</v>
      </c>
      <c r="X645" s="174">
        <v>7.4</v>
      </c>
      <c r="Y645" s="174">
        <v>9.8800000000000008</v>
      </c>
    </row>
    <row r="646" spans="1:25" ht="15" customHeight="1" x14ac:dyDescent="0.25">
      <c r="A646" s="20" t="s">
        <v>6063</v>
      </c>
      <c r="B646" s="14" t="s">
        <v>6064</v>
      </c>
      <c r="C646" s="71" t="str">
        <f t="shared" ref="C646:C709" si="10">HYPERLINK(T646,U646)</f>
        <v>Product Info</v>
      </c>
      <c r="D646" s="37" t="s">
        <v>6718</v>
      </c>
      <c r="E646" s="143">
        <v>10</v>
      </c>
      <c r="F646" s="12" t="s">
        <v>2170</v>
      </c>
      <c r="G646" s="38">
        <v>31.53</v>
      </c>
      <c r="H646" s="38">
        <v>26.8</v>
      </c>
      <c r="I646" s="38">
        <v>22.07</v>
      </c>
      <c r="J646" s="39"/>
      <c r="K646" s="143"/>
      <c r="L646" s="22">
        <v>0.8</v>
      </c>
      <c r="M646" s="22" t="s">
        <v>14396</v>
      </c>
      <c r="N646" s="20" t="s">
        <v>8779</v>
      </c>
      <c r="O646" s="16" t="s">
        <v>13914</v>
      </c>
      <c r="P646" s="143">
        <v>364</v>
      </c>
      <c r="Q646" s="122" t="s">
        <v>12421</v>
      </c>
      <c r="R646" s="16" t="s">
        <v>9235</v>
      </c>
      <c r="S646" s="10" t="s">
        <v>1165</v>
      </c>
      <c r="T646" s="28" t="s">
        <v>9850</v>
      </c>
      <c r="U646" s="20" t="s">
        <v>5359</v>
      </c>
      <c r="V646" s="16" t="s">
        <v>13003</v>
      </c>
      <c r="W646" s="11" t="s">
        <v>14395</v>
      </c>
      <c r="X646" s="174">
        <v>20.059999999999999</v>
      </c>
      <c r="Y646" s="174">
        <v>26.8</v>
      </c>
    </row>
    <row r="647" spans="1:25" ht="15" customHeight="1" x14ac:dyDescent="0.25">
      <c r="A647" s="20" t="s">
        <v>6065</v>
      </c>
      <c r="B647" s="14" t="s">
        <v>6066</v>
      </c>
      <c r="C647" s="71" t="str">
        <f t="shared" si="10"/>
        <v>Product Info</v>
      </c>
      <c r="D647" s="37" t="s">
        <v>6719</v>
      </c>
      <c r="E647" s="143">
        <v>20</v>
      </c>
      <c r="F647" s="12" t="s">
        <v>2170</v>
      </c>
      <c r="G647" s="38">
        <v>13.49</v>
      </c>
      <c r="H647" s="38">
        <v>11.46</v>
      </c>
      <c r="I647" s="38">
        <v>9.44</v>
      </c>
      <c r="J647" s="39"/>
      <c r="K647" s="143"/>
      <c r="L647" s="22">
        <v>0.39</v>
      </c>
      <c r="M647" s="22" t="s">
        <v>12488</v>
      </c>
      <c r="N647" s="20" t="s">
        <v>8790</v>
      </c>
      <c r="O647" s="16" t="s">
        <v>12608</v>
      </c>
      <c r="P647" s="143">
        <v>364</v>
      </c>
      <c r="Q647" s="122" t="s">
        <v>9227</v>
      </c>
      <c r="R647" s="16" t="s">
        <v>9235</v>
      </c>
      <c r="S647" s="10" t="s">
        <v>1165</v>
      </c>
      <c r="T647" s="28" t="s">
        <v>9851</v>
      </c>
      <c r="U647" s="20" t="s">
        <v>5359</v>
      </c>
      <c r="V647" s="16" t="s">
        <v>13027</v>
      </c>
      <c r="W647" s="11" t="s">
        <v>14395</v>
      </c>
      <c r="X647" s="174">
        <v>8.57</v>
      </c>
      <c r="Y647" s="174">
        <v>11.46</v>
      </c>
    </row>
    <row r="648" spans="1:25" ht="15" customHeight="1" x14ac:dyDescent="0.25">
      <c r="A648" s="20" t="s">
        <v>6067</v>
      </c>
      <c r="B648" s="14" t="s">
        <v>6068</v>
      </c>
      <c r="C648" s="71" t="str">
        <f t="shared" si="10"/>
        <v>Product Info</v>
      </c>
      <c r="D648" s="37" t="s">
        <v>6720</v>
      </c>
      <c r="E648" s="143">
        <v>10</v>
      </c>
      <c r="F648" s="12" t="s">
        <v>2170</v>
      </c>
      <c r="G648" s="38">
        <v>26.94</v>
      </c>
      <c r="H648" s="38">
        <v>22.9</v>
      </c>
      <c r="I648" s="38">
        <v>18.86</v>
      </c>
      <c r="J648" s="39"/>
      <c r="K648" s="143"/>
      <c r="L648" s="22">
        <v>0.5</v>
      </c>
      <c r="M648" s="22" t="s">
        <v>12488</v>
      </c>
      <c r="N648" s="20" t="s">
        <v>8790</v>
      </c>
      <c r="O648" s="16" t="s">
        <v>12608</v>
      </c>
      <c r="P648" s="143">
        <v>364</v>
      </c>
      <c r="Q648" s="121" t="s">
        <v>14285</v>
      </c>
      <c r="R648" s="16" t="s">
        <v>9235</v>
      </c>
      <c r="S648" s="10" t="s">
        <v>1165</v>
      </c>
      <c r="T648" s="28" t="s">
        <v>9852</v>
      </c>
      <c r="U648" s="20" t="s">
        <v>5359</v>
      </c>
      <c r="V648" s="16" t="s">
        <v>13007</v>
      </c>
      <c r="W648" s="11" t="s">
        <v>14395</v>
      </c>
      <c r="X648" s="174">
        <v>17.149999999999999</v>
      </c>
      <c r="Y648" s="174">
        <v>22.9</v>
      </c>
    </row>
    <row r="649" spans="1:25" ht="15" customHeight="1" x14ac:dyDescent="0.25">
      <c r="A649" s="20" t="s">
        <v>6069</v>
      </c>
      <c r="B649" s="14" t="s">
        <v>6070</v>
      </c>
      <c r="C649" s="71" t="str">
        <f t="shared" si="10"/>
        <v>Product Info</v>
      </c>
      <c r="D649" s="37" t="s">
        <v>6721</v>
      </c>
      <c r="E649" s="143">
        <v>8</v>
      </c>
      <c r="F649" s="12" t="s">
        <v>2170</v>
      </c>
      <c r="G649" s="38">
        <v>70.040000000000006</v>
      </c>
      <c r="H649" s="38">
        <v>59.54</v>
      </c>
      <c r="I649" s="38">
        <v>49.03</v>
      </c>
      <c r="J649" s="39"/>
      <c r="K649" s="143"/>
      <c r="L649" s="22">
        <v>1.55</v>
      </c>
      <c r="M649" s="22" t="s">
        <v>12488</v>
      </c>
      <c r="N649" s="20" t="s">
        <v>8790</v>
      </c>
      <c r="O649" s="16" t="s">
        <v>12608</v>
      </c>
      <c r="P649" s="143">
        <v>364</v>
      </c>
      <c r="Q649" s="122" t="s">
        <v>12421</v>
      </c>
      <c r="R649" s="16" t="s">
        <v>9235</v>
      </c>
      <c r="S649" s="10" t="s">
        <v>1165</v>
      </c>
      <c r="T649" s="28" t="s">
        <v>9853</v>
      </c>
      <c r="U649" s="20" t="s">
        <v>5359</v>
      </c>
      <c r="V649" s="16" t="s">
        <v>13036</v>
      </c>
      <c r="W649" s="11" t="s">
        <v>14395</v>
      </c>
      <c r="X649" s="174">
        <v>44.57</v>
      </c>
      <c r="Y649" s="174">
        <v>59.54</v>
      </c>
    </row>
    <row r="650" spans="1:25" ht="15" customHeight="1" x14ac:dyDescent="0.25">
      <c r="A650" s="20" t="s">
        <v>6071</v>
      </c>
      <c r="B650" s="14" t="s">
        <v>6072</v>
      </c>
      <c r="C650" s="71" t="str">
        <f t="shared" si="10"/>
        <v>Product Info</v>
      </c>
      <c r="D650" s="37" t="s">
        <v>6722</v>
      </c>
      <c r="E650" s="143">
        <v>25</v>
      </c>
      <c r="F650" s="12" t="s">
        <v>2170</v>
      </c>
      <c r="G650" s="38">
        <v>9.89</v>
      </c>
      <c r="H650" s="38">
        <v>8.4</v>
      </c>
      <c r="I650" s="38">
        <v>6.92</v>
      </c>
      <c r="J650" s="39"/>
      <c r="K650" s="143"/>
      <c r="L650" s="22">
        <v>0.44</v>
      </c>
      <c r="M650" s="22" t="s">
        <v>12488</v>
      </c>
      <c r="N650" s="20" t="s">
        <v>8791</v>
      </c>
      <c r="O650" s="16" t="s">
        <v>12608</v>
      </c>
      <c r="P650" s="143">
        <v>364</v>
      </c>
      <c r="Q650" s="122" t="s">
        <v>9227</v>
      </c>
      <c r="R650" s="16" t="s">
        <v>9235</v>
      </c>
      <c r="S650" s="10" t="s">
        <v>1165</v>
      </c>
      <c r="T650" s="28" t="s">
        <v>9854</v>
      </c>
      <c r="U650" s="20" t="s">
        <v>5359</v>
      </c>
      <c r="V650" s="16" t="s">
        <v>13015</v>
      </c>
      <c r="W650" s="11" t="s">
        <v>14395</v>
      </c>
      <c r="X650" s="174">
        <v>6.29</v>
      </c>
      <c r="Y650" s="174">
        <v>8.4</v>
      </c>
    </row>
    <row r="651" spans="1:25" ht="15" customHeight="1" x14ac:dyDescent="0.25">
      <c r="A651" s="20" t="s">
        <v>6073</v>
      </c>
      <c r="B651" s="14" t="s">
        <v>6074</v>
      </c>
      <c r="C651" s="71" t="str">
        <f t="shared" si="10"/>
        <v>Product Info</v>
      </c>
      <c r="D651" s="37" t="s">
        <v>6723</v>
      </c>
      <c r="E651" s="143">
        <v>8</v>
      </c>
      <c r="F651" s="12" t="s">
        <v>2170</v>
      </c>
      <c r="G651" s="38">
        <v>75.31</v>
      </c>
      <c r="H651" s="38">
        <v>64.02</v>
      </c>
      <c r="I651" s="38">
        <v>52.72</v>
      </c>
      <c r="J651" s="39"/>
      <c r="K651" s="143"/>
      <c r="L651" s="22">
        <v>1.62</v>
      </c>
      <c r="M651" s="22" t="s">
        <v>12488</v>
      </c>
      <c r="N651" s="20" t="s">
        <v>8792</v>
      </c>
      <c r="O651" s="16" t="s">
        <v>12608</v>
      </c>
      <c r="P651" s="143">
        <v>364</v>
      </c>
      <c r="Q651" s="122" t="s">
        <v>12421</v>
      </c>
      <c r="R651" s="16" t="s">
        <v>9235</v>
      </c>
      <c r="S651" s="10" t="s">
        <v>1165</v>
      </c>
      <c r="T651" s="28" t="s">
        <v>9855</v>
      </c>
      <c r="U651" s="20" t="s">
        <v>5359</v>
      </c>
      <c r="V651" s="16" t="s">
        <v>13019</v>
      </c>
      <c r="W651" s="11" t="s">
        <v>14395</v>
      </c>
      <c r="X651" s="174">
        <v>47.93</v>
      </c>
      <c r="Y651" s="174">
        <v>64.02</v>
      </c>
    </row>
    <row r="652" spans="1:25" ht="15" customHeight="1" x14ac:dyDescent="0.25">
      <c r="A652" s="20" t="s">
        <v>6075</v>
      </c>
      <c r="B652" s="14" t="s">
        <v>6076</v>
      </c>
      <c r="C652" s="71" t="str">
        <f t="shared" si="10"/>
        <v>Product Info</v>
      </c>
      <c r="D652" s="37" t="s">
        <v>6724</v>
      </c>
      <c r="E652" s="143">
        <v>3</v>
      </c>
      <c r="F652" s="12" t="s">
        <v>2170</v>
      </c>
      <c r="G652" s="38">
        <v>75.06</v>
      </c>
      <c r="H652" s="38">
        <v>63.8</v>
      </c>
      <c r="I652" s="38">
        <v>52.54</v>
      </c>
      <c r="J652" s="39">
        <v>3000</v>
      </c>
      <c r="K652" s="143"/>
      <c r="L652" s="22">
        <v>2.0920000000000001</v>
      </c>
      <c r="M652" s="22" t="s">
        <v>2170</v>
      </c>
      <c r="N652" s="20" t="s">
        <v>14489</v>
      </c>
      <c r="O652" s="16" t="s">
        <v>12608</v>
      </c>
      <c r="P652" s="143">
        <v>364</v>
      </c>
      <c r="Q652" s="122" t="s">
        <v>9227</v>
      </c>
      <c r="R652" s="16" t="s">
        <v>9235</v>
      </c>
      <c r="S652" s="10" t="s">
        <v>1165</v>
      </c>
      <c r="T652" s="28" t="s">
        <v>9856</v>
      </c>
      <c r="U652" s="20" t="s">
        <v>5359</v>
      </c>
      <c r="V652" s="16" t="s">
        <v>12992</v>
      </c>
      <c r="W652" s="11" t="s">
        <v>14395</v>
      </c>
      <c r="X652" s="174">
        <v>47.76</v>
      </c>
      <c r="Y652" s="174">
        <v>63.8</v>
      </c>
    </row>
    <row r="653" spans="1:25" ht="15" customHeight="1" x14ac:dyDescent="0.25">
      <c r="A653" s="20" t="s">
        <v>6077</v>
      </c>
      <c r="B653" s="14" t="s">
        <v>6078</v>
      </c>
      <c r="C653" s="71" t="str">
        <f t="shared" si="10"/>
        <v>Product Info</v>
      </c>
      <c r="D653" s="37" t="s">
        <v>6725</v>
      </c>
      <c r="E653" s="143">
        <v>3</v>
      </c>
      <c r="F653" s="12" t="s">
        <v>2170</v>
      </c>
      <c r="G653" s="38">
        <v>73.7</v>
      </c>
      <c r="H653" s="38">
        <v>62.65</v>
      </c>
      <c r="I653" s="38">
        <v>51.59</v>
      </c>
      <c r="J653" s="39">
        <v>3000</v>
      </c>
      <c r="K653" s="143"/>
      <c r="L653" s="22">
        <v>2.1</v>
      </c>
      <c r="M653" s="22" t="s">
        <v>2170</v>
      </c>
      <c r="N653" s="20" t="s">
        <v>14489</v>
      </c>
      <c r="O653" s="16" t="s">
        <v>12608</v>
      </c>
      <c r="P653" s="143">
        <v>364</v>
      </c>
      <c r="Q653" s="122" t="s">
        <v>9227</v>
      </c>
      <c r="R653" s="16" t="s">
        <v>9235</v>
      </c>
      <c r="S653" s="10" t="s">
        <v>1165</v>
      </c>
      <c r="T653" s="28" t="s">
        <v>9857</v>
      </c>
      <c r="U653" s="20" t="s">
        <v>5359</v>
      </c>
      <c r="V653" s="16" t="s">
        <v>8339</v>
      </c>
      <c r="W653" s="11" t="s">
        <v>14395</v>
      </c>
      <c r="X653" s="174">
        <v>46.9</v>
      </c>
      <c r="Y653" s="174">
        <v>62.65</v>
      </c>
    </row>
    <row r="654" spans="1:25" ht="15" customHeight="1" x14ac:dyDescent="0.25">
      <c r="A654" s="20" t="s">
        <v>6079</v>
      </c>
      <c r="B654" s="14" t="s">
        <v>6086</v>
      </c>
      <c r="C654" s="71" t="str">
        <f t="shared" si="10"/>
        <v>Product Info</v>
      </c>
      <c r="D654" s="37" t="s">
        <v>6726</v>
      </c>
      <c r="E654" s="143">
        <v>3</v>
      </c>
      <c r="F654" s="12" t="s">
        <v>2170</v>
      </c>
      <c r="G654" s="38">
        <v>73.7</v>
      </c>
      <c r="H654" s="38">
        <v>62.65</v>
      </c>
      <c r="I654" s="38">
        <v>51.59</v>
      </c>
      <c r="J654" s="39">
        <v>3000</v>
      </c>
      <c r="K654" s="143"/>
      <c r="L654" s="22">
        <v>2.08</v>
      </c>
      <c r="M654" s="22" t="s">
        <v>12488</v>
      </c>
      <c r="N654" s="20" t="s">
        <v>8773</v>
      </c>
      <c r="O654" s="16" t="s">
        <v>12608</v>
      </c>
      <c r="P654" s="143">
        <v>364</v>
      </c>
      <c r="Q654" s="122" t="s">
        <v>9227</v>
      </c>
      <c r="R654" s="16" t="s">
        <v>9235</v>
      </c>
      <c r="S654" s="10" t="s">
        <v>1165</v>
      </c>
      <c r="T654" s="28" t="s">
        <v>9858</v>
      </c>
      <c r="U654" s="20" t="s">
        <v>5359</v>
      </c>
      <c r="V654" s="16" t="s">
        <v>8340</v>
      </c>
      <c r="W654" s="11" t="s">
        <v>14395</v>
      </c>
      <c r="X654" s="174">
        <v>46.9</v>
      </c>
      <c r="Y654" s="174">
        <v>62.65</v>
      </c>
    </row>
    <row r="655" spans="1:25" ht="15" customHeight="1" x14ac:dyDescent="0.25">
      <c r="A655" s="20" t="s">
        <v>6087</v>
      </c>
      <c r="B655" s="14" t="s">
        <v>6088</v>
      </c>
      <c r="C655" s="71" t="str">
        <f t="shared" si="10"/>
        <v>Product Info</v>
      </c>
      <c r="D655" s="37" t="s">
        <v>6727</v>
      </c>
      <c r="E655" s="143">
        <v>3</v>
      </c>
      <c r="F655" s="12" t="s">
        <v>2170</v>
      </c>
      <c r="G655" s="38">
        <v>73.7</v>
      </c>
      <c r="H655" s="38">
        <v>62.65</v>
      </c>
      <c r="I655" s="38">
        <v>51.59</v>
      </c>
      <c r="J655" s="39">
        <v>3000</v>
      </c>
      <c r="K655" s="143"/>
      <c r="L655" s="22">
        <v>2.1</v>
      </c>
      <c r="M655" s="22" t="s">
        <v>2170</v>
      </c>
      <c r="N655" s="20" t="s">
        <v>14489</v>
      </c>
      <c r="O655" s="16" t="s">
        <v>12608</v>
      </c>
      <c r="P655" s="143">
        <v>364</v>
      </c>
      <c r="Q655" s="122" t="s">
        <v>9227</v>
      </c>
      <c r="R655" s="16" t="s">
        <v>9235</v>
      </c>
      <c r="S655" s="10" t="s">
        <v>1165</v>
      </c>
      <c r="T655" s="28" t="s">
        <v>9859</v>
      </c>
      <c r="U655" s="20" t="s">
        <v>5359</v>
      </c>
      <c r="V655" s="16" t="s">
        <v>8341</v>
      </c>
      <c r="W655" s="11" t="s">
        <v>14395</v>
      </c>
      <c r="X655" s="174">
        <v>46.9</v>
      </c>
      <c r="Y655" s="174">
        <v>62.65</v>
      </c>
    </row>
    <row r="656" spans="1:25" ht="15" customHeight="1" x14ac:dyDescent="0.25">
      <c r="A656" s="20" t="s">
        <v>6089</v>
      </c>
      <c r="B656" s="14" t="s">
        <v>6090</v>
      </c>
      <c r="C656" s="71" t="str">
        <f t="shared" si="10"/>
        <v>Product Info</v>
      </c>
      <c r="D656" s="37" t="s">
        <v>6728</v>
      </c>
      <c r="E656" s="143">
        <v>3</v>
      </c>
      <c r="F656" s="12" t="s">
        <v>2170</v>
      </c>
      <c r="G656" s="38">
        <v>73.7</v>
      </c>
      <c r="H656" s="38">
        <v>62.65</v>
      </c>
      <c r="I656" s="38">
        <v>51.59</v>
      </c>
      <c r="J656" s="39">
        <v>3000</v>
      </c>
      <c r="K656" s="143"/>
      <c r="L656" s="22">
        <v>2.1166</v>
      </c>
      <c r="M656" s="22" t="s">
        <v>2170</v>
      </c>
      <c r="N656" s="20" t="s">
        <v>14489</v>
      </c>
      <c r="O656" s="16" t="s">
        <v>12608</v>
      </c>
      <c r="P656" s="143">
        <v>364</v>
      </c>
      <c r="Q656" s="122" t="s">
        <v>9227</v>
      </c>
      <c r="R656" s="16" t="s">
        <v>9235</v>
      </c>
      <c r="S656" s="10" t="s">
        <v>1165</v>
      </c>
      <c r="T656" s="28" t="s">
        <v>9860</v>
      </c>
      <c r="U656" s="20" t="s">
        <v>5359</v>
      </c>
      <c r="V656" s="16" t="s">
        <v>8342</v>
      </c>
      <c r="W656" s="11" t="s">
        <v>14395</v>
      </c>
      <c r="X656" s="174">
        <v>46.9</v>
      </c>
      <c r="Y656" s="174">
        <v>62.65</v>
      </c>
    </row>
    <row r="657" spans="1:25" ht="15" customHeight="1" x14ac:dyDescent="0.25">
      <c r="A657" s="20" t="s">
        <v>6091</v>
      </c>
      <c r="B657" s="14" t="s">
        <v>6092</v>
      </c>
      <c r="C657" s="71" t="str">
        <f t="shared" si="10"/>
        <v>Product Info</v>
      </c>
      <c r="D657" s="37" t="s">
        <v>6729</v>
      </c>
      <c r="E657" s="143">
        <v>3</v>
      </c>
      <c r="F657" s="12" t="s">
        <v>2170</v>
      </c>
      <c r="G657" s="38">
        <v>73.7</v>
      </c>
      <c r="H657" s="38">
        <v>62.65</v>
      </c>
      <c r="I657" s="38">
        <v>51.59</v>
      </c>
      <c r="J657" s="39">
        <v>3000</v>
      </c>
      <c r="K657" s="143"/>
      <c r="L657" s="22">
        <v>2.2000000000000002</v>
      </c>
      <c r="M657" s="22" t="s">
        <v>2170</v>
      </c>
      <c r="N657" s="20" t="s">
        <v>14489</v>
      </c>
      <c r="O657" s="16" t="s">
        <v>12608</v>
      </c>
      <c r="P657" s="143">
        <v>364</v>
      </c>
      <c r="Q657" s="122" t="s">
        <v>9227</v>
      </c>
      <c r="R657" s="16" t="s">
        <v>9235</v>
      </c>
      <c r="S657" s="10" t="s">
        <v>1165</v>
      </c>
      <c r="T657" s="28" t="s">
        <v>9861</v>
      </c>
      <c r="U657" s="20" t="s">
        <v>5359</v>
      </c>
      <c r="V657" s="16" t="s">
        <v>8343</v>
      </c>
      <c r="W657" s="11" t="s">
        <v>14395</v>
      </c>
      <c r="X657" s="174">
        <v>46.9</v>
      </c>
      <c r="Y657" s="174">
        <v>62.65</v>
      </c>
    </row>
    <row r="658" spans="1:25" ht="15" customHeight="1" x14ac:dyDescent="0.25">
      <c r="A658" s="20" t="s">
        <v>6093</v>
      </c>
      <c r="B658" s="14" t="s">
        <v>6094</v>
      </c>
      <c r="C658" s="71" t="str">
        <f t="shared" si="10"/>
        <v>Product Info</v>
      </c>
      <c r="D658" s="37" t="s">
        <v>6730</v>
      </c>
      <c r="E658" s="143">
        <v>3</v>
      </c>
      <c r="F658" s="12" t="s">
        <v>2170</v>
      </c>
      <c r="G658" s="38">
        <v>73.7</v>
      </c>
      <c r="H658" s="38">
        <v>62.65</v>
      </c>
      <c r="I658" s="38">
        <v>51.59</v>
      </c>
      <c r="J658" s="39">
        <v>3000</v>
      </c>
      <c r="K658" s="143"/>
      <c r="L658" s="22">
        <v>2.2000000000000002</v>
      </c>
      <c r="M658" s="22" t="s">
        <v>12488</v>
      </c>
      <c r="N658" s="20" t="s">
        <v>8778</v>
      </c>
      <c r="O658" s="16" t="s">
        <v>12608</v>
      </c>
      <c r="P658" s="143">
        <v>364</v>
      </c>
      <c r="Q658" s="122" t="s">
        <v>9227</v>
      </c>
      <c r="R658" s="16" t="s">
        <v>9235</v>
      </c>
      <c r="S658" s="10" t="s">
        <v>1165</v>
      </c>
      <c r="T658" s="28" t="s">
        <v>9862</v>
      </c>
      <c r="U658" s="20" t="s">
        <v>5359</v>
      </c>
      <c r="V658" s="16" t="s">
        <v>8344</v>
      </c>
      <c r="W658" s="11" t="s">
        <v>14395</v>
      </c>
      <c r="X658" s="174">
        <v>46.9</v>
      </c>
      <c r="Y658" s="174">
        <v>62.65</v>
      </c>
    </row>
    <row r="659" spans="1:25" ht="15" customHeight="1" x14ac:dyDescent="0.25">
      <c r="A659" s="20" t="s">
        <v>6095</v>
      </c>
      <c r="B659" s="14" t="s">
        <v>6096</v>
      </c>
      <c r="C659" s="71" t="str">
        <f t="shared" si="10"/>
        <v>Product Info</v>
      </c>
      <c r="D659" s="37" t="s">
        <v>6731</v>
      </c>
      <c r="E659" s="143">
        <v>3</v>
      </c>
      <c r="F659" s="12" t="s">
        <v>2170</v>
      </c>
      <c r="G659" s="38">
        <v>73.7</v>
      </c>
      <c r="H659" s="38">
        <v>62.65</v>
      </c>
      <c r="I659" s="38">
        <v>51.59</v>
      </c>
      <c r="J659" s="39">
        <v>3000</v>
      </c>
      <c r="K659" s="143"/>
      <c r="L659" s="22">
        <v>1.8333330000000001</v>
      </c>
      <c r="M659" s="22" t="s">
        <v>2170</v>
      </c>
      <c r="N659" s="20" t="s">
        <v>14489</v>
      </c>
      <c r="O659" s="16" t="s">
        <v>13914</v>
      </c>
      <c r="P659" s="143">
        <v>364</v>
      </c>
      <c r="Q659" s="122" t="s">
        <v>9227</v>
      </c>
      <c r="R659" s="16" t="s">
        <v>9235</v>
      </c>
      <c r="S659" s="10" t="s">
        <v>1165</v>
      </c>
      <c r="T659" s="28" t="s">
        <v>9863</v>
      </c>
      <c r="U659" s="20" t="s">
        <v>5359</v>
      </c>
      <c r="V659" s="16" t="s">
        <v>8345</v>
      </c>
      <c r="W659" s="11" t="s">
        <v>14395</v>
      </c>
      <c r="X659" s="174">
        <v>46.9</v>
      </c>
      <c r="Y659" s="174">
        <v>62.65</v>
      </c>
    </row>
    <row r="660" spans="1:25" ht="15" customHeight="1" x14ac:dyDescent="0.25">
      <c r="A660" s="20" t="s">
        <v>6097</v>
      </c>
      <c r="B660" s="14" t="s">
        <v>6098</v>
      </c>
      <c r="C660" s="71" t="str">
        <f t="shared" si="10"/>
        <v>Product Info</v>
      </c>
      <c r="D660" s="37" t="s">
        <v>6732</v>
      </c>
      <c r="E660" s="143">
        <v>3</v>
      </c>
      <c r="F660" s="12" t="s">
        <v>2170</v>
      </c>
      <c r="G660" s="38">
        <v>73.7</v>
      </c>
      <c r="H660" s="38">
        <v>62.65</v>
      </c>
      <c r="I660" s="38">
        <v>51.59</v>
      </c>
      <c r="J660" s="39">
        <v>3000</v>
      </c>
      <c r="K660" s="143"/>
      <c r="L660" s="22">
        <v>1.875</v>
      </c>
      <c r="M660" s="22" t="s">
        <v>2170</v>
      </c>
      <c r="N660" s="20" t="s">
        <v>14489</v>
      </c>
      <c r="O660" s="16" t="s">
        <v>13914</v>
      </c>
      <c r="P660" s="143">
        <v>364</v>
      </c>
      <c r="Q660" s="122" t="s">
        <v>9227</v>
      </c>
      <c r="R660" s="16" t="s">
        <v>9235</v>
      </c>
      <c r="S660" s="10" t="s">
        <v>1165</v>
      </c>
      <c r="T660" s="28" t="s">
        <v>9864</v>
      </c>
      <c r="U660" s="20" t="s">
        <v>5359</v>
      </c>
      <c r="V660" s="16" t="s">
        <v>8346</v>
      </c>
      <c r="W660" s="11" t="s">
        <v>14395</v>
      </c>
      <c r="X660" s="174">
        <v>46.9</v>
      </c>
      <c r="Y660" s="174">
        <v>62.65</v>
      </c>
    </row>
    <row r="661" spans="1:25" ht="15" customHeight="1" x14ac:dyDescent="0.25">
      <c r="A661" s="20" t="s">
        <v>6099</v>
      </c>
      <c r="B661" s="14" t="s">
        <v>4075</v>
      </c>
      <c r="C661" s="71" t="str">
        <f t="shared" si="10"/>
        <v>Product Info</v>
      </c>
      <c r="D661" s="37" t="s">
        <v>5551</v>
      </c>
      <c r="E661" s="143">
        <v>3</v>
      </c>
      <c r="F661" s="12" t="s">
        <v>2170</v>
      </c>
      <c r="G661" s="38">
        <v>73.7</v>
      </c>
      <c r="H661" s="38">
        <v>62.65</v>
      </c>
      <c r="I661" s="38">
        <v>51.59</v>
      </c>
      <c r="J661" s="39">
        <v>3000</v>
      </c>
      <c r="K661" s="143"/>
      <c r="L661" s="22">
        <v>1.87</v>
      </c>
      <c r="M661" s="22" t="s">
        <v>2170</v>
      </c>
      <c r="N661" s="20" t="s">
        <v>14489</v>
      </c>
      <c r="O661" s="16" t="s">
        <v>12608</v>
      </c>
      <c r="P661" s="143">
        <v>364</v>
      </c>
      <c r="Q661" s="122" t="s">
        <v>9227</v>
      </c>
      <c r="R661" s="16" t="s">
        <v>9235</v>
      </c>
      <c r="S661" s="10" t="s">
        <v>1165</v>
      </c>
      <c r="T661" s="28" t="s">
        <v>9865</v>
      </c>
      <c r="U661" s="20" t="s">
        <v>5359</v>
      </c>
      <c r="V661" s="16" t="s">
        <v>8347</v>
      </c>
      <c r="W661" s="11" t="s">
        <v>14395</v>
      </c>
      <c r="X661" s="174">
        <v>46.9</v>
      </c>
      <c r="Y661" s="174">
        <v>62.65</v>
      </c>
    </row>
    <row r="662" spans="1:25" ht="15" customHeight="1" x14ac:dyDescent="0.25">
      <c r="A662" s="20" t="s">
        <v>4076</v>
      </c>
      <c r="B662" s="14" t="s">
        <v>4077</v>
      </c>
      <c r="C662" s="71" t="str">
        <f t="shared" si="10"/>
        <v>Product Info</v>
      </c>
      <c r="D662" s="37" t="s">
        <v>5552</v>
      </c>
      <c r="E662" s="143">
        <v>8</v>
      </c>
      <c r="F662" s="12" t="s">
        <v>2170</v>
      </c>
      <c r="G662" s="38">
        <v>70.19</v>
      </c>
      <c r="H662" s="38">
        <v>59.66</v>
      </c>
      <c r="I662" s="38">
        <v>49.13</v>
      </c>
      <c r="J662" s="39"/>
      <c r="K662" s="143"/>
      <c r="L662" s="22">
        <v>1.9624999999999999</v>
      </c>
      <c r="M662" s="22" t="s">
        <v>2170</v>
      </c>
      <c r="N662" s="20" t="s">
        <v>14489</v>
      </c>
      <c r="O662" s="16" t="s">
        <v>13914</v>
      </c>
      <c r="P662" s="143">
        <v>364</v>
      </c>
      <c r="Q662" s="121" t="s">
        <v>14285</v>
      </c>
      <c r="R662" s="16" t="s">
        <v>9235</v>
      </c>
      <c r="S662" s="10" t="s">
        <v>1165</v>
      </c>
      <c r="T662" s="28" t="s">
        <v>9866</v>
      </c>
      <c r="U662" s="20" t="s">
        <v>5359</v>
      </c>
      <c r="V662" s="16" t="s">
        <v>12999</v>
      </c>
      <c r="W662" s="11" t="s">
        <v>14395</v>
      </c>
      <c r="X662" s="174">
        <v>44.67</v>
      </c>
      <c r="Y662" s="174">
        <v>59.66</v>
      </c>
    </row>
    <row r="663" spans="1:25" ht="15" customHeight="1" x14ac:dyDescent="0.25">
      <c r="A663" s="20" t="s">
        <v>4078</v>
      </c>
      <c r="B663" s="14" t="s">
        <v>4079</v>
      </c>
      <c r="C663" s="71" t="str">
        <f t="shared" si="10"/>
        <v>Product Info</v>
      </c>
      <c r="D663" s="37" t="s">
        <v>5553</v>
      </c>
      <c r="E663" s="143">
        <v>8</v>
      </c>
      <c r="F663" s="12" t="s">
        <v>2170</v>
      </c>
      <c r="G663" s="38">
        <v>121.01</v>
      </c>
      <c r="H663" s="38">
        <v>102.87</v>
      </c>
      <c r="I663" s="38">
        <v>84.71</v>
      </c>
      <c r="J663" s="39"/>
      <c r="K663" s="143"/>
      <c r="L663" s="22">
        <v>1.62</v>
      </c>
      <c r="M663" s="22" t="s">
        <v>14396</v>
      </c>
      <c r="N663" s="20" t="s">
        <v>8790</v>
      </c>
      <c r="O663" s="16" t="s">
        <v>12608</v>
      </c>
      <c r="P663" s="143">
        <v>364</v>
      </c>
      <c r="Q663" s="122" t="s">
        <v>9227</v>
      </c>
      <c r="R663" s="16" t="s">
        <v>9235</v>
      </c>
      <c r="S663" s="10" t="s">
        <v>1165</v>
      </c>
      <c r="T663" s="28" t="s">
        <v>9867</v>
      </c>
      <c r="U663" s="20" t="s">
        <v>5359</v>
      </c>
      <c r="V663" s="16" t="s">
        <v>13033</v>
      </c>
      <c r="W663" s="11" t="s">
        <v>14395</v>
      </c>
      <c r="X663" s="174">
        <v>77.010000000000005</v>
      </c>
      <c r="Y663" s="174">
        <v>102.87</v>
      </c>
    </row>
    <row r="664" spans="1:25" ht="15" customHeight="1" x14ac:dyDescent="0.25">
      <c r="A664" s="20" t="s">
        <v>7464</v>
      </c>
      <c r="B664" s="14" t="s">
        <v>7465</v>
      </c>
      <c r="C664" s="71" t="str">
        <f t="shared" si="10"/>
        <v>Product Info</v>
      </c>
      <c r="D664" s="37" t="s">
        <v>5554</v>
      </c>
      <c r="E664" s="143">
        <v>8</v>
      </c>
      <c r="F664" s="12" t="s">
        <v>2170</v>
      </c>
      <c r="G664" s="38">
        <v>70.41</v>
      </c>
      <c r="H664" s="38">
        <v>59.85</v>
      </c>
      <c r="I664" s="38">
        <v>49.29</v>
      </c>
      <c r="J664" s="39"/>
      <c r="K664" s="143"/>
      <c r="L664" s="22">
        <v>1.7428999999999999</v>
      </c>
      <c r="M664" s="22" t="s">
        <v>2170</v>
      </c>
      <c r="N664" s="20" t="s">
        <v>14489</v>
      </c>
      <c r="O664" s="16" t="s">
        <v>12608</v>
      </c>
      <c r="P664" s="143">
        <v>364</v>
      </c>
      <c r="Q664" s="122" t="s">
        <v>9227</v>
      </c>
      <c r="R664" s="16" t="s">
        <v>9235</v>
      </c>
      <c r="S664" s="10" t="s">
        <v>1165</v>
      </c>
      <c r="T664" s="28" t="s">
        <v>9868</v>
      </c>
      <c r="U664" s="20" t="s">
        <v>5359</v>
      </c>
      <c r="V664" s="16" t="s">
        <v>13017</v>
      </c>
      <c r="W664" s="11" t="s">
        <v>14395</v>
      </c>
      <c r="X664" s="174">
        <v>44.81</v>
      </c>
      <c r="Y664" s="174">
        <v>59.85</v>
      </c>
    </row>
    <row r="665" spans="1:25" ht="15" customHeight="1" x14ac:dyDescent="0.25">
      <c r="A665" s="20" t="s">
        <v>7466</v>
      </c>
      <c r="B665" s="14" t="s">
        <v>7467</v>
      </c>
      <c r="C665" s="71" t="str">
        <f t="shared" si="10"/>
        <v>Product Info</v>
      </c>
      <c r="D665" s="37" t="s">
        <v>5555</v>
      </c>
      <c r="E665" s="143">
        <v>5</v>
      </c>
      <c r="F665" s="12" t="s">
        <v>2170</v>
      </c>
      <c r="G665" s="38">
        <v>116.54</v>
      </c>
      <c r="H665" s="38">
        <v>99.06</v>
      </c>
      <c r="I665" s="38">
        <v>81.58</v>
      </c>
      <c r="J665" s="39"/>
      <c r="K665" s="143"/>
      <c r="L665" s="22">
        <v>2.52</v>
      </c>
      <c r="M665" s="22" t="s">
        <v>14396</v>
      </c>
      <c r="N665" s="20" t="s">
        <v>8790</v>
      </c>
      <c r="O665" s="16" t="s">
        <v>12608</v>
      </c>
      <c r="P665" s="143">
        <v>364</v>
      </c>
      <c r="Q665" s="122" t="s">
        <v>9227</v>
      </c>
      <c r="R665" s="16" t="s">
        <v>9235</v>
      </c>
      <c r="S665" s="10" t="s">
        <v>1165</v>
      </c>
      <c r="T665" s="28" t="s">
        <v>9869</v>
      </c>
      <c r="U665" s="20" t="s">
        <v>5359</v>
      </c>
      <c r="V665" s="16" t="s">
        <v>13043</v>
      </c>
      <c r="W665" s="11" t="s">
        <v>14395</v>
      </c>
      <c r="X665" s="174">
        <v>74.16</v>
      </c>
      <c r="Y665" s="174">
        <v>99.06</v>
      </c>
    </row>
    <row r="666" spans="1:25" ht="15" customHeight="1" x14ac:dyDescent="0.25">
      <c r="A666" s="20" t="s">
        <v>7468</v>
      </c>
      <c r="B666" s="14" t="s">
        <v>7469</v>
      </c>
      <c r="C666" s="71" t="str">
        <f t="shared" si="10"/>
        <v>Product Info</v>
      </c>
      <c r="D666" s="37" t="s">
        <v>5556</v>
      </c>
      <c r="E666" s="143">
        <v>5</v>
      </c>
      <c r="F666" s="12" t="s">
        <v>2170</v>
      </c>
      <c r="G666" s="38">
        <v>138.77000000000001</v>
      </c>
      <c r="H666" s="38">
        <v>117.96</v>
      </c>
      <c r="I666" s="38">
        <v>97.14</v>
      </c>
      <c r="J666" s="39"/>
      <c r="K666" s="143"/>
      <c r="L666" s="22">
        <v>1</v>
      </c>
      <c r="M666" s="22" t="s">
        <v>14394</v>
      </c>
      <c r="N666" s="20" t="s">
        <v>14489</v>
      </c>
      <c r="O666" s="16">
        <v>0</v>
      </c>
      <c r="P666" s="143">
        <v>364</v>
      </c>
      <c r="Q666" s="121" t="s">
        <v>14285</v>
      </c>
      <c r="R666" s="16" t="s">
        <v>9235</v>
      </c>
      <c r="S666" s="10" t="s">
        <v>1165</v>
      </c>
      <c r="T666" s="28" t="s">
        <v>9870</v>
      </c>
      <c r="U666" s="20" t="s">
        <v>5359</v>
      </c>
      <c r="V666" s="16" t="s">
        <v>13001</v>
      </c>
      <c r="W666" s="11" t="s">
        <v>14395</v>
      </c>
      <c r="X666" s="174">
        <v>88.31</v>
      </c>
      <c r="Y666" s="174">
        <v>117.96</v>
      </c>
    </row>
    <row r="667" spans="1:25" ht="15" customHeight="1" x14ac:dyDescent="0.25">
      <c r="A667" s="20" t="s">
        <v>7470</v>
      </c>
      <c r="B667" s="14" t="s">
        <v>7471</v>
      </c>
      <c r="C667" s="71" t="str">
        <f t="shared" si="10"/>
        <v>Product Info</v>
      </c>
      <c r="D667" s="37" t="s">
        <v>5557</v>
      </c>
      <c r="E667" s="143">
        <v>8</v>
      </c>
      <c r="F667" s="12" t="s">
        <v>2170</v>
      </c>
      <c r="G667" s="38">
        <v>31.49</v>
      </c>
      <c r="H667" s="38">
        <v>26.76</v>
      </c>
      <c r="I667" s="38">
        <v>22.04</v>
      </c>
      <c r="J667" s="39"/>
      <c r="K667" s="143"/>
      <c r="L667" s="22">
        <v>0.87</v>
      </c>
      <c r="M667" s="22" t="s">
        <v>12488</v>
      </c>
      <c r="N667" s="20" t="s">
        <v>8778</v>
      </c>
      <c r="O667" s="16" t="s">
        <v>12608</v>
      </c>
      <c r="P667" s="143">
        <v>364</v>
      </c>
      <c r="Q667" s="122" t="s">
        <v>9227</v>
      </c>
      <c r="R667" s="16" t="s">
        <v>9235</v>
      </c>
      <c r="S667" s="10" t="s">
        <v>1165</v>
      </c>
      <c r="T667" s="28" t="s">
        <v>9871</v>
      </c>
      <c r="U667" s="20" t="s">
        <v>5359</v>
      </c>
      <c r="V667" s="16" t="s">
        <v>13034</v>
      </c>
      <c r="W667" s="11" t="s">
        <v>14395</v>
      </c>
      <c r="X667" s="174">
        <v>20.04</v>
      </c>
      <c r="Y667" s="174">
        <v>26.76</v>
      </c>
    </row>
    <row r="668" spans="1:25" ht="15" customHeight="1" x14ac:dyDescent="0.25">
      <c r="A668" s="20" t="s">
        <v>7472</v>
      </c>
      <c r="B668" s="14" t="s">
        <v>7473</v>
      </c>
      <c r="C668" s="71" t="str">
        <f t="shared" si="10"/>
        <v>Product Info</v>
      </c>
      <c r="D668" s="37" t="s">
        <v>5558</v>
      </c>
      <c r="E668" s="143">
        <v>5</v>
      </c>
      <c r="F668" s="12" t="s">
        <v>2170</v>
      </c>
      <c r="G668" s="38">
        <v>115.39</v>
      </c>
      <c r="H668" s="38">
        <v>98.08</v>
      </c>
      <c r="I668" s="38">
        <v>80.77</v>
      </c>
      <c r="J668" s="39"/>
      <c r="K668" s="143"/>
      <c r="L668" s="22">
        <v>2.54</v>
      </c>
      <c r="M668" s="22" t="s">
        <v>2170</v>
      </c>
      <c r="N668" s="20" t="s">
        <v>14489</v>
      </c>
      <c r="O668" s="16" t="s">
        <v>12608</v>
      </c>
      <c r="P668" s="143">
        <v>364</v>
      </c>
      <c r="Q668" s="122" t="s">
        <v>9227</v>
      </c>
      <c r="R668" s="16" t="s">
        <v>9235</v>
      </c>
      <c r="S668" s="10" t="s">
        <v>1165</v>
      </c>
      <c r="T668" s="28" t="s">
        <v>9872</v>
      </c>
      <c r="U668" s="20" t="s">
        <v>5359</v>
      </c>
      <c r="V668" s="16" t="s">
        <v>13024</v>
      </c>
      <c r="W668" s="11" t="s">
        <v>14395</v>
      </c>
      <c r="X668" s="174">
        <v>73.430000000000007</v>
      </c>
      <c r="Y668" s="174">
        <v>98.08</v>
      </c>
    </row>
    <row r="669" spans="1:25" ht="15" customHeight="1" x14ac:dyDescent="0.25">
      <c r="A669" s="20" t="s">
        <v>7474</v>
      </c>
      <c r="B669" s="14" t="s">
        <v>7475</v>
      </c>
      <c r="C669" s="71" t="str">
        <f t="shared" si="10"/>
        <v>Product Info</v>
      </c>
      <c r="D669" s="37" t="s">
        <v>5559</v>
      </c>
      <c r="E669" s="143">
        <v>20</v>
      </c>
      <c r="F669" s="12" t="s">
        <v>2170</v>
      </c>
      <c r="G669" s="38">
        <v>31.56</v>
      </c>
      <c r="H669" s="38">
        <v>26.82</v>
      </c>
      <c r="I669" s="38">
        <v>22.09</v>
      </c>
      <c r="J669" s="39"/>
      <c r="K669" s="143"/>
      <c r="L669" s="22">
        <v>0.31</v>
      </c>
      <c r="M669" s="22" t="s">
        <v>2170</v>
      </c>
      <c r="N669" s="20" t="s">
        <v>14489</v>
      </c>
      <c r="O669" s="16">
        <v>0</v>
      </c>
      <c r="P669" s="143">
        <v>364</v>
      </c>
      <c r="Q669" s="121" t="s">
        <v>14285</v>
      </c>
      <c r="R669" s="16" t="s">
        <v>9235</v>
      </c>
      <c r="S669" s="10" t="s">
        <v>1165</v>
      </c>
      <c r="T669" s="28" t="s">
        <v>9873</v>
      </c>
      <c r="U669" s="20" t="s">
        <v>5359</v>
      </c>
      <c r="V669" s="16" t="s">
        <v>13035</v>
      </c>
      <c r="W669" s="11" t="s">
        <v>14395</v>
      </c>
      <c r="X669" s="174">
        <v>20.079999999999998</v>
      </c>
      <c r="Y669" s="174">
        <v>26.82</v>
      </c>
    </row>
    <row r="670" spans="1:25" ht="15" customHeight="1" x14ac:dyDescent="0.25">
      <c r="A670" s="20" t="s">
        <v>7476</v>
      </c>
      <c r="B670" s="14" t="s">
        <v>7477</v>
      </c>
      <c r="C670" s="71" t="str">
        <f t="shared" si="10"/>
        <v>Product Info</v>
      </c>
      <c r="D670" s="37" t="s">
        <v>7177</v>
      </c>
      <c r="E670" s="143">
        <v>3</v>
      </c>
      <c r="F670" s="12" t="s">
        <v>2170</v>
      </c>
      <c r="G670" s="38">
        <v>88.07</v>
      </c>
      <c r="H670" s="38">
        <v>74.86</v>
      </c>
      <c r="I670" s="38">
        <v>61.65</v>
      </c>
      <c r="J670" s="39">
        <v>3000</v>
      </c>
      <c r="K670" s="143"/>
      <c r="L670" s="22">
        <v>0.72799999999999998</v>
      </c>
      <c r="M670" s="22" t="s">
        <v>14394</v>
      </c>
      <c r="N670" s="20" t="s">
        <v>14489</v>
      </c>
      <c r="O670" s="16">
        <v>0</v>
      </c>
      <c r="P670" s="143">
        <v>364</v>
      </c>
      <c r="Q670" s="122" t="s">
        <v>9227</v>
      </c>
      <c r="R670" s="16" t="s">
        <v>9235</v>
      </c>
      <c r="S670" s="10" t="s">
        <v>1165</v>
      </c>
      <c r="T670" s="28" t="s">
        <v>9874</v>
      </c>
      <c r="U670" s="20" t="s">
        <v>5359</v>
      </c>
      <c r="V670" s="16" t="s">
        <v>13054</v>
      </c>
      <c r="W670" s="11" t="s">
        <v>14395</v>
      </c>
      <c r="X670" s="174">
        <v>56.04</v>
      </c>
      <c r="Y670" s="174">
        <v>74.86</v>
      </c>
    </row>
    <row r="671" spans="1:25" ht="15" customHeight="1" x14ac:dyDescent="0.25">
      <c r="A671" s="20" t="s">
        <v>7478</v>
      </c>
      <c r="B671" s="14" t="s">
        <v>7479</v>
      </c>
      <c r="C671" s="71" t="str">
        <f t="shared" si="10"/>
        <v>Product Info</v>
      </c>
      <c r="D671" s="37" t="s">
        <v>7640</v>
      </c>
      <c r="E671" s="143">
        <v>3</v>
      </c>
      <c r="F671" s="12" t="s">
        <v>2170</v>
      </c>
      <c r="G671" s="38">
        <v>84.89</v>
      </c>
      <c r="H671" s="38">
        <v>72.16</v>
      </c>
      <c r="I671" s="38">
        <v>59.42</v>
      </c>
      <c r="J671" s="39">
        <v>3000</v>
      </c>
      <c r="K671" s="143"/>
      <c r="L671" s="22">
        <v>0.94</v>
      </c>
      <c r="M671" s="22" t="s">
        <v>14394</v>
      </c>
      <c r="N671" s="20" t="s">
        <v>14489</v>
      </c>
      <c r="O671" s="16">
        <v>0</v>
      </c>
      <c r="P671" s="143">
        <v>364</v>
      </c>
      <c r="Q671" s="122" t="s">
        <v>9227</v>
      </c>
      <c r="R671" s="16" t="s">
        <v>9235</v>
      </c>
      <c r="S671" s="10" t="s">
        <v>1165</v>
      </c>
      <c r="T671" s="28" t="s">
        <v>9875</v>
      </c>
      <c r="U671" s="20" t="s">
        <v>5359</v>
      </c>
      <c r="V671" s="16" t="s">
        <v>8348</v>
      </c>
      <c r="W671" s="11" t="s">
        <v>14395</v>
      </c>
      <c r="X671" s="174">
        <v>54.01</v>
      </c>
      <c r="Y671" s="174">
        <v>72.16</v>
      </c>
    </row>
    <row r="672" spans="1:25" ht="15" customHeight="1" x14ac:dyDescent="0.25">
      <c r="A672" s="20" t="s">
        <v>7480</v>
      </c>
      <c r="B672" s="14" t="s">
        <v>7481</v>
      </c>
      <c r="C672" s="71" t="str">
        <f t="shared" si="10"/>
        <v>Product Info</v>
      </c>
      <c r="D672" s="37" t="s">
        <v>7641</v>
      </c>
      <c r="E672" s="143">
        <v>3</v>
      </c>
      <c r="F672" s="12" t="s">
        <v>2170</v>
      </c>
      <c r="G672" s="38">
        <v>87.43</v>
      </c>
      <c r="H672" s="38">
        <v>74.319999999999993</v>
      </c>
      <c r="I672" s="38">
        <v>61.2</v>
      </c>
      <c r="J672" s="39">
        <v>3000</v>
      </c>
      <c r="K672" s="143"/>
      <c r="L672" s="22">
        <v>1.86</v>
      </c>
      <c r="M672" s="22" t="s">
        <v>12488</v>
      </c>
      <c r="N672" s="20" t="s">
        <v>8778</v>
      </c>
      <c r="O672" s="16" t="s">
        <v>12608</v>
      </c>
      <c r="P672" s="143">
        <v>364</v>
      </c>
      <c r="Q672" s="122" t="s">
        <v>9227</v>
      </c>
      <c r="R672" s="16" t="s">
        <v>9235</v>
      </c>
      <c r="S672" s="10" t="s">
        <v>1165</v>
      </c>
      <c r="T672" s="28" t="s">
        <v>9876</v>
      </c>
      <c r="U672" s="20" t="s">
        <v>5359</v>
      </c>
      <c r="V672" s="16" t="s">
        <v>8349</v>
      </c>
      <c r="W672" s="11" t="s">
        <v>14395</v>
      </c>
      <c r="X672" s="174">
        <v>55.63</v>
      </c>
      <c r="Y672" s="174">
        <v>74.319999999999993</v>
      </c>
    </row>
    <row r="673" spans="1:25" ht="15" customHeight="1" x14ac:dyDescent="0.25">
      <c r="A673" s="20" t="s">
        <v>7482</v>
      </c>
      <c r="B673" s="14" t="s">
        <v>7483</v>
      </c>
      <c r="C673" s="71" t="str">
        <f t="shared" si="10"/>
        <v>Product Info</v>
      </c>
      <c r="D673" s="37" t="s">
        <v>7642</v>
      </c>
      <c r="E673" s="143">
        <v>3</v>
      </c>
      <c r="F673" s="12" t="s">
        <v>2170</v>
      </c>
      <c r="G673" s="38">
        <v>87.43</v>
      </c>
      <c r="H673" s="38">
        <v>74.319999999999993</v>
      </c>
      <c r="I673" s="38">
        <v>61.2</v>
      </c>
      <c r="J673" s="39"/>
      <c r="K673" s="143"/>
      <c r="L673" s="22">
        <v>1.9583999999999999</v>
      </c>
      <c r="M673" s="22" t="s">
        <v>2170</v>
      </c>
      <c r="N673" s="20" t="s">
        <v>14489</v>
      </c>
      <c r="O673" s="16" t="s">
        <v>12608</v>
      </c>
      <c r="P673" s="143">
        <v>364</v>
      </c>
      <c r="Q673" s="121" t="s">
        <v>14285</v>
      </c>
      <c r="R673" s="16" t="s">
        <v>9235</v>
      </c>
      <c r="S673" s="10" t="s">
        <v>1165</v>
      </c>
      <c r="T673" s="28" t="s">
        <v>9877</v>
      </c>
      <c r="U673" s="20" t="s">
        <v>5359</v>
      </c>
      <c r="V673" s="16" t="s">
        <v>8350</v>
      </c>
      <c r="W673" s="11" t="s">
        <v>14395</v>
      </c>
      <c r="X673" s="174">
        <v>55.63</v>
      </c>
      <c r="Y673" s="174">
        <v>74.319999999999993</v>
      </c>
    </row>
    <row r="674" spans="1:25" ht="15" customHeight="1" x14ac:dyDescent="0.25">
      <c r="A674" s="20" t="s">
        <v>7484</v>
      </c>
      <c r="B674" s="14" t="s">
        <v>7485</v>
      </c>
      <c r="C674" s="71" t="str">
        <f t="shared" si="10"/>
        <v>Product Info</v>
      </c>
      <c r="D674" s="37" t="s">
        <v>7643</v>
      </c>
      <c r="E674" s="143">
        <v>3</v>
      </c>
      <c r="F674" s="12" t="s">
        <v>2170</v>
      </c>
      <c r="G674" s="38">
        <v>86.57</v>
      </c>
      <c r="H674" s="38">
        <v>73.59</v>
      </c>
      <c r="I674" s="38">
        <v>60.6</v>
      </c>
      <c r="J674" s="39"/>
      <c r="K674" s="143"/>
      <c r="L674" s="22">
        <v>2</v>
      </c>
      <c r="M674" s="22" t="s">
        <v>12488</v>
      </c>
      <c r="N674" s="20" t="s">
        <v>8778</v>
      </c>
      <c r="O674" s="16" t="s">
        <v>12608</v>
      </c>
      <c r="P674" s="143">
        <v>364</v>
      </c>
      <c r="Q674" s="121" t="s">
        <v>14285</v>
      </c>
      <c r="R674" s="16" t="s">
        <v>9235</v>
      </c>
      <c r="S674" s="10" t="s">
        <v>1165</v>
      </c>
      <c r="T674" s="28" t="s">
        <v>9878</v>
      </c>
      <c r="U674" s="20" t="s">
        <v>5359</v>
      </c>
      <c r="V674" s="16" t="s">
        <v>8351</v>
      </c>
      <c r="W674" s="11" t="s">
        <v>14395</v>
      </c>
      <c r="X674" s="174">
        <v>55.08</v>
      </c>
      <c r="Y674" s="174">
        <v>73.59</v>
      </c>
    </row>
    <row r="675" spans="1:25" ht="15" customHeight="1" x14ac:dyDescent="0.25">
      <c r="A675" s="20" t="s">
        <v>7486</v>
      </c>
      <c r="B675" s="14" t="s">
        <v>3723</v>
      </c>
      <c r="C675" s="71" t="str">
        <f t="shared" si="10"/>
        <v>Product Info</v>
      </c>
      <c r="D675" s="37" t="s">
        <v>7644</v>
      </c>
      <c r="E675" s="143">
        <v>3</v>
      </c>
      <c r="F675" s="12" t="s">
        <v>2170</v>
      </c>
      <c r="G675" s="38">
        <v>86.57</v>
      </c>
      <c r="H675" s="38">
        <v>73.59</v>
      </c>
      <c r="I675" s="38">
        <v>60.6</v>
      </c>
      <c r="J675" s="39"/>
      <c r="K675" s="143"/>
      <c r="L675" s="22">
        <v>1.08</v>
      </c>
      <c r="M675" s="22" t="s">
        <v>14394</v>
      </c>
      <c r="N675" s="20" t="s">
        <v>14489</v>
      </c>
      <c r="O675" s="16">
        <v>0</v>
      </c>
      <c r="P675" s="143">
        <v>364</v>
      </c>
      <c r="Q675" s="122" t="s">
        <v>12421</v>
      </c>
      <c r="R675" s="16" t="s">
        <v>9235</v>
      </c>
      <c r="S675" s="10" t="s">
        <v>1165</v>
      </c>
      <c r="T675" s="28" t="s">
        <v>9879</v>
      </c>
      <c r="U675" s="20" t="s">
        <v>5359</v>
      </c>
      <c r="V675" s="16" t="s">
        <v>8352</v>
      </c>
      <c r="W675" s="11" t="s">
        <v>14395</v>
      </c>
      <c r="X675" s="174">
        <v>55.08</v>
      </c>
      <c r="Y675" s="174">
        <v>73.59</v>
      </c>
    </row>
    <row r="676" spans="1:25" ht="15" customHeight="1" x14ac:dyDescent="0.25">
      <c r="A676" s="20" t="s">
        <v>3724</v>
      </c>
      <c r="B676" s="14" t="s">
        <v>3725</v>
      </c>
      <c r="C676" s="71" t="str">
        <f t="shared" si="10"/>
        <v>Product Info</v>
      </c>
      <c r="D676" s="37" t="s">
        <v>7645</v>
      </c>
      <c r="E676" s="143">
        <v>3</v>
      </c>
      <c r="F676" s="12" t="s">
        <v>2170</v>
      </c>
      <c r="G676" s="38">
        <v>86.57</v>
      </c>
      <c r="H676" s="38">
        <v>73.59</v>
      </c>
      <c r="I676" s="38">
        <v>60.6</v>
      </c>
      <c r="J676" s="39">
        <v>3000</v>
      </c>
      <c r="K676" s="143"/>
      <c r="L676" s="22">
        <v>1.64</v>
      </c>
      <c r="M676" s="22" t="s">
        <v>14394</v>
      </c>
      <c r="N676" s="20" t="s">
        <v>14489</v>
      </c>
      <c r="O676" s="16" t="s">
        <v>12608</v>
      </c>
      <c r="P676" s="143">
        <v>364</v>
      </c>
      <c r="Q676" s="122" t="s">
        <v>9227</v>
      </c>
      <c r="R676" s="16" t="s">
        <v>9235</v>
      </c>
      <c r="S676" s="10" t="s">
        <v>1165</v>
      </c>
      <c r="T676" s="28" t="s">
        <v>9880</v>
      </c>
      <c r="U676" s="20" t="s">
        <v>5359</v>
      </c>
      <c r="V676" s="16" t="s">
        <v>8353</v>
      </c>
      <c r="W676" s="11" t="s">
        <v>14395</v>
      </c>
      <c r="X676" s="174">
        <v>55.08</v>
      </c>
      <c r="Y676" s="174">
        <v>73.59</v>
      </c>
    </row>
    <row r="677" spans="1:25" ht="15" customHeight="1" x14ac:dyDescent="0.25">
      <c r="A677" s="20" t="s">
        <v>3726</v>
      </c>
      <c r="B677" s="14" t="s">
        <v>5286</v>
      </c>
      <c r="C677" s="71" t="str">
        <f t="shared" si="10"/>
        <v>Product Info</v>
      </c>
      <c r="D677" s="37" t="s">
        <v>7646</v>
      </c>
      <c r="E677" s="143">
        <v>3</v>
      </c>
      <c r="F677" s="12" t="s">
        <v>2170</v>
      </c>
      <c r="G677" s="38">
        <v>86.57</v>
      </c>
      <c r="H677" s="38">
        <v>73.59</v>
      </c>
      <c r="I677" s="38">
        <v>60.6</v>
      </c>
      <c r="J677" s="39">
        <v>3000</v>
      </c>
      <c r="K677" s="143"/>
      <c r="L677" s="22">
        <v>2.2000000000000002</v>
      </c>
      <c r="M677" s="22" t="s">
        <v>2170</v>
      </c>
      <c r="N677" s="20" t="s">
        <v>14489</v>
      </c>
      <c r="O677" s="16" t="s">
        <v>13914</v>
      </c>
      <c r="P677" s="143">
        <v>364</v>
      </c>
      <c r="Q677" s="122" t="s">
        <v>9227</v>
      </c>
      <c r="R677" s="16" t="s">
        <v>9235</v>
      </c>
      <c r="S677" s="10" t="s">
        <v>1165</v>
      </c>
      <c r="T677" s="28" t="s">
        <v>9881</v>
      </c>
      <c r="U677" s="20" t="s">
        <v>5359</v>
      </c>
      <c r="V677" s="16" t="s">
        <v>8354</v>
      </c>
      <c r="W677" s="11" t="s">
        <v>14395</v>
      </c>
      <c r="X677" s="174">
        <v>55.08</v>
      </c>
      <c r="Y677" s="174">
        <v>73.59</v>
      </c>
    </row>
    <row r="678" spans="1:25" ht="15" customHeight="1" x14ac:dyDescent="0.25">
      <c r="A678" s="20" t="s">
        <v>5287</v>
      </c>
      <c r="B678" s="14" t="s">
        <v>5288</v>
      </c>
      <c r="C678" s="71" t="str">
        <f t="shared" si="10"/>
        <v>Product Info</v>
      </c>
      <c r="D678" s="37" t="s">
        <v>7647</v>
      </c>
      <c r="E678" s="143">
        <v>3</v>
      </c>
      <c r="F678" s="12" t="s">
        <v>2170</v>
      </c>
      <c r="G678" s="38">
        <v>86.57</v>
      </c>
      <c r="H678" s="38">
        <v>73.59</v>
      </c>
      <c r="I678" s="38">
        <v>60.6</v>
      </c>
      <c r="J678" s="39"/>
      <c r="K678" s="143"/>
      <c r="L678" s="22">
        <v>1</v>
      </c>
      <c r="M678" s="22" t="s">
        <v>14394</v>
      </c>
      <c r="N678" s="20" t="s">
        <v>14489</v>
      </c>
      <c r="O678" s="16">
        <v>0</v>
      </c>
      <c r="P678" s="143">
        <v>364</v>
      </c>
      <c r="Q678" s="122" t="s">
        <v>9227</v>
      </c>
      <c r="R678" s="16" t="s">
        <v>9235</v>
      </c>
      <c r="S678" s="10" t="s">
        <v>1165</v>
      </c>
      <c r="T678" s="28" t="s">
        <v>9882</v>
      </c>
      <c r="U678" s="20" t="s">
        <v>5359</v>
      </c>
      <c r="V678" s="16" t="s">
        <v>8355</v>
      </c>
      <c r="W678" s="11" t="s">
        <v>14395</v>
      </c>
      <c r="X678" s="174">
        <v>55.08</v>
      </c>
      <c r="Y678" s="174">
        <v>73.59</v>
      </c>
    </row>
    <row r="679" spans="1:25" ht="15" customHeight="1" x14ac:dyDescent="0.25">
      <c r="A679" s="20" t="s">
        <v>5289</v>
      </c>
      <c r="B679" s="14" t="s">
        <v>5290</v>
      </c>
      <c r="C679" s="71" t="str">
        <f t="shared" si="10"/>
        <v>Product Info</v>
      </c>
      <c r="D679" s="37" t="s">
        <v>7648</v>
      </c>
      <c r="E679" s="143">
        <v>3</v>
      </c>
      <c r="F679" s="12" t="s">
        <v>2170</v>
      </c>
      <c r="G679" s="38">
        <v>86.57</v>
      </c>
      <c r="H679" s="38">
        <v>73.59</v>
      </c>
      <c r="I679" s="38">
        <v>60.6</v>
      </c>
      <c r="J679" s="39">
        <v>3000</v>
      </c>
      <c r="K679" s="143"/>
      <c r="L679" s="22">
        <v>1.925</v>
      </c>
      <c r="M679" s="22" t="s">
        <v>2170</v>
      </c>
      <c r="N679" s="20" t="s">
        <v>14489</v>
      </c>
      <c r="O679" s="16">
        <v>0</v>
      </c>
      <c r="P679" s="143">
        <v>364</v>
      </c>
      <c r="Q679" s="122" t="s">
        <v>12421</v>
      </c>
      <c r="R679" s="16" t="s">
        <v>9235</v>
      </c>
      <c r="S679" s="10" t="s">
        <v>1165</v>
      </c>
      <c r="T679" s="28" t="s">
        <v>9883</v>
      </c>
      <c r="U679" s="20" t="s">
        <v>5359</v>
      </c>
      <c r="V679" s="16" t="s">
        <v>8356</v>
      </c>
      <c r="W679" s="11" t="s">
        <v>14395</v>
      </c>
      <c r="X679" s="174">
        <v>55.08</v>
      </c>
      <c r="Y679" s="174">
        <v>73.59</v>
      </c>
    </row>
    <row r="680" spans="1:25" ht="15" customHeight="1" x14ac:dyDescent="0.25">
      <c r="A680" s="20" t="s">
        <v>5291</v>
      </c>
      <c r="B680" s="14" t="s">
        <v>5292</v>
      </c>
      <c r="C680" s="71" t="str">
        <f t="shared" si="10"/>
        <v>Product Info</v>
      </c>
      <c r="D680" s="37" t="s">
        <v>7649</v>
      </c>
      <c r="E680" s="143">
        <v>10</v>
      </c>
      <c r="F680" s="12" t="s">
        <v>2170</v>
      </c>
      <c r="G680" s="38">
        <v>31.84</v>
      </c>
      <c r="H680" s="38">
        <v>27.07</v>
      </c>
      <c r="I680" s="38">
        <v>22.29</v>
      </c>
      <c r="J680" s="39"/>
      <c r="K680" s="143"/>
      <c r="L680" s="22">
        <v>0.76</v>
      </c>
      <c r="M680" s="22" t="s">
        <v>12488</v>
      </c>
      <c r="N680" s="20" t="s">
        <v>8778</v>
      </c>
      <c r="O680" s="16" t="s">
        <v>12608</v>
      </c>
      <c r="P680" s="143">
        <v>364</v>
      </c>
      <c r="Q680" s="121" t="s">
        <v>14285</v>
      </c>
      <c r="R680" s="16" t="s">
        <v>9235</v>
      </c>
      <c r="S680" s="10" t="s">
        <v>1165</v>
      </c>
      <c r="T680" s="28" t="s">
        <v>9884</v>
      </c>
      <c r="U680" s="20" t="s">
        <v>5359</v>
      </c>
      <c r="V680" s="16" t="s">
        <v>13011</v>
      </c>
      <c r="W680" s="11" t="s">
        <v>14395</v>
      </c>
      <c r="X680" s="174">
        <v>20.27</v>
      </c>
      <c r="Y680" s="174">
        <v>27.07</v>
      </c>
    </row>
    <row r="681" spans="1:25" ht="15" customHeight="1" x14ac:dyDescent="0.25">
      <c r="A681" s="20" t="s">
        <v>5293</v>
      </c>
      <c r="B681" s="14" t="s">
        <v>5294</v>
      </c>
      <c r="C681" s="71" t="str">
        <f t="shared" si="10"/>
        <v>Product Info</v>
      </c>
      <c r="D681" s="37" t="s">
        <v>7650</v>
      </c>
      <c r="E681" s="143">
        <v>5</v>
      </c>
      <c r="F681" s="12" t="s">
        <v>2170</v>
      </c>
      <c r="G681" s="38">
        <v>153.56</v>
      </c>
      <c r="H681" s="38">
        <v>130.53</v>
      </c>
      <c r="I681" s="38">
        <v>107.49</v>
      </c>
      <c r="J681" s="39"/>
      <c r="K681" s="143"/>
      <c r="L681" s="22">
        <v>0</v>
      </c>
      <c r="M681" s="22">
        <v>0</v>
      </c>
      <c r="N681" s="20" t="s">
        <v>14489</v>
      </c>
      <c r="O681" s="16">
        <v>0</v>
      </c>
      <c r="P681" s="143">
        <v>364</v>
      </c>
      <c r="Q681" s="121" t="s">
        <v>14285</v>
      </c>
      <c r="R681" s="16" t="s">
        <v>9235</v>
      </c>
      <c r="S681" s="10" t="s">
        <v>1165</v>
      </c>
      <c r="T681" s="28" t="s">
        <v>9885</v>
      </c>
      <c r="U681" s="20" t="s">
        <v>5359</v>
      </c>
      <c r="V681" s="16" t="s">
        <v>13022</v>
      </c>
      <c r="W681" s="11" t="s">
        <v>14395</v>
      </c>
      <c r="X681" s="174">
        <v>97.71</v>
      </c>
      <c r="Y681" s="174">
        <v>130.53</v>
      </c>
    </row>
    <row r="682" spans="1:25" ht="15" customHeight="1" x14ac:dyDescent="0.25">
      <c r="A682" s="20" t="s">
        <v>5295</v>
      </c>
      <c r="B682" s="14" t="s">
        <v>5296</v>
      </c>
      <c r="C682" s="71" t="str">
        <f t="shared" si="10"/>
        <v>Product Info</v>
      </c>
      <c r="D682" s="37" t="s">
        <v>7651</v>
      </c>
      <c r="E682" s="143">
        <v>8</v>
      </c>
      <c r="F682" s="12" t="s">
        <v>2170</v>
      </c>
      <c r="G682" s="38">
        <v>77.239999999999995</v>
      </c>
      <c r="H682" s="38">
        <v>65.66</v>
      </c>
      <c r="I682" s="38">
        <v>54.07</v>
      </c>
      <c r="J682" s="39"/>
      <c r="K682" s="143"/>
      <c r="L682" s="22">
        <v>2.0750000000000002</v>
      </c>
      <c r="M682" s="22" t="s">
        <v>2170</v>
      </c>
      <c r="N682" s="20" t="s">
        <v>14489</v>
      </c>
      <c r="O682" s="16" t="s">
        <v>12608</v>
      </c>
      <c r="P682" s="143">
        <v>364</v>
      </c>
      <c r="Q682" s="122" t="s">
        <v>9227</v>
      </c>
      <c r="R682" s="16" t="s">
        <v>9235</v>
      </c>
      <c r="S682" s="10" t="s">
        <v>1165</v>
      </c>
      <c r="T682" s="28" t="s">
        <v>9886</v>
      </c>
      <c r="U682" s="20" t="s">
        <v>5359</v>
      </c>
      <c r="V682" s="16" t="s">
        <v>13049</v>
      </c>
      <c r="W682" s="11" t="s">
        <v>14395</v>
      </c>
      <c r="X682" s="174">
        <v>49.16</v>
      </c>
      <c r="Y682" s="174">
        <v>65.66</v>
      </c>
    </row>
    <row r="683" spans="1:25" ht="15" customHeight="1" x14ac:dyDescent="0.25">
      <c r="A683" s="20" t="s">
        <v>6903</v>
      </c>
      <c r="B683" s="14" t="s">
        <v>3419</v>
      </c>
      <c r="C683" s="71" t="str">
        <f t="shared" si="10"/>
        <v>Product Info</v>
      </c>
      <c r="D683" s="37" t="s">
        <v>7652</v>
      </c>
      <c r="E683" s="143">
        <v>25</v>
      </c>
      <c r="F683" s="12" t="s">
        <v>2170</v>
      </c>
      <c r="G683" s="38">
        <v>5.37</v>
      </c>
      <c r="H683" s="38">
        <v>4.57</v>
      </c>
      <c r="I683" s="38">
        <v>3.76</v>
      </c>
      <c r="J683" s="39"/>
      <c r="K683" s="143"/>
      <c r="L683" s="22">
        <v>0.159</v>
      </c>
      <c r="M683" s="22" t="s">
        <v>2170</v>
      </c>
      <c r="N683" s="20" t="s">
        <v>14489</v>
      </c>
      <c r="O683" s="16" t="s">
        <v>12608</v>
      </c>
      <c r="P683" s="143">
        <v>364</v>
      </c>
      <c r="Q683" s="122" t="s">
        <v>9227</v>
      </c>
      <c r="R683" s="16" t="s">
        <v>9235</v>
      </c>
      <c r="S683" s="10" t="s">
        <v>1165</v>
      </c>
      <c r="T683" s="28" t="s">
        <v>9887</v>
      </c>
      <c r="U683" s="20" t="s">
        <v>5359</v>
      </c>
      <c r="V683" s="16" t="s">
        <v>13056</v>
      </c>
      <c r="W683" s="11" t="s">
        <v>14395</v>
      </c>
      <c r="X683" s="174">
        <v>3.43</v>
      </c>
      <c r="Y683" s="174">
        <v>4.57</v>
      </c>
    </row>
    <row r="684" spans="1:25" ht="15" customHeight="1" x14ac:dyDescent="0.25">
      <c r="A684" s="20" t="s">
        <v>3420</v>
      </c>
      <c r="B684" s="14" t="s">
        <v>3421</v>
      </c>
      <c r="C684" s="71" t="str">
        <f t="shared" si="10"/>
        <v>Product Info</v>
      </c>
      <c r="D684" s="37" t="s">
        <v>7653</v>
      </c>
      <c r="E684" s="143">
        <v>25</v>
      </c>
      <c r="F684" s="12" t="s">
        <v>2170</v>
      </c>
      <c r="G684" s="38">
        <v>5.24</v>
      </c>
      <c r="H684" s="38">
        <v>4.46</v>
      </c>
      <c r="I684" s="38">
        <v>3.67</v>
      </c>
      <c r="J684" s="39"/>
      <c r="K684" s="143"/>
      <c r="L684" s="22">
        <v>0.16</v>
      </c>
      <c r="M684" s="22" t="s">
        <v>2170</v>
      </c>
      <c r="N684" s="20" t="s">
        <v>14489</v>
      </c>
      <c r="O684" s="16" t="s">
        <v>13914</v>
      </c>
      <c r="P684" s="143">
        <v>364</v>
      </c>
      <c r="Q684" s="122" t="s">
        <v>9227</v>
      </c>
      <c r="R684" s="16" t="s">
        <v>9235</v>
      </c>
      <c r="S684" s="10" t="s">
        <v>1165</v>
      </c>
      <c r="T684" s="28" t="s">
        <v>9888</v>
      </c>
      <c r="U684" s="20" t="s">
        <v>5359</v>
      </c>
      <c r="V684" s="16" t="s">
        <v>8357</v>
      </c>
      <c r="W684" s="11" t="s">
        <v>14395</v>
      </c>
      <c r="X684" s="174">
        <v>3.34</v>
      </c>
      <c r="Y684" s="174">
        <v>4.46</v>
      </c>
    </row>
    <row r="685" spans="1:25" ht="15" customHeight="1" x14ac:dyDescent="0.25">
      <c r="A685" s="20" t="s">
        <v>3422</v>
      </c>
      <c r="B685" s="14" t="s">
        <v>2066</v>
      </c>
      <c r="C685" s="71" t="str">
        <f t="shared" si="10"/>
        <v>Product Info</v>
      </c>
      <c r="D685" s="37" t="s">
        <v>7654</v>
      </c>
      <c r="E685" s="143">
        <v>25</v>
      </c>
      <c r="F685" s="12" t="s">
        <v>2170</v>
      </c>
      <c r="G685" s="38">
        <v>5.24</v>
      </c>
      <c r="H685" s="38">
        <v>4.46</v>
      </c>
      <c r="I685" s="38">
        <v>3.67</v>
      </c>
      <c r="J685" s="39"/>
      <c r="K685" s="143"/>
      <c r="L685" s="22">
        <v>0.16800000000000001</v>
      </c>
      <c r="M685" s="22" t="s">
        <v>2170</v>
      </c>
      <c r="N685" s="20" t="s">
        <v>14489</v>
      </c>
      <c r="O685" s="16" t="s">
        <v>12608</v>
      </c>
      <c r="P685" s="143">
        <v>364</v>
      </c>
      <c r="Q685" s="122" t="s">
        <v>9227</v>
      </c>
      <c r="R685" s="16" t="s">
        <v>9235</v>
      </c>
      <c r="S685" s="10" t="s">
        <v>1165</v>
      </c>
      <c r="T685" s="28" t="s">
        <v>9889</v>
      </c>
      <c r="U685" s="20" t="s">
        <v>5359</v>
      </c>
      <c r="V685" s="16" t="s">
        <v>8358</v>
      </c>
      <c r="W685" s="11" t="s">
        <v>14395</v>
      </c>
      <c r="X685" s="174">
        <v>3.34</v>
      </c>
      <c r="Y685" s="174">
        <v>4.46</v>
      </c>
    </row>
    <row r="686" spans="1:25" ht="15" customHeight="1" x14ac:dyDescent="0.25">
      <c r="A686" s="20" t="s">
        <v>2067</v>
      </c>
      <c r="B686" s="14" t="s">
        <v>1443</v>
      </c>
      <c r="C686" s="71" t="str">
        <f t="shared" si="10"/>
        <v>Product Info</v>
      </c>
      <c r="D686" s="37" t="s">
        <v>7655</v>
      </c>
      <c r="E686" s="143">
        <v>25</v>
      </c>
      <c r="F686" s="12" t="s">
        <v>2170</v>
      </c>
      <c r="G686" s="38">
        <v>5.24</v>
      </c>
      <c r="H686" s="38">
        <v>4.46</v>
      </c>
      <c r="I686" s="38">
        <v>3.67</v>
      </c>
      <c r="J686" s="39"/>
      <c r="K686" s="143"/>
      <c r="L686" s="22">
        <v>0.17199999999999999</v>
      </c>
      <c r="M686" s="22" t="s">
        <v>2170</v>
      </c>
      <c r="N686" s="20" t="s">
        <v>14489</v>
      </c>
      <c r="O686" s="16" t="s">
        <v>12608</v>
      </c>
      <c r="P686" s="143">
        <v>364</v>
      </c>
      <c r="Q686" s="122" t="s">
        <v>9227</v>
      </c>
      <c r="R686" s="16" t="s">
        <v>9235</v>
      </c>
      <c r="S686" s="10" t="s">
        <v>1165</v>
      </c>
      <c r="T686" s="28" t="s">
        <v>9890</v>
      </c>
      <c r="U686" s="20" t="s">
        <v>5359</v>
      </c>
      <c r="V686" s="16" t="s">
        <v>8359</v>
      </c>
      <c r="W686" s="11" t="s">
        <v>14395</v>
      </c>
      <c r="X686" s="174">
        <v>3.34</v>
      </c>
      <c r="Y686" s="174">
        <v>4.46</v>
      </c>
    </row>
    <row r="687" spans="1:25" ht="15" customHeight="1" x14ac:dyDescent="0.25">
      <c r="A687" s="20" t="s">
        <v>1444</v>
      </c>
      <c r="B687" s="14" t="s">
        <v>1445</v>
      </c>
      <c r="C687" s="71" t="str">
        <f t="shared" si="10"/>
        <v>Product Info</v>
      </c>
      <c r="D687" s="37" t="s">
        <v>7656</v>
      </c>
      <c r="E687" s="143">
        <v>25</v>
      </c>
      <c r="F687" s="12" t="s">
        <v>2170</v>
      </c>
      <c r="G687" s="38">
        <v>5.24</v>
      </c>
      <c r="H687" s="38">
        <v>4.46</v>
      </c>
      <c r="I687" s="38">
        <v>3.67</v>
      </c>
      <c r="J687" s="39"/>
      <c r="K687" s="143"/>
      <c r="L687" s="22">
        <v>0.18</v>
      </c>
      <c r="M687" s="22" t="s">
        <v>12488</v>
      </c>
      <c r="N687" s="20" t="s">
        <v>8778</v>
      </c>
      <c r="O687" s="16" t="s">
        <v>12608</v>
      </c>
      <c r="P687" s="143">
        <v>364</v>
      </c>
      <c r="Q687" s="122" t="s">
        <v>9227</v>
      </c>
      <c r="R687" s="16" t="s">
        <v>9235</v>
      </c>
      <c r="S687" s="10" t="s">
        <v>1165</v>
      </c>
      <c r="T687" s="28" t="s">
        <v>9891</v>
      </c>
      <c r="U687" s="20" t="s">
        <v>5359</v>
      </c>
      <c r="V687" s="16" t="s">
        <v>8360</v>
      </c>
      <c r="W687" s="11" t="s">
        <v>14395</v>
      </c>
      <c r="X687" s="174">
        <v>3.34</v>
      </c>
      <c r="Y687" s="174">
        <v>4.46</v>
      </c>
    </row>
    <row r="688" spans="1:25" ht="15" customHeight="1" x14ac:dyDescent="0.25">
      <c r="A688" s="20" t="s">
        <v>1446</v>
      </c>
      <c r="B688" s="14" t="s">
        <v>1447</v>
      </c>
      <c r="C688" s="71" t="str">
        <f t="shared" si="10"/>
        <v>Product Info</v>
      </c>
      <c r="D688" s="37" t="s">
        <v>7657</v>
      </c>
      <c r="E688" s="143">
        <v>25</v>
      </c>
      <c r="F688" s="12" t="s">
        <v>2170</v>
      </c>
      <c r="G688" s="38">
        <v>5.24</v>
      </c>
      <c r="H688" s="38">
        <v>4.46</v>
      </c>
      <c r="I688" s="38">
        <v>3.67</v>
      </c>
      <c r="J688" s="39"/>
      <c r="K688" s="143"/>
      <c r="L688" s="22">
        <v>5.7999999999999996E-3</v>
      </c>
      <c r="M688" s="22" t="s">
        <v>14394</v>
      </c>
      <c r="N688" s="20" t="s">
        <v>14489</v>
      </c>
      <c r="O688" s="16">
        <v>0</v>
      </c>
      <c r="P688" s="143">
        <v>364</v>
      </c>
      <c r="Q688" s="122" t="s">
        <v>12421</v>
      </c>
      <c r="R688" s="16" t="s">
        <v>9235</v>
      </c>
      <c r="S688" s="10" t="s">
        <v>1165</v>
      </c>
      <c r="T688" s="28" t="s">
        <v>9892</v>
      </c>
      <c r="U688" s="20" t="s">
        <v>5359</v>
      </c>
      <c r="V688" s="16" t="s">
        <v>8361</v>
      </c>
      <c r="W688" s="11" t="s">
        <v>14395</v>
      </c>
      <c r="X688" s="174">
        <v>3.34</v>
      </c>
      <c r="Y688" s="174">
        <v>4.46</v>
      </c>
    </row>
    <row r="689" spans="1:25" ht="15" customHeight="1" x14ac:dyDescent="0.25">
      <c r="A689" s="20" t="s">
        <v>1448</v>
      </c>
      <c r="B689" s="14" t="s">
        <v>1449</v>
      </c>
      <c r="C689" s="71" t="str">
        <f t="shared" si="10"/>
        <v>Product Info</v>
      </c>
      <c r="D689" s="37" t="s">
        <v>7207</v>
      </c>
      <c r="E689" s="143">
        <v>25</v>
      </c>
      <c r="F689" s="12" t="s">
        <v>2170</v>
      </c>
      <c r="G689" s="38">
        <v>7.97</v>
      </c>
      <c r="H689" s="38">
        <v>6.78</v>
      </c>
      <c r="I689" s="38">
        <v>5.58</v>
      </c>
      <c r="J689" s="39"/>
      <c r="K689" s="143"/>
      <c r="L689" s="22">
        <v>3.1E-2</v>
      </c>
      <c r="M689" s="22" t="s">
        <v>14394</v>
      </c>
      <c r="N689" s="20" t="s">
        <v>14489</v>
      </c>
      <c r="O689" s="16">
        <v>0</v>
      </c>
      <c r="P689" s="143">
        <v>364</v>
      </c>
      <c r="Q689" s="121" t="s">
        <v>14285</v>
      </c>
      <c r="R689" s="16" t="s">
        <v>9235</v>
      </c>
      <c r="S689" s="10" t="s">
        <v>1165</v>
      </c>
      <c r="T689" s="28" t="s">
        <v>9893</v>
      </c>
      <c r="U689" s="20" t="s">
        <v>5359</v>
      </c>
      <c r="V689" s="16" t="s">
        <v>8362</v>
      </c>
      <c r="W689" s="11" t="s">
        <v>14395</v>
      </c>
      <c r="X689" s="174">
        <v>5.07</v>
      </c>
      <c r="Y689" s="174">
        <v>6.78</v>
      </c>
    </row>
    <row r="690" spans="1:25" ht="15" customHeight="1" x14ac:dyDescent="0.25">
      <c r="A690" s="20" t="s">
        <v>1450</v>
      </c>
      <c r="B690" s="14" t="s">
        <v>1451</v>
      </c>
      <c r="C690" s="71" t="str">
        <f t="shared" si="10"/>
        <v>Product Info</v>
      </c>
      <c r="D690" s="37" t="s">
        <v>7208</v>
      </c>
      <c r="E690" s="143">
        <v>25</v>
      </c>
      <c r="F690" s="12" t="s">
        <v>2170</v>
      </c>
      <c r="G690" s="38">
        <v>7.97</v>
      </c>
      <c r="H690" s="38">
        <v>6.78</v>
      </c>
      <c r="I690" s="38">
        <v>5.58</v>
      </c>
      <c r="J690" s="39"/>
      <c r="K690" s="143"/>
      <c r="L690" s="22">
        <v>7.4999999999999997E-2</v>
      </c>
      <c r="M690" s="22" t="s">
        <v>14394</v>
      </c>
      <c r="N690" s="20" t="s">
        <v>14489</v>
      </c>
      <c r="O690" s="16">
        <v>0</v>
      </c>
      <c r="P690" s="143">
        <v>364</v>
      </c>
      <c r="Q690" s="121" t="s">
        <v>14285</v>
      </c>
      <c r="R690" s="16" t="s">
        <v>9235</v>
      </c>
      <c r="S690" s="10" t="s">
        <v>1165</v>
      </c>
      <c r="T690" s="28" t="s">
        <v>9894</v>
      </c>
      <c r="U690" s="20" t="s">
        <v>5359</v>
      </c>
      <c r="V690" s="16" t="s">
        <v>8363</v>
      </c>
      <c r="W690" s="11" t="s">
        <v>14395</v>
      </c>
      <c r="X690" s="174">
        <v>5.07</v>
      </c>
      <c r="Y690" s="174">
        <v>6.78</v>
      </c>
    </row>
    <row r="691" spans="1:25" ht="15" customHeight="1" x14ac:dyDescent="0.25">
      <c r="A691" s="20" t="s">
        <v>1452</v>
      </c>
      <c r="B691" s="14" t="s">
        <v>1453</v>
      </c>
      <c r="C691" s="71" t="str">
        <f t="shared" si="10"/>
        <v>Product Info</v>
      </c>
      <c r="D691" s="37" t="s">
        <v>7209</v>
      </c>
      <c r="E691" s="143">
        <v>25</v>
      </c>
      <c r="F691" s="12" t="s">
        <v>2170</v>
      </c>
      <c r="G691" s="38">
        <v>5.94</v>
      </c>
      <c r="H691" s="38">
        <v>5.05</v>
      </c>
      <c r="I691" s="38">
        <v>4.16</v>
      </c>
      <c r="J691" s="39"/>
      <c r="K691" s="143"/>
      <c r="L691" s="22">
        <v>0.13</v>
      </c>
      <c r="M691" s="22" t="s">
        <v>14394</v>
      </c>
      <c r="N691" s="20" t="s">
        <v>14489</v>
      </c>
      <c r="O691" s="16">
        <v>0</v>
      </c>
      <c r="P691" s="143">
        <v>364</v>
      </c>
      <c r="Q691" s="121" t="s">
        <v>14285</v>
      </c>
      <c r="R691" s="16" t="s">
        <v>9235</v>
      </c>
      <c r="S691" s="10" t="s">
        <v>1165</v>
      </c>
      <c r="T691" s="28" t="s">
        <v>9895</v>
      </c>
      <c r="U691" s="20" t="s">
        <v>5359</v>
      </c>
      <c r="V691" s="16" t="s">
        <v>8364</v>
      </c>
      <c r="W691" s="11" t="s">
        <v>14395</v>
      </c>
      <c r="X691" s="174">
        <v>3.78</v>
      </c>
      <c r="Y691" s="174">
        <v>5.05</v>
      </c>
    </row>
    <row r="692" spans="1:25" ht="15" customHeight="1" x14ac:dyDescent="0.25">
      <c r="A692" s="20" t="s">
        <v>1454</v>
      </c>
      <c r="B692" s="14" t="s">
        <v>1455</v>
      </c>
      <c r="C692" s="71" t="str">
        <f t="shared" si="10"/>
        <v>Product Info</v>
      </c>
      <c r="D692" s="37" t="s">
        <v>7210</v>
      </c>
      <c r="E692" s="143">
        <v>25</v>
      </c>
      <c r="F692" s="12" t="s">
        <v>2170</v>
      </c>
      <c r="G692" s="38">
        <v>9.9600000000000009</v>
      </c>
      <c r="H692" s="38">
        <v>8.4600000000000009</v>
      </c>
      <c r="I692" s="38">
        <v>6.97</v>
      </c>
      <c r="J692" s="39"/>
      <c r="K692" s="143"/>
      <c r="L692" s="22">
        <v>0.52</v>
      </c>
      <c r="M692" s="22" t="s">
        <v>12488</v>
      </c>
      <c r="N692" s="20" t="s">
        <v>8793</v>
      </c>
      <c r="O692" s="16" t="s">
        <v>12608</v>
      </c>
      <c r="P692" s="143">
        <v>364</v>
      </c>
      <c r="Q692" s="122" t="s">
        <v>9227</v>
      </c>
      <c r="R692" s="16" t="s">
        <v>9235</v>
      </c>
      <c r="S692" s="10" t="s">
        <v>1165</v>
      </c>
      <c r="T692" s="28" t="s">
        <v>9896</v>
      </c>
      <c r="U692" s="20" t="s">
        <v>5359</v>
      </c>
      <c r="V692" s="16" t="s">
        <v>12991</v>
      </c>
      <c r="W692" s="11" t="s">
        <v>14395</v>
      </c>
      <c r="X692" s="174">
        <v>6.34</v>
      </c>
      <c r="Y692" s="174">
        <v>8.4600000000000009</v>
      </c>
    </row>
    <row r="693" spans="1:25" ht="15" customHeight="1" x14ac:dyDescent="0.25">
      <c r="A693" s="20" t="s">
        <v>1456</v>
      </c>
      <c r="B693" s="14" t="s">
        <v>1457</v>
      </c>
      <c r="C693" s="71" t="str">
        <f t="shared" si="10"/>
        <v>Product Info</v>
      </c>
      <c r="D693" s="37" t="s">
        <v>7211</v>
      </c>
      <c r="E693" s="143">
        <v>10</v>
      </c>
      <c r="F693" s="12" t="s">
        <v>2170</v>
      </c>
      <c r="G693" s="38">
        <v>53.64</v>
      </c>
      <c r="H693" s="38">
        <v>45.6</v>
      </c>
      <c r="I693" s="38">
        <v>37.549999999999997</v>
      </c>
      <c r="J693" s="39"/>
      <c r="K693" s="143"/>
      <c r="L693" s="22">
        <v>1.1299999999999999</v>
      </c>
      <c r="M693" s="22" t="s">
        <v>2170</v>
      </c>
      <c r="N693" s="20" t="s">
        <v>14489</v>
      </c>
      <c r="O693" s="16" t="s">
        <v>13914</v>
      </c>
      <c r="P693" s="143">
        <v>364</v>
      </c>
      <c r="Q693" s="122" t="s">
        <v>9227</v>
      </c>
      <c r="R693" s="16" t="s">
        <v>9235</v>
      </c>
      <c r="S693" s="10" t="s">
        <v>1165</v>
      </c>
      <c r="T693" s="28" t="s">
        <v>9897</v>
      </c>
      <c r="U693" s="20" t="s">
        <v>5359</v>
      </c>
      <c r="V693" s="16" t="s">
        <v>13023</v>
      </c>
      <c r="W693" s="11" t="s">
        <v>14395</v>
      </c>
      <c r="X693" s="174">
        <v>34.14</v>
      </c>
      <c r="Y693" s="174">
        <v>45.6</v>
      </c>
    </row>
    <row r="694" spans="1:25" ht="15" customHeight="1" x14ac:dyDescent="0.25">
      <c r="A694" s="20" t="s">
        <v>3937</v>
      </c>
      <c r="B694" s="14" t="s">
        <v>3938</v>
      </c>
      <c r="C694" s="71" t="str">
        <f t="shared" si="10"/>
        <v>Product Info</v>
      </c>
      <c r="D694" s="37" t="s">
        <v>7212</v>
      </c>
      <c r="E694" s="143">
        <v>15</v>
      </c>
      <c r="F694" s="12" t="s">
        <v>2170</v>
      </c>
      <c r="G694" s="38">
        <v>53.16</v>
      </c>
      <c r="H694" s="38">
        <v>45.19</v>
      </c>
      <c r="I694" s="38">
        <v>37.21</v>
      </c>
      <c r="J694" s="39"/>
      <c r="K694" s="143"/>
      <c r="L694" s="22">
        <v>1.74</v>
      </c>
      <c r="M694" s="22" t="s">
        <v>14396</v>
      </c>
      <c r="N694" s="20" t="s">
        <v>8773</v>
      </c>
      <c r="O694" s="16" t="s">
        <v>12608</v>
      </c>
      <c r="P694" s="143">
        <v>364</v>
      </c>
      <c r="Q694" s="122" t="s">
        <v>9227</v>
      </c>
      <c r="R694" s="16" t="s">
        <v>9235</v>
      </c>
      <c r="S694" s="10" t="s">
        <v>1165</v>
      </c>
      <c r="T694" s="28" t="s">
        <v>9898</v>
      </c>
      <c r="U694" s="20" t="s">
        <v>5359</v>
      </c>
      <c r="V694" s="16" t="s">
        <v>13026</v>
      </c>
      <c r="W694" s="11" t="s">
        <v>14395</v>
      </c>
      <c r="X694" s="174">
        <v>33.83</v>
      </c>
      <c r="Y694" s="174">
        <v>45.19</v>
      </c>
    </row>
    <row r="695" spans="1:25" ht="15" customHeight="1" x14ac:dyDescent="0.25">
      <c r="A695" s="20" t="s">
        <v>3939</v>
      </c>
      <c r="B695" s="14" t="s">
        <v>3940</v>
      </c>
      <c r="C695" s="71" t="str">
        <f t="shared" si="10"/>
        <v>Product Info</v>
      </c>
      <c r="D695" s="37" t="s">
        <v>5167</v>
      </c>
      <c r="E695" s="143">
        <v>4</v>
      </c>
      <c r="F695" s="12" t="s">
        <v>2170</v>
      </c>
      <c r="G695" s="38">
        <v>75.94</v>
      </c>
      <c r="H695" s="38">
        <v>64.55</v>
      </c>
      <c r="I695" s="38">
        <v>53.16</v>
      </c>
      <c r="J695" s="39"/>
      <c r="K695" s="143"/>
      <c r="L695" s="22">
        <v>0.99792000000000003</v>
      </c>
      <c r="M695" s="22" t="s">
        <v>14394</v>
      </c>
      <c r="N695" s="20" t="s">
        <v>14489</v>
      </c>
      <c r="O695" s="16" t="s">
        <v>12608</v>
      </c>
      <c r="P695" s="143">
        <v>364</v>
      </c>
      <c r="Q695" s="121" t="s">
        <v>14285</v>
      </c>
      <c r="R695" s="16" t="s">
        <v>9235</v>
      </c>
      <c r="S695" s="10" t="s">
        <v>1165</v>
      </c>
      <c r="T695" s="28" t="s">
        <v>9899</v>
      </c>
      <c r="U695" s="20" t="s">
        <v>5359</v>
      </c>
      <c r="V695" s="16" t="s">
        <v>13037</v>
      </c>
      <c r="W695" s="11" t="s">
        <v>14395</v>
      </c>
      <c r="X695" s="174">
        <v>48.33</v>
      </c>
      <c r="Y695" s="174">
        <v>64.55</v>
      </c>
    </row>
    <row r="696" spans="1:25" ht="15" customHeight="1" x14ac:dyDescent="0.25">
      <c r="A696" s="20" t="s">
        <v>3941</v>
      </c>
      <c r="B696" s="14" t="s">
        <v>3942</v>
      </c>
      <c r="C696" s="71" t="str">
        <f t="shared" si="10"/>
        <v>Product Info</v>
      </c>
      <c r="D696" s="37" t="s">
        <v>5168</v>
      </c>
      <c r="E696" s="143">
        <v>3</v>
      </c>
      <c r="F696" s="12" t="s">
        <v>2170</v>
      </c>
      <c r="G696" s="38">
        <v>87.34</v>
      </c>
      <c r="H696" s="38">
        <v>74.239999999999995</v>
      </c>
      <c r="I696" s="38">
        <v>61.14</v>
      </c>
      <c r="J696" s="39">
        <v>3000</v>
      </c>
      <c r="K696" s="143"/>
      <c r="L696" s="22">
        <v>1.66</v>
      </c>
      <c r="M696" s="22" t="s">
        <v>14396</v>
      </c>
      <c r="N696" s="20" t="s">
        <v>8778</v>
      </c>
      <c r="O696" s="16" t="s">
        <v>13914</v>
      </c>
      <c r="P696" s="143">
        <v>364</v>
      </c>
      <c r="Q696" s="122" t="s">
        <v>12421</v>
      </c>
      <c r="R696" s="16" t="s">
        <v>9235</v>
      </c>
      <c r="S696" s="10" t="s">
        <v>1165</v>
      </c>
      <c r="T696" s="28" t="s">
        <v>9900</v>
      </c>
      <c r="U696" s="20" t="s">
        <v>5359</v>
      </c>
      <c r="V696" s="16" t="s">
        <v>13045</v>
      </c>
      <c r="W696" s="11" t="s">
        <v>14395</v>
      </c>
      <c r="X696" s="174">
        <v>55.57</v>
      </c>
      <c r="Y696" s="174">
        <v>74.239999999999995</v>
      </c>
    </row>
    <row r="697" spans="1:25" ht="15" customHeight="1" x14ac:dyDescent="0.25">
      <c r="A697" s="20" t="s">
        <v>5048</v>
      </c>
      <c r="B697" s="14" t="s">
        <v>7297</v>
      </c>
      <c r="C697" s="71" t="str">
        <f t="shared" si="10"/>
        <v>Product Info</v>
      </c>
      <c r="D697" s="37" t="s">
        <v>5169</v>
      </c>
      <c r="E697" s="143">
        <v>3</v>
      </c>
      <c r="F697" s="12" t="s">
        <v>2170</v>
      </c>
      <c r="G697" s="38">
        <v>87.36</v>
      </c>
      <c r="H697" s="38">
        <v>74.260000000000005</v>
      </c>
      <c r="I697" s="38">
        <v>61.15</v>
      </c>
      <c r="J697" s="39"/>
      <c r="K697" s="143"/>
      <c r="L697" s="22">
        <v>1.86</v>
      </c>
      <c r="M697" s="22" t="s">
        <v>12488</v>
      </c>
      <c r="N697" s="20" t="s">
        <v>8778</v>
      </c>
      <c r="O697" s="16" t="s">
        <v>12608</v>
      </c>
      <c r="P697" s="143">
        <v>364</v>
      </c>
      <c r="Q697" s="121" t="s">
        <v>14285</v>
      </c>
      <c r="R697" s="16" t="s">
        <v>9235</v>
      </c>
      <c r="S697" s="10" t="s">
        <v>1165</v>
      </c>
      <c r="T697" s="28" t="s">
        <v>9901</v>
      </c>
      <c r="U697" s="20" t="s">
        <v>5359</v>
      </c>
      <c r="V697" s="16" t="s">
        <v>8365</v>
      </c>
      <c r="W697" s="11" t="s">
        <v>14395</v>
      </c>
      <c r="X697" s="174">
        <v>55.58</v>
      </c>
      <c r="Y697" s="174">
        <v>74.260000000000005</v>
      </c>
    </row>
    <row r="698" spans="1:25" ht="15" customHeight="1" x14ac:dyDescent="0.25">
      <c r="A698" s="20" t="s">
        <v>7298</v>
      </c>
      <c r="B698" s="14" t="s">
        <v>7299</v>
      </c>
      <c r="C698" s="71" t="str">
        <f t="shared" si="10"/>
        <v>Product Info</v>
      </c>
      <c r="D698" s="37" t="s">
        <v>5170</v>
      </c>
      <c r="E698" s="143">
        <v>3</v>
      </c>
      <c r="F698" s="12" t="s">
        <v>2170</v>
      </c>
      <c r="G698" s="38">
        <v>87.36</v>
      </c>
      <c r="H698" s="38">
        <v>74.260000000000005</v>
      </c>
      <c r="I698" s="38">
        <v>61.15</v>
      </c>
      <c r="J698" s="39"/>
      <c r="K698" s="143"/>
      <c r="L698" s="22">
        <v>2.0750000000000002</v>
      </c>
      <c r="M698" s="22" t="s">
        <v>2170</v>
      </c>
      <c r="N698" s="20" t="s">
        <v>14489</v>
      </c>
      <c r="O698" s="16" t="s">
        <v>12608</v>
      </c>
      <c r="P698" s="143">
        <v>364</v>
      </c>
      <c r="Q698" s="121" t="s">
        <v>14285</v>
      </c>
      <c r="R698" s="16" t="s">
        <v>9235</v>
      </c>
      <c r="S698" s="10" t="s">
        <v>1165</v>
      </c>
      <c r="T698" s="28" t="s">
        <v>9902</v>
      </c>
      <c r="U698" s="20" t="s">
        <v>5359</v>
      </c>
      <c r="V698" s="16" t="s">
        <v>8366</v>
      </c>
      <c r="W698" s="11" t="s">
        <v>14395</v>
      </c>
      <c r="X698" s="174">
        <v>55.58</v>
      </c>
      <c r="Y698" s="174">
        <v>74.260000000000005</v>
      </c>
    </row>
    <row r="699" spans="1:25" ht="15" customHeight="1" x14ac:dyDescent="0.25">
      <c r="A699" s="20" t="s">
        <v>7300</v>
      </c>
      <c r="B699" s="14" t="s">
        <v>7301</v>
      </c>
      <c r="C699" s="71" t="str">
        <f t="shared" si="10"/>
        <v>Product Info</v>
      </c>
      <c r="D699" s="37" t="s">
        <v>5171</v>
      </c>
      <c r="E699" s="143">
        <v>3</v>
      </c>
      <c r="F699" s="12" t="s">
        <v>2170</v>
      </c>
      <c r="G699" s="38">
        <v>87.36</v>
      </c>
      <c r="H699" s="38">
        <v>74.260000000000005</v>
      </c>
      <c r="I699" s="38">
        <v>61.15</v>
      </c>
      <c r="J699" s="39">
        <v>3000</v>
      </c>
      <c r="K699" s="143"/>
      <c r="L699" s="22">
        <v>2</v>
      </c>
      <c r="M699" s="22" t="s">
        <v>14396</v>
      </c>
      <c r="N699" s="20" t="s">
        <v>8778</v>
      </c>
      <c r="O699" s="16" t="s">
        <v>12608</v>
      </c>
      <c r="P699" s="143">
        <v>364</v>
      </c>
      <c r="Q699" s="121" t="s">
        <v>14285</v>
      </c>
      <c r="R699" s="16" t="s">
        <v>9235</v>
      </c>
      <c r="S699" s="10" t="s">
        <v>1165</v>
      </c>
      <c r="T699" s="28" t="s">
        <v>9903</v>
      </c>
      <c r="U699" s="20" t="s">
        <v>5359</v>
      </c>
      <c r="V699" s="16" t="s">
        <v>8367</v>
      </c>
      <c r="W699" s="11" t="s">
        <v>14395</v>
      </c>
      <c r="X699" s="174">
        <v>55.58</v>
      </c>
      <c r="Y699" s="174">
        <v>74.260000000000005</v>
      </c>
    </row>
    <row r="700" spans="1:25" ht="15" customHeight="1" x14ac:dyDescent="0.25">
      <c r="A700" s="20" t="s">
        <v>7302</v>
      </c>
      <c r="B700" s="14" t="s">
        <v>7303</v>
      </c>
      <c r="C700" s="71" t="str">
        <f t="shared" si="10"/>
        <v>Product Info</v>
      </c>
      <c r="D700" s="37" t="s">
        <v>5172</v>
      </c>
      <c r="E700" s="143">
        <v>3</v>
      </c>
      <c r="F700" s="12" t="s">
        <v>2170</v>
      </c>
      <c r="G700" s="38">
        <v>91.7</v>
      </c>
      <c r="H700" s="38">
        <v>77.95</v>
      </c>
      <c r="I700" s="38">
        <v>64.19</v>
      </c>
      <c r="J700" s="39"/>
      <c r="K700" s="143"/>
      <c r="L700" s="22">
        <v>2.08</v>
      </c>
      <c r="M700" s="22" t="s">
        <v>12488</v>
      </c>
      <c r="N700" s="20" t="s">
        <v>8786</v>
      </c>
      <c r="O700" s="16" t="s">
        <v>12608</v>
      </c>
      <c r="P700" s="143">
        <v>364</v>
      </c>
      <c r="Q700" s="122" t="s">
        <v>12421</v>
      </c>
      <c r="R700" s="16" t="s">
        <v>9235</v>
      </c>
      <c r="S700" s="10" t="s">
        <v>1165</v>
      </c>
      <c r="T700" s="28" t="s">
        <v>9904</v>
      </c>
      <c r="U700" s="20" t="s">
        <v>5359</v>
      </c>
      <c r="V700" s="16" t="s">
        <v>8368</v>
      </c>
      <c r="W700" s="11" t="s">
        <v>14395</v>
      </c>
      <c r="X700" s="174">
        <v>58.35</v>
      </c>
      <c r="Y700" s="174">
        <v>77.95</v>
      </c>
    </row>
    <row r="701" spans="1:25" ht="15" customHeight="1" x14ac:dyDescent="0.25">
      <c r="A701" s="20" t="s">
        <v>7304</v>
      </c>
      <c r="B701" s="14" t="s">
        <v>7305</v>
      </c>
      <c r="C701" s="71" t="str">
        <f t="shared" si="10"/>
        <v>Product Info</v>
      </c>
      <c r="D701" s="37" t="s">
        <v>5173</v>
      </c>
      <c r="E701" s="143">
        <v>3</v>
      </c>
      <c r="F701" s="12" t="s">
        <v>2170</v>
      </c>
      <c r="G701" s="38">
        <v>87.36</v>
      </c>
      <c r="H701" s="38">
        <v>74.260000000000005</v>
      </c>
      <c r="I701" s="38">
        <v>61.15</v>
      </c>
      <c r="J701" s="39"/>
      <c r="K701" s="143"/>
      <c r="L701" s="22">
        <v>0</v>
      </c>
      <c r="M701" s="22">
        <v>0</v>
      </c>
      <c r="N701" s="20" t="s">
        <v>14489</v>
      </c>
      <c r="O701" s="16">
        <v>0</v>
      </c>
      <c r="P701" s="143">
        <v>364</v>
      </c>
      <c r="Q701" s="121" t="s">
        <v>14285</v>
      </c>
      <c r="R701" s="16" t="s">
        <v>9235</v>
      </c>
      <c r="S701" s="10" t="s">
        <v>1165</v>
      </c>
      <c r="T701" s="28" t="s">
        <v>9905</v>
      </c>
      <c r="U701" s="20" t="s">
        <v>5359</v>
      </c>
      <c r="V701" s="16" t="s">
        <v>8369</v>
      </c>
      <c r="W701" s="11" t="s">
        <v>14395</v>
      </c>
      <c r="X701" s="174">
        <v>55.58</v>
      </c>
      <c r="Y701" s="174">
        <v>74.260000000000005</v>
      </c>
    </row>
    <row r="702" spans="1:25" ht="15" customHeight="1" x14ac:dyDescent="0.25">
      <c r="A702" s="20" t="s">
        <v>7306</v>
      </c>
      <c r="B702" s="14" t="s">
        <v>7307</v>
      </c>
      <c r="C702" s="71" t="str">
        <f t="shared" si="10"/>
        <v>Product Info</v>
      </c>
      <c r="D702" s="37" t="s">
        <v>5174</v>
      </c>
      <c r="E702" s="143">
        <v>3</v>
      </c>
      <c r="F702" s="12" t="s">
        <v>2170</v>
      </c>
      <c r="G702" s="38">
        <v>88.2</v>
      </c>
      <c r="H702" s="38">
        <v>74.97</v>
      </c>
      <c r="I702" s="38">
        <v>61.74</v>
      </c>
      <c r="J702" s="39"/>
      <c r="K702" s="143"/>
      <c r="L702" s="22">
        <v>24.181000000000001</v>
      </c>
      <c r="M702" s="22" t="s">
        <v>14394</v>
      </c>
      <c r="N702" s="20" t="s">
        <v>14489</v>
      </c>
      <c r="O702" s="16">
        <v>0</v>
      </c>
      <c r="P702" s="143">
        <v>364</v>
      </c>
      <c r="Q702" s="122" t="s">
        <v>12421</v>
      </c>
      <c r="R702" s="16" t="s">
        <v>9235</v>
      </c>
      <c r="S702" s="10" t="s">
        <v>1165</v>
      </c>
      <c r="T702" s="28" t="s">
        <v>9906</v>
      </c>
      <c r="U702" s="20" t="s">
        <v>5359</v>
      </c>
      <c r="V702" s="16" t="s">
        <v>8370</v>
      </c>
      <c r="W702" s="11" t="s">
        <v>14395</v>
      </c>
      <c r="X702" s="174">
        <v>56.13</v>
      </c>
      <c r="Y702" s="174">
        <v>74.97</v>
      </c>
    </row>
    <row r="703" spans="1:25" ht="15" customHeight="1" x14ac:dyDescent="0.25">
      <c r="A703" s="20" t="s">
        <v>7308</v>
      </c>
      <c r="B703" s="14" t="s">
        <v>7309</v>
      </c>
      <c r="C703" s="71" t="str">
        <f t="shared" si="10"/>
        <v>Product Info</v>
      </c>
      <c r="D703" s="37" t="s">
        <v>5175</v>
      </c>
      <c r="E703" s="143">
        <v>3</v>
      </c>
      <c r="F703" s="12" t="s">
        <v>2170</v>
      </c>
      <c r="G703" s="38">
        <v>88.2</v>
      </c>
      <c r="H703" s="38">
        <v>74.97</v>
      </c>
      <c r="I703" s="38">
        <v>61.74</v>
      </c>
      <c r="J703" s="39"/>
      <c r="K703" s="143"/>
      <c r="L703" s="22">
        <v>2.16</v>
      </c>
      <c r="M703" s="22" t="s">
        <v>12488</v>
      </c>
      <c r="N703" s="20" t="s">
        <v>8778</v>
      </c>
      <c r="O703" s="16" t="s">
        <v>12608</v>
      </c>
      <c r="P703" s="143">
        <v>364</v>
      </c>
      <c r="Q703" s="121" t="s">
        <v>14285</v>
      </c>
      <c r="R703" s="16" t="s">
        <v>9235</v>
      </c>
      <c r="S703" s="10" t="s">
        <v>1165</v>
      </c>
      <c r="T703" s="28" t="s">
        <v>9907</v>
      </c>
      <c r="U703" s="20" t="s">
        <v>5359</v>
      </c>
      <c r="V703" s="16" t="s">
        <v>8371</v>
      </c>
      <c r="W703" s="11" t="s">
        <v>14395</v>
      </c>
      <c r="X703" s="174">
        <v>56.13</v>
      </c>
      <c r="Y703" s="174">
        <v>74.97</v>
      </c>
    </row>
    <row r="704" spans="1:25" ht="15" customHeight="1" x14ac:dyDescent="0.25">
      <c r="A704" s="20" t="s">
        <v>7310</v>
      </c>
      <c r="B704" s="14" t="s">
        <v>7311</v>
      </c>
      <c r="C704" s="71" t="str">
        <f t="shared" si="10"/>
        <v>Product Info</v>
      </c>
      <c r="D704" s="37" t="s">
        <v>5176</v>
      </c>
      <c r="E704" s="143">
        <v>3</v>
      </c>
      <c r="F704" s="12" t="s">
        <v>2170</v>
      </c>
      <c r="G704" s="38">
        <v>87.36</v>
      </c>
      <c r="H704" s="38">
        <v>74.260000000000005</v>
      </c>
      <c r="I704" s="38">
        <v>61.15</v>
      </c>
      <c r="J704" s="39"/>
      <c r="K704" s="143"/>
      <c r="L704" s="22">
        <v>2.13</v>
      </c>
      <c r="M704" s="22" t="s">
        <v>12488</v>
      </c>
      <c r="N704" s="20" t="s">
        <v>8778</v>
      </c>
      <c r="O704" s="16" t="s">
        <v>12608</v>
      </c>
      <c r="P704" s="143">
        <v>364</v>
      </c>
      <c r="Q704" s="121" t="s">
        <v>14285</v>
      </c>
      <c r="R704" s="16" t="s">
        <v>9235</v>
      </c>
      <c r="S704" s="10" t="s">
        <v>1165</v>
      </c>
      <c r="T704" s="28" t="s">
        <v>9908</v>
      </c>
      <c r="U704" s="20" t="s">
        <v>5359</v>
      </c>
      <c r="V704" s="16" t="s">
        <v>8372</v>
      </c>
      <c r="W704" s="11" t="s">
        <v>14395</v>
      </c>
      <c r="X704" s="174">
        <v>55.58</v>
      </c>
      <c r="Y704" s="174">
        <v>74.260000000000005</v>
      </c>
    </row>
    <row r="705" spans="1:25" ht="15" customHeight="1" x14ac:dyDescent="0.25">
      <c r="A705" s="20" t="s">
        <v>7312</v>
      </c>
      <c r="B705" s="14" t="s">
        <v>7313</v>
      </c>
      <c r="C705" s="71" t="str">
        <f t="shared" si="10"/>
        <v>Product Info</v>
      </c>
      <c r="D705" s="37" t="s">
        <v>5177</v>
      </c>
      <c r="E705" s="143">
        <v>3</v>
      </c>
      <c r="F705" s="12" t="s">
        <v>2170</v>
      </c>
      <c r="G705" s="38">
        <v>87.36</v>
      </c>
      <c r="H705" s="38">
        <v>74.260000000000005</v>
      </c>
      <c r="I705" s="38">
        <v>61.15</v>
      </c>
      <c r="J705" s="39"/>
      <c r="K705" s="143"/>
      <c r="L705" s="22">
        <v>2.25</v>
      </c>
      <c r="M705" s="22" t="s">
        <v>12488</v>
      </c>
      <c r="N705" s="20" t="s">
        <v>8773</v>
      </c>
      <c r="O705" s="16" t="s">
        <v>12608</v>
      </c>
      <c r="P705" s="143">
        <v>364</v>
      </c>
      <c r="Q705" s="121" t="s">
        <v>14285</v>
      </c>
      <c r="R705" s="16" t="s">
        <v>9235</v>
      </c>
      <c r="S705" s="10" t="s">
        <v>1165</v>
      </c>
      <c r="T705" s="28" t="s">
        <v>9909</v>
      </c>
      <c r="U705" s="20" t="s">
        <v>5359</v>
      </c>
      <c r="V705" s="16" t="s">
        <v>8373</v>
      </c>
      <c r="W705" s="11" t="s">
        <v>14395</v>
      </c>
      <c r="X705" s="174">
        <v>55.58</v>
      </c>
      <c r="Y705" s="174">
        <v>74.260000000000005</v>
      </c>
    </row>
    <row r="706" spans="1:25" ht="15" customHeight="1" x14ac:dyDescent="0.25">
      <c r="A706" s="20" t="s">
        <v>7314</v>
      </c>
      <c r="B706" s="14" t="s">
        <v>7315</v>
      </c>
      <c r="C706" s="71" t="str">
        <f t="shared" si="10"/>
        <v>Product Info</v>
      </c>
      <c r="D706" s="37" t="s">
        <v>5178</v>
      </c>
      <c r="E706" s="143">
        <v>25</v>
      </c>
      <c r="F706" s="12" t="s">
        <v>2170</v>
      </c>
      <c r="G706" s="38">
        <v>12.63</v>
      </c>
      <c r="H706" s="38">
        <v>10.73</v>
      </c>
      <c r="I706" s="38">
        <v>8.84</v>
      </c>
      <c r="J706" s="39"/>
      <c r="K706" s="143"/>
      <c r="L706" s="22">
        <v>3.7000000000000002E-3</v>
      </c>
      <c r="M706" s="22" t="s">
        <v>14394</v>
      </c>
      <c r="N706" s="20" t="s">
        <v>14489</v>
      </c>
      <c r="O706" s="16">
        <v>0</v>
      </c>
      <c r="P706" s="143">
        <v>364</v>
      </c>
      <c r="Q706" s="122" t="s">
        <v>12421</v>
      </c>
      <c r="R706" s="16" t="s">
        <v>9235</v>
      </c>
      <c r="S706" s="10" t="s">
        <v>1165</v>
      </c>
      <c r="T706" s="28" t="s">
        <v>9910</v>
      </c>
      <c r="U706" s="20" t="s">
        <v>5359</v>
      </c>
      <c r="V706" s="16" t="s">
        <v>13029</v>
      </c>
      <c r="W706" s="11" t="s">
        <v>14395</v>
      </c>
      <c r="X706" s="174">
        <v>8.0399999999999991</v>
      </c>
      <c r="Y706" s="174">
        <v>10.73</v>
      </c>
    </row>
    <row r="707" spans="1:25" ht="15" customHeight="1" x14ac:dyDescent="0.25">
      <c r="A707" s="20" t="s">
        <v>7316</v>
      </c>
      <c r="B707" s="14" t="s">
        <v>7317</v>
      </c>
      <c r="C707" s="71" t="str">
        <f t="shared" si="10"/>
        <v>Product Info</v>
      </c>
      <c r="D707" s="37" t="s">
        <v>5179</v>
      </c>
      <c r="E707" s="143">
        <v>25</v>
      </c>
      <c r="F707" s="12" t="s">
        <v>2170</v>
      </c>
      <c r="G707" s="38">
        <v>12.63</v>
      </c>
      <c r="H707" s="38">
        <v>10.73</v>
      </c>
      <c r="I707" s="38">
        <v>8.84</v>
      </c>
      <c r="J707" s="39"/>
      <c r="K707" s="143"/>
      <c r="L707" s="22">
        <v>0.38</v>
      </c>
      <c r="M707" s="22" t="s">
        <v>12488</v>
      </c>
      <c r="N707" s="20" t="s">
        <v>8773</v>
      </c>
      <c r="O707" s="16" t="s">
        <v>12608</v>
      </c>
      <c r="P707" s="143">
        <v>364</v>
      </c>
      <c r="Q707" s="122" t="s">
        <v>9227</v>
      </c>
      <c r="R707" s="16" t="s">
        <v>9235</v>
      </c>
      <c r="S707" s="10" t="s">
        <v>1165</v>
      </c>
      <c r="T707" s="28" t="s">
        <v>9911</v>
      </c>
      <c r="U707" s="20" t="s">
        <v>5359</v>
      </c>
      <c r="V707" s="16" t="s">
        <v>8374</v>
      </c>
      <c r="W707" s="11" t="s">
        <v>14395</v>
      </c>
      <c r="X707" s="174">
        <v>8.0399999999999991</v>
      </c>
      <c r="Y707" s="174">
        <v>10.73</v>
      </c>
    </row>
    <row r="708" spans="1:25" ht="15" customHeight="1" x14ac:dyDescent="0.25">
      <c r="A708" s="20" t="s">
        <v>7318</v>
      </c>
      <c r="B708" s="14" t="s">
        <v>7319</v>
      </c>
      <c r="C708" s="71" t="str">
        <f t="shared" si="10"/>
        <v>Product Info</v>
      </c>
      <c r="D708" s="37" t="s">
        <v>5180</v>
      </c>
      <c r="E708" s="143">
        <v>25</v>
      </c>
      <c r="F708" s="12" t="s">
        <v>2170</v>
      </c>
      <c r="G708" s="38">
        <v>12.63</v>
      </c>
      <c r="H708" s="38">
        <v>10.73</v>
      </c>
      <c r="I708" s="38">
        <v>8.84</v>
      </c>
      <c r="J708" s="39"/>
      <c r="K708" s="143"/>
      <c r="L708" s="22">
        <v>0.36399999999999999</v>
      </c>
      <c r="M708" s="22" t="s">
        <v>2170</v>
      </c>
      <c r="N708" s="20" t="s">
        <v>14489</v>
      </c>
      <c r="O708" s="16" t="s">
        <v>12608</v>
      </c>
      <c r="P708" s="143">
        <v>364</v>
      </c>
      <c r="Q708" s="122" t="s">
        <v>9227</v>
      </c>
      <c r="R708" s="16" t="s">
        <v>9235</v>
      </c>
      <c r="S708" s="10" t="s">
        <v>1165</v>
      </c>
      <c r="T708" s="28" t="s">
        <v>9912</v>
      </c>
      <c r="U708" s="20" t="s">
        <v>5359</v>
      </c>
      <c r="V708" s="16" t="s">
        <v>8375</v>
      </c>
      <c r="W708" s="11" t="s">
        <v>14395</v>
      </c>
      <c r="X708" s="174">
        <v>8.0399999999999991</v>
      </c>
      <c r="Y708" s="174">
        <v>10.73</v>
      </c>
    </row>
    <row r="709" spans="1:25" ht="15" customHeight="1" x14ac:dyDescent="0.25">
      <c r="A709" s="20" t="s">
        <v>7320</v>
      </c>
      <c r="B709" s="14" t="s">
        <v>7321</v>
      </c>
      <c r="C709" s="71" t="str">
        <f t="shared" si="10"/>
        <v>Product Info</v>
      </c>
      <c r="D709" s="37" t="s">
        <v>5181</v>
      </c>
      <c r="E709" s="143">
        <v>25</v>
      </c>
      <c r="F709" s="12" t="s">
        <v>2170</v>
      </c>
      <c r="G709" s="38">
        <v>12.63</v>
      </c>
      <c r="H709" s="38">
        <v>10.73</v>
      </c>
      <c r="I709" s="38">
        <v>8.84</v>
      </c>
      <c r="J709" s="39"/>
      <c r="K709" s="143"/>
      <c r="L709" s="22">
        <v>0.35599999999999998</v>
      </c>
      <c r="M709" s="22" t="s">
        <v>2170</v>
      </c>
      <c r="N709" s="20" t="s">
        <v>14489</v>
      </c>
      <c r="O709" s="16" t="s">
        <v>12608</v>
      </c>
      <c r="P709" s="143">
        <v>364</v>
      </c>
      <c r="Q709" s="122" t="s">
        <v>9227</v>
      </c>
      <c r="R709" s="16" t="s">
        <v>9235</v>
      </c>
      <c r="S709" s="10" t="s">
        <v>1165</v>
      </c>
      <c r="T709" s="28" t="s">
        <v>9913</v>
      </c>
      <c r="U709" s="20" t="s">
        <v>5359</v>
      </c>
      <c r="V709" s="16" t="s">
        <v>8376</v>
      </c>
      <c r="W709" s="11" t="s">
        <v>14395</v>
      </c>
      <c r="X709" s="174">
        <v>8.0399999999999991</v>
      </c>
      <c r="Y709" s="174">
        <v>10.73</v>
      </c>
    </row>
    <row r="710" spans="1:25" ht="15" customHeight="1" x14ac:dyDescent="0.25">
      <c r="A710" s="20" t="s">
        <v>7322</v>
      </c>
      <c r="B710" s="14" t="s">
        <v>7323</v>
      </c>
      <c r="C710" s="71" t="str">
        <f t="shared" ref="C710:C773" si="11">HYPERLINK(T710,U710)</f>
        <v>Product Info</v>
      </c>
      <c r="D710" s="37" t="s">
        <v>5182</v>
      </c>
      <c r="E710" s="143">
        <v>25</v>
      </c>
      <c r="F710" s="12" t="s">
        <v>2170</v>
      </c>
      <c r="G710" s="38">
        <v>12.63</v>
      </c>
      <c r="H710" s="38">
        <v>10.73</v>
      </c>
      <c r="I710" s="38">
        <v>8.84</v>
      </c>
      <c r="J710" s="39"/>
      <c r="K710" s="143"/>
      <c r="L710" s="22">
        <v>0.34</v>
      </c>
      <c r="M710" s="22" t="s">
        <v>12488</v>
      </c>
      <c r="N710" s="20" t="s">
        <v>8778</v>
      </c>
      <c r="O710" s="16" t="s">
        <v>12608</v>
      </c>
      <c r="P710" s="143">
        <v>364</v>
      </c>
      <c r="Q710" s="122" t="s">
        <v>9227</v>
      </c>
      <c r="R710" s="16" t="s">
        <v>9235</v>
      </c>
      <c r="S710" s="10" t="s">
        <v>1165</v>
      </c>
      <c r="T710" s="28" t="s">
        <v>9914</v>
      </c>
      <c r="U710" s="20" t="s">
        <v>5359</v>
      </c>
      <c r="V710" s="16" t="s">
        <v>8377</v>
      </c>
      <c r="W710" s="11" t="s">
        <v>14395</v>
      </c>
      <c r="X710" s="174">
        <v>8.0399999999999991</v>
      </c>
      <c r="Y710" s="174">
        <v>10.73</v>
      </c>
    </row>
    <row r="711" spans="1:25" ht="15" customHeight="1" x14ac:dyDescent="0.25">
      <c r="A711" s="20" t="s">
        <v>7324</v>
      </c>
      <c r="B711" s="14" t="s">
        <v>5734</v>
      </c>
      <c r="C711" s="71" t="str">
        <f t="shared" si="11"/>
        <v>Product Info</v>
      </c>
      <c r="D711" s="37" t="s">
        <v>5183</v>
      </c>
      <c r="E711" s="143">
        <v>25</v>
      </c>
      <c r="F711" s="12" t="s">
        <v>2170</v>
      </c>
      <c r="G711" s="38">
        <v>12.63</v>
      </c>
      <c r="H711" s="38">
        <v>10.73</v>
      </c>
      <c r="I711" s="38">
        <v>8.84</v>
      </c>
      <c r="J711" s="39"/>
      <c r="K711" s="143"/>
      <c r="L711" s="22">
        <v>0.33</v>
      </c>
      <c r="M711" s="22" t="s">
        <v>12488</v>
      </c>
      <c r="N711" s="20" t="s">
        <v>8778</v>
      </c>
      <c r="O711" s="16" t="s">
        <v>12608</v>
      </c>
      <c r="P711" s="143">
        <v>364</v>
      </c>
      <c r="Q711" s="121" t="s">
        <v>14285</v>
      </c>
      <c r="R711" s="16" t="s">
        <v>9235</v>
      </c>
      <c r="S711" s="10" t="s">
        <v>1165</v>
      </c>
      <c r="T711" s="28" t="s">
        <v>9915</v>
      </c>
      <c r="U711" s="20" t="s">
        <v>5359</v>
      </c>
      <c r="V711" s="16" t="s">
        <v>8378</v>
      </c>
      <c r="W711" s="11" t="s">
        <v>14395</v>
      </c>
      <c r="X711" s="174">
        <v>8.0399999999999991</v>
      </c>
      <c r="Y711" s="174">
        <v>10.73</v>
      </c>
    </row>
    <row r="712" spans="1:25" ht="15" customHeight="1" x14ac:dyDescent="0.25">
      <c r="A712" s="20" t="s">
        <v>5735</v>
      </c>
      <c r="B712" s="14" t="s">
        <v>5736</v>
      </c>
      <c r="C712" s="71" t="str">
        <f t="shared" si="11"/>
        <v>Product Info</v>
      </c>
      <c r="D712" s="37" t="s">
        <v>5184</v>
      </c>
      <c r="E712" s="143">
        <v>25</v>
      </c>
      <c r="F712" s="12" t="s">
        <v>2170</v>
      </c>
      <c r="G712" s="38">
        <v>12.63</v>
      </c>
      <c r="H712" s="38">
        <v>10.73</v>
      </c>
      <c r="I712" s="38">
        <v>8.84</v>
      </c>
      <c r="J712" s="39"/>
      <c r="K712" s="143"/>
      <c r="L712" s="22">
        <v>0.33300000000000002</v>
      </c>
      <c r="M712" s="22" t="s">
        <v>2170</v>
      </c>
      <c r="N712" s="20" t="s">
        <v>14489</v>
      </c>
      <c r="O712" s="16" t="s">
        <v>12608</v>
      </c>
      <c r="P712" s="143">
        <v>364</v>
      </c>
      <c r="Q712" s="122" t="s">
        <v>9227</v>
      </c>
      <c r="R712" s="16" t="s">
        <v>9235</v>
      </c>
      <c r="S712" s="10" t="s">
        <v>1165</v>
      </c>
      <c r="T712" s="28" t="s">
        <v>9916</v>
      </c>
      <c r="U712" s="20" t="s">
        <v>5359</v>
      </c>
      <c r="V712" s="16" t="s">
        <v>8379</v>
      </c>
      <c r="W712" s="11" t="s">
        <v>14395</v>
      </c>
      <c r="X712" s="174">
        <v>8.0399999999999991</v>
      </c>
      <c r="Y712" s="174">
        <v>10.73</v>
      </c>
    </row>
    <row r="713" spans="1:25" ht="15" customHeight="1" x14ac:dyDescent="0.25">
      <c r="A713" s="20" t="s">
        <v>5737</v>
      </c>
      <c r="B713" s="14" t="s">
        <v>5860</v>
      </c>
      <c r="C713" s="71" t="str">
        <f t="shared" si="11"/>
        <v>Product Info</v>
      </c>
      <c r="D713" s="37" t="s">
        <v>4290</v>
      </c>
      <c r="E713" s="143">
        <v>25</v>
      </c>
      <c r="F713" s="12" t="s">
        <v>2170</v>
      </c>
      <c r="G713" s="38">
        <v>12.63</v>
      </c>
      <c r="H713" s="38">
        <v>10.73</v>
      </c>
      <c r="I713" s="38">
        <v>8.84</v>
      </c>
      <c r="J713" s="39"/>
      <c r="K713" s="143"/>
      <c r="L713" s="22">
        <v>0.32</v>
      </c>
      <c r="M713" s="22" t="s">
        <v>12488</v>
      </c>
      <c r="N713" s="20" t="s">
        <v>8778</v>
      </c>
      <c r="O713" s="16" t="s">
        <v>12608</v>
      </c>
      <c r="P713" s="143">
        <v>364</v>
      </c>
      <c r="Q713" s="122" t="s">
        <v>9227</v>
      </c>
      <c r="R713" s="16" t="s">
        <v>9235</v>
      </c>
      <c r="S713" s="10" t="s">
        <v>1165</v>
      </c>
      <c r="T713" s="28" t="s">
        <v>9917</v>
      </c>
      <c r="U713" s="20" t="s">
        <v>5359</v>
      </c>
      <c r="V713" s="16" t="s">
        <v>8380</v>
      </c>
      <c r="W713" s="11" t="s">
        <v>14395</v>
      </c>
      <c r="X713" s="174">
        <v>8.0399999999999991</v>
      </c>
      <c r="Y713" s="174">
        <v>10.73</v>
      </c>
    </row>
    <row r="714" spans="1:25" ht="15" customHeight="1" x14ac:dyDescent="0.25">
      <c r="A714" s="20" t="s">
        <v>5861</v>
      </c>
      <c r="B714" s="14" t="s">
        <v>5862</v>
      </c>
      <c r="C714" s="71" t="str">
        <f t="shared" si="11"/>
        <v>Product Info</v>
      </c>
      <c r="D714" s="37" t="s">
        <v>4291</v>
      </c>
      <c r="E714" s="143">
        <v>40</v>
      </c>
      <c r="F714" s="12" t="s">
        <v>2170</v>
      </c>
      <c r="G714" s="38">
        <v>41.37</v>
      </c>
      <c r="H714" s="38">
        <v>35.17</v>
      </c>
      <c r="I714" s="38">
        <v>28.96</v>
      </c>
      <c r="J714" s="39"/>
      <c r="K714" s="143"/>
      <c r="L714" s="22">
        <v>0.8</v>
      </c>
      <c r="M714" s="22" t="s">
        <v>12488</v>
      </c>
      <c r="N714" s="20" t="s">
        <v>8778</v>
      </c>
      <c r="O714" s="16" t="s">
        <v>12608</v>
      </c>
      <c r="P714" s="143">
        <v>364</v>
      </c>
      <c r="Q714" s="122" t="s">
        <v>9227</v>
      </c>
      <c r="R714" s="16" t="s">
        <v>9235</v>
      </c>
      <c r="S714" s="10" t="s">
        <v>1165</v>
      </c>
      <c r="T714" s="28" t="s">
        <v>9918</v>
      </c>
      <c r="U714" s="20" t="s">
        <v>5359</v>
      </c>
      <c r="V714" s="16" t="s">
        <v>13042</v>
      </c>
      <c r="W714" s="11" t="s">
        <v>14395</v>
      </c>
      <c r="X714" s="174">
        <v>26.32</v>
      </c>
      <c r="Y714" s="174">
        <v>35.17</v>
      </c>
    </row>
    <row r="715" spans="1:25" ht="15" customHeight="1" x14ac:dyDescent="0.25">
      <c r="A715" s="20" t="s">
        <v>5863</v>
      </c>
      <c r="B715" s="14" t="s">
        <v>5864</v>
      </c>
      <c r="C715" s="71" t="str">
        <f t="shared" si="11"/>
        <v>Product Info</v>
      </c>
      <c r="D715" s="37" t="s">
        <v>4292</v>
      </c>
      <c r="E715" s="143">
        <v>10</v>
      </c>
      <c r="F715" s="12" t="s">
        <v>2170</v>
      </c>
      <c r="G715" s="38">
        <v>19.239999999999998</v>
      </c>
      <c r="H715" s="38">
        <v>16.36</v>
      </c>
      <c r="I715" s="38">
        <v>13.47</v>
      </c>
      <c r="J715" s="39"/>
      <c r="K715" s="143"/>
      <c r="L715" s="22">
        <v>0.24166000000000001</v>
      </c>
      <c r="M715" s="22" t="s">
        <v>14394</v>
      </c>
      <c r="N715" s="20" t="s">
        <v>14489</v>
      </c>
      <c r="O715" s="16">
        <v>0</v>
      </c>
      <c r="P715" s="143">
        <v>364</v>
      </c>
      <c r="Q715" s="122" t="s">
        <v>9227</v>
      </c>
      <c r="R715" s="16" t="s">
        <v>9235</v>
      </c>
      <c r="S715" s="10" t="s">
        <v>1165</v>
      </c>
      <c r="T715" s="28" t="s">
        <v>9919</v>
      </c>
      <c r="U715" s="20" t="s">
        <v>5359</v>
      </c>
      <c r="V715" s="16" t="s">
        <v>12988</v>
      </c>
      <c r="W715" s="11" t="s">
        <v>14395</v>
      </c>
      <c r="X715" s="174">
        <v>12.24</v>
      </c>
      <c r="Y715" s="174">
        <v>16.36</v>
      </c>
    </row>
    <row r="716" spans="1:25" ht="15" customHeight="1" x14ac:dyDescent="0.25">
      <c r="A716" s="20" t="s">
        <v>5865</v>
      </c>
      <c r="B716" s="14" t="s">
        <v>5866</v>
      </c>
      <c r="C716" s="71" t="str">
        <f t="shared" si="11"/>
        <v>Product Info</v>
      </c>
      <c r="D716" s="37" t="s">
        <v>4293</v>
      </c>
      <c r="E716" s="143">
        <v>10</v>
      </c>
      <c r="F716" s="12" t="s">
        <v>2170</v>
      </c>
      <c r="G716" s="38">
        <v>20.69</v>
      </c>
      <c r="H716" s="38">
        <v>17.579999999999998</v>
      </c>
      <c r="I716" s="38">
        <v>14.48</v>
      </c>
      <c r="J716" s="39"/>
      <c r="K716" s="143"/>
      <c r="L716" s="22">
        <v>0.42499999999999999</v>
      </c>
      <c r="M716" s="22" t="s">
        <v>2170</v>
      </c>
      <c r="N716" s="20" t="s">
        <v>14489</v>
      </c>
      <c r="O716" s="16" t="s">
        <v>12608</v>
      </c>
      <c r="P716" s="143">
        <v>364</v>
      </c>
      <c r="Q716" s="122" t="s">
        <v>9227</v>
      </c>
      <c r="R716" s="16" t="s">
        <v>9235</v>
      </c>
      <c r="S716" s="10" t="s">
        <v>1165</v>
      </c>
      <c r="T716" s="28" t="s">
        <v>9920</v>
      </c>
      <c r="U716" s="20" t="s">
        <v>5359</v>
      </c>
      <c r="V716" s="16" t="s">
        <v>12985</v>
      </c>
      <c r="W716" s="11" t="s">
        <v>14395</v>
      </c>
      <c r="X716" s="174">
        <v>13.17</v>
      </c>
      <c r="Y716" s="174">
        <v>17.579999999999998</v>
      </c>
    </row>
    <row r="717" spans="1:25" ht="15" customHeight="1" x14ac:dyDescent="0.25">
      <c r="A717" s="20" t="s">
        <v>5867</v>
      </c>
      <c r="B717" s="14" t="s">
        <v>5868</v>
      </c>
      <c r="C717" s="71" t="str">
        <f t="shared" si="11"/>
        <v>Product Info</v>
      </c>
      <c r="D717" s="37" t="s">
        <v>4294</v>
      </c>
      <c r="E717" s="143">
        <v>1</v>
      </c>
      <c r="F717" s="12" t="s">
        <v>2170</v>
      </c>
      <c r="G717" s="38">
        <v>131.96</v>
      </c>
      <c r="H717" s="38">
        <v>112.17</v>
      </c>
      <c r="I717" s="38">
        <v>92.37</v>
      </c>
      <c r="J717" s="39"/>
      <c r="K717" s="143"/>
      <c r="L717" s="22">
        <v>3</v>
      </c>
      <c r="M717" s="22" t="s">
        <v>12488</v>
      </c>
      <c r="N717" s="20" t="s">
        <v>8773</v>
      </c>
      <c r="O717" s="16" t="s">
        <v>12608</v>
      </c>
      <c r="P717" s="143">
        <v>364</v>
      </c>
      <c r="Q717" s="121" t="s">
        <v>14285</v>
      </c>
      <c r="R717" s="16" t="s">
        <v>9235</v>
      </c>
      <c r="S717" s="10" t="s">
        <v>1165</v>
      </c>
      <c r="T717" s="28" t="s">
        <v>9921</v>
      </c>
      <c r="U717" s="20" t="s">
        <v>5359</v>
      </c>
      <c r="V717" s="16" t="s">
        <v>8381</v>
      </c>
      <c r="W717" s="11" t="s">
        <v>14395</v>
      </c>
      <c r="X717" s="174">
        <v>83.97</v>
      </c>
      <c r="Y717" s="174">
        <v>112.17</v>
      </c>
    </row>
    <row r="718" spans="1:25" ht="15" customHeight="1" x14ac:dyDescent="0.25">
      <c r="A718" s="20" t="s">
        <v>5810</v>
      </c>
      <c r="B718" s="14" t="s">
        <v>5811</v>
      </c>
      <c r="C718" s="71" t="str">
        <f t="shared" si="11"/>
        <v>Product Info</v>
      </c>
      <c r="D718" s="37" t="s">
        <v>4295</v>
      </c>
      <c r="E718" s="143">
        <v>1</v>
      </c>
      <c r="F718" s="12" t="s">
        <v>2170</v>
      </c>
      <c r="G718" s="38">
        <v>118.49</v>
      </c>
      <c r="H718" s="38">
        <v>100.72</v>
      </c>
      <c r="I718" s="38">
        <v>82.94</v>
      </c>
      <c r="J718" s="39"/>
      <c r="K718" s="143"/>
      <c r="L718" s="22">
        <v>0</v>
      </c>
      <c r="M718" s="22">
        <v>0</v>
      </c>
      <c r="N718" s="20" t="s">
        <v>14489</v>
      </c>
      <c r="O718" s="16">
        <v>0</v>
      </c>
      <c r="P718" s="143">
        <v>364</v>
      </c>
      <c r="Q718" s="121" t="s">
        <v>14285</v>
      </c>
      <c r="R718" s="16" t="s">
        <v>9235</v>
      </c>
      <c r="S718" s="10" t="s">
        <v>1165</v>
      </c>
      <c r="T718" s="28" t="s">
        <v>9922</v>
      </c>
      <c r="U718" s="20" t="s">
        <v>5359</v>
      </c>
      <c r="V718" s="16" t="s">
        <v>8382</v>
      </c>
      <c r="W718" s="11" t="s">
        <v>14395</v>
      </c>
      <c r="X718" s="174">
        <v>75.400000000000006</v>
      </c>
      <c r="Y718" s="174">
        <v>100.72</v>
      </c>
    </row>
    <row r="719" spans="1:25" ht="15" customHeight="1" x14ac:dyDescent="0.25">
      <c r="A719" s="20" t="s">
        <v>5812</v>
      </c>
      <c r="B719" s="14" t="s">
        <v>6412</v>
      </c>
      <c r="C719" s="71" t="str">
        <f t="shared" si="11"/>
        <v>Product Info</v>
      </c>
      <c r="D719" s="37" t="s">
        <v>4296</v>
      </c>
      <c r="E719" s="143">
        <v>1</v>
      </c>
      <c r="F719" s="12" t="s">
        <v>2170</v>
      </c>
      <c r="G719" s="38">
        <v>450.09</v>
      </c>
      <c r="H719" s="38">
        <v>382.59</v>
      </c>
      <c r="I719" s="38">
        <v>315.06</v>
      </c>
      <c r="J719" s="39"/>
      <c r="K719" s="143"/>
      <c r="L719" s="22">
        <v>5</v>
      </c>
      <c r="M719" s="22" t="s">
        <v>12488</v>
      </c>
      <c r="N719" s="20" t="s">
        <v>8794</v>
      </c>
      <c r="O719" s="16" t="s">
        <v>12608</v>
      </c>
      <c r="P719" s="143">
        <v>151</v>
      </c>
      <c r="Q719" s="122" t="s">
        <v>12421</v>
      </c>
      <c r="R719" s="16" t="s">
        <v>9235</v>
      </c>
      <c r="S719" s="10" t="s">
        <v>1165</v>
      </c>
      <c r="T719" s="28" t="s">
        <v>9923</v>
      </c>
      <c r="U719" s="20" t="s">
        <v>5359</v>
      </c>
      <c r="V719" s="16" t="s">
        <v>8383</v>
      </c>
      <c r="W719" s="11" t="s">
        <v>14395</v>
      </c>
      <c r="X719" s="174">
        <v>290.70999999999998</v>
      </c>
      <c r="Y719" s="174">
        <v>382.59</v>
      </c>
    </row>
    <row r="720" spans="1:25" ht="15" customHeight="1" x14ac:dyDescent="0.25">
      <c r="A720" s="20" t="s">
        <v>6497</v>
      </c>
      <c r="B720" s="14" t="s">
        <v>6769</v>
      </c>
      <c r="C720" s="71" t="str">
        <f t="shared" si="11"/>
        <v>Product Info</v>
      </c>
      <c r="D720" s="37" t="s">
        <v>4297</v>
      </c>
      <c r="E720" s="143">
        <v>100</v>
      </c>
      <c r="F720" s="12" t="s">
        <v>4992</v>
      </c>
      <c r="G720" s="38">
        <v>3.26</v>
      </c>
      <c r="H720" s="38">
        <v>2.77</v>
      </c>
      <c r="I720" s="38">
        <v>2.2799999999999998</v>
      </c>
      <c r="J720" s="39"/>
      <c r="K720" s="143"/>
      <c r="L720" s="22">
        <v>0</v>
      </c>
      <c r="M720" s="22">
        <v>0</v>
      </c>
      <c r="N720" s="20" t="s">
        <v>14489</v>
      </c>
      <c r="O720" s="16">
        <v>0</v>
      </c>
      <c r="P720" s="143">
        <v>435</v>
      </c>
      <c r="Q720" s="121" t="s">
        <v>14285</v>
      </c>
      <c r="R720" s="16" t="s">
        <v>9235</v>
      </c>
      <c r="S720" s="10" t="s">
        <v>1165</v>
      </c>
      <c r="T720" s="28" t="s">
        <v>9924</v>
      </c>
      <c r="U720" s="20" t="s">
        <v>5359</v>
      </c>
      <c r="V720" s="16" t="s">
        <v>8384</v>
      </c>
      <c r="W720" s="11" t="s">
        <v>14395</v>
      </c>
      <c r="X720" s="174">
        <v>2.08</v>
      </c>
      <c r="Y720" s="174">
        <v>2.77</v>
      </c>
    </row>
    <row r="721" spans="1:25" ht="15" customHeight="1" x14ac:dyDescent="0.25">
      <c r="A721" s="20" t="s">
        <v>6770</v>
      </c>
      <c r="B721" s="14" t="s">
        <v>6771</v>
      </c>
      <c r="C721" s="71" t="str">
        <f t="shared" si="11"/>
        <v>Product Info</v>
      </c>
      <c r="D721" s="37" t="s">
        <v>4298</v>
      </c>
      <c r="E721" s="143">
        <v>3</v>
      </c>
      <c r="F721" s="12" t="s">
        <v>2170</v>
      </c>
      <c r="G721" s="38">
        <v>516.73</v>
      </c>
      <c r="H721" s="38">
        <v>439.23</v>
      </c>
      <c r="I721" s="38">
        <v>361.71</v>
      </c>
      <c r="J721" s="39"/>
      <c r="K721" s="143"/>
      <c r="L721" s="22">
        <v>0</v>
      </c>
      <c r="M721" s="22">
        <v>0</v>
      </c>
      <c r="N721" s="20" t="s">
        <v>14489</v>
      </c>
      <c r="O721" s="16" t="s">
        <v>4992</v>
      </c>
      <c r="P721" s="143">
        <v>364</v>
      </c>
      <c r="Q721" s="121" t="s">
        <v>14285</v>
      </c>
      <c r="R721" s="16" t="s">
        <v>9235</v>
      </c>
      <c r="S721" s="10" t="s">
        <v>1165</v>
      </c>
      <c r="T721" s="28" t="s">
        <v>9925</v>
      </c>
      <c r="U721" s="20" t="s">
        <v>5359</v>
      </c>
      <c r="V721" s="16" t="s">
        <v>8385</v>
      </c>
      <c r="W721" s="11" t="s">
        <v>14395</v>
      </c>
      <c r="X721" s="174">
        <v>328.83</v>
      </c>
      <c r="Y721" s="174">
        <v>439.23</v>
      </c>
    </row>
    <row r="722" spans="1:25" ht="15" customHeight="1" x14ac:dyDescent="0.25">
      <c r="A722" s="20" t="s">
        <v>6772</v>
      </c>
      <c r="B722" s="14" t="s">
        <v>6773</v>
      </c>
      <c r="C722" s="71" t="str">
        <f t="shared" si="11"/>
        <v>Product Info</v>
      </c>
      <c r="D722" s="37" t="s">
        <v>4299</v>
      </c>
      <c r="E722" s="143">
        <v>3</v>
      </c>
      <c r="F722" s="12" t="s">
        <v>2170</v>
      </c>
      <c r="G722" s="38">
        <v>516.73</v>
      </c>
      <c r="H722" s="38">
        <v>439.23</v>
      </c>
      <c r="I722" s="38">
        <v>361.71</v>
      </c>
      <c r="J722" s="39"/>
      <c r="K722" s="143"/>
      <c r="L722" s="22">
        <v>0</v>
      </c>
      <c r="M722" s="22">
        <v>0</v>
      </c>
      <c r="N722" s="20" t="s">
        <v>14489</v>
      </c>
      <c r="O722" s="16">
        <v>0</v>
      </c>
      <c r="P722" s="143">
        <v>364</v>
      </c>
      <c r="Q722" s="121" t="s">
        <v>14285</v>
      </c>
      <c r="R722" s="16" t="s">
        <v>9235</v>
      </c>
      <c r="S722" s="10" t="s">
        <v>1165</v>
      </c>
      <c r="T722" s="28" t="s">
        <v>9926</v>
      </c>
      <c r="U722" s="20" t="s">
        <v>5359</v>
      </c>
      <c r="V722" s="16" t="s">
        <v>8386</v>
      </c>
      <c r="W722" s="11" t="s">
        <v>14395</v>
      </c>
      <c r="X722" s="174">
        <v>328.83</v>
      </c>
      <c r="Y722" s="174">
        <v>439.23</v>
      </c>
    </row>
    <row r="723" spans="1:25" ht="15" customHeight="1" x14ac:dyDescent="0.25">
      <c r="A723" s="20" t="s">
        <v>7220</v>
      </c>
      <c r="B723" s="14" t="s">
        <v>7221</v>
      </c>
      <c r="C723" s="71" t="str">
        <f t="shared" si="11"/>
        <v>Product Info</v>
      </c>
      <c r="D723" s="37" t="s">
        <v>4300</v>
      </c>
      <c r="E723" s="143">
        <v>10</v>
      </c>
      <c r="F723" s="12" t="s">
        <v>2170</v>
      </c>
      <c r="G723" s="38">
        <v>30.61</v>
      </c>
      <c r="H723" s="38">
        <v>26.02</v>
      </c>
      <c r="I723" s="38">
        <v>21.43</v>
      </c>
      <c r="J723" s="39"/>
      <c r="K723" s="143"/>
      <c r="L723" s="22">
        <v>0.58250000000000002</v>
      </c>
      <c r="M723" s="22" t="s">
        <v>2170</v>
      </c>
      <c r="N723" s="20" t="s">
        <v>14489</v>
      </c>
      <c r="O723" s="16" t="s">
        <v>13914</v>
      </c>
      <c r="P723" s="143">
        <v>364</v>
      </c>
      <c r="Q723" s="122" t="s">
        <v>9227</v>
      </c>
      <c r="R723" s="16" t="s">
        <v>9235</v>
      </c>
      <c r="S723" s="10" t="s">
        <v>1165</v>
      </c>
      <c r="T723" s="28" t="s">
        <v>9927</v>
      </c>
      <c r="U723" s="20" t="s">
        <v>5359</v>
      </c>
      <c r="V723" s="16" t="s">
        <v>8387</v>
      </c>
      <c r="W723" s="11" t="s">
        <v>14395</v>
      </c>
      <c r="X723" s="174">
        <v>19.48</v>
      </c>
      <c r="Y723" s="174">
        <v>26.02</v>
      </c>
    </row>
    <row r="724" spans="1:25" ht="15" customHeight="1" x14ac:dyDescent="0.25">
      <c r="A724" s="20" t="s">
        <v>7222</v>
      </c>
      <c r="B724" s="14" t="s">
        <v>7658</v>
      </c>
      <c r="C724" s="71" t="str">
        <f t="shared" si="11"/>
        <v>Product Info</v>
      </c>
      <c r="D724" s="37" t="s">
        <v>4301</v>
      </c>
      <c r="E724" s="143">
        <v>1</v>
      </c>
      <c r="F724" s="12" t="s">
        <v>4992</v>
      </c>
      <c r="G724" s="38">
        <v>1254.77</v>
      </c>
      <c r="H724" s="38">
        <v>1066.5899999999999</v>
      </c>
      <c r="I724" s="38">
        <v>878.34</v>
      </c>
      <c r="J724" s="39"/>
      <c r="K724" s="143"/>
      <c r="L724" s="22">
        <v>4</v>
      </c>
      <c r="M724" s="22" t="s">
        <v>14396</v>
      </c>
      <c r="N724" s="20" t="s">
        <v>8774</v>
      </c>
      <c r="O724" s="16" t="s">
        <v>13914</v>
      </c>
      <c r="P724" s="143">
        <v>151</v>
      </c>
      <c r="Q724" s="121" t="s">
        <v>14285</v>
      </c>
      <c r="R724" s="16" t="s">
        <v>9235</v>
      </c>
      <c r="S724" s="10" t="s">
        <v>1165</v>
      </c>
      <c r="T724" s="28" t="s">
        <v>9928</v>
      </c>
      <c r="U724" s="20" t="s">
        <v>5359</v>
      </c>
      <c r="V724" s="16" t="s">
        <v>8388</v>
      </c>
      <c r="W724" s="11" t="s">
        <v>14395</v>
      </c>
      <c r="X724" s="174">
        <v>810.47</v>
      </c>
      <c r="Y724" s="174">
        <v>1066.5899999999999</v>
      </c>
    </row>
    <row r="725" spans="1:25" ht="15" customHeight="1" x14ac:dyDescent="0.25">
      <c r="A725" s="20" t="s">
        <v>7659</v>
      </c>
      <c r="B725" s="14" t="s">
        <v>7660</v>
      </c>
      <c r="C725" s="71" t="str">
        <f t="shared" si="11"/>
        <v>Product Info</v>
      </c>
      <c r="D725" s="37" t="s">
        <v>4302</v>
      </c>
      <c r="E725" s="143">
        <v>1</v>
      </c>
      <c r="F725" s="12" t="s">
        <v>4992</v>
      </c>
      <c r="G725" s="38">
        <v>1882.21</v>
      </c>
      <c r="H725" s="38">
        <v>1599.94</v>
      </c>
      <c r="I725" s="38">
        <v>1317.55</v>
      </c>
      <c r="J725" s="39"/>
      <c r="K725" s="143"/>
      <c r="L725" s="22">
        <v>7</v>
      </c>
      <c r="M725" s="22" t="s">
        <v>12488</v>
      </c>
      <c r="N725" s="20" t="s">
        <v>8774</v>
      </c>
      <c r="O725" s="16" t="s">
        <v>12608</v>
      </c>
      <c r="P725" s="143">
        <v>151</v>
      </c>
      <c r="Q725" s="121" t="s">
        <v>14285</v>
      </c>
      <c r="R725" s="16" t="s">
        <v>9235</v>
      </c>
      <c r="S725" s="10" t="s">
        <v>1165</v>
      </c>
      <c r="T725" s="28" t="s">
        <v>9929</v>
      </c>
      <c r="U725" s="20" t="s">
        <v>5359</v>
      </c>
      <c r="V725" s="16" t="s">
        <v>8389</v>
      </c>
      <c r="W725" s="11" t="s">
        <v>14395</v>
      </c>
      <c r="X725" s="174">
        <v>1215.73</v>
      </c>
      <c r="Y725" s="174">
        <v>1599.94</v>
      </c>
    </row>
    <row r="726" spans="1:25" ht="15" customHeight="1" x14ac:dyDescent="0.25">
      <c r="A726" s="20" t="s">
        <v>7661</v>
      </c>
      <c r="B726" s="14" t="s">
        <v>5094</v>
      </c>
      <c r="C726" s="71" t="str">
        <f t="shared" si="11"/>
        <v>Product Info</v>
      </c>
      <c r="D726" s="37" t="s">
        <v>4303</v>
      </c>
      <c r="E726" s="143">
        <v>1</v>
      </c>
      <c r="F726" s="12" t="s">
        <v>4992</v>
      </c>
      <c r="G726" s="38">
        <v>2216.8000000000002</v>
      </c>
      <c r="H726" s="38">
        <v>1884.35</v>
      </c>
      <c r="I726" s="38">
        <v>1551.76</v>
      </c>
      <c r="J726" s="39"/>
      <c r="K726" s="143"/>
      <c r="L726" s="22">
        <v>3.07</v>
      </c>
      <c r="M726" s="22" t="s">
        <v>14394</v>
      </c>
      <c r="N726" s="20" t="s">
        <v>14489</v>
      </c>
      <c r="O726" s="16" t="s">
        <v>4992</v>
      </c>
      <c r="P726" s="143">
        <v>151</v>
      </c>
      <c r="Q726" s="123" t="s">
        <v>14285</v>
      </c>
      <c r="R726" s="23" t="s">
        <v>9235</v>
      </c>
      <c r="S726" s="9" t="s">
        <v>1165</v>
      </c>
      <c r="T726" s="28" t="s">
        <v>9930</v>
      </c>
      <c r="U726" s="20" t="s">
        <v>5359</v>
      </c>
      <c r="V726" s="16" t="s">
        <v>8390</v>
      </c>
      <c r="W726" s="11" t="s">
        <v>14395</v>
      </c>
      <c r="X726" s="174">
        <v>1431.84</v>
      </c>
      <c r="Y726" s="174">
        <v>1884.35</v>
      </c>
    </row>
    <row r="727" spans="1:25" ht="15" customHeight="1" x14ac:dyDescent="0.25">
      <c r="A727" s="20" t="s">
        <v>8024</v>
      </c>
      <c r="B727" s="14" t="s">
        <v>8025</v>
      </c>
      <c r="C727" s="71" t="str">
        <f t="shared" si="11"/>
        <v>Product Info</v>
      </c>
      <c r="D727" s="37" t="s">
        <v>8645</v>
      </c>
      <c r="E727" s="143">
        <v>25</v>
      </c>
      <c r="F727" s="12" t="s">
        <v>4992</v>
      </c>
      <c r="G727" s="38">
        <v>172.39</v>
      </c>
      <c r="H727" s="38">
        <v>146.53</v>
      </c>
      <c r="I727" s="38">
        <v>120.67</v>
      </c>
      <c r="J727" s="39"/>
      <c r="K727" s="143"/>
      <c r="L727" s="22">
        <v>0</v>
      </c>
      <c r="M727" s="22">
        <v>0</v>
      </c>
      <c r="N727" s="20" t="s">
        <v>14489</v>
      </c>
      <c r="O727" s="16">
        <v>0</v>
      </c>
      <c r="P727" s="143">
        <v>151</v>
      </c>
      <c r="Q727" s="121" t="s">
        <v>14285</v>
      </c>
      <c r="R727" s="16" t="s">
        <v>9235</v>
      </c>
      <c r="S727" s="10" t="s">
        <v>1165</v>
      </c>
      <c r="T727" s="28" t="s">
        <v>9931</v>
      </c>
      <c r="U727" s="20" t="s">
        <v>5359</v>
      </c>
      <c r="V727" s="16" t="s">
        <v>8391</v>
      </c>
      <c r="W727" s="11" t="s">
        <v>14395</v>
      </c>
      <c r="X727" s="174">
        <v>111.34</v>
      </c>
      <c r="Y727" s="174">
        <v>146.53</v>
      </c>
    </row>
    <row r="728" spans="1:25" ht="15" customHeight="1" x14ac:dyDescent="0.25">
      <c r="A728" s="20" t="s">
        <v>4569</v>
      </c>
      <c r="B728" s="14" t="s">
        <v>4570</v>
      </c>
      <c r="C728" s="71" t="str">
        <f t="shared" si="11"/>
        <v>Product Info</v>
      </c>
      <c r="D728" s="37" t="s">
        <v>4571</v>
      </c>
      <c r="E728" s="143">
        <v>3</v>
      </c>
      <c r="F728" s="12" t="s">
        <v>4992</v>
      </c>
      <c r="G728" s="38">
        <v>67.010000000000005</v>
      </c>
      <c r="H728" s="38">
        <v>56.96</v>
      </c>
      <c r="I728" s="38">
        <v>46.91</v>
      </c>
      <c r="J728" s="39"/>
      <c r="K728" s="143"/>
      <c r="L728" s="22">
        <v>0</v>
      </c>
      <c r="M728" s="22">
        <v>0</v>
      </c>
      <c r="N728" s="20" t="s">
        <v>14489</v>
      </c>
      <c r="O728" s="16">
        <v>0</v>
      </c>
      <c r="P728" s="143">
        <v>364</v>
      </c>
      <c r="Q728" s="121" t="s">
        <v>14285</v>
      </c>
      <c r="R728" s="16" t="s">
        <v>9235</v>
      </c>
      <c r="S728" s="10" t="s">
        <v>1165</v>
      </c>
      <c r="T728" s="28" t="s">
        <v>9932</v>
      </c>
      <c r="U728" s="20" t="s">
        <v>5359</v>
      </c>
      <c r="V728" s="16" t="s">
        <v>8392</v>
      </c>
      <c r="W728" s="11" t="s">
        <v>14395</v>
      </c>
      <c r="X728" s="174">
        <v>42.64</v>
      </c>
      <c r="Y728" s="174">
        <v>56.96</v>
      </c>
    </row>
    <row r="729" spans="1:25" ht="15" customHeight="1" x14ac:dyDescent="0.25">
      <c r="A729" s="20" t="s">
        <v>3136</v>
      </c>
      <c r="B729" s="14" t="s">
        <v>12467</v>
      </c>
      <c r="C729" s="71" t="str">
        <f t="shared" si="11"/>
        <v>Product Info</v>
      </c>
      <c r="D729" s="37" t="s">
        <v>3137</v>
      </c>
      <c r="E729" s="143">
        <v>3</v>
      </c>
      <c r="F729" s="12" t="s">
        <v>4992</v>
      </c>
      <c r="G729" s="38">
        <v>86.94</v>
      </c>
      <c r="H729" s="38">
        <v>73.900000000000006</v>
      </c>
      <c r="I729" s="38">
        <v>60.86</v>
      </c>
      <c r="J729" s="39"/>
      <c r="K729" s="143"/>
      <c r="L729" s="22">
        <v>0</v>
      </c>
      <c r="M729" s="22">
        <v>0</v>
      </c>
      <c r="N729" s="20" t="s">
        <v>14489</v>
      </c>
      <c r="O729" s="16" t="s">
        <v>13914</v>
      </c>
      <c r="P729" s="143">
        <v>364</v>
      </c>
      <c r="Q729" s="121" t="s">
        <v>14285</v>
      </c>
      <c r="R729" s="16" t="s">
        <v>9235</v>
      </c>
      <c r="S729" s="10" t="s">
        <v>1165</v>
      </c>
      <c r="T729" s="28" t="s">
        <v>10061</v>
      </c>
      <c r="U729" s="20" t="s">
        <v>5359</v>
      </c>
      <c r="V729" s="16" t="s">
        <v>8521</v>
      </c>
      <c r="W729" s="11" t="s">
        <v>14395</v>
      </c>
      <c r="X729" s="174">
        <v>55.33</v>
      </c>
      <c r="Y729" s="174">
        <v>73.900000000000006</v>
      </c>
    </row>
    <row r="730" spans="1:25" ht="15" customHeight="1" x14ac:dyDescent="0.25">
      <c r="A730" s="20" t="s">
        <v>7899</v>
      </c>
      <c r="B730" s="14" t="s">
        <v>7904</v>
      </c>
      <c r="C730" s="71" t="str">
        <f t="shared" si="11"/>
        <v>Product Info</v>
      </c>
      <c r="D730" s="37" t="s">
        <v>4424</v>
      </c>
      <c r="E730" s="143">
        <v>18</v>
      </c>
      <c r="F730" s="12" t="s">
        <v>2170</v>
      </c>
      <c r="G730" s="38">
        <v>16.87</v>
      </c>
      <c r="H730" s="38">
        <v>14.34</v>
      </c>
      <c r="I730" s="38">
        <v>11.81</v>
      </c>
      <c r="J730" s="39"/>
      <c r="K730" s="143"/>
      <c r="L730" s="22">
        <v>0.60555599999999998</v>
      </c>
      <c r="M730" s="22" t="s">
        <v>2170</v>
      </c>
      <c r="N730" s="20" t="s">
        <v>14489</v>
      </c>
      <c r="O730" s="16" t="s">
        <v>12608</v>
      </c>
      <c r="P730" s="143">
        <v>364</v>
      </c>
      <c r="Q730" s="122" t="s">
        <v>9227</v>
      </c>
      <c r="R730" s="16" t="s">
        <v>9235</v>
      </c>
      <c r="S730" s="10" t="s">
        <v>1165</v>
      </c>
      <c r="T730" s="28" t="s">
        <v>9933</v>
      </c>
      <c r="U730" s="20" t="s">
        <v>5359</v>
      </c>
      <c r="V730" s="16" t="s">
        <v>8393</v>
      </c>
      <c r="W730" s="11" t="s">
        <v>14395</v>
      </c>
      <c r="X730" s="174">
        <v>10.74</v>
      </c>
      <c r="Y730" s="174">
        <v>14.34</v>
      </c>
    </row>
    <row r="731" spans="1:25" ht="15" customHeight="1" x14ac:dyDescent="0.25">
      <c r="A731" s="20" t="s">
        <v>2125</v>
      </c>
      <c r="B731" s="14" t="s">
        <v>5297</v>
      </c>
      <c r="C731" s="71" t="str">
        <f t="shared" si="11"/>
        <v>Product Info</v>
      </c>
      <c r="D731" s="37" t="s">
        <v>5298</v>
      </c>
      <c r="E731" s="143">
        <v>1</v>
      </c>
      <c r="F731" s="12" t="s">
        <v>4992</v>
      </c>
      <c r="G731" s="38">
        <v>1351.41</v>
      </c>
      <c r="H731" s="38">
        <v>1148.74</v>
      </c>
      <c r="I731" s="38">
        <v>945.99</v>
      </c>
      <c r="J731" s="39"/>
      <c r="K731" s="143"/>
      <c r="L731" s="22">
        <v>35.6</v>
      </c>
      <c r="M731" s="22" t="s">
        <v>4992</v>
      </c>
      <c r="N731" s="20" t="s">
        <v>14489</v>
      </c>
      <c r="O731" s="16" t="s">
        <v>12608</v>
      </c>
      <c r="P731" s="143" t="s">
        <v>12611</v>
      </c>
      <c r="Q731" s="122" t="s">
        <v>12421</v>
      </c>
      <c r="R731" s="16" t="s">
        <v>9235</v>
      </c>
      <c r="S731" s="10" t="s">
        <v>1165</v>
      </c>
      <c r="T731" s="28" t="s">
        <v>9934</v>
      </c>
      <c r="U731" s="20" t="s">
        <v>5359</v>
      </c>
      <c r="V731" s="16" t="s">
        <v>8394</v>
      </c>
      <c r="W731" s="11" t="s">
        <v>14395</v>
      </c>
      <c r="X731" s="174">
        <v>849.16</v>
      </c>
      <c r="Y731" s="174">
        <v>1148.74</v>
      </c>
    </row>
    <row r="732" spans="1:25" ht="15" customHeight="1" x14ac:dyDescent="0.25">
      <c r="A732" s="20" t="s">
        <v>5299</v>
      </c>
      <c r="B732" s="14" t="s">
        <v>5300</v>
      </c>
      <c r="C732" s="71" t="str">
        <f t="shared" si="11"/>
        <v>Product Info</v>
      </c>
      <c r="D732" s="37" t="s">
        <v>3154</v>
      </c>
      <c r="E732" s="143">
        <v>1</v>
      </c>
      <c r="F732" s="12" t="s">
        <v>4992</v>
      </c>
      <c r="G732" s="38">
        <v>1351.41</v>
      </c>
      <c r="H732" s="38">
        <v>1148.74</v>
      </c>
      <c r="I732" s="38">
        <v>945.99</v>
      </c>
      <c r="J732" s="39"/>
      <c r="K732" s="143"/>
      <c r="L732" s="22">
        <v>0</v>
      </c>
      <c r="M732" s="22">
        <v>0</v>
      </c>
      <c r="N732" s="20" t="s">
        <v>14489</v>
      </c>
      <c r="O732" s="16" t="s">
        <v>12608</v>
      </c>
      <c r="P732" s="143" t="s">
        <v>12611</v>
      </c>
      <c r="Q732" s="122" t="s">
        <v>12421</v>
      </c>
      <c r="R732" s="16" t="s">
        <v>9235</v>
      </c>
      <c r="S732" s="10" t="s">
        <v>1165</v>
      </c>
      <c r="T732" s="28" t="s">
        <v>9935</v>
      </c>
      <c r="U732" s="20" t="s">
        <v>5359</v>
      </c>
      <c r="V732" s="16" t="s">
        <v>8395</v>
      </c>
      <c r="W732" s="11" t="s">
        <v>14395</v>
      </c>
      <c r="X732" s="174">
        <v>849.16</v>
      </c>
      <c r="Y732" s="174">
        <v>1148.74</v>
      </c>
    </row>
    <row r="733" spans="1:25" ht="15" customHeight="1" x14ac:dyDescent="0.25">
      <c r="A733" s="20" t="s">
        <v>3155</v>
      </c>
      <c r="B733" s="14" t="s">
        <v>3354</v>
      </c>
      <c r="C733" s="71" t="str">
        <f t="shared" si="11"/>
        <v>Product Info</v>
      </c>
      <c r="D733" s="37" t="s">
        <v>3355</v>
      </c>
      <c r="E733" s="143">
        <v>1</v>
      </c>
      <c r="F733" s="12" t="s">
        <v>4992</v>
      </c>
      <c r="G733" s="38">
        <v>1351.41</v>
      </c>
      <c r="H733" s="38">
        <v>1148.74</v>
      </c>
      <c r="I733" s="38">
        <v>945.99</v>
      </c>
      <c r="J733" s="39"/>
      <c r="K733" s="143"/>
      <c r="L733" s="22">
        <v>0</v>
      </c>
      <c r="M733" s="22">
        <v>0</v>
      </c>
      <c r="N733" s="20" t="s">
        <v>14489</v>
      </c>
      <c r="O733" s="16">
        <v>0</v>
      </c>
      <c r="P733" s="143" t="s">
        <v>12611</v>
      </c>
      <c r="Q733" s="122" t="s">
        <v>12421</v>
      </c>
      <c r="R733" s="16" t="s">
        <v>9235</v>
      </c>
      <c r="S733" s="10" t="s">
        <v>1165</v>
      </c>
      <c r="T733" s="28" t="s">
        <v>9936</v>
      </c>
      <c r="U733" s="20" t="s">
        <v>5359</v>
      </c>
      <c r="V733" s="16" t="s">
        <v>8396</v>
      </c>
      <c r="W733" s="11" t="s">
        <v>14395</v>
      </c>
      <c r="X733" s="174">
        <v>849.16</v>
      </c>
      <c r="Y733" s="174">
        <v>1148.74</v>
      </c>
    </row>
    <row r="734" spans="1:25" ht="15" customHeight="1" x14ac:dyDescent="0.25">
      <c r="A734" s="20" t="s">
        <v>3356</v>
      </c>
      <c r="B734" s="14" t="s">
        <v>3357</v>
      </c>
      <c r="C734" s="71" t="str">
        <f t="shared" si="11"/>
        <v>Product Info</v>
      </c>
      <c r="D734" s="37" t="s">
        <v>8646</v>
      </c>
      <c r="E734" s="143">
        <v>1</v>
      </c>
      <c r="F734" s="12" t="s">
        <v>4992</v>
      </c>
      <c r="G734" s="38">
        <v>1498.8</v>
      </c>
      <c r="H734" s="38">
        <v>1274.03</v>
      </c>
      <c r="I734" s="38">
        <v>1049.1600000000001</v>
      </c>
      <c r="J734" s="39"/>
      <c r="K734" s="143"/>
      <c r="L734" s="22">
        <v>0</v>
      </c>
      <c r="M734" s="22">
        <v>0</v>
      </c>
      <c r="N734" s="20" t="s">
        <v>14489</v>
      </c>
      <c r="O734" s="16">
        <v>0</v>
      </c>
      <c r="P734" s="143" t="s">
        <v>12611</v>
      </c>
      <c r="Q734" s="122" t="s">
        <v>12421</v>
      </c>
      <c r="R734" s="16" t="s">
        <v>9235</v>
      </c>
      <c r="S734" s="10" t="s">
        <v>1165</v>
      </c>
      <c r="T734" s="28" t="s">
        <v>9937</v>
      </c>
      <c r="U734" s="20" t="s">
        <v>5359</v>
      </c>
      <c r="V734" s="16" t="s">
        <v>8397</v>
      </c>
      <c r="W734" s="11" t="s">
        <v>14395</v>
      </c>
      <c r="X734" s="174">
        <v>941.78</v>
      </c>
      <c r="Y734" s="174">
        <v>1274.03</v>
      </c>
    </row>
    <row r="735" spans="1:25" ht="15" customHeight="1" x14ac:dyDescent="0.25">
      <c r="A735" s="20" t="s">
        <v>3358</v>
      </c>
      <c r="B735" s="14" t="s">
        <v>3359</v>
      </c>
      <c r="C735" s="71" t="str">
        <f t="shared" si="11"/>
        <v>Product Info</v>
      </c>
      <c r="D735" s="37" t="s">
        <v>3360</v>
      </c>
      <c r="E735" s="143">
        <v>1</v>
      </c>
      <c r="F735" s="12" t="s">
        <v>4992</v>
      </c>
      <c r="G735" s="38">
        <v>1498.8</v>
      </c>
      <c r="H735" s="38">
        <v>1274.03</v>
      </c>
      <c r="I735" s="38">
        <v>1049.1600000000001</v>
      </c>
      <c r="J735" s="39"/>
      <c r="K735" s="143"/>
      <c r="L735" s="22">
        <v>0</v>
      </c>
      <c r="M735" s="22">
        <v>0</v>
      </c>
      <c r="N735" s="20" t="s">
        <v>14489</v>
      </c>
      <c r="O735" s="16">
        <v>0</v>
      </c>
      <c r="P735" s="143" t="s">
        <v>12611</v>
      </c>
      <c r="Q735" s="122" t="s">
        <v>12421</v>
      </c>
      <c r="R735" s="16" t="s">
        <v>9235</v>
      </c>
      <c r="S735" s="10" t="s">
        <v>1165</v>
      </c>
      <c r="T735" s="28" t="s">
        <v>9938</v>
      </c>
      <c r="U735" s="20" t="s">
        <v>5359</v>
      </c>
      <c r="V735" s="16" t="s">
        <v>8398</v>
      </c>
      <c r="W735" s="11" t="s">
        <v>14395</v>
      </c>
      <c r="X735" s="174">
        <v>941.78</v>
      </c>
      <c r="Y735" s="174">
        <v>1274.03</v>
      </c>
    </row>
    <row r="736" spans="1:25" ht="15" customHeight="1" x14ac:dyDescent="0.25">
      <c r="A736" s="20" t="s">
        <v>3361</v>
      </c>
      <c r="B736" s="14" t="s">
        <v>3362</v>
      </c>
      <c r="C736" s="71" t="str">
        <f t="shared" si="11"/>
        <v>Product Info</v>
      </c>
      <c r="D736" s="37" t="s">
        <v>8647</v>
      </c>
      <c r="E736" s="143">
        <v>1</v>
      </c>
      <c r="F736" s="12" t="s">
        <v>4992</v>
      </c>
      <c r="G736" s="38">
        <v>1498.8</v>
      </c>
      <c r="H736" s="38">
        <v>1274.03</v>
      </c>
      <c r="I736" s="38">
        <v>1049.1600000000001</v>
      </c>
      <c r="J736" s="39"/>
      <c r="K736" s="143"/>
      <c r="L736" s="22">
        <v>41</v>
      </c>
      <c r="M736" s="22" t="s">
        <v>12488</v>
      </c>
      <c r="N736" s="20" t="s">
        <v>8795</v>
      </c>
      <c r="O736" s="16" t="s">
        <v>12608</v>
      </c>
      <c r="P736" s="143" t="s">
        <v>12611</v>
      </c>
      <c r="Q736" s="122" t="s">
        <v>12421</v>
      </c>
      <c r="R736" s="16" t="s">
        <v>9235</v>
      </c>
      <c r="S736" s="10" t="s">
        <v>1165</v>
      </c>
      <c r="T736" s="28" t="s">
        <v>9939</v>
      </c>
      <c r="U736" s="20" t="s">
        <v>5359</v>
      </c>
      <c r="V736" s="16" t="s">
        <v>8399</v>
      </c>
      <c r="W736" s="11" t="s">
        <v>14395</v>
      </c>
      <c r="X736" s="174">
        <v>941.78</v>
      </c>
      <c r="Y736" s="174">
        <v>1274.03</v>
      </c>
    </row>
    <row r="737" spans="1:25" ht="15" customHeight="1" x14ac:dyDescent="0.25">
      <c r="A737" s="20" t="s">
        <v>3363</v>
      </c>
      <c r="B737" s="14" t="s">
        <v>3364</v>
      </c>
      <c r="C737" s="71" t="str">
        <f t="shared" si="11"/>
        <v>Product Info</v>
      </c>
      <c r="D737" s="37" t="s">
        <v>3365</v>
      </c>
      <c r="E737" s="143">
        <v>1</v>
      </c>
      <c r="F737" s="12" t="s">
        <v>4992</v>
      </c>
      <c r="G737" s="38">
        <v>1498.8</v>
      </c>
      <c r="H737" s="38">
        <v>1274.03</v>
      </c>
      <c r="I737" s="38">
        <v>1049.1600000000001</v>
      </c>
      <c r="J737" s="39"/>
      <c r="K737" s="143"/>
      <c r="L737" s="22">
        <v>41</v>
      </c>
      <c r="M737" s="22" t="s">
        <v>12488</v>
      </c>
      <c r="N737" s="20" t="s">
        <v>8796</v>
      </c>
      <c r="O737" s="16" t="s">
        <v>12608</v>
      </c>
      <c r="P737" s="143" t="s">
        <v>12611</v>
      </c>
      <c r="Q737" s="122" t="s">
        <v>12421</v>
      </c>
      <c r="R737" s="16" t="s">
        <v>9235</v>
      </c>
      <c r="S737" s="10" t="s">
        <v>1165</v>
      </c>
      <c r="T737" s="28" t="s">
        <v>9940</v>
      </c>
      <c r="U737" s="20" t="s">
        <v>5359</v>
      </c>
      <c r="V737" s="16" t="s">
        <v>8400</v>
      </c>
      <c r="W737" s="11" t="s">
        <v>14395</v>
      </c>
      <c r="X737" s="174">
        <v>941.78</v>
      </c>
      <c r="Y737" s="174">
        <v>1274.03</v>
      </c>
    </row>
    <row r="738" spans="1:25" ht="15" customHeight="1" x14ac:dyDescent="0.25">
      <c r="A738" s="20" t="s">
        <v>3366</v>
      </c>
      <c r="B738" s="14" t="s">
        <v>3367</v>
      </c>
      <c r="C738" s="71" t="str">
        <f t="shared" si="11"/>
        <v>Product Info</v>
      </c>
      <c r="D738" s="37" t="s">
        <v>8648</v>
      </c>
      <c r="E738" s="143">
        <v>1</v>
      </c>
      <c r="F738" s="12" t="s">
        <v>4992</v>
      </c>
      <c r="G738" s="38">
        <v>1498.8</v>
      </c>
      <c r="H738" s="38">
        <v>1274.03</v>
      </c>
      <c r="I738" s="38">
        <v>1049.1600000000001</v>
      </c>
      <c r="J738" s="39"/>
      <c r="K738" s="143"/>
      <c r="L738" s="22">
        <v>0</v>
      </c>
      <c r="M738" s="22">
        <v>0</v>
      </c>
      <c r="N738" s="20" t="s">
        <v>14489</v>
      </c>
      <c r="O738" s="16">
        <v>0</v>
      </c>
      <c r="P738" s="143" t="s">
        <v>12611</v>
      </c>
      <c r="Q738" s="122" t="s">
        <v>12421</v>
      </c>
      <c r="R738" s="16" t="s">
        <v>9235</v>
      </c>
      <c r="S738" s="10" t="s">
        <v>1165</v>
      </c>
      <c r="T738" s="28" t="s">
        <v>9941</v>
      </c>
      <c r="U738" s="20" t="s">
        <v>5359</v>
      </c>
      <c r="V738" s="16" t="s">
        <v>8401</v>
      </c>
      <c r="W738" s="11" t="s">
        <v>14395</v>
      </c>
      <c r="X738" s="174">
        <v>941.78</v>
      </c>
      <c r="Y738" s="174">
        <v>1274.03</v>
      </c>
    </row>
    <row r="739" spans="1:25" ht="15" customHeight="1" x14ac:dyDescent="0.25">
      <c r="A739" s="20" t="s">
        <v>3997</v>
      </c>
      <c r="B739" s="14" t="s">
        <v>3998</v>
      </c>
      <c r="C739" s="71" t="str">
        <f t="shared" si="11"/>
        <v>Product Info</v>
      </c>
      <c r="D739" s="37" t="s">
        <v>3999</v>
      </c>
      <c r="E739" s="143">
        <v>1</v>
      </c>
      <c r="F739" s="12" t="s">
        <v>4992</v>
      </c>
      <c r="G739" s="38">
        <v>1498.8</v>
      </c>
      <c r="H739" s="38">
        <v>1274.03</v>
      </c>
      <c r="I739" s="38">
        <v>1049.1600000000001</v>
      </c>
      <c r="J739" s="39"/>
      <c r="K739" s="143"/>
      <c r="L739" s="22">
        <v>41</v>
      </c>
      <c r="M739" s="22" t="s">
        <v>12488</v>
      </c>
      <c r="N739" s="20" t="s">
        <v>8795</v>
      </c>
      <c r="O739" s="16" t="s">
        <v>12608</v>
      </c>
      <c r="P739" s="143" t="s">
        <v>12611</v>
      </c>
      <c r="Q739" s="122" t="s">
        <v>12421</v>
      </c>
      <c r="R739" s="16" t="s">
        <v>9235</v>
      </c>
      <c r="S739" s="10" t="s">
        <v>1165</v>
      </c>
      <c r="T739" s="28" t="s">
        <v>9942</v>
      </c>
      <c r="U739" s="20" t="s">
        <v>5359</v>
      </c>
      <c r="V739" s="16" t="s">
        <v>8402</v>
      </c>
      <c r="W739" s="11" t="s">
        <v>14395</v>
      </c>
      <c r="X739" s="174">
        <v>941.78</v>
      </c>
      <c r="Y739" s="174">
        <v>1274.03</v>
      </c>
    </row>
    <row r="740" spans="1:25" ht="15" customHeight="1" x14ac:dyDescent="0.25">
      <c r="A740" s="20" t="s">
        <v>1437</v>
      </c>
      <c r="B740" s="14" t="s">
        <v>1438</v>
      </c>
      <c r="C740" s="71" t="str">
        <f t="shared" si="11"/>
        <v>Product Info</v>
      </c>
      <c r="D740" s="37" t="s">
        <v>1439</v>
      </c>
      <c r="E740" s="143">
        <v>1</v>
      </c>
      <c r="F740" s="12" t="s">
        <v>4992</v>
      </c>
      <c r="G740" s="38">
        <v>1498.8</v>
      </c>
      <c r="H740" s="38">
        <v>1274.03</v>
      </c>
      <c r="I740" s="38">
        <v>1049.1600000000001</v>
      </c>
      <c r="J740" s="39"/>
      <c r="K740" s="143"/>
      <c r="L740" s="22">
        <v>0</v>
      </c>
      <c r="M740" s="22">
        <v>0</v>
      </c>
      <c r="N740" s="20" t="s">
        <v>14489</v>
      </c>
      <c r="O740" s="16">
        <v>0</v>
      </c>
      <c r="P740" s="143" t="s">
        <v>12611</v>
      </c>
      <c r="Q740" s="121" t="s">
        <v>14285</v>
      </c>
      <c r="R740" s="16" t="s">
        <v>9235</v>
      </c>
      <c r="S740" s="10" t="s">
        <v>1165</v>
      </c>
      <c r="T740" s="28" t="s">
        <v>9943</v>
      </c>
      <c r="U740" s="20" t="s">
        <v>5359</v>
      </c>
      <c r="V740" s="16" t="s">
        <v>8403</v>
      </c>
      <c r="W740" s="11" t="s">
        <v>14395</v>
      </c>
      <c r="X740" s="174">
        <v>941.78</v>
      </c>
      <c r="Y740" s="174">
        <v>1274.03</v>
      </c>
    </row>
    <row r="741" spans="1:25" ht="15" customHeight="1" x14ac:dyDescent="0.25">
      <c r="A741" s="20" t="s">
        <v>12642</v>
      </c>
      <c r="B741" s="16" t="s">
        <v>12643</v>
      </c>
      <c r="C741" s="71" t="str">
        <f t="shared" si="11"/>
        <v>Product Info</v>
      </c>
      <c r="D741" s="37" t="s">
        <v>12917</v>
      </c>
      <c r="E741" s="143">
        <v>1</v>
      </c>
      <c r="F741" s="12" t="s">
        <v>4992</v>
      </c>
      <c r="G741" s="38">
        <v>1171.3599999999999</v>
      </c>
      <c r="H741" s="38">
        <v>995.69</v>
      </c>
      <c r="I741" s="38">
        <v>819.95</v>
      </c>
      <c r="J741" s="39"/>
      <c r="K741" s="143"/>
      <c r="L741" s="22">
        <v>0</v>
      </c>
      <c r="M741" s="22">
        <v>0</v>
      </c>
      <c r="N741" s="20" t="s">
        <v>14489</v>
      </c>
      <c r="O741" s="16">
        <v>0</v>
      </c>
      <c r="P741" s="143" t="s">
        <v>12611</v>
      </c>
      <c r="Q741" s="122" t="s">
        <v>9227</v>
      </c>
      <c r="R741" s="16" t="s">
        <v>9235</v>
      </c>
      <c r="S741" s="10" t="s">
        <v>1165</v>
      </c>
      <c r="T741" s="28" t="s">
        <v>12981</v>
      </c>
      <c r="U741" s="20" t="s">
        <v>5359</v>
      </c>
      <c r="V741" s="16" t="s">
        <v>13059</v>
      </c>
      <c r="W741" s="11" t="s">
        <v>14395</v>
      </c>
      <c r="X741" s="174">
        <v>736.02</v>
      </c>
      <c r="Y741" s="174">
        <v>995.69</v>
      </c>
    </row>
    <row r="742" spans="1:25" ht="15" customHeight="1" x14ac:dyDescent="0.25">
      <c r="A742" s="20" t="s">
        <v>4000</v>
      </c>
      <c r="B742" s="14" t="s">
        <v>4001</v>
      </c>
      <c r="C742" s="71" t="str">
        <f t="shared" si="11"/>
        <v>Product Info</v>
      </c>
      <c r="D742" s="37" t="s">
        <v>2948</v>
      </c>
      <c r="E742" s="143">
        <v>1</v>
      </c>
      <c r="F742" s="12" t="s">
        <v>4992</v>
      </c>
      <c r="G742" s="38">
        <v>1171.3599999999999</v>
      </c>
      <c r="H742" s="38">
        <v>995.69</v>
      </c>
      <c r="I742" s="38">
        <v>819.95</v>
      </c>
      <c r="J742" s="39"/>
      <c r="K742" s="143"/>
      <c r="L742" s="22">
        <v>0</v>
      </c>
      <c r="M742" s="22">
        <v>0</v>
      </c>
      <c r="N742" s="20" t="s">
        <v>14489</v>
      </c>
      <c r="O742" s="16">
        <v>0</v>
      </c>
      <c r="P742" s="143" t="s">
        <v>12611</v>
      </c>
      <c r="Q742" s="122" t="s">
        <v>12421</v>
      </c>
      <c r="R742" s="16" t="s">
        <v>9235</v>
      </c>
      <c r="S742" s="10" t="s">
        <v>1165</v>
      </c>
      <c r="T742" s="28" t="s">
        <v>9944</v>
      </c>
      <c r="U742" s="20" t="s">
        <v>5359</v>
      </c>
      <c r="V742" s="16" t="s">
        <v>8404</v>
      </c>
      <c r="W742" s="11" t="s">
        <v>14395</v>
      </c>
      <c r="X742" s="174">
        <v>736.02</v>
      </c>
      <c r="Y742" s="174">
        <v>995.69</v>
      </c>
    </row>
    <row r="743" spans="1:25" ht="15" customHeight="1" x14ac:dyDescent="0.25">
      <c r="A743" s="20" t="s">
        <v>2949</v>
      </c>
      <c r="B743" s="14" t="s">
        <v>2950</v>
      </c>
      <c r="C743" s="71" t="str">
        <f t="shared" si="11"/>
        <v>Product Info</v>
      </c>
      <c r="D743" s="37" t="s">
        <v>8649</v>
      </c>
      <c r="E743" s="143">
        <v>1</v>
      </c>
      <c r="F743" s="12" t="s">
        <v>4992</v>
      </c>
      <c r="G743" s="38">
        <v>1171.3599999999999</v>
      </c>
      <c r="H743" s="38">
        <v>995.69</v>
      </c>
      <c r="I743" s="38">
        <v>819.95</v>
      </c>
      <c r="J743" s="39"/>
      <c r="K743" s="143"/>
      <c r="L743" s="22">
        <v>0</v>
      </c>
      <c r="M743" s="22">
        <v>0</v>
      </c>
      <c r="N743" s="20" t="s">
        <v>14489</v>
      </c>
      <c r="O743" s="16">
        <v>0</v>
      </c>
      <c r="P743" s="143" t="s">
        <v>12611</v>
      </c>
      <c r="Q743" s="122" t="s">
        <v>12421</v>
      </c>
      <c r="R743" s="16" t="s">
        <v>9235</v>
      </c>
      <c r="S743" s="10" t="s">
        <v>1165</v>
      </c>
      <c r="T743" s="28" t="s">
        <v>9945</v>
      </c>
      <c r="U743" s="20" t="s">
        <v>5359</v>
      </c>
      <c r="V743" s="16" t="s">
        <v>8405</v>
      </c>
      <c r="W743" s="11" t="s">
        <v>14395</v>
      </c>
      <c r="X743" s="174">
        <v>736.02</v>
      </c>
      <c r="Y743" s="174">
        <v>995.69</v>
      </c>
    </row>
    <row r="744" spans="1:25" ht="15" customHeight="1" x14ac:dyDescent="0.25">
      <c r="A744" s="20" t="s">
        <v>2951</v>
      </c>
      <c r="B744" s="14" t="s">
        <v>2952</v>
      </c>
      <c r="C744" s="71" t="str">
        <f t="shared" si="11"/>
        <v>Product Info</v>
      </c>
      <c r="D744" s="37" t="s">
        <v>8650</v>
      </c>
      <c r="E744" s="143">
        <v>1</v>
      </c>
      <c r="F744" s="12" t="s">
        <v>4992</v>
      </c>
      <c r="G744" s="38">
        <v>1171.3599999999999</v>
      </c>
      <c r="H744" s="38">
        <v>995.69</v>
      </c>
      <c r="I744" s="38">
        <v>819.95</v>
      </c>
      <c r="J744" s="39"/>
      <c r="K744" s="143"/>
      <c r="L744" s="22">
        <v>0</v>
      </c>
      <c r="M744" s="22">
        <v>0</v>
      </c>
      <c r="N744" s="20" t="s">
        <v>14489</v>
      </c>
      <c r="O744" s="16">
        <v>0</v>
      </c>
      <c r="P744" s="143" t="s">
        <v>12611</v>
      </c>
      <c r="Q744" s="122" t="s">
        <v>12421</v>
      </c>
      <c r="R744" s="16" t="s">
        <v>9235</v>
      </c>
      <c r="S744" s="10" t="s">
        <v>1165</v>
      </c>
      <c r="T744" s="28" t="s">
        <v>9946</v>
      </c>
      <c r="U744" s="20" t="s">
        <v>5359</v>
      </c>
      <c r="V744" s="16" t="s">
        <v>8406</v>
      </c>
      <c r="W744" s="11" t="s">
        <v>14395</v>
      </c>
      <c r="X744" s="174">
        <v>736.02</v>
      </c>
      <c r="Y744" s="174">
        <v>995.69</v>
      </c>
    </row>
    <row r="745" spans="1:25" ht="15" customHeight="1" x14ac:dyDescent="0.25">
      <c r="A745" s="20" t="s">
        <v>2953</v>
      </c>
      <c r="B745" s="14" t="s">
        <v>2954</v>
      </c>
      <c r="C745" s="71" t="str">
        <f t="shared" si="11"/>
        <v>Product Info</v>
      </c>
      <c r="D745" s="37" t="s">
        <v>2955</v>
      </c>
      <c r="E745" s="143">
        <v>1</v>
      </c>
      <c r="F745" s="12" t="s">
        <v>4992</v>
      </c>
      <c r="G745" s="38">
        <v>1318.8</v>
      </c>
      <c r="H745" s="38">
        <v>1121.02</v>
      </c>
      <c r="I745" s="38">
        <v>923.16</v>
      </c>
      <c r="J745" s="39"/>
      <c r="K745" s="143"/>
      <c r="L745" s="22">
        <v>0</v>
      </c>
      <c r="M745" s="22">
        <v>0</v>
      </c>
      <c r="N745" s="20" t="s">
        <v>14489</v>
      </c>
      <c r="O745" s="16">
        <v>0</v>
      </c>
      <c r="P745" s="143" t="s">
        <v>12611</v>
      </c>
      <c r="Q745" s="122" t="s">
        <v>12421</v>
      </c>
      <c r="R745" s="16" t="s">
        <v>9235</v>
      </c>
      <c r="S745" s="10" t="s">
        <v>1165</v>
      </c>
      <c r="T745" s="28" t="s">
        <v>9947</v>
      </c>
      <c r="U745" s="20" t="s">
        <v>5359</v>
      </c>
      <c r="V745" s="16" t="s">
        <v>8407</v>
      </c>
      <c r="W745" s="11" t="s">
        <v>14395</v>
      </c>
      <c r="X745" s="174">
        <v>828.66</v>
      </c>
      <c r="Y745" s="174">
        <v>1121.02</v>
      </c>
    </row>
    <row r="746" spans="1:25" ht="15" customHeight="1" x14ac:dyDescent="0.25">
      <c r="A746" s="20" t="s">
        <v>2956</v>
      </c>
      <c r="B746" s="14" t="s">
        <v>2957</v>
      </c>
      <c r="C746" s="71" t="str">
        <f t="shared" si="11"/>
        <v>Product Info</v>
      </c>
      <c r="D746" s="37" t="s">
        <v>8651</v>
      </c>
      <c r="E746" s="143">
        <v>1</v>
      </c>
      <c r="F746" s="12" t="s">
        <v>4992</v>
      </c>
      <c r="G746" s="38">
        <v>1318.8</v>
      </c>
      <c r="H746" s="38">
        <v>1121.02</v>
      </c>
      <c r="I746" s="38">
        <v>923.16</v>
      </c>
      <c r="J746" s="39"/>
      <c r="K746" s="143"/>
      <c r="L746" s="22">
        <v>0</v>
      </c>
      <c r="M746" s="22">
        <v>0</v>
      </c>
      <c r="N746" s="20" t="s">
        <v>14489</v>
      </c>
      <c r="O746" s="16">
        <v>0</v>
      </c>
      <c r="P746" s="143" t="s">
        <v>12611</v>
      </c>
      <c r="Q746" s="122" t="s">
        <v>12421</v>
      </c>
      <c r="R746" s="16" t="s">
        <v>9235</v>
      </c>
      <c r="S746" s="10" t="s">
        <v>1165</v>
      </c>
      <c r="T746" s="28" t="s">
        <v>9948</v>
      </c>
      <c r="U746" s="20" t="s">
        <v>5359</v>
      </c>
      <c r="V746" s="16" t="s">
        <v>8408</v>
      </c>
      <c r="W746" s="11" t="s">
        <v>14395</v>
      </c>
      <c r="X746" s="174">
        <v>828.66</v>
      </c>
      <c r="Y746" s="174">
        <v>1121.02</v>
      </c>
    </row>
    <row r="747" spans="1:25" ht="15" customHeight="1" x14ac:dyDescent="0.25">
      <c r="A747" s="20" t="s">
        <v>2958</v>
      </c>
      <c r="B747" s="14" t="s">
        <v>2959</v>
      </c>
      <c r="C747" s="71" t="str">
        <f t="shared" si="11"/>
        <v>Product Info</v>
      </c>
      <c r="D747" s="37" t="s">
        <v>8652</v>
      </c>
      <c r="E747" s="143">
        <v>1</v>
      </c>
      <c r="F747" s="12" t="s">
        <v>4992</v>
      </c>
      <c r="G747" s="38">
        <v>1318.8</v>
      </c>
      <c r="H747" s="38">
        <v>1121.02</v>
      </c>
      <c r="I747" s="38">
        <v>923.16</v>
      </c>
      <c r="J747" s="39"/>
      <c r="K747" s="143"/>
      <c r="L747" s="22">
        <v>41</v>
      </c>
      <c r="M747" s="22" t="s">
        <v>12488</v>
      </c>
      <c r="N747" s="20" t="s">
        <v>8795</v>
      </c>
      <c r="O747" s="16" t="s">
        <v>12608</v>
      </c>
      <c r="P747" s="143" t="s">
        <v>12611</v>
      </c>
      <c r="Q747" s="122" t="s">
        <v>12421</v>
      </c>
      <c r="R747" s="16" t="s">
        <v>9235</v>
      </c>
      <c r="S747" s="10" t="s">
        <v>1165</v>
      </c>
      <c r="T747" s="28" t="s">
        <v>9949</v>
      </c>
      <c r="U747" s="20" t="s">
        <v>5359</v>
      </c>
      <c r="V747" s="16" t="s">
        <v>8409</v>
      </c>
      <c r="W747" s="11" t="s">
        <v>14395</v>
      </c>
      <c r="X747" s="174">
        <v>828.66</v>
      </c>
      <c r="Y747" s="174">
        <v>1121.02</v>
      </c>
    </row>
    <row r="748" spans="1:25" ht="15" customHeight="1" x14ac:dyDescent="0.25">
      <c r="A748" s="20" t="s">
        <v>2960</v>
      </c>
      <c r="B748" s="14" t="s">
        <v>2961</v>
      </c>
      <c r="C748" s="71" t="str">
        <f t="shared" si="11"/>
        <v>Product Info</v>
      </c>
      <c r="D748" s="37" t="s">
        <v>2962</v>
      </c>
      <c r="E748" s="143">
        <v>1</v>
      </c>
      <c r="F748" s="12" t="s">
        <v>4992</v>
      </c>
      <c r="G748" s="38">
        <v>1318.8</v>
      </c>
      <c r="H748" s="38">
        <v>1121.02</v>
      </c>
      <c r="I748" s="38">
        <v>923.16</v>
      </c>
      <c r="J748" s="39"/>
      <c r="K748" s="143"/>
      <c r="L748" s="22">
        <v>0</v>
      </c>
      <c r="M748" s="22">
        <v>0</v>
      </c>
      <c r="N748" s="20" t="s">
        <v>14489</v>
      </c>
      <c r="O748" s="16">
        <v>0</v>
      </c>
      <c r="P748" s="143" t="s">
        <v>12611</v>
      </c>
      <c r="Q748" s="122" t="s">
        <v>12421</v>
      </c>
      <c r="R748" s="16" t="s">
        <v>9235</v>
      </c>
      <c r="S748" s="10" t="s">
        <v>1165</v>
      </c>
      <c r="T748" s="28" t="s">
        <v>9950</v>
      </c>
      <c r="U748" s="20" t="s">
        <v>5359</v>
      </c>
      <c r="V748" s="16" t="s">
        <v>8410</v>
      </c>
      <c r="W748" s="11" t="s">
        <v>14395</v>
      </c>
      <c r="X748" s="174">
        <v>828.66</v>
      </c>
      <c r="Y748" s="174">
        <v>1121.02</v>
      </c>
    </row>
    <row r="749" spans="1:25" ht="15" customHeight="1" x14ac:dyDescent="0.25">
      <c r="A749" s="20" t="s">
        <v>2963</v>
      </c>
      <c r="B749" s="14" t="s">
        <v>2964</v>
      </c>
      <c r="C749" s="71" t="str">
        <f t="shared" si="11"/>
        <v>Product Info</v>
      </c>
      <c r="D749" s="37" t="s">
        <v>8653</v>
      </c>
      <c r="E749" s="143">
        <v>1</v>
      </c>
      <c r="F749" s="12" t="s">
        <v>4992</v>
      </c>
      <c r="G749" s="38">
        <v>1318.8</v>
      </c>
      <c r="H749" s="38">
        <v>1121.02</v>
      </c>
      <c r="I749" s="38">
        <v>923.16</v>
      </c>
      <c r="J749" s="39"/>
      <c r="K749" s="143"/>
      <c r="L749" s="22">
        <v>0</v>
      </c>
      <c r="M749" s="22">
        <v>0</v>
      </c>
      <c r="N749" s="20" t="s">
        <v>14489</v>
      </c>
      <c r="O749" s="16">
        <v>0</v>
      </c>
      <c r="P749" s="143" t="s">
        <v>12611</v>
      </c>
      <c r="Q749" s="122" t="s">
        <v>12421</v>
      </c>
      <c r="R749" s="16" t="s">
        <v>9235</v>
      </c>
      <c r="S749" s="10" t="s">
        <v>1165</v>
      </c>
      <c r="T749" s="28" t="s">
        <v>9951</v>
      </c>
      <c r="U749" s="20" t="s">
        <v>5359</v>
      </c>
      <c r="V749" s="16" t="s">
        <v>8411</v>
      </c>
      <c r="W749" s="11" t="s">
        <v>14395</v>
      </c>
      <c r="X749" s="174">
        <v>828.66</v>
      </c>
      <c r="Y749" s="174">
        <v>1121.02</v>
      </c>
    </row>
    <row r="750" spans="1:25" ht="15" customHeight="1" x14ac:dyDescent="0.25">
      <c r="A750" s="20" t="s">
        <v>2965</v>
      </c>
      <c r="B750" s="14" t="s">
        <v>5985</v>
      </c>
      <c r="C750" s="71" t="str">
        <f t="shared" si="11"/>
        <v>Product Info</v>
      </c>
      <c r="D750" s="37" t="s">
        <v>5986</v>
      </c>
      <c r="E750" s="143">
        <v>1</v>
      </c>
      <c r="F750" s="12" t="s">
        <v>4992</v>
      </c>
      <c r="G750" s="38">
        <v>1318.8</v>
      </c>
      <c r="H750" s="38">
        <v>1121.02</v>
      </c>
      <c r="I750" s="38">
        <v>923.16</v>
      </c>
      <c r="J750" s="39"/>
      <c r="K750" s="143"/>
      <c r="L750" s="22">
        <v>41</v>
      </c>
      <c r="M750" s="22" t="s">
        <v>12488</v>
      </c>
      <c r="N750" s="20" t="s">
        <v>8795</v>
      </c>
      <c r="O750" s="16" t="s">
        <v>12608</v>
      </c>
      <c r="P750" s="143" t="s">
        <v>12611</v>
      </c>
      <c r="Q750" s="122" t="s">
        <v>12421</v>
      </c>
      <c r="R750" s="16" t="s">
        <v>9235</v>
      </c>
      <c r="S750" s="10" t="s">
        <v>1165</v>
      </c>
      <c r="T750" s="28" t="s">
        <v>9952</v>
      </c>
      <c r="U750" s="20" t="s">
        <v>5359</v>
      </c>
      <c r="V750" s="16" t="s">
        <v>8412</v>
      </c>
      <c r="W750" s="11" t="s">
        <v>14395</v>
      </c>
      <c r="X750" s="174">
        <v>828.66</v>
      </c>
      <c r="Y750" s="174">
        <v>1121.02</v>
      </c>
    </row>
    <row r="751" spans="1:25" ht="15" customHeight="1" x14ac:dyDescent="0.25">
      <c r="A751" s="20" t="s">
        <v>5987</v>
      </c>
      <c r="B751" s="14" t="s">
        <v>5988</v>
      </c>
      <c r="C751" s="71" t="str">
        <f t="shared" si="11"/>
        <v>Product Info</v>
      </c>
      <c r="D751" s="37" t="s">
        <v>5989</v>
      </c>
      <c r="E751" s="143">
        <v>1</v>
      </c>
      <c r="F751" s="12" t="s">
        <v>4992</v>
      </c>
      <c r="G751" s="38">
        <v>1318.8</v>
      </c>
      <c r="H751" s="38">
        <v>1121.02</v>
      </c>
      <c r="I751" s="38">
        <v>923.16</v>
      </c>
      <c r="J751" s="39"/>
      <c r="K751" s="143"/>
      <c r="L751" s="22">
        <v>0</v>
      </c>
      <c r="M751" s="22">
        <v>0</v>
      </c>
      <c r="N751" s="20" t="s">
        <v>14489</v>
      </c>
      <c r="O751" s="16">
        <v>0</v>
      </c>
      <c r="P751" s="143" t="s">
        <v>12611</v>
      </c>
      <c r="Q751" s="122" t="s">
        <v>12421</v>
      </c>
      <c r="R751" s="16" t="s">
        <v>9235</v>
      </c>
      <c r="S751" s="10" t="s">
        <v>1165</v>
      </c>
      <c r="T751" s="28" t="s">
        <v>9953</v>
      </c>
      <c r="U751" s="20" t="s">
        <v>5359</v>
      </c>
      <c r="V751" s="16" t="s">
        <v>8413</v>
      </c>
      <c r="W751" s="11" t="s">
        <v>14395</v>
      </c>
      <c r="X751" s="174">
        <v>828.66</v>
      </c>
      <c r="Y751" s="174">
        <v>1121.02</v>
      </c>
    </row>
    <row r="752" spans="1:25" ht="15" customHeight="1" x14ac:dyDescent="0.25">
      <c r="A752" s="20" t="s">
        <v>5990</v>
      </c>
      <c r="B752" s="14" t="s">
        <v>5991</v>
      </c>
      <c r="C752" s="71" t="str">
        <f t="shared" si="11"/>
        <v>Product Info</v>
      </c>
      <c r="D752" s="37" t="s">
        <v>8654</v>
      </c>
      <c r="E752" s="143">
        <v>1</v>
      </c>
      <c r="F752" s="12" t="s">
        <v>4992</v>
      </c>
      <c r="G752" s="38">
        <v>1398.8</v>
      </c>
      <c r="H752" s="38">
        <v>1189.02</v>
      </c>
      <c r="I752" s="38">
        <v>979.16</v>
      </c>
      <c r="J752" s="39"/>
      <c r="K752" s="143"/>
      <c r="L752" s="22">
        <v>0</v>
      </c>
      <c r="M752" s="22">
        <v>0</v>
      </c>
      <c r="N752" s="20" t="s">
        <v>14489</v>
      </c>
      <c r="O752" s="16" t="s">
        <v>12608</v>
      </c>
      <c r="P752" s="143" t="s">
        <v>12611</v>
      </c>
      <c r="Q752" s="122" t="s">
        <v>12421</v>
      </c>
      <c r="R752" s="16" t="s">
        <v>9235</v>
      </c>
      <c r="S752" s="10" t="s">
        <v>1165</v>
      </c>
      <c r="T752" s="28" t="s">
        <v>9954</v>
      </c>
      <c r="U752" s="20" t="s">
        <v>5359</v>
      </c>
      <c r="V752" s="16" t="s">
        <v>8414</v>
      </c>
      <c r="W752" s="11" t="s">
        <v>14395</v>
      </c>
      <c r="X752" s="174">
        <v>878.94</v>
      </c>
      <c r="Y752" s="174">
        <v>1189.02</v>
      </c>
    </row>
    <row r="753" spans="1:25" ht="15" customHeight="1" x14ac:dyDescent="0.25">
      <c r="A753" s="20" t="s">
        <v>5992</v>
      </c>
      <c r="B753" s="14" t="s">
        <v>5993</v>
      </c>
      <c r="C753" s="71" t="str">
        <f t="shared" si="11"/>
        <v>Product Info</v>
      </c>
      <c r="D753" s="37" t="s">
        <v>5994</v>
      </c>
      <c r="E753" s="143">
        <v>1</v>
      </c>
      <c r="F753" s="12" t="s">
        <v>4992</v>
      </c>
      <c r="G753" s="38">
        <v>1398.8</v>
      </c>
      <c r="H753" s="38">
        <v>1189.02</v>
      </c>
      <c r="I753" s="38">
        <v>979.16</v>
      </c>
      <c r="J753" s="39"/>
      <c r="K753" s="143"/>
      <c r="L753" s="22">
        <v>36.299999999999997</v>
      </c>
      <c r="M753" s="22" t="s">
        <v>14396</v>
      </c>
      <c r="N753" s="20" t="s">
        <v>8797</v>
      </c>
      <c r="O753" s="16" t="s">
        <v>13914</v>
      </c>
      <c r="P753" s="143" t="s">
        <v>12611</v>
      </c>
      <c r="Q753" s="122" t="s">
        <v>12421</v>
      </c>
      <c r="R753" s="16" t="s">
        <v>9235</v>
      </c>
      <c r="S753" s="10" t="s">
        <v>1165</v>
      </c>
      <c r="T753" s="28" t="s">
        <v>9955</v>
      </c>
      <c r="U753" s="20" t="s">
        <v>5359</v>
      </c>
      <c r="V753" s="16" t="s">
        <v>8415</v>
      </c>
      <c r="W753" s="11" t="s">
        <v>14395</v>
      </c>
      <c r="X753" s="174">
        <v>878.94</v>
      </c>
      <c r="Y753" s="174">
        <v>1189.02</v>
      </c>
    </row>
    <row r="754" spans="1:25" ht="15" customHeight="1" x14ac:dyDescent="0.25">
      <c r="A754" s="20" t="s">
        <v>5995</v>
      </c>
      <c r="B754" s="14" t="s">
        <v>6847</v>
      </c>
      <c r="C754" s="71" t="str">
        <f t="shared" si="11"/>
        <v>Product Info</v>
      </c>
      <c r="D754" s="37" t="s">
        <v>6848</v>
      </c>
      <c r="E754" s="143">
        <v>1</v>
      </c>
      <c r="F754" s="12" t="s">
        <v>4992</v>
      </c>
      <c r="G754" s="38">
        <v>1398.8</v>
      </c>
      <c r="H754" s="38">
        <v>1189.02</v>
      </c>
      <c r="I754" s="38">
        <v>979.16</v>
      </c>
      <c r="J754" s="39"/>
      <c r="K754" s="143"/>
      <c r="L754" s="22">
        <v>0</v>
      </c>
      <c r="M754" s="22">
        <v>0</v>
      </c>
      <c r="N754" s="20" t="s">
        <v>14489</v>
      </c>
      <c r="O754" s="16">
        <v>0</v>
      </c>
      <c r="P754" s="143" t="s">
        <v>12611</v>
      </c>
      <c r="Q754" s="122" t="s">
        <v>9227</v>
      </c>
      <c r="R754" s="16" t="s">
        <v>9235</v>
      </c>
      <c r="S754" s="10" t="s">
        <v>1165</v>
      </c>
      <c r="T754" s="28" t="s">
        <v>9956</v>
      </c>
      <c r="U754" s="20" t="s">
        <v>5359</v>
      </c>
      <c r="V754" s="16" t="s">
        <v>8416</v>
      </c>
      <c r="W754" s="11" t="s">
        <v>14395</v>
      </c>
      <c r="X754" s="174">
        <v>878.94</v>
      </c>
      <c r="Y754" s="174">
        <v>1189.02</v>
      </c>
    </row>
    <row r="755" spans="1:25" ht="15" customHeight="1" x14ac:dyDescent="0.25">
      <c r="A755" s="20" t="s">
        <v>6849</v>
      </c>
      <c r="B755" s="14" t="s">
        <v>6850</v>
      </c>
      <c r="C755" s="71" t="str">
        <f t="shared" si="11"/>
        <v>Product Info</v>
      </c>
      <c r="D755" s="37" t="s">
        <v>6851</v>
      </c>
      <c r="E755" s="143">
        <v>1</v>
      </c>
      <c r="F755" s="12" t="s">
        <v>4992</v>
      </c>
      <c r="G755" s="38">
        <v>1546.24</v>
      </c>
      <c r="H755" s="38">
        <v>1314.35</v>
      </c>
      <c r="I755" s="38">
        <v>1082.3699999999999</v>
      </c>
      <c r="J755" s="39"/>
      <c r="K755" s="143"/>
      <c r="L755" s="22">
        <v>0</v>
      </c>
      <c r="M755" s="22">
        <v>0</v>
      </c>
      <c r="N755" s="20" t="s">
        <v>14489</v>
      </c>
      <c r="O755" s="16">
        <v>0</v>
      </c>
      <c r="P755" s="143" t="s">
        <v>12611</v>
      </c>
      <c r="Q755" s="122" t="s">
        <v>12421</v>
      </c>
      <c r="R755" s="16" t="s">
        <v>9235</v>
      </c>
      <c r="S755" s="10" t="s">
        <v>1165</v>
      </c>
      <c r="T755" s="28" t="s">
        <v>9957</v>
      </c>
      <c r="U755" s="20" t="s">
        <v>5359</v>
      </c>
      <c r="V755" s="16" t="s">
        <v>8417</v>
      </c>
      <c r="W755" s="11" t="s">
        <v>14395</v>
      </c>
      <c r="X755" s="174">
        <v>971.59</v>
      </c>
      <c r="Y755" s="174">
        <v>1314.35</v>
      </c>
    </row>
    <row r="756" spans="1:25" ht="15" customHeight="1" x14ac:dyDescent="0.25">
      <c r="A756" s="20" t="s">
        <v>6852</v>
      </c>
      <c r="B756" s="14" t="s">
        <v>6853</v>
      </c>
      <c r="C756" s="71" t="str">
        <f t="shared" si="11"/>
        <v>Product Info</v>
      </c>
      <c r="D756" s="37" t="s">
        <v>8655</v>
      </c>
      <c r="E756" s="143">
        <v>1</v>
      </c>
      <c r="F756" s="12" t="s">
        <v>4992</v>
      </c>
      <c r="G756" s="38">
        <v>1546.24</v>
      </c>
      <c r="H756" s="38">
        <v>1314.35</v>
      </c>
      <c r="I756" s="38">
        <v>1082.3699999999999</v>
      </c>
      <c r="J756" s="39"/>
      <c r="K756" s="143"/>
      <c r="L756" s="22">
        <v>0</v>
      </c>
      <c r="M756" s="22">
        <v>0</v>
      </c>
      <c r="N756" s="20" t="s">
        <v>14489</v>
      </c>
      <c r="O756" s="16">
        <v>0</v>
      </c>
      <c r="P756" s="143" t="s">
        <v>12611</v>
      </c>
      <c r="Q756" s="122" t="s">
        <v>12421</v>
      </c>
      <c r="R756" s="16" t="s">
        <v>9235</v>
      </c>
      <c r="S756" s="10" t="s">
        <v>1165</v>
      </c>
      <c r="T756" s="28" t="s">
        <v>9958</v>
      </c>
      <c r="U756" s="20" t="s">
        <v>5359</v>
      </c>
      <c r="V756" s="16" t="s">
        <v>8418</v>
      </c>
      <c r="W756" s="11" t="s">
        <v>14395</v>
      </c>
      <c r="X756" s="174">
        <v>971.59</v>
      </c>
      <c r="Y756" s="174">
        <v>1314.35</v>
      </c>
    </row>
    <row r="757" spans="1:25" ht="15" customHeight="1" x14ac:dyDescent="0.25">
      <c r="A757" s="20" t="s">
        <v>6854</v>
      </c>
      <c r="B757" s="14" t="s">
        <v>6855</v>
      </c>
      <c r="C757" s="71" t="str">
        <f t="shared" si="11"/>
        <v>Product Info</v>
      </c>
      <c r="D757" s="37" t="s">
        <v>8656</v>
      </c>
      <c r="E757" s="143">
        <v>1</v>
      </c>
      <c r="F757" s="12" t="s">
        <v>4992</v>
      </c>
      <c r="G757" s="38">
        <v>1546.24</v>
      </c>
      <c r="H757" s="38">
        <v>1314.35</v>
      </c>
      <c r="I757" s="38">
        <v>1082.3699999999999</v>
      </c>
      <c r="J757" s="39"/>
      <c r="K757" s="143"/>
      <c r="L757" s="22">
        <v>0</v>
      </c>
      <c r="M757" s="22">
        <v>0</v>
      </c>
      <c r="N757" s="20" t="s">
        <v>14489</v>
      </c>
      <c r="O757" s="16">
        <v>0</v>
      </c>
      <c r="P757" s="143" t="s">
        <v>12611</v>
      </c>
      <c r="Q757" s="122" t="s">
        <v>12421</v>
      </c>
      <c r="R757" s="16" t="s">
        <v>9235</v>
      </c>
      <c r="S757" s="10" t="s">
        <v>1165</v>
      </c>
      <c r="T757" s="28" t="s">
        <v>9959</v>
      </c>
      <c r="U757" s="20" t="s">
        <v>5359</v>
      </c>
      <c r="V757" s="16" t="s">
        <v>8419</v>
      </c>
      <c r="W757" s="11" t="s">
        <v>14395</v>
      </c>
      <c r="X757" s="174">
        <v>971.59</v>
      </c>
      <c r="Y757" s="174">
        <v>1314.35</v>
      </c>
    </row>
    <row r="758" spans="1:25" ht="15" customHeight="1" x14ac:dyDescent="0.25">
      <c r="A758" s="20" t="s">
        <v>6856</v>
      </c>
      <c r="B758" s="14" t="s">
        <v>2579</v>
      </c>
      <c r="C758" s="71" t="str">
        <f t="shared" si="11"/>
        <v>Product Info</v>
      </c>
      <c r="D758" s="37" t="s">
        <v>8657</v>
      </c>
      <c r="E758" s="143">
        <v>1</v>
      </c>
      <c r="F758" s="12" t="s">
        <v>4992</v>
      </c>
      <c r="G758" s="38">
        <v>1546.24</v>
      </c>
      <c r="H758" s="38">
        <v>1314.35</v>
      </c>
      <c r="I758" s="38">
        <v>1082.3699999999999</v>
      </c>
      <c r="J758" s="39"/>
      <c r="K758" s="143"/>
      <c r="L758" s="22">
        <v>41</v>
      </c>
      <c r="M758" s="22" t="s">
        <v>12488</v>
      </c>
      <c r="N758" s="20" t="s">
        <v>8798</v>
      </c>
      <c r="O758" s="16" t="s">
        <v>12608</v>
      </c>
      <c r="P758" s="143" t="s">
        <v>12611</v>
      </c>
      <c r="Q758" s="122" t="s">
        <v>12421</v>
      </c>
      <c r="R758" s="16" t="s">
        <v>9235</v>
      </c>
      <c r="S758" s="10" t="s">
        <v>1165</v>
      </c>
      <c r="T758" s="28" t="s">
        <v>9960</v>
      </c>
      <c r="U758" s="20" t="s">
        <v>5359</v>
      </c>
      <c r="V758" s="16" t="s">
        <v>8420</v>
      </c>
      <c r="W758" s="11" t="s">
        <v>14395</v>
      </c>
      <c r="X758" s="174">
        <v>971.59</v>
      </c>
      <c r="Y758" s="174">
        <v>1314.35</v>
      </c>
    </row>
    <row r="759" spans="1:25" ht="15" customHeight="1" x14ac:dyDescent="0.25">
      <c r="A759" s="20" t="s">
        <v>2580</v>
      </c>
      <c r="B759" s="14" t="s">
        <v>2581</v>
      </c>
      <c r="C759" s="71" t="str">
        <f t="shared" si="11"/>
        <v>Product Info</v>
      </c>
      <c r="D759" s="37" t="s">
        <v>2582</v>
      </c>
      <c r="E759" s="143">
        <v>1</v>
      </c>
      <c r="F759" s="12" t="s">
        <v>4992</v>
      </c>
      <c r="G759" s="38">
        <v>1546.24</v>
      </c>
      <c r="H759" s="38">
        <v>1314.35</v>
      </c>
      <c r="I759" s="38">
        <v>1082.3699999999999</v>
      </c>
      <c r="J759" s="39"/>
      <c r="K759" s="143"/>
      <c r="L759" s="22">
        <v>0</v>
      </c>
      <c r="M759" s="22">
        <v>0</v>
      </c>
      <c r="N759" s="20" t="s">
        <v>14489</v>
      </c>
      <c r="O759" s="16">
        <v>0</v>
      </c>
      <c r="P759" s="143" t="s">
        <v>12611</v>
      </c>
      <c r="Q759" s="122" t="s">
        <v>12421</v>
      </c>
      <c r="R759" s="16" t="s">
        <v>9235</v>
      </c>
      <c r="S759" s="10" t="s">
        <v>1165</v>
      </c>
      <c r="T759" s="28" t="s">
        <v>9961</v>
      </c>
      <c r="U759" s="20" t="s">
        <v>5359</v>
      </c>
      <c r="V759" s="16" t="s">
        <v>8421</v>
      </c>
      <c r="W759" s="11" t="s">
        <v>14395</v>
      </c>
      <c r="X759" s="174">
        <v>971.59</v>
      </c>
      <c r="Y759" s="174">
        <v>1314.35</v>
      </c>
    </row>
    <row r="760" spans="1:25" ht="15" customHeight="1" x14ac:dyDescent="0.25">
      <c r="A760" s="20" t="s">
        <v>2583</v>
      </c>
      <c r="B760" s="14" t="s">
        <v>2584</v>
      </c>
      <c r="C760" s="71" t="str">
        <f t="shared" si="11"/>
        <v>Product Info</v>
      </c>
      <c r="D760" s="37" t="s">
        <v>2585</v>
      </c>
      <c r="E760" s="143">
        <v>1</v>
      </c>
      <c r="F760" s="12" t="s">
        <v>4992</v>
      </c>
      <c r="G760" s="38">
        <v>1546.24</v>
      </c>
      <c r="H760" s="38">
        <v>1314.35</v>
      </c>
      <c r="I760" s="38">
        <v>1082.3699999999999</v>
      </c>
      <c r="J760" s="39"/>
      <c r="K760" s="143"/>
      <c r="L760" s="22">
        <v>42</v>
      </c>
      <c r="M760" s="22" t="s">
        <v>12488</v>
      </c>
      <c r="N760" s="20" t="s">
        <v>8795</v>
      </c>
      <c r="O760" s="16" t="s">
        <v>12608</v>
      </c>
      <c r="P760" s="143" t="s">
        <v>12611</v>
      </c>
      <c r="Q760" s="122" t="s">
        <v>12421</v>
      </c>
      <c r="R760" s="16" t="s">
        <v>9235</v>
      </c>
      <c r="S760" s="10" t="s">
        <v>1165</v>
      </c>
      <c r="T760" s="28" t="s">
        <v>9962</v>
      </c>
      <c r="U760" s="20" t="s">
        <v>5359</v>
      </c>
      <c r="V760" s="16" t="s">
        <v>8422</v>
      </c>
      <c r="W760" s="11" t="s">
        <v>14395</v>
      </c>
      <c r="X760" s="174">
        <v>971.59</v>
      </c>
      <c r="Y760" s="174">
        <v>1314.35</v>
      </c>
    </row>
    <row r="761" spans="1:25" ht="15" customHeight="1" x14ac:dyDescent="0.25">
      <c r="A761" s="20" t="s">
        <v>2586</v>
      </c>
      <c r="B761" s="14" t="s">
        <v>2587</v>
      </c>
      <c r="C761" s="71" t="str">
        <f t="shared" si="11"/>
        <v>Product Info</v>
      </c>
      <c r="D761" s="37" t="s">
        <v>8658</v>
      </c>
      <c r="E761" s="143">
        <v>1</v>
      </c>
      <c r="F761" s="12" t="s">
        <v>4992</v>
      </c>
      <c r="G761" s="38">
        <v>1546.24</v>
      </c>
      <c r="H761" s="38">
        <v>1314.35</v>
      </c>
      <c r="I761" s="38">
        <v>1082.3699999999999</v>
      </c>
      <c r="J761" s="39"/>
      <c r="K761" s="143"/>
      <c r="L761" s="22">
        <v>0</v>
      </c>
      <c r="M761" s="22">
        <v>0</v>
      </c>
      <c r="N761" s="20" t="s">
        <v>14489</v>
      </c>
      <c r="O761" s="16">
        <v>0</v>
      </c>
      <c r="P761" s="143" t="s">
        <v>12611</v>
      </c>
      <c r="Q761" s="122" t="s">
        <v>12421</v>
      </c>
      <c r="R761" s="16" t="s">
        <v>9235</v>
      </c>
      <c r="S761" s="10" t="s">
        <v>1165</v>
      </c>
      <c r="T761" s="28" t="s">
        <v>9963</v>
      </c>
      <c r="U761" s="20" t="s">
        <v>5359</v>
      </c>
      <c r="V761" s="16" t="s">
        <v>8423</v>
      </c>
      <c r="W761" s="11" t="s">
        <v>14395</v>
      </c>
      <c r="X761" s="174">
        <v>971.59</v>
      </c>
      <c r="Y761" s="174">
        <v>1314.35</v>
      </c>
    </row>
    <row r="762" spans="1:25" ht="15" customHeight="1" x14ac:dyDescent="0.25">
      <c r="A762" s="20" t="s">
        <v>2588</v>
      </c>
      <c r="B762" s="14" t="s">
        <v>2589</v>
      </c>
      <c r="C762" s="71" t="str">
        <f t="shared" si="11"/>
        <v>Product Info</v>
      </c>
      <c r="D762" s="37" t="s">
        <v>8659</v>
      </c>
      <c r="E762" s="143">
        <v>1</v>
      </c>
      <c r="F762" s="12" t="s">
        <v>4992</v>
      </c>
      <c r="G762" s="38">
        <v>1205.99</v>
      </c>
      <c r="H762" s="38">
        <v>1025.1199999999999</v>
      </c>
      <c r="I762" s="38">
        <v>844.19</v>
      </c>
      <c r="J762" s="39"/>
      <c r="K762" s="143"/>
      <c r="L762" s="22">
        <v>0</v>
      </c>
      <c r="M762" s="22">
        <v>0</v>
      </c>
      <c r="N762" s="20" t="s">
        <v>14489</v>
      </c>
      <c r="O762" s="16">
        <v>0</v>
      </c>
      <c r="P762" s="143" t="s">
        <v>12611</v>
      </c>
      <c r="Q762" s="122" t="s">
        <v>12421</v>
      </c>
      <c r="R762" s="16" t="s">
        <v>9235</v>
      </c>
      <c r="S762" s="10" t="s">
        <v>1165</v>
      </c>
      <c r="T762" s="28" t="s">
        <v>9964</v>
      </c>
      <c r="U762" s="20" t="s">
        <v>5359</v>
      </c>
      <c r="V762" s="16" t="s">
        <v>8424</v>
      </c>
      <c r="W762" s="11" t="s">
        <v>14395</v>
      </c>
      <c r="X762" s="174">
        <v>757.79</v>
      </c>
      <c r="Y762" s="174">
        <v>1025.1199999999999</v>
      </c>
    </row>
    <row r="763" spans="1:25" ht="15" customHeight="1" x14ac:dyDescent="0.25">
      <c r="A763" s="20" t="s">
        <v>2590</v>
      </c>
      <c r="B763" s="14" t="s">
        <v>2591</v>
      </c>
      <c r="C763" s="71" t="str">
        <f t="shared" si="11"/>
        <v>Product Info</v>
      </c>
      <c r="D763" s="37" t="s">
        <v>2592</v>
      </c>
      <c r="E763" s="143">
        <v>1</v>
      </c>
      <c r="F763" s="12" t="s">
        <v>4992</v>
      </c>
      <c r="G763" s="38">
        <v>1205.99</v>
      </c>
      <c r="H763" s="38">
        <v>1025.1199999999999</v>
      </c>
      <c r="I763" s="38">
        <v>844.19</v>
      </c>
      <c r="J763" s="39"/>
      <c r="K763" s="143"/>
      <c r="L763" s="22">
        <v>0</v>
      </c>
      <c r="M763" s="22">
        <v>0</v>
      </c>
      <c r="N763" s="20" t="s">
        <v>14489</v>
      </c>
      <c r="O763" s="16">
        <v>0</v>
      </c>
      <c r="P763" s="143" t="s">
        <v>12611</v>
      </c>
      <c r="Q763" s="122" t="s">
        <v>9227</v>
      </c>
      <c r="R763" s="16" t="s">
        <v>9235</v>
      </c>
      <c r="S763" s="10" t="s">
        <v>1165</v>
      </c>
      <c r="T763" s="28" t="s">
        <v>9965</v>
      </c>
      <c r="U763" s="20" t="s">
        <v>5359</v>
      </c>
      <c r="V763" s="16" t="s">
        <v>8425</v>
      </c>
      <c r="W763" s="11" t="s">
        <v>14395</v>
      </c>
      <c r="X763" s="174">
        <v>757.79</v>
      </c>
      <c r="Y763" s="174">
        <v>1025.1199999999999</v>
      </c>
    </row>
    <row r="764" spans="1:25" ht="15" customHeight="1" x14ac:dyDescent="0.25">
      <c r="A764" s="20" t="s">
        <v>2593</v>
      </c>
      <c r="B764" s="14" t="s">
        <v>2594</v>
      </c>
      <c r="C764" s="71" t="str">
        <f t="shared" si="11"/>
        <v>Product Info</v>
      </c>
      <c r="D764" s="37" t="s">
        <v>8660</v>
      </c>
      <c r="E764" s="143">
        <v>1</v>
      </c>
      <c r="F764" s="12" t="s">
        <v>4992</v>
      </c>
      <c r="G764" s="38">
        <v>1353.4</v>
      </c>
      <c r="H764" s="38">
        <v>1150.43</v>
      </c>
      <c r="I764" s="38">
        <v>947.38</v>
      </c>
      <c r="J764" s="39"/>
      <c r="K764" s="143"/>
      <c r="L764" s="22">
        <v>42</v>
      </c>
      <c r="M764" s="22" t="s">
        <v>12488</v>
      </c>
      <c r="N764" s="20" t="s">
        <v>8795</v>
      </c>
      <c r="O764" s="16" t="s">
        <v>12608</v>
      </c>
      <c r="P764" s="143" t="s">
        <v>12611</v>
      </c>
      <c r="Q764" s="122" t="s">
        <v>12421</v>
      </c>
      <c r="R764" s="16" t="s">
        <v>9235</v>
      </c>
      <c r="S764" s="10" t="s">
        <v>1165</v>
      </c>
      <c r="T764" s="28" t="s">
        <v>9966</v>
      </c>
      <c r="U764" s="20" t="s">
        <v>5359</v>
      </c>
      <c r="V764" s="16" t="s">
        <v>8426</v>
      </c>
      <c r="W764" s="11" t="s">
        <v>14395</v>
      </c>
      <c r="X764" s="174">
        <v>850.41</v>
      </c>
      <c r="Y764" s="174">
        <v>1150.43</v>
      </c>
    </row>
    <row r="765" spans="1:25" ht="15" customHeight="1" x14ac:dyDescent="0.25">
      <c r="A765" s="20" t="s">
        <v>2595</v>
      </c>
      <c r="B765" s="14" t="s">
        <v>2596</v>
      </c>
      <c r="C765" s="71" t="str">
        <f t="shared" si="11"/>
        <v>Product Info</v>
      </c>
      <c r="D765" s="37" t="s">
        <v>8661</v>
      </c>
      <c r="E765" s="143">
        <v>1</v>
      </c>
      <c r="F765" s="12" t="s">
        <v>4992</v>
      </c>
      <c r="G765" s="38">
        <v>1353.4</v>
      </c>
      <c r="H765" s="38">
        <v>1150.43</v>
      </c>
      <c r="I765" s="38">
        <v>947.38</v>
      </c>
      <c r="J765" s="39"/>
      <c r="K765" s="143"/>
      <c r="L765" s="22">
        <v>42</v>
      </c>
      <c r="M765" s="22" t="s">
        <v>12488</v>
      </c>
      <c r="N765" s="20" t="s">
        <v>8795</v>
      </c>
      <c r="O765" s="16" t="s">
        <v>12608</v>
      </c>
      <c r="P765" s="143" t="s">
        <v>12611</v>
      </c>
      <c r="Q765" s="122" t="s">
        <v>12421</v>
      </c>
      <c r="R765" s="16" t="s">
        <v>9235</v>
      </c>
      <c r="S765" s="10" t="s">
        <v>1165</v>
      </c>
      <c r="T765" s="28" t="s">
        <v>9967</v>
      </c>
      <c r="U765" s="20" t="s">
        <v>5359</v>
      </c>
      <c r="V765" s="16" t="s">
        <v>8427</v>
      </c>
      <c r="W765" s="11" t="s">
        <v>14395</v>
      </c>
      <c r="X765" s="174">
        <v>850.41</v>
      </c>
      <c r="Y765" s="174">
        <v>1150.43</v>
      </c>
    </row>
    <row r="766" spans="1:25" ht="15" customHeight="1" x14ac:dyDescent="0.25">
      <c r="A766" s="20" t="s">
        <v>4370</v>
      </c>
      <c r="B766" s="14" t="s">
        <v>4371</v>
      </c>
      <c r="C766" s="71" t="str">
        <f t="shared" si="11"/>
        <v>Product Info</v>
      </c>
      <c r="D766" s="37" t="s">
        <v>8662</v>
      </c>
      <c r="E766" s="143">
        <v>1</v>
      </c>
      <c r="F766" s="12" t="s">
        <v>4992</v>
      </c>
      <c r="G766" s="38">
        <v>1353.4</v>
      </c>
      <c r="H766" s="38">
        <v>1150.43</v>
      </c>
      <c r="I766" s="38">
        <v>947.38</v>
      </c>
      <c r="J766" s="39"/>
      <c r="K766" s="143"/>
      <c r="L766" s="22">
        <v>42</v>
      </c>
      <c r="M766" s="22" t="s">
        <v>12488</v>
      </c>
      <c r="N766" s="20" t="s">
        <v>8795</v>
      </c>
      <c r="O766" s="16" t="s">
        <v>12608</v>
      </c>
      <c r="P766" s="143" t="s">
        <v>12611</v>
      </c>
      <c r="Q766" s="122" t="s">
        <v>12421</v>
      </c>
      <c r="R766" s="16" t="s">
        <v>9235</v>
      </c>
      <c r="S766" s="10" t="s">
        <v>1165</v>
      </c>
      <c r="T766" s="28" t="s">
        <v>9968</v>
      </c>
      <c r="U766" s="20" t="s">
        <v>5359</v>
      </c>
      <c r="V766" s="16" t="s">
        <v>8428</v>
      </c>
      <c r="W766" s="11" t="s">
        <v>14395</v>
      </c>
      <c r="X766" s="174">
        <v>850.41</v>
      </c>
      <c r="Y766" s="174">
        <v>1150.43</v>
      </c>
    </row>
    <row r="767" spans="1:25" ht="15" customHeight="1" x14ac:dyDescent="0.25">
      <c r="A767" s="20" t="s">
        <v>4372</v>
      </c>
      <c r="B767" s="14" t="s">
        <v>4373</v>
      </c>
      <c r="C767" s="71" t="str">
        <f t="shared" si="11"/>
        <v>Product Info</v>
      </c>
      <c r="D767" s="37" t="s">
        <v>8663</v>
      </c>
      <c r="E767" s="143">
        <v>1</v>
      </c>
      <c r="F767" s="12" t="s">
        <v>4992</v>
      </c>
      <c r="G767" s="38">
        <v>1353.4</v>
      </c>
      <c r="H767" s="38">
        <v>1150.43</v>
      </c>
      <c r="I767" s="38">
        <v>947.38</v>
      </c>
      <c r="J767" s="39"/>
      <c r="K767" s="143"/>
      <c r="L767" s="22">
        <v>42</v>
      </c>
      <c r="M767" s="22" t="s">
        <v>12488</v>
      </c>
      <c r="N767" s="20" t="s">
        <v>8795</v>
      </c>
      <c r="O767" s="16" t="s">
        <v>12488</v>
      </c>
      <c r="P767" s="143" t="s">
        <v>12611</v>
      </c>
      <c r="Q767" s="122" t="s">
        <v>12421</v>
      </c>
      <c r="R767" s="16" t="s">
        <v>9235</v>
      </c>
      <c r="S767" s="10" t="s">
        <v>1165</v>
      </c>
      <c r="T767" s="28" t="s">
        <v>9969</v>
      </c>
      <c r="U767" s="20" t="s">
        <v>5359</v>
      </c>
      <c r="V767" s="16" t="s">
        <v>8429</v>
      </c>
      <c r="W767" s="11" t="s">
        <v>14395</v>
      </c>
      <c r="X767" s="174">
        <v>850.41</v>
      </c>
      <c r="Y767" s="174">
        <v>1150.43</v>
      </c>
    </row>
    <row r="768" spans="1:25" ht="15" customHeight="1" x14ac:dyDescent="0.25">
      <c r="A768" s="20" t="s">
        <v>4374</v>
      </c>
      <c r="B768" s="14" t="s">
        <v>4375</v>
      </c>
      <c r="C768" s="71" t="str">
        <f t="shared" si="11"/>
        <v>Product Info</v>
      </c>
      <c r="D768" s="37" t="s">
        <v>8664</v>
      </c>
      <c r="E768" s="143">
        <v>1</v>
      </c>
      <c r="F768" s="12" t="s">
        <v>4992</v>
      </c>
      <c r="G768" s="38">
        <v>1353.4</v>
      </c>
      <c r="H768" s="38">
        <v>1150.43</v>
      </c>
      <c r="I768" s="38">
        <v>947.38</v>
      </c>
      <c r="J768" s="39"/>
      <c r="K768" s="143"/>
      <c r="L768" s="22">
        <v>0</v>
      </c>
      <c r="M768" s="22">
        <v>0</v>
      </c>
      <c r="N768" s="20" t="s">
        <v>14489</v>
      </c>
      <c r="O768" s="16">
        <v>0</v>
      </c>
      <c r="P768" s="143" t="s">
        <v>12611</v>
      </c>
      <c r="Q768" s="122" t="s">
        <v>12421</v>
      </c>
      <c r="R768" s="16" t="s">
        <v>9235</v>
      </c>
      <c r="S768" s="10" t="s">
        <v>1165</v>
      </c>
      <c r="T768" s="28" t="s">
        <v>9970</v>
      </c>
      <c r="U768" s="20" t="s">
        <v>5359</v>
      </c>
      <c r="V768" s="16" t="s">
        <v>8430</v>
      </c>
      <c r="W768" s="11" t="s">
        <v>14395</v>
      </c>
      <c r="X768" s="174">
        <v>850.41</v>
      </c>
      <c r="Y768" s="174">
        <v>1150.43</v>
      </c>
    </row>
    <row r="769" spans="1:25" ht="15" customHeight="1" x14ac:dyDescent="0.25">
      <c r="A769" s="20" t="s">
        <v>4376</v>
      </c>
      <c r="B769" s="14" t="s">
        <v>4377</v>
      </c>
      <c r="C769" s="71" t="str">
        <f t="shared" si="11"/>
        <v>Product Info</v>
      </c>
      <c r="D769" s="37" t="s">
        <v>8665</v>
      </c>
      <c r="E769" s="143">
        <v>1</v>
      </c>
      <c r="F769" s="12" t="s">
        <v>4992</v>
      </c>
      <c r="G769" s="38">
        <v>1353.4</v>
      </c>
      <c r="H769" s="38">
        <v>1150.43</v>
      </c>
      <c r="I769" s="38">
        <v>947.38</v>
      </c>
      <c r="J769" s="39"/>
      <c r="K769" s="143"/>
      <c r="L769" s="22">
        <v>0</v>
      </c>
      <c r="M769" s="22">
        <v>0</v>
      </c>
      <c r="N769" s="20" t="s">
        <v>14489</v>
      </c>
      <c r="O769" s="16">
        <v>0</v>
      </c>
      <c r="P769" s="143" t="s">
        <v>12611</v>
      </c>
      <c r="Q769" s="122" t="s">
        <v>12421</v>
      </c>
      <c r="R769" s="16" t="s">
        <v>9235</v>
      </c>
      <c r="S769" s="10" t="s">
        <v>1165</v>
      </c>
      <c r="T769" s="28" t="s">
        <v>9971</v>
      </c>
      <c r="U769" s="20" t="s">
        <v>5359</v>
      </c>
      <c r="V769" s="16" t="s">
        <v>8431</v>
      </c>
      <c r="W769" s="11" t="s">
        <v>14395</v>
      </c>
      <c r="X769" s="174">
        <v>850.41</v>
      </c>
      <c r="Y769" s="174">
        <v>1150.43</v>
      </c>
    </row>
    <row r="770" spans="1:25" ht="15" customHeight="1" x14ac:dyDescent="0.25">
      <c r="A770" s="20" t="s">
        <v>4378</v>
      </c>
      <c r="B770" s="14" t="s">
        <v>4379</v>
      </c>
      <c r="C770" s="71" t="str">
        <f t="shared" si="11"/>
        <v>Product Info</v>
      </c>
      <c r="D770" s="37" t="s">
        <v>8666</v>
      </c>
      <c r="E770" s="143">
        <v>1</v>
      </c>
      <c r="F770" s="12" t="s">
        <v>4992</v>
      </c>
      <c r="G770" s="38">
        <v>1472.23</v>
      </c>
      <c r="H770" s="38">
        <v>1251.44</v>
      </c>
      <c r="I770" s="38">
        <v>1030.56</v>
      </c>
      <c r="J770" s="39"/>
      <c r="K770" s="143"/>
      <c r="L770" s="22">
        <v>39</v>
      </c>
      <c r="M770" s="22" t="s">
        <v>12488</v>
      </c>
      <c r="N770" s="20" t="s">
        <v>8795</v>
      </c>
      <c r="O770" s="16" t="s">
        <v>12608</v>
      </c>
      <c r="P770" s="143" t="s">
        <v>12611</v>
      </c>
      <c r="Q770" s="122" t="s">
        <v>12421</v>
      </c>
      <c r="R770" s="16" t="s">
        <v>9235</v>
      </c>
      <c r="S770" s="10" t="s">
        <v>1165</v>
      </c>
      <c r="T770" s="28" t="s">
        <v>9972</v>
      </c>
      <c r="U770" s="20" t="s">
        <v>5359</v>
      </c>
      <c r="V770" s="16" t="s">
        <v>8432</v>
      </c>
      <c r="W770" s="11" t="s">
        <v>14395</v>
      </c>
      <c r="X770" s="174">
        <v>925.08</v>
      </c>
      <c r="Y770" s="174">
        <v>1251.44</v>
      </c>
    </row>
    <row r="771" spans="1:25" ht="15" customHeight="1" x14ac:dyDescent="0.25">
      <c r="A771" s="20" t="s">
        <v>4380</v>
      </c>
      <c r="B771" s="14" t="s">
        <v>4381</v>
      </c>
      <c r="C771" s="71" t="str">
        <f t="shared" si="11"/>
        <v>Product Info</v>
      </c>
      <c r="D771" s="37" t="s">
        <v>4382</v>
      </c>
      <c r="E771" s="143">
        <v>1</v>
      </c>
      <c r="F771" s="12" t="s">
        <v>4992</v>
      </c>
      <c r="G771" s="38">
        <v>1472.23</v>
      </c>
      <c r="H771" s="38">
        <v>1251.44</v>
      </c>
      <c r="I771" s="38">
        <v>1030.56</v>
      </c>
      <c r="J771" s="39"/>
      <c r="K771" s="143"/>
      <c r="L771" s="22">
        <v>0</v>
      </c>
      <c r="M771" s="22">
        <v>0</v>
      </c>
      <c r="N771" s="20" t="s">
        <v>14489</v>
      </c>
      <c r="O771" s="16">
        <v>0</v>
      </c>
      <c r="P771" s="143" t="s">
        <v>12611</v>
      </c>
      <c r="Q771" s="122" t="s">
        <v>12421</v>
      </c>
      <c r="R771" s="16" t="s">
        <v>9235</v>
      </c>
      <c r="S771" s="10" t="s">
        <v>1165</v>
      </c>
      <c r="T771" s="28" t="s">
        <v>9973</v>
      </c>
      <c r="U771" s="20" t="s">
        <v>5359</v>
      </c>
      <c r="V771" s="16" t="s">
        <v>8433</v>
      </c>
      <c r="W771" s="11" t="s">
        <v>14395</v>
      </c>
      <c r="X771" s="174">
        <v>925.08</v>
      </c>
      <c r="Y771" s="174">
        <v>1251.44</v>
      </c>
    </row>
    <row r="772" spans="1:25" ht="15" customHeight="1" x14ac:dyDescent="0.25">
      <c r="A772" s="20" t="s">
        <v>4383</v>
      </c>
      <c r="B772" s="14" t="s">
        <v>4384</v>
      </c>
      <c r="C772" s="71" t="str">
        <f t="shared" si="11"/>
        <v>Product Info</v>
      </c>
      <c r="D772" s="37" t="s">
        <v>4385</v>
      </c>
      <c r="E772" s="143">
        <v>1</v>
      </c>
      <c r="F772" s="12" t="s">
        <v>4992</v>
      </c>
      <c r="G772" s="38">
        <v>1619.64</v>
      </c>
      <c r="H772" s="38">
        <v>1376.75</v>
      </c>
      <c r="I772" s="38">
        <v>1133.75</v>
      </c>
      <c r="J772" s="39"/>
      <c r="K772" s="143"/>
      <c r="L772" s="22">
        <v>41.5</v>
      </c>
      <c r="M772" s="22" t="s">
        <v>4992</v>
      </c>
      <c r="N772" s="20" t="s">
        <v>14489</v>
      </c>
      <c r="O772" s="16" t="s">
        <v>12608</v>
      </c>
      <c r="P772" s="143" t="s">
        <v>12611</v>
      </c>
      <c r="Q772" s="122" t="s">
        <v>12421</v>
      </c>
      <c r="R772" s="16" t="s">
        <v>9235</v>
      </c>
      <c r="S772" s="10" t="s">
        <v>1165</v>
      </c>
      <c r="T772" s="28" t="s">
        <v>9974</v>
      </c>
      <c r="U772" s="20" t="s">
        <v>5359</v>
      </c>
      <c r="V772" s="16" t="s">
        <v>8434</v>
      </c>
      <c r="W772" s="11" t="s">
        <v>14395</v>
      </c>
      <c r="X772" s="174">
        <v>1017.71</v>
      </c>
      <c r="Y772" s="174">
        <v>1376.75</v>
      </c>
    </row>
    <row r="773" spans="1:25" ht="15" customHeight="1" x14ac:dyDescent="0.25">
      <c r="A773" s="20" t="s">
        <v>4386</v>
      </c>
      <c r="B773" s="14" t="s">
        <v>4387</v>
      </c>
      <c r="C773" s="71" t="str">
        <f t="shared" si="11"/>
        <v>Product Info</v>
      </c>
      <c r="D773" s="37" t="s">
        <v>4388</v>
      </c>
      <c r="E773" s="143">
        <v>1</v>
      </c>
      <c r="F773" s="12" t="s">
        <v>4992</v>
      </c>
      <c r="G773" s="38">
        <v>1619.64</v>
      </c>
      <c r="H773" s="38">
        <v>1376.75</v>
      </c>
      <c r="I773" s="38">
        <v>1133.75</v>
      </c>
      <c r="J773" s="39"/>
      <c r="K773" s="143"/>
      <c r="L773" s="22">
        <v>43</v>
      </c>
      <c r="M773" s="22" t="s">
        <v>12488</v>
      </c>
      <c r="N773" s="20" t="s">
        <v>8795</v>
      </c>
      <c r="O773" s="16" t="s">
        <v>12608</v>
      </c>
      <c r="P773" s="143" t="s">
        <v>12611</v>
      </c>
      <c r="Q773" s="122" t="s">
        <v>12421</v>
      </c>
      <c r="R773" s="16" t="s">
        <v>9235</v>
      </c>
      <c r="S773" s="10" t="s">
        <v>1165</v>
      </c>
      <c r="T773" s="28" t="s">
        <v>9975</v>
      </c>
      <c r="U773" s="20" t="s">
        <v>5359</v>
      </c>
      <c r="V773" s="16" t="s">
        <v>8435</v>
      </c>
      <c r="W773" s="11" t="s">
        <v>14395</v>
      </c>
      <c r="X773" s="174">
        <v>1017.71</v>
      </c>
      <c r="Y773" s="174">
        <v>1376.75</v>
      </c>
    </row>
    <row r="774" spans="1:25" ht="15" customHeight="1" x14ac:dyDescent="0.25">
      <c r="A774" s="20" t="s">
        <v>4389</v>
      </c>
      <c r="B774" s="14" t="s">
        <v>4390</v>
      </c>
      <c r="C774" s="71" t="str">
        <f t="shared" ref="C774:C837" si="12">HYPERLINK(T774,U774)</f>
        <v>Product Info</v>
      </c>
      <c r="D774" s="37" t="s">
        <v>4391</v>
      </c>
      <c r="E774" s="143">
        <v>1</v>
      </c>
      <c r="F774" s="12" t="s">
        <v>4992</v>
      </c>
      <c r="G774" s="38">
        <v>1780.27</v>
      </c>
      <c r="H774" s="38">
        <v>1513.28</v>
      </c>
      <c r="I774" s="38">
        <v>1246.19</v>
      </c>
      <c r="J774" s="39"/>
      <c r="K774" s="143"/>
      <c r="L774" s="22">
        <v>43</v>
      </c>
      <c r="M774" s="22" t="s">
        <v>12488</v>
      </c>
      <c r="N774" s="20" t="s">
        <v>8795</v>
      </c>
      <c r="O774" s="16" t="s">
        <v>12608</v>
      </c>
      <c r="P774" s="143" t="s">
        <v>12611</v>
      </c>
      <c r="Q774" s="122" t="s">
        <v>12421</v>
      </c>
      <c r="R774" s="16" t="s">
        <v>9235</v>
      </c>
      <c r="S774" s="10" t="s">
        <v>1165</v>
      </c>
      <c r="T774" s="28" t="s">
        <v>9976</v>
      </c>
      <c r="U774" s="20" t="s">
        <v>5359</v>
      </c>
      <c r="V774" s="16" t="s">
        <v>8436</v>
      </c>
      <c r="W774" s="11" t="s">
        <v>14395</v>
      </c>
      <c r="X774" s="174">
        <v>1121.57</v>
      </c>
      <c r="Y774" s="174">
        <v>1513.28</v>
      </c>
    </row>
    <row r="775" spans="1:25" ht="15" customHeight="1" x14ac:dyDescent="0.25">
      <c r="A775" s="20" t="s">
        <v>4392</v>
      </c>
      <c r="B775" s="14" t="s">
        <v>4393</v>
      </c>
      <c r="C775" s="71" t="str">
        <f t="shared" si="12"/>
        <v>Product Info</v>
      </c>
      <c r="D775" s="37" t="s">
        <v>4394</v>
      </c>
      <c r="E775" s="143">
        <v>1</v>
      </c>
      <c r="F775" s="12" t="s">
        <v>4992</v>
      </c>
      <c r="G775" s="38">
        <v>1619.64</v>
      </c>
      <c r="H775" s="38">
        <v>1376.75</v>
      </c>
      <c r="I775" s="38">
        <v>1133.75</v>
      </c>
      <c r="J775" s="39"/>
      <c r="K775" s="143"/>
      <c r="L775" s="22">
        <v>0</v>
      </c>
      <c r="M775" s="22">
        <v>0</v>
      </c>
      <c r="N775" s="20" t="s">
        <v>14489</v>
      </c>
      <c r="O775" s="16">
        <v>0</v>
      </c>
      <c r="P775" s="143" t="s">
        <v>12611</v>
      </c>
      <c r="Q775" s="122" t="s">
        <v>12421</v>
      </c>
      <c r="R775" s="16" t="s">
        <v>9235</v>
      </c>
      <c r="S775" s="10" t="s">
        <v>1165</v>
      </c>
      <c r="T775" s="28" t="s">
        <v>9977</v>
      </c>
      <c r="U775" s="20" t="s">
        <v>5359</v>
      </c>
      <c r="V775" s="16" t="s">
        <v>8437</v>
      </c>
      <c r="W775" s="11" t="s">
        <v>14395</v>
      </c>
      <c r="X775" s="174">
        <v>1017.71</v>
      </c>
      <c r="Y775" s="174">
        <v>1376.75</v>
      </c>
    </row>
    <row r="776" spans="1:25" ht="15" customHeight="1" x14ac:dyDescent="0.25">
      <c r="A776" s="20" t="s">
        <v>4395</v>
      </c>
      <c r="B776" s="14" t="s">
        <v>4396</v>
      </c>
      <c r="C776" s="71" t="str">
        <f t="shared" si="12"/>
        <v>Product Info</v>
      </c>
      <c r="D776" s="37" t="s">
        <v>8667</v>
      </c>
      <c r="E776" s="143">
        <v>1</v>
      </c>
      <c r="F776" s="12" t="s">
        <v>4992</v>
      </c>
      <c r="G776" s="38">
        <v>1619.64</v>
      </c>
      <c r="H776" s="38">
        <v>1376.75</v>
      </c>
      <c r="I776" s="38">
        <v>1133.75</v>
      </c>
      <c r="J776" s="39"/>
      <c r="K776" s="143"/>
      <c r="L776" s="22">
        <v>43</v>
      </c>
      <c r="M776" s="22" t="s">
        <v>12488</v>
      </c>
      <c r="N776" s="20" t="s">
        <v>8795</v>
      </c>
      <c r="O776" s="16" t="s">
        <v>12608</v>
      </c>
      <c r="P776" s="143" t="s">
        <v>12611</v>
      </c>
      <c r="Q776" s="122" t="s">
        <v>12421</v>
      </c>
      <c r="R776" s="16" t="s">
        <v>9235</v>
      </c>
      <c r="S776" s="10" t="s">
        <v>1165</v>
      </c>
      <c r="T776" s="28" t="s">
        <v>9978</v>
      </c>
      <c r="U776" s="20" t="s">
        <v>5359</v>
      </c>
      <c r="V776" s="16" t="s">
        <v>8438</v>
      </c>
      <c r="W776" s="11" t="s">
        <v>14395</v>
      </c>
      <c r="X776" s="174">
        <v>1017.71</v>
      </c>
      <c r="Y776" s="174">
        <v>1376.75</v>
      </c>
    </row>
    <row r="777" spans="1:25" ht="15" customHeight="1" x14ac:dyDescent="0.25">
      <c r="A777" s="20" t="s">
        <v>3900</v>
      </c>
      <c r="B777" s="14" t="s">
        <v>3901</v>
      </c>
      <c r="C777" s="71" t="str">
        <f t="shared" si="12"/>
        <v>Product Info</v>
      </c>
      <c r="D777" s="37" t="s">
        <v>3902</v>
      </c>
      <c r="E777" s="143">
        <v>1</v>
      </c>
      <c r="F777" s="12" t="s">
        <v>4992</v>
      </c>
      <c r="G777" s="38">
        <v>1619.64</v>
      </c>
      <c r="H777" s="38">
        <v>1376.75</v>
      </c>
      <c r="I777" s="38">
        <v>1133.75</v>
      </c>
      <c r="J777" s="39"/>
      <c r="K777" s="143"/>
      <c r="L777" s="22">
        <v>0</v>
      </c>
      <c r="M777" s="22">
        <v>0</v>
      </c>
      <c r="N777" s="20" t="s">
        <v>14489</v>
      </c>
      <c r="O777" s="16">
        <v>0</v>
      </c>
      <c r="P777" s="143" t="s">
        <v>12611</v>
      </c>
      <c r="Q777" s="122" t="s">
        <v>12421</v>
      </c>
      <c r="R777" s="16" t="s">
        <v>9235</v>
      </c>
      <c r="S777" s="10" t="s">
        <v>1165</v>
      </c>
      <c r="T777" s="28" t="s">
        <v>9979</v>
      </c>
      <c r="U777" s="20" t="s">
        <v>5359</v>
      </c>
      <c r="V777" s="16" t="s">
        <v>8439</v>
      </c>
      <c r="W777" s="11" t="s">
        <v>14395</v>
      </c>
      <c r="X777" s="174">
        <v>1017.71</v>
      </c>
      <c r="Y777" s="174">
        <v>1376.75</v>
      </c>
    </row>
    <row r="778" spans="1:25" ht="15" customHeight="1" x14ac:dyDescent="0.25">
      <c r="A778" s="20" t="s">
        <v>6860</v>
      </c>
      <c r="B778" s="14" t="s">
        <v>6003</v>
      </c>
      <c r="C778" s="71" t="str">
        <f t="shared" si="12"/>
        <v>Product Info</v>
      </c>
      <c r="D778" s="37" t="s">
        <v>6004</v>
      </c>
      <c r="E778" s="143">
        <v>1</v>
      </c>
      <c r="F778" s="12" t="s">
        <v>4992</v>
      </c>
      <c r="G778" s="38">
        <v>1263.4100000000001</v>
      </c>
      <c r="H778" s="38">
        <v>1073.94</v>
      </c>
      <c r="I778" s="38">
        <v>884.39</v>
      </c>
      <c r="J778" s="39"/>
      <c r="K778" s="143"/>
      <c r="L778" s="22">
        <v>0</v>
      </c>
      <c r="M778" s="22">
        <v>0</v>
      </c>
      <c r="N778" s="20" t="s">
        <v>14489</v>
      </c>
      <c r="O778" s="16">
        <v>0</v>
      </c>
      <c r="P778" s="143" t="s">
        <v>12611</v>
      </c>
      <c r="Q778" s="122" t="s">
        <v>12421</v>
      </c>
      <c r="R778" s="16" t="s">
        <v>9235</v>
      </c>
      <c r="S778" s="10" t="s">
        <v>1165</v>
      </c>
      <c r="T778" s="28" t="s">
        <v>9980</v>
      </c>
      <c r="U778" s="20" t="s">
        <v>5359</v>
      </c>
      <c r="V778" s="16" t="s">
        <v>8440</v>
      </c>
      <c r="W778" s="11" t="s">
        <v>14395</v>
      </c>
      <c r="X778" s="174">
        <v>793.87</v>
      </c>
      <c r="Y778" s="174">
        <v>1073.94</v>
      </c>
    </row>
    <row r="779" spans="1:25" ht="15" customHeight="1" x14ac:dyDescent="0.25">
      <c r="A779" s="20" t="s">
        <v>6005</v>
      </c>
      <c r="B779" s="14" t="s">
        <v>6006</v>
      </c>
      <c r="C779" s="71" t="str">
        <f t="shared" si="12"/>
        <v>Product Info</v>
      </c>
      <c r="D779" s="37" t="s">
        <v>6007</v>
      </c>
      <c r="E779" s="143">
        <v>1</v>
      </c>
      <c r="F779" s="12" t="s">
        <v>4992</v>
      </c>
      <c r="G779" s="38">
        <v>1263.4100000000001</v>
      </c>
      <c r="H779" s="38">
        <v>1073.94</v>
      </c>
      <c r="I779" s="38">
        <v>884.39</v>
      </c>
      <c r="J779" s="39"/>
      <c r="K779" s="143"/>
      <c r="L779" s="22">
        <v>0</v>
      </c>
      <c r="M779" s="22">
        <v>0</v>
      </c>
      <c r="N779" s="20" t="s">
        <v>14489</v>
      </c>
      <c r="O779" s="16">
        <v>0</v>
      </c>
      <c r="P779" s="143" t="s">
        <v>12611</v>
      </c>
      <c r="Q779" s="122" t="s">
        <v>12421</v>
      </c>
      <c r="R779" s="16" t="s">
        <v>9235</v>
      </c>
      <c r="S779" s="10" t="s">
        <v>1165</v>
      </c>
      <c r="T779" s="28" t="s">
        <v>9981</v>
      </c>
      <c r="U779" s="20" t="s">
        <v>5359</v>
      </c>
      <c r="V779" s="16" t="s">
        <v>8441</v>
      </c>
      <c r="W779" s="11" t="s">
        <v>14395</v>
      </c>
      <c r="X779" s="174">
        <v>793.87</v>
      </c>
      <c r="Y779" s="174">
        <v>1073.94</v>
      </c>
    </row>
    <row r="780" spans="1:25" ht="15" customHeight="1" x14ac:dyDescent="0.25">
      <c r="A780" s="20" t="s">
        <v>6008</v>
      </c>
      <c r="B780" s="14" t="s">
        <v>2990</v>
      </c>
      <c r="C780" s="71" t="str">
        <f t="shared" si="12"/>
        <v>Product Info</v>
      </c>
      <c r="D780" s="37" t="s">
        <v>8668</v>
      </c>
      <c r="E780" s="143">
        <v>1</v>
      </c>
      <c r="F780" s="12" t="s">
        <v>4992</v>
      </c>
      <c r="G780" s="38">
        <v>1263.4100000000001</v>
      </c>
      <c r="H780" s="38">
        <v>1073.94</v>
      </c>
      <c r="I780" s="38">
        <v>884.39</v>
      </c>
      <c r="J780" s="39"/>
      <c r="K780" s="143"/>
      <c r="L780" s="22">
        <v>0</v>
      </c>
      <c r="M780" s="22">
        <v>0</v>
      </c>
      <c r="N780" s="20" t="s">
        <v>14489</v>
      </c>
      <c r="O780" s="16">
        <v>0</v>
      </c>
      <c r="P780" s="143" t="s">
        <v>12611</v>
      </c>
      <c r="Q780" s="122" t="s">
        <v>12421</v>
      </c>
      <c r="R780" s="16" t="s">
        <v>9235</v>
      </c>
      <c r="S780" s="10" t="s">
        <v>1165</v>
      </c>
      <c r="T780" s="28" t="s">
        <v>9982</v>
      </c>
      <c r="U780" s="20" t="s">
        <v>5359</v>
      </c>
      <c r="V780" s="16" t="s">
        <v>8442</v>
      </c>
      <c r="W780" s="11" t="s">
        <v>14395</v>
      </c>
      <c r="X780" s="174">
        <v>793.87</v>
      </c>
      <c r="Y780" s="174">
        <v>1073.94</v>
      </c>
    </row>
    <row r="781" spans="1:25" ht="15" customHeight="1" x14ac:dyDescent="0.25">
      <c r="A781" s="20" t="s">
        <v>2991</v>
      </c>
      <c r="B781" s="14" t="s">
        <v>2992</v>
      </c>
      <c r="C781" s="71" t="str">
        <f t="shared" si="12"/>
        <v>Product Info</v>
      </c>
      <c r="D781" s="37" t="s">
        <v>2993</v>
      </c>
      <c r="E781" s="143">
        <v>1</v>
      </c>
      <c r="F781" s="12" t="s">
        <v>4992</v>
      </c>
      <c r="G781" s="38">
        <v>1263.4100000000001</v>
      </c>
      <c r="H781" s="38">
        <v>1073.94</v>
      </c>
      <c r="I781" s="38">
        <v>884.39</v>
      </c>
      <c r="J781" s="39"/>
      <c r="K781" s="143"/>
      <c r="L781" s="22">
        <v>0</v>
      </c>
      <c r="M781" s="22">
        <v>0</v>
      </c>
      <c r="N781" s="20" t="s">
        <v>14489</v>
      </c>
      <c r="O781" s="16">
        <v>0</v>
      </c>
      <c r="P781" s="143" t="s">
        <v>12611</v>
      </c>
      <c r="Q781" s="122" t="s">
        <v>12421</v>
      </c>
      <c r="R781" s="16" t="s">
        <v>9235</v>
      </c>
      <c r="S781" s="10" t="s">
        <v>1165</v>
      </c>
      <c r="T781" s="28" t="s">
        <v>9983</v>
      </c>
      <c r="U781" s="20" t="s">
        <v>5359</v>
      </c>
      <c r="V781" s="16" t="s">
        <v>8443</v>
      </c>
      <c r="W781" s="11" t="s">
        <v>14395</v>
      </c>
      <c r="X781" s="174">
        <v>793.87</v>
      </c>
      <c r="Y781" s="174">
        <v>1073.94</v>
      </c>
    </row>
    <row r="782" spans="1:25" ht="15" customHeight="1" x14ac:dyDescent="0.25">
      <c r="A782" s="20" t="s">
        <v>2994</v>
      </c>
      <c r="B782" s="14" t="s">
        <v>2995</v>
      </c>
      <c r="C782" s="71" t="str">
        <f t="shared" si="12"/>
        <v>Product Info</v>
      </c>
      <c r="D782" s="37" t="s">
        <v>2996</v>
      </c>
      <c r="E782" s="143">
        <v>1</v>
      </c>
      <c r="F782" s="12" t="s">
        <v>4992</v>
      </c>
      <c r="G782" s="38">
        <v>1410.84</v>
      </c>
      <c r="H782" s="38">
        <v>1199.26</v>
      </c>
      <c r="I782" s="38">
        <v>987.59</v>
      </c>
      <c r="J782" s="39"/>
      <c r="K782" s="143"/>
      <c r="L782" s="22">
        <v>0</v>
      </c>
      <c r="M782" s="22">
        <v>0</v>
      </c>
      <c r="N782" s="20" t="s">
        <v>14489</v>
      </c>
      <c r="O782" s="16">
        <v>0</v>
      </c>
      <c r="P782" s="143" t="s">
        <v>12611</v>
      </c>
      <c r="Q782" s="122" t="s">
        <v>12421</v>
      </c>
      <c r="R782" s="16" t="s">
        <v>9235</v>
      </c>
      <c r="S782" s="10" t="s">
        <v>1165</v>
      </c>
      <c r="T782" s="28" t="s">
        <v>9984</v>
      </c>
      <c r="U782" s="20" t="s">
        <v>5359</v>
      </c>
      <c r="V782" s="16" t="s">
        <v>8444</v>
      </c>
      <c r="W782" s="11" t="s">
        <v>14395</v>
      </c>
      <c r="X782" s="174">
        <v>886.51</v>
      </c>
      <c r="Y782" s="174">
        <v>1199.26</v>
      </c>
    </row>
    <row r="783" spans="1:25" ht="15" customHeight="1" x14ac:dyDescent="0.25">
      <c r="A783" s="20" t="s">
        <v>2997</v>
      </c>
      <c r="B783" s="14" t="s">
        <v>2998</v>
      </c>
      <c r="C783" s="71" t="str">
        <f t="shared" si="12"/>
        <v>Product Info</v>
      </c>
      <c r="D783" s="37" t="s">
        <v>8669</v>
      </c>
      <c r="E783" s="143">
        <v>1</v>
      </c>
      <c r="F783" s="12" t="s">
        <v>4992</v>
      </c>
      <c r="G783" s="38">
        <v>1410.84</v>
      </c>
      <c r="H783" s="38">
        <v>1199.26</v>
      </c>
      <c r="I783" s="38">
        <v>987.59</v>
      </c>
      <c r="J783" s="39"/>
      <c r="K783" s="143"/>
      <c r="L783" s="22">
        <v>0</v>
      </c>
      <c r="M783" s="22">
        <v>0</v>
      </c>
      <c r="N783" s="20" t="s">
        <v>14489</v>
      </c>
      <c r="O783" s="16">
        <v>0</v>
      </c>
      <c r="P783" s="143" t="s">
        <v>12611</v>
      </c>
      <c r="Q783" s="122" t="s">
        <v>12421</v>
      </c>
      <c r="R783" s="16" t="s">
        <v>9235</v>
      </c>
      <c r="S783" s="10" t="s">
        <v>1165</v>
      </c>
      <c r="T783" s="28" t="s">
        <v>9985</v>
      </c>
      <c r="U783" s="20" t="s">
        <v>5359</v>
      </c>
      <c r="V783" s="16" t="s">
        <v>8445</v>
      </c>
      <c r="W783" s="11" t="s">
        <v>14395</v>
      </c>
      <c r="X783" s="174">
        <v>886.51</v>
      </c>
      <c r="Y783" s="174">
        <v>1199.26</v>
      </c>
    </row>
    <row r="784" spans="1:25" ht="15" customHeight="1" x14ac:dyDescent="0.25">
      <c r="A784" s="20" t="s">
        <v>2999</v>
      </c>
      <c r="B784" s="14" t="s">
        <v>3000</v>
      </c>
      <c r="C784" s="71" t="str">
        <f t="shared" si="12"/>
        <v>Product Info</v>
      </c>
      <c r="D784" s="37" t="s">
        <v>8670</v>
      </c>
      <c r="E784" s="143">
        <v>1</v>
      </c>
      <c r="F784" s="12" t="s">
        <v>4992</v>
      </c>
      <c r="G784" s="38">
        <v>1410.84</v>
      </c>
      <c r="H784" s="38">
        <v>1199.26</v>
      </c>
      <c r="I784" s="38">
        <v>987.59</v>
      </c>
      <c r="J784" s="39"/>
      <c r="K784" s="143"/>
      <c r="L784" s="22">
        <v>0</v>
      </c>
      <c r="M784" s="22">
        <v>0</v>
      </c>
      <c r="N784" s="20" t="s">
        <v>14489</v>
      </c>
      <c r="O784" s="16">
        <v>0</v>
      </c>
      <c r="P784" s="143" t="s">
        <v>12611</v>
      </c>
      <c r="Q784" s="122" t="s">
        <v>12421</v>
      </c>
      <c r="R784" s="16" t="s">
        <v>9235</v>
      </c>
      <c r="S784" s="10" t="s">
        <v>1165</v>
      </c>
      <c r="T784" s="28" t="s">
        <v>9986</v>
      </c>
      <c r="U784" s="20" t="s">
        <v>5359</v>
      </c>
      <c r="V784" s="16" t="s">
        <v>8446</v>
      </c>
      <c r="W784" s="11" t="s">
        <v>14395</v>
      </c>
      <c r="X784" s="174">
        <v>886.51</v>
      </c>
      <c r="Y784" s="174">
        <v>1199.26</v>
      </c>
    </row>
    <row r="785" spans="1:25" ht="15" customHeight="1" x14ac:dyDescent="0.25">
      <c r="A785" s="20" t="s">
        <v>3001</v>
      </c>
      <c r="B785" s="14" t="s">
        <v>3002</v>
      </c>
      <c r="C785" s="71" t="str">
        <f t="shared" si="12"/>
        <v>Product Info</v>
      </c>
      <c r="D785" s="37" t="s">
        <v>8671</v>
      </c>
      <c r="E785" s="143">
        <v>1</v>
      </c>
      <c r="F785" s="12" t="s">
        <v>4992</v>
      </c>
      <c r="G785" s="38">
        <v>1410.84</v>
      </c>
      <c r="H785" s="38">
        <v>1199.26</v>
      </c>
      <c r="I785" s="38">
        <v>987.59</v>
      </c>
      <c r="J785" s="39"/>
      <c r="K785" s="143"/>
      <c r="L785" s="22">
        <v>0</v>
      </c>
      <c r="M785" s="22">
        <v>0</v>
      </c>
      <c r="N785" s="20" t="s">
        <v>14489</v>
      </c>
      <c r="O785" s="16">
        <v>0</v>
      </c>
      <c r="P785" s="143" t="s">
        <v>12611</v>
      </c>
      <c r="Q785" s="121" t="s">
        <v>14285</v>
      </c>
      <c r="R785" s="16" t="s">
        <v>9235</v>
      </c>
      <c r="S785" s="10" t="s">
        <v>1165</v>
      </c>
      <c r="T785" s="28" t="s">
        <v>9987</v>
      </c>
      <c r="U785" s="20" t="s">
        <v>5359</v>
      </c>
      <c r="V785" s="16" t="s">
        <v>8447</v>
      </c>
      <c r="W785" s="11" t="s">
        <v>14395</v>
      </c>
      <c r="X785" s="174">
        <v>886.51</v>
      </c>
      <c r="Y785" s="174">
        <v>1199.26</v>
      </c>
    </row>
    <row r="786" spans="1:25" ht="15" customHeight="1" x14ac:dyDescent="0.25">
      <c r="A786" s="20" t="s">
        <v>3003</v>
      </c>
      <c r="B786" s="14" t="s">
        <v>3004</v>
      </c>
      <c r="C786" s="71" t="str">
        <f t="shared" si="12"/>
        <v>Product Info</v>
      </c>
      <c r="D786" s="37" t="s">
        <v>3005</v>
      </c>
      <c r="E786" s="143">
        <v>1</v>
      </c>
      <c r="F786" s="12" t="s">
        <v>4992</v>
      </c>
      <c r="G786" s="38">
        <v>1410.84</v>
      </c>
      <c r="H786" s="38">
        <v>1199.26</v>
      </c>
      <c r="I786" s="38">
        <v>987.59</v>
      </c>
      <c r="J786" s="39"/>
      <c r="K786" s="143"/>
      <c r="L786" s="22">
        <v>0</v>
      </c>
      <c r="M786" s="22">
        <v>0</v>
      </c>
      <c r="N786" s="20" t="s">
        <v>14489</v>
      </c>
      <c r="O786" s="16">
        <v>0</v>
      </c>
      <c r="P786" s="143" t="s">
        <v>12611</v>
      </c>
      <c r="Q786" s="122" t="s">
        <v>12421</v>
      </c>
      <c r="R786" s="16" t="s">
        <v>9235</v>
      </c>
      <c r="S786" s="10" t="s">
        <v>1165</v>
      </c>
      <c r="T786" s="28" t="s">
        <v>9988</v>
      </c>
      <c r="U786" s="20" t="s">
        <v>5359</v>
      </c>
      <c r="V786" s="16" t="s">
        <v>8448</v>
      </c>
      <c r="W786" s="11" t="s">
        <v>14395</v>
      </c>
      <c r="X786" s="174">
        <v>886.51</v>
      </c>
      <c r="Y786" s="174">
        <v>1199.26</v>
      </c>
    </row>
    <row r="787" spans="1:25" ht="15" customHeight="1" x14ac:dyDescent="0.25">
      <c r="A787" s="20" t="s">
        <v>3006</v>
      </c>
      <c r="B787" s="14" t="s">
        <v>3007</v>
      </c>
      <c r="C787" s="71" t="str">
        <f t="shared" si="12"/>
        <v>Product Info</v>
      </c>
      <c r="D787" s="37" t="s">
        <v>3008</v>
      </c>
      <c r="E787" s="143">
        <v>1</v>
      </c>
      <c r="F787" s="12" t="s">
        <v>4992</v>
      </c>
      <c r="G787" s="38">
        <v>1410.84</v>
      </c>
      <c r="H787" s="38">
        <v>1199.26</v>
      </c>
      <c r="I787" s="38">
        <v>987.59</v>
      </c>
      <c r="J787" s="39"/>
      <c r="K787" s="143"/>
      <c r="L787" s="22">
        <v>0</v>
      </c>
      <c r="M787" s="22">
        <v>0</v>
      </c>
      <c r="N787" s="20" t="s">
        <v>14489</v>
      </c>
      <c r="O787" s="16">
        <v>0</v>
      </c>
      <c r="P787" s="143" t="s">
        <v>12611</v>
      </c>
      <c r="Q787" s="121" t="s">
        <v>14285</v>
      </c>
      <c r="R787" s="16" t="s">
        <v>9235</v>
      </c>
      <c r="S787" s="10" t="s">
        <v>1165</v>
      </c>
      <c r="T787" s="28" t="s">
        <v>9989</v>
      </c>
      <c r="U787" s="20" t="s">
        <v>5359</v>
      </c>
      <c r="V787" s="16" t="s">
        <v>8449</v>
      </c>
      <c r="W787" s="11" t="s">
        <v>14395</v>
      </c>
      <c r="X787" s="174">
        <v>886.51</v>
      </c>
      <c r="Y787" s="174">
        <v>1199.26</v>
      </c>
    </row>
    <row r="788" spans="1:25" ht="15" customHeight="1" x14ac:dyDescent="0.25">
      <c r="A788" s="20" t="s">
        <v>3009</v>
      </c>
      <c r="B788" s="14" t="s">
        <v>3010</v>
      </c>
      <c r="C788" s="71" t="str">
        <f t="shared" si="12"/>
        <v>Product Info</v>
      </c>
      <c r="D788" s="37" t="s">
        <v>8672</v>
      </c>
      <c r="E788" s="143">
        <v>1</v>
      </c>
      <c r="F788" s="12" t="s">
        <v>4992</v>
      </c>
      <c r="G788" s="38">
        <v>1521.04</v>
      </c>
      <c r="H788" s="38">
        <v>1292.93</v>
      </c>
      <c r="I788" s="38">
        <v>1064.73</v>
      </c>
      <c r="J788" s="39"/>
      <c r="K788" s="143"/>
      <c r="L788" s="22">
        <v>0</v>
      </c>
      <c r="M788" s="22">
        <v>0</v>
      </c>
      <c r="N788" s="20" t="s">
        <v>14489</v>
      </c>
      <c r="O788" s="16">
        <v>0</v>
      </c>
      <c r="P788" s="143" t="s">
        <v>12611</v>
      </c>
      <c r="Q788" s="121" t="s">
        <v>14285</v>
      </c>
      <c r="R788" s="16" t="s">
        <v>9235</v>
      </c>
      <c r="S788" s="10" t="s">
        <v>1165</v>
      </c>
      <c r="T788" s="28" t="s">
        <v>9990</v>
      </c>
      <c r="U788" s="20" t="s">
        <v>5359</v>
      </c>
      <c r="V788" s="16" t="s">
        <v>8450</v>
      </c>
      <c r="W788" s="11" t="s">
        <v>14395</v>
      </c>
      <c r="X788" s="174">
        <v>955.75</v>
      </c>
      <c r="Y788" s="174">
        <v>1292.93</v>
      </c>
    </row>
    <row r="789" spans="1:25" ht="15" customHeight="1" x14ac:dyDescent="0.25">
      <c r="A789" s="20" t="s">
        <v>2226</v>
      </c>
      <c r="B789" s="14" t="s">
        <v>2227</v>
      </c>
      <c r="C789" s="71" t="str">
        <f t="shared" si="12"/>
        <v>Product Info</v>
      </c>
      <c r="D789" s="37" t="s">
        <v>2228</v>
      </c>
      <c r="E789" s="143">
        <v>1</v>
      </c>
      <c r="F789" s="12" t="s">
        <v>4992</v>
      </c>
      <c r="G789" s="38">
        <v>1668.44</v>
      </c>
      <c r="H789" s="38">
        <v>1418.23</v>
      </c>
      <c r="I789" s="38">
        <v>1167.9100000000001</v>
      </c>
      <c r="J789" s="39"/>
      <c r="K789" s="143"/>
      <c r="L789" s="22">
        <v>0</v>
      </c>
      <c r="M789" s="22" t="s">
        <v>12488</v>
      </c>
      <c r="N789" s="20" t="s">
        <v>14489</v>
      </c>
      <c r="O789" s="16" t="s">
        <v>12608</v>
      </c>
      <c r="P789" s="143" t="s">
        <v>12611</v>
      </c>
      <c r="Q789" s="122" t="s">
        <v>12421</v>
      </c>
      <c r="R789" s="16" t="s">
        <v>9235</v>
      </c>
      <c r="S789" s="10" t="s">
        <v>1165</v>
      </c>
      <c r="T789" s="28" t="s">
        <v>9991</v>
      </c>
      <c r="U789" s="20" t="s">
        <v>5359</v>
      </c>
      <c r="V789" s="16" t="s">
        <v>8451</v>
      </c>
      <c r="W789" s="11" t="s">
        <v>14395</v>
      </c>
      <c r="X789" s="174">
        <v>1048.3699999999999</v>
      </c>
      <c r="Y789" s="174">
        <v>1418.23</v>
      </c>
    </row>
    <row r="790" spans="1:25" ht="15" customHeight="1" x14ac:dyDescent="0.25">
      <c r="A790" s="20" t="s">
        <v>2229</v>
      </c>
      <c r="B790" s="14" t="s">
        <v>2230</v>
      </c>
      <c r="C790" s="71" t="str">
        <f t="shared" si="12"/>
        <v>Product Info</v>
      </c>
      <c r="D790" s="37" t="s">
        <v>8673</v>
      </c>
      <c r="E790" s="143">
        <v>1</v>
      </c>
      <c r="F790" s="12" t="s">
        <v>4992</v>
      </c>
      <c r="G790" s="38">
        <v>1668.44</v>
      </c>
      <c r="H790" s="38">
        <v>1418.23</v>
      </c>
      <c r="I790" s="38">
        <v>1167.9100000000001</v>
      </c>
      <c r="J790" s="39"/>
      <c r="K790" s="143"/>
      <c r="L790" s="22">
        <v>0</v>
      </c>
      <c r="M790" s="22">
        <v>0</v>
      </c>
      <c r="N790" s="20" t="s">
        <v>14489</v>
      </c>
      <c r="O790" s="16">
        <v>0</v>
      </c>
      <c r="P790" s="143" t="s">
        <v>12611</v>
      </c>
      <c r="Q790" s="121" t="s">
        <v>14285</v>
      </c>
      <c r="R790" s="16" t="s">
        <v>9235</v>
      </c>
      <c r="S790" s="10" t="s">
        <v>1165</v>
      </c>
      <c r="T790" s="28" t="s">
        <v>9992</v>
      </c>
      <c r="U790" s="20" t="s">
        <v>5359</v>
      </c>
      <c r="V790" s="16" t="s">
        <v>8452</v>
      </c>
      <c r="W790" s="11" t="s">
        <v>14395</v>
      </c>
      <c r="X790" s="174">
        <v>1048.3699999999999</v>
      </c>
      <c r="Y790" s="174">
        <v>1418.23</v>
      </c>
    </row>
    <row r="791" spans="1:25" ht="15" customHeight="1" x14ac:dyDescent="0.25">
      <c r="A791" s="20" t="s">
        <v>2231</v>
      </c>
      <c r="B791" s="14" t="s">
        <v>2597</v>
      </c>
      <c r="C791" s="71" t="str">
        <f t="shared" si="12"/>
        <v>Product Info</v>
      </c>
      <c r="D791" s="37" t="s">
        <v>8674</v>
      </c>
      <c r="E791" s="143">
        <v>1</v>
      </c>
      <c r="F791" s="12" t="s">
        <v>4992</v>
      </c>
      <c r="G791" s="38">
        <v>1668.44</v>
      </c>
      <c r="H791" s="38">
        <v>1418.23</v>
      </c>
      <c r="I791" s="38">
        <v>1167.9100000000001</v>
      </c>
      <c r="J791" s="39"/>
      <c r="K791" s="143"/>
      <c r="L791" s="22">
        <v>0</v>
      </c>
      <c r="M791" s="22">
        <v>0</v>
      </c>
      <c r="N791" s="20" t="s">
        <v>14489</v>
      </c>
      <c r="O791" s="16">
        <v>0</v>
      </c>
      <c r="P791" s="143" t="s">
        <v>12611</v>
      </c>
      <c r="Q791" s="122" t="s">
        <v>12421</v>
      </c>
      <c r="R791" s="16" t="s">
        <v>9235</v>
      </c>
      <c r="S791" s="10" t="s">
        <v>1165</v>
      </c>
      <c r="T791" s="28" t="s">
        <v>9993</v>
      </c>
      <c r="U791" s="20" t="s">
        <v>5359</v>
      </c>
      <c r="V791" s="16" t="s">
        <v>8453</v>
      </c>
      <c r="W791" s="11" t="s">
        <v>14395</v>
      </c>
      <c r="X791" s="174">
        <v>1048.3699999999999</v>
      </c>
      <c r="Y791" s="174">
        <v>1418.23</v>
      </c>
    </row>
    <row r="792" spans="1:25" ht="15" customHeight="1" x14ac:dyDescent="0.25">
      <c r="A792" s="20" t="s">
        <v>2598</v>
      </c>
      <c r="B792" s="14" t="s">
        <v>2599</v>
      </c>
      <c r="C792" s="71" t="str">
        <f t="shared" si="12"/>
        <v>Product Info</v>
      </c>
      <c r="D792" s="37" t="s">
        <v>2600</v>
      </c>
      <c r="E792" s="143">
        <v>1</v>
      </c>
      <c r="F792" s="12" t="s">
        <v>4992</v>
      </c>
      <c r="G792" s="38">
        <v>1668.44</v>
      </c>
      <c r="H792" s="38">
        <v>1418.23</v>
      </c>
      <c r="I792" s="38">
        <v>1167.9100000000001</v>
      </c>
      <c r="J792" s="39"/>
      <c r="K792" s="143"/>
      <c r="L792" s="22">
        <v>0</v>
      </c>
      <c r="M792" s="22">
        <v>0</v>
      </c>
      <c r="N792" s="20" t="s">
        <v>14489</v>
      </c>
      <c r="O792" s="16">
        <v>0</v>
      </c>
      <c r="P792" s="143" t="s">
        <v>12611</v>
      </c>
      <c r="Q792" s="122" t="s">
        <v>12421</v>
      </c>
      <c r="R792" s="16" t="s">
        <v>9235</v>
      </c>
      <c r="S792" s="10" t="s">
        <v>1165</v>
      </c>
      <c r="T792" s="28" t="s">
        <v>9994</v>
      </c>
      <c r="U792" s="20" t="s">
        <v>5359</v>
      </c>
      <c r="V792" s="16" t="s">
        <v>8454</v>
      </c>
      <c r="W792" s="11" t="s">
        <v>14395</v>
      </c>
      <c r="X792" s="174">
        <v>1048.3699999999999</v>
      </c>
      <c r="Y792" s="174">
        <v>1418.23</v>
      </c>
    </row>
    <row r="793" spans="1:25" ht="15" customHeight="1" x14ac:dyDescent="0.25">
      <c r="A793" s="20" t="s">
        <v>2601</v>
      </c>
      <c r="B793" s="14" t="s">
        <v>2602</v>
      </c>
      <c r="C793" s="71" t="str">
        <f t="shared" si="12"/>
        <v>Product Info</v>
      </c>
      <c r="D793" s="37" t="s">
        <v>8675</v>
      </c>
      <c r="E793" s="143">
        <v>1</v>
      </c>
      <c r="F793" s="12" t="s">
        <v>4992</v>
      </c>
      <c r="G793" s="38">
        <v>1668.44</v>
      </c>
      <c r="H793" s="38">
        <v>1418.23</v>
      </c>
      <c r="I793" s="38">
        <v>1167.9100000000001</v>
      </c>
      <c r="J793" s="39"/>
      <c r="K793" s="143"/>
      <c r="L793" s="22">
        <v>0</v>
      </c>
      <c r="M793" s="22">
        <v>0</v>
      </c>
      <c r="N793" s="20" t="s">
        <v>14489</v>
      </c>
      <c r="O793" s="16">
        <v>0</v>
      </c>
      <c r="P793" s="143" t="s">
        <v>12611</v>
      </c>
      <c r="Q793" s="122" t="s">
        <v>12421</v>
      </c>
      <c r="R793" s="16" t="s">
        <v>9235</v>
      </c>
      <c r="S793" s="10" t="s">
        <v>1165</v>
      </c>
      <c r="T793" s="28" t="s">
        <v>9995</v>
      </c>
      <c r="U793" s="20" t="s">
        <v>5359</v>
      </c>
      <c r="V793" s="16" t="s">
        <v>8455</v>
      </c>
      <c r="W793" s="11" t="s">
        <v>14395</v>
      </c>
      <c r="X793" s="174">
        <v>1048.3699999999999</v>
      </c>
      <c r="Y793" s="174">
        <v>1418.23</v>
      </c>
    </row>
    <row r="794" spans="1:25" ht="15" customHeight="1" x14ac:dyDescent="0.25">
      <c r="A794" s="20" t="s">
        <v>3174</v>
      </c>
      <c r="B794" s="14" t="s">
        <v>3175</v>
      </c>
      <c r="C794" s="71" t="str">
        <f t="shared" si="12"/>
        <v>Product Info</v>
      </c>
      <c r="D794" s="37" t="s">
        <v>3176</v>
      </c>
      <c r="E794" s="143">
        <v>1</v>
      </c>
      <c r="F794" s="12" t="s">
        <v>4992</v>
      </c>
      <c r="G794" s="38">
        <v>1668.44</v>
      </c>
      <c r="H794" s="38">
        <v>1418.23</v>
      </c>
      <c r="I794" s="38">
        <v>1167.9100000000001</v>
      </c>
      <c r="J794" s="39"/>
      <c r="K794" s="143"/>
      <c r="L794" s="22">
        <v>0</v>
      </c>
      <c r="M794" s="22">
        <v>0</v>
      </c>
      <c r="N794" s="20" t="s">
        <v>14489</v>
      </c>
      <c r="O794" s="16">
        <v>0</v>
      </c>
      <c r="P794" s="143" t="s">
        <v>12611</v>
      </c>
      <c r="Q794" s="122" t="s">
        <v>12421</v>
      </c>
      <c r="R794" s="16" t="s">
        <v>9235</v>
      </c>
      <c r="S794" s="10" t="s">
        <v>1165</v>
      </c>
      <c r="T794" s="28" t="s">
        <v>9996</v>
      </c>
      <c r="U794" s="20" t="s">
        <v>5359</v>
      </c>
      <c r="V794" s="16" t="s">
        <v>8456</v>
      </c>
      <c r="W794" s="11" t="s">
        <v>14395</v>
      </c>
      <c r="X794" s="174">
        <v>1048.3699999999999</v>
      </c>
      <c r="Y794" s="174">
        <v>1418.23</v>
      </c>
    </row>
    <row r="795" spans="1:25" ht="15" customHeight="1" x14ac:dyDescent="0.25">
      <c r="A795" s="20" t="s">
        <v>3177</v>
      </c>
      <c r="B795" s="14" t="s">
        <v>3178</v>
      </c>
      <c r="C795" s="71" t="str">
        <f t="shared" si="12"/>
        <v>Product Info</v>
      </c>
      <c r="D795" s="37" t="s">
        <v>8676</v>
      </c>
      <c r="E795" s="143">
        <v>1</v>
      </c>
      <c r="F795" s="12" t="s">
        <v>4992</v>
      </c>
      <c r="G795" s="38">
        <v>1668.44</v>
      </c>
      <c r="H795" s="38">
        <v>1418.23</v>
      </c>
      <c r="I795" s="38">
        <v>1167.9100000000001</v>
      </c>
      <c r="J795" s="39"/>
      <c r="K795" s="143"/>
      <c r="L795" s="22">
        <v>0</v>
      </c>
      <c r="M795" s="22">
        <v>0</v>
      </c>
      <c r="N795" s="20" t="s">
        <v>14489</v>
      </c>
      <c r="O795" s="16">
        <v>0</v>
      </c>
      <c r="P795" s="143" t="s">
        <v>12611</v>
      </c>
      <c r="Q795" s="122" t="s">
        <v>12421</v>
      </c>
      <c r="R795" s="16" t="s">
        <v>9235</v>
      </c>
      <c r="S795" s="10" t="s">
        <v>1165</v>
      </c>
      <c r="T795" s="28" t="s">
        <v>9997</v>
      </c>
      <c r="U795" s="20" t="s">
        <v>5359</v>
      </c>
      <c r="V795" s="16" t="s">
        <v>8457</v>
      </c>
      <c r="W795" s="11" t="s">
        <v>14395</v>
      </c>
      <c r="X795" s="174">
        <v>1048.3699999999999</v>
      </c>
      <c r="Y795" s="174">
        <v>1418.23</v>
      </c>
    </row>
    <row r="796" spans="1:25" ht="15" customHeight="1" x14ac:dyDescent="0.25">
      <c r="A796" s="20" t="s">
        <v>3179</v>
      </c>
      <c r="B796" s="14" t="s">
        <v>3180</v>
      </c>
      <c r="C796" s="71" t="str">
        <f t="shared" si="12"/>
        <v>Product Info</v>
      </c>
      <c r="D796" s="37" t="s">
        <v>3181</v>
      </c>
      <c r="E796" s="143">
        <v>1</v>
      </c>
      <c r="F796" s="12" t="s">
        <v>4992</v>
      </c>
      <c r="G796" s="38">
        <v>1596.31</v>
      </c>
      <c r="H796" s="38">
        <v>1356.92</v>
      </c>
      <c r="I796" s="38">
        <v>1117.42</v>
      </c>
      <c r="J796" s="39"/>
      <c r="K796" s="143"/>
      <c r="L796" s="22">
        <v>0</v>
      </c>
      <c r="M796" s="22">
        <v>0</v>
      </c>
      <c r="N796" s="20" t="s">
        <v>14489</v>
      </c>
      <c r="O796" s="16">
        <v>0</v>
      </c>
      <c r="P796" s="143" t="s">
        <v>12611</v>
      </c>
      <c r="Q796" s="122" t="s">
        <v>9227</v>
      </c>
      <c r="R796" s="16" t="s">
        <v>9235</v>
      </c>
      <c r="S796" s="10" t="s">
        <v>1165</v>
      </c>
      <c r="T796" s="28" t="s">
        <v>9998</v>
      </c>
      <c r="U796" s="20" t="s">
        <v>5359</v>
      </c>
      <c r="V796" s="16" t="s">
        <v>8458</v>
      </c>
      <c r="W796" s="11" t="s">
        <v>14395</v>
      </c>
      <c r="X796" s="174">
        <v>1003.05</v>
      </c>
      <c r="Y796" s="174">
        <v>1356.92</v>
      </c>
    </row>
    <row r="797" spans="1:25" ht="15" customHeight="1" x14ac:dyDescent="0.25">
      <c r="A797" s="20" t="s">
        <v>4080</v>
      </c>
      <c r="B797" s="14" t="s">
        <v>4081</v>
      </c>
      <c r="C797" s="71" t="str">
        <f t="shared" si="12"/>
        <v>Product Info</v>
      </c>
      <c r="D797" s="37" t="s">
        <v>4082</v>
      </c>
      <c r="E797" s="143">
        <v>1</v>
      </c>
      <c r="F797" s="12" t="s">
        <v>4992</v>
      </c>
      <c r="G797" s="38">
        <v>1743.74</v>
      </c>
      <c r="H797" s="38">
        <v>1482.23</v>
      </c>
      <c r="I797" s="38">
        <v>1220.6199999999999</v>
      </c>
      <c r="J797" s="39"/>
      <c r="K797" s="143"/>
      <c r="L797" s="22">
        <v>0</v>
      </c>
      <c r="M797" s="22">
        <v>0</v>
      </c>
      <c r="N797" s="20" t="s">
        <v>14489</v>
      </c>
      <c r="O797" s="16">
        <v>0</v>
      </c>
      <c r="P797" s="143" t="s">
        <v>12611</v>
      </c>
      <c r="Q797" s="122" t="s">
        <v>12421</v>
      </c>
      <c r="R797" s="16" t="s">
        <v>9235</v>
      </c>
      <c r="S797" s="10" t="s">
        <v>1165</v>
      </c>
      <c r="T797" s="28" t="s">
        <v>9999</v>
      </c>
      <c r="U797" s="20" t="s">
        <v>5359</v>
      </c>
      <c r="V797" s="16" t="s">
        <v>8459</v>
      </c>
      <c r="W797" s="11" t="s">
        <v>14395</v>
      </c>
      <c r="X797" s="174">
        <v>1095.69</v>
      </c>
      <c r="Y797" s="174">
        <v>1482.23</v>
      </c>
    </row>
    <row r="798" spans="1:25" ht="15" customHeight="1" x14ac:dyDescent="0.25">
      <c r="A798" s="20" t="s">
        <v>4083</v>
      </c>
      <c r="B798" s="14" t="s">
        <v>4084</v>
      </c>
      <c r="C798" s="71" t="str">
        <f t="shared" si="12"/>
        <v>Product Info</v>
      </c>
      <c r="D798" s="37" t="s">
        <v>4085</v>
      </c>
      <c r="E798" s="143">
        <v>1</v>
      </c>
      <c r="F798" s="12" t="s">
        <v>4992</v>
      </c>
      <c r="G798" s="38">
        <v>1743.74</v>
      </c>
      <c r="H798" s="38">
        <v>1482.23</v>
      </c>
      <c r="I798" s="38">
        <v>1220.6199999999999</v>
      </c>
      <c r="J798" s="39"/>
      <c r="K798" s="143"/>
      <c r="L798" s="22">
        <v>0</v>
      </c>
      <c r="M798" s="22">
        <v>0</v>
      </c>
      <c r="N798" s="20" t="s">
        <v>14489</v>
      </c>
      <c r="O798" s="16">
        <v>0</v>
      </c>
      <c r="P798" s="143" t="s">
        <v>12611</v>
      </c>
      <c r="Q798" s="122" t="s">
        <v>12421</v>
      </c>
      <c r="R798" s="16" t="s">
        <v>9235</v>
      </c>
      <c r="S798" s="10" t="s">
        <v>1165</v>
      </c>
      <c r="T798" s="28" t="s">
        <v>10000</v>
      </c>
      <c r="U798" s="20" t="s">
        <v>5359</v>
      </c>
      <c r="V798" s="16" t="s">
        <v>8460</v>
      </c>
      <c r="W798" s="11" t="s">
        <v>14395</v>
      </c>
      <c r="X798" s="174">
        <v>1095.69</v>
      </c>
      <c r="Y798" s="174">
        <v>1482.23</v>
      </c>
    </row>
    <row r="799" spans="1:25" ht="15" customHeight="1" x14ac:dyDescent="0.25">
      <c r="A799" s="20" t="s">
        <v>4086</v>
      </c>
      <c r="B799" s="14" t="s">
        <v>4087</v>
      </c>
      <c r="C799" s="71" t="str">
        <f t="shared" si="12"/>
        <v>Product Info</v>
      </c>
      <c r="D799" s="37" t="s">
        <v>8677</v>
      </c>
      <c r="E799" s="143">
        <v>1</v>
      </c>
      <c r="F799" s="12" t="s">
        <v>4992</v>
      </c>
      <c r="G799" s="38">
        <v>1743.74</v>
      </c>
      <c r="H799" s="38">
        <v>1482.23</v>
      </c>
      <c r="I799" s="38">
        <v>1220.6199999999999</v>
      </c>
      <c r="J799" s="39"/>
      <c r="K799" s="143"/>
      <c r="L799" s="22">
        <v>47</v>
      </c>
      <c r="M799" s="22" t="s">
        <v>12488</v>
      </c>
      <c r="N799" s="20" t="s">
        <v>8799</v>
      </c>
      <c r="O799" s="16" t="s">
        <v>12608</v>
      </c>
      <c r="P799" s="143" t="s">
        <v>12611</v>
      </c>
      <c r="Q799" s="122" t="s">
        <v>12421</v>
      </c>
      <c r="R799" s="16" t="s">
        <v>9235</v>
      </c>
      <c r="S799" s="10" t="s">
        <v>1165</v>
      </c>
      <c r="T799" s="28" t="s">
        <v>10001</v>
      </c>
      <c r="U799" s="20" t="s">
        <v>5359</v>
      </c>
      <c r="V799" s="16" t="s">
        <v>8461</v>
      </c>
      <c r="W799" s="11" t="s">
        <v>14395</v>
      </c>
      <c r="X799" s="174">
        <v>1095.69</v>
      </c>
      <c r="Y799" s="174">
        <v>1482.23</v>
      </c>
    </row>
    <row r="800" spans="1:25" ht="15" customHeight="1" x14ac:dyDescent="0.25">
      <c r="A800" s="20" t="s">
        <v>2835</v>
      </c>
      <c r="B800" s="14" t="s">
        <v>2836</v>
      </c>
      <c r="C800" s="71" t="str">
        <f t="shared" si="12"/>
        <v>Product Info</v>
      </c>
      <c r="D800" s="37" t="s">
        <v>6969</v>
      </c>
      <c r="E800" s="143">
        <v>3</v>
      </c>
      <c r="F800" s="12" t="s">
        <v>2170</v>
      </c>
      <c r="G800" s="38">
        <v>482.4</v>
      </c>
      <c r="H800" s="38">
        <v>410.05</v>
      </c>
      <c r="I800" s="38">
        <v>337.68</v>
      </c>
      <c r="J800" s="39"/>
      <c r="K800" s="143"/>
      <c r="L800" s="22">
        <v>0</v>
      </c>
      <c r="M800" s="22">
        <v>0</v>
      </c>
      <c r="N800" s="20" t="s">
        <v>14489</v>
      </c>
      <c r="O800" s="16">
        <v>0</v>
      </c>
      <c r="P800" s="143">
        <v>364</v>
      </c>
      <c r="Q800" s="121" t="s">
        <v>14285</v>
      </c>
      <c r="R800" s="16" t="s">
        <v>9235</v>
      </c>
      <c r="S800" s="10" t="s">
        <v>1165</v>
      </c>
      <c r="T800" s="28" t="s">
        <v>10002</v>
      </c>
      <c r="U800" s="20" t="s">
        <v>5359</v>
      </c>
      <c r="V800" s="16" t="s">
        <v>8462</v>
      </c>
      <c r="W800" s="11" t="s">
        <v>14395</v>
      </c>
      <c r="X800" s="174">
        <v>306.98</v>
      </c>
      <c r="Y800" s="174">
        <v>410.05</v>
      </c>
    </row>
    <row r="801" spans="1:25" ht="15" customHeight="1" x14ac:dyDescent="0.25">
      <c r="A801" s="20" t="s">
        <v>2837</v>
      </c>
      <c r="B801" s="14" t="s">
        <v>6039</v>
      </c>
      <c r="C801" s="71" t="str">
        <f t="shared" si="12"/>
        <v>Product Info</v>
      </c>
      <c r="D801" s="37" t="s">
        <v>6970</v>
      </c>
      <c r="E801" s="143">
        <v>3</v>
      </c>
      <c r="F801" s="12" t="s">
        <v>2170</v>
      </c>
      <c r="G801" s="38">
        <v>482.4</v>
      </c>
      <c r="H801" s="38">
        <v>410.05</v>
      </c>
      <c r="I801" s="38">
        <v>337.68</v>
      </c>
      <c r="J801" s="39"/>
      <c r="K801" s="143"/>
      <c r="L801" s="22">
        <v>1.8144</v>
      </c>
      <c r="M801" s="22" t="s">
        <v>14394</v>
      </c>
      <c r="N801" s="20" t="s">
        <v>14489</v>
      </c>
      <c r="O801" s="16">
        <v>0</v>
      </c>
      <c r="P801" s="143">
        <v>364</v>
      </c>
      <c r="Q801" s="121" t="s">
        <v>14285</v>
      </c>
      <c r="R801" s="16" t="s">
        <v>9235</v>
      </c>
      <c r="S801" s="10" t="s">
        <v>1165</v>
      </c>
      <c r="T801" s="28" t="s">
        <v>10003</v>
      </c>
      <c r="U801" s="20" t="s">
        <v>5359</v>
      </c>
      <c r="V801" s="16" t="s">
        <v>8463</v>
      </c>
      <c r="W801" s="11" t="s">
        <v>14395</v>
      </c>
      <c r="X801" s="174">
        <v>306.98</v>
      </c>
      <c r="Y801" s="174">
        <v>410.05</v>
      </c>
    </row>
    <row r="802" spans="1:25" ht="15" customHeight="1" x14ac:dyDescent="0.25">
      <c r="A802" s="20" t="s">
        <v>6040</v>
      </c>
      <c r="B802" s="14" t="s">
        <v>6041</v>
      </c>
      <c r="C802" s="71" t="str">
        <f t="shared" si="12"/>
        <v>Product Info</v>
      </c>
      <c r="D802" s="37" t="s">
        <v>6971</v>
      </c>
      <c r="E802" s="143">
        <v>3</v>
      </c>
      <c r="F802" s="12" t="s">
        <v>2170</v>
      </c>
      <c r="G802" s="38">
        <v>482.4</v>
      </c>
      <c r="H802" s="38">
        <v>410.05</v>
      </c>
      <c r="I802" s="38">
        <v>337.68</v>
      </c>
      <c r="J802" s="39"/>
      <c r="K802" s="143"/>
      <c r="L802" s="22">
        <v>0.66600000000000004</v>
      </c>
      <c r="M802" s="22" t="s">
        <v>14394</v>
      </c>
      <c r="N802" s="20" t="s">
        <v>14489</v>
      </c>
      <c r="O802" s="16">
        <v>0</v>
      </c>
      <c r="P802" s="143">
        <v>364</v>
      </c>
      <c r="Q802" s="121" t="s">
        <v>14285</v>
      </c>
      <c r="R802" s="16" t="s">
        <v>9235</v>
      </c>
      <c r="S802" s="10" t="s">
        <v>1165</v>
      </c>
      <c r="T802" s="28" t="s">
        <v>10004</v>
      </c>
      <c r="U802" s="20" t="s">
        <v>5359</v>
      </c>
      <c r="V802" s="16" t="s">
        <v>8464</v>
      </c>
      <c r="W802" s="11" t="s">
        <v>14395</v>
      </c>
      <c r="X802" s="174">
        <v>306.98</v>
      </c>
      <c r="Y802" s="174">
        <v>410.05</v>
      </c>
    </row>
    <row r="803" spans="1:25" ht="15" customHeight="1" x14ac:dyDescent="0.25">
      <c r="A803" s="20" t="s">
        <v>6042</v>
      </c>
      <c r="B803" s="14" t="s">
        <v>6043</v>
      </c>
      <c r="C803" s="71" t="str">
        <f t="shared" si="12"/>
        <v>Product Info</v>
      </c>
      <c r="D803" s="37" t="s">
        <v>6972</v>
      </c>
      <c r="E803" s="143">
        <v>3</v>
      </c>
      <c r="F803" s="12" t="s">
        <v>2170</v>
      </c>
      <c r="G803" s="38">
        <v>482.4</v>
      </c>
      <c r="H803" s="38">
        <v>410.05</v>
      </c>
      <c r="I803" s="38">
        <v>337.68</v>
      </c>
      <c r="J803" s="39"/>
      <c r="K803" s="143"/>
      <c r="L803" s="22">
        <v>0</v>
      </c>
      <c r="M803" s="22">
        <v>0</v>
      </c>
      <c r="N803" s="20" t="s">
        <v>14489</v>
      </c>
      <c r="O803" s="16">
        <v>0</v>
      </c>
      <c r="P803" s="143">
        <v>364</v>
      </c>
      <c r="Q803" s="121" t="s">
        <v>14285</v>
      </c>
      <c r="R803" s="16" t="s">
        <v>9235</v>
      </c>
      <c r="S803" s="10" t="s">
        <v>1165</v>
      </c>
      <c r="T803" s="28" t="s">
        <v>10005</v>
      </c>
      <c r="U803" s="20" t="s">
        <v>5359</v>
      </c>
      <c r="V803" s="16" t="s">
        <v>8465</v>
      </c>
      <c r="W803" s="11" t="s">
        <v>14395</v>
      </c>
      <c r="X803" s="174">
        <v>306.98</v>
      </c>
      <c r="Y803" s="174">
        <v>410.05</v>
      </c>
    </row>
    <row r="804" spans="1:25" ht="15" customHeight="1" x14ac:dyDescent="0.25">
      <c r="A804" s="20" t="s">
        <v>6049</v>
      </c>
      <c r="B804" s="14" t="s">
        <v>6050</v>
      </c>
      <c r="C804" s="71" t="str">
        <f t="shared" si="12"/>
        <v>Product Info</v>
      </c>
      <c r="D804" s="37" t="s">
        <v>6973</v>
      </c>
      <c r="E804" s="143">
        <v>100</v>
      </c>
      <c r="F804" s="12" t="s">
        <v>2170</v>
      </c>
      <c r="G804" s="38">
        <v>4.46</v>
      </c>
      <c r="H804" s="38">
        <v>3.79</v>
      </c>
      <c r="I804" s="38">
        <v>3.12</v>
      </c>
      <c r="J804" s="39"/>
      <c r="K804" s="143"/>
      <c r="L804" s="22">
        <v>0.09</v>
      </c>
      <c r="M804" s="22" t="s">
        <v>14396</v>
      </c>
      <c r="N804" s="20" t="s">
        <v>8779</v>
      </c>
      <c r="O804" s="16" t="s">
        <v>12608</v>
      </c>
      <c r="P804" s="143">
        <v>141</v>
      </c>
      <c r="Q804" s="121" t="s">
        <v>14285</v>
      </c>
      <c r="R804" s="16" t="s">
        <v>9235</v>
      </c>
      <c r="S804" s="10" t="s">
        <v>1165</v>
      </c>
      <c r="T804" s="28" t="s">
        <v>10006</v>
      </c>
      <c r="U804" s="20" t="s">
        <v>5359</v>
      </c>
      <c r="V804" s="16" t="s">
        <v>8466</v>
      </c>
      <c r="W804" s="11" t="s">
        <v>13938</v>
      </c>
      <c r="X804" s="174">
        <v>2.88</v>
      </c>
      <c r="Y804" s="174">
        <v>3.79</v>
      </c>
    </row>
    <row r="805" spans="1:25" ht="15" customHeight="1" x14ac:dyDescent="0.25">
      <c r="A805" s="20" t="s">
        <v>6051</v>
      </c>
      <c r="B805" s="14" t="s">
        <v>6052</v>
      </c>
      <c r="C805" s="71" t="str">
        <f t="shared" si="12"/>
        <v>Product Info</v>
      </c>
      <c r="D805" s="37" t="s">
        <v>6974</v>
      </c>
      <c r="E805" s="143">
        <v>100</v>
      </c>
      <c r="F805" s="12" t="s">
        <v>2170</v>
      </c>
      <c r="G805" s="38">
        <v>4.46</v>
      </c>
      <c r="H805" s="38">
        <v>3.79</v>
      </c>
      <c r="I805" s="38">
        <v>3.12</v>
      </c>
      <c r="J805" s="39"/>
      <c r="K805" s="143"/>
      <c r="L805" s="22">
        <v>9.1999999999999998E-2</v>
      </c>
      <c r="M805" s="22" t="s">
        <v>14396</v>
      </c>
      <c r="N805" s="20" t="s">
        <v>8779</v>
      </c>
      <c r="O805" s="16" t="s">
        <v>13914</v>
      </c>
      <c r="P805" s="143">
        <v>141</v>
      </c>
      <c r="Q805" s="122" t="s">
        <v>9227</v>
      </c>
      <c r="R805" s="16" t="s">
        <v>9235</v>
      </c>
      <c r="S805" s="10" t="s">
        <v>1165</v>
      </c>
      <c r="T805" s="28" t="s">
        <v>10007</v>
      </c>
      <c r="U805" s="20" t="s">
        <v>5359</v>
      </c>
      <c r="V805" s="16" t="s">
        <v>8467</v>
      </c>
      <c r="W805" s="11" t="s">
        <v>13938</v>
      </c>
      <c r="X805" s="174">
        <v>2.88</v>
      </c>
      <c r="Y805" s="174">
        <v>3.79</v>
      </c>
    </row>
    <row r="806" spans="1:25" ht="15" customHeight="1" x14ac:dyDescent="0.25">
      <c r="A806" s="20" t="s">
        <v>2217</v>
      </c>
      <c r="B806" s="14" t="s">
        <v>2218</v>
      </c>
      <c r="C806" s="71" t="str">
        <f t="shared" si="12"/>
        <v>Product Info</v>
      </c>
      <c r="D806" s="37" t="s">
        <v>6975</v>
      </c>
      <c r="E806" s="143">
        <v>100</v>
      </c>
      <c r="F806" s="12" t="s">
        <v>2170</v>
      </c>
      <c r="G806" s="38">
        <v>4.1399999999999997</v>
      </c>
      <c r="H806" s="38">
        <v>3.52</v>
      </c>
      <c r="I806" s="38">
        <v>2.9</v>
      </c>
      <c r="J806" s="39"/>
      <c r="K806" s="143"/>
      <c r="L806" s="22">
        <v>8.5000000000000006E-2</v>
      </c>
      <c r="M806" s="22" t="s">
        <v>2170</v>
      </c>
      <c r="N806" s="20" t="s">
        <v>14489</v>
      </c>
      <c r="O806" s="16" t="s">
        <v>13914</v>
      </c>
      <c r="P806" s="143">
        <v>141</v>
      </c>
      <c r="Q806" s="121" t="s">
        <v>14285</v>
      </c>
      <c r="R806" s="16" t="s">
        <v>9235</v>
      </c>
      <c r="S806" s="10" t="s">
        <v>1165</v>
      </c>
      <c r="T806" s="28" t="s">
        <v>10008</v>
      </c>
      <c r="U806" s="20" t="s">
        <v>5359</v>
      </c>
      <c r="V806" s="16" t="s">
        <v>8468</v>
      </c>
      <c r="W806" s="11" t="s">
        <v>13938</v>
      </c>
      <c r="X806" s="174">
        <v>2.67</v>
      </c>
      <c r="Y806" s="174">
        <v>3.52</v>
      </c>
    </row>
    <row r="807" spans="1:25" ht="15" customHeight="1" x14ac:dyDescent="0.25">
      <c r="A807" s="20" t="s">
        <v>2219</v>
      </c>
      <c r="B807" s="14" t="s">
        <v>6337</v>
      </c>
      <c r="C807" s="71" t="str">
        <f t="shared" si="12"/>
        <v>Product Info</v>
      </c>
      <c r="D807" s="37" t="s">
        <v>6976</v>
      </c>
      <c r="E807" s="143">
        <v>100</v>
      </c>
      <c r="F807" s="12" t="s">
        <v>2170</v>
      </c>
      <c r="G807" s="38">
        <v>4.3099999999999996</v>
      </c>
      <c r="H807" s="38">
        <v>3.67</v>
      </c>
      <c r="I807" s="38">
        <v>3.02</v>
      </c>
      <c r="J807" s="39"/>
      <c r="K807" s="143"/>
      <c r="L807" s="22">
        <v>0.04</v>
      </c>
      <c r="M807" s="22" t="s">
        <v>14394</v>
      </c>
      <c r="N807" s="20" t="s">
        <v>14489</v>
      </c>
      <c r="O807" s="16">
        <v>0</v>
      </c>
      <c r="P807" s="143">
        <v>141</v>
      </c>
      <c r="Q807" s="122" t="s">
        <v>12421</v>
      </c>
      <c r="R807" s="16" t="s">
        <v>9235</v>
      </c>
      <c r="S807" s="10" t="s">
        <v>1165</v>
      </c>
      <c r="T807" s="28" t="s">
        <v>10009</v>
      </c>
      <c r="U807" s="20" t="s">
        <v>5359</v>
      </c>
      <c r="V807" s="16" t="s">
        <v>8469</v>
      </c>
      <c r="W807" s="11" t="s">
        <v>13938</v>
      </c>
      <c r="X807" s="174">
        <v>2.78</v>
      </c>
      <c r="Y807" s="174">
        <v>3.67</v>
      </c>
    </row>
    <row r="808" spans="1:25" ht="15" customHeight="1" x14ac:dyDescent="0.25">
      <c r="A808" s="20" t="s">
        <v>6338</v>
      </c>
      <c r="B808" s="14" t="s">
        <v>6339</v>
      </c>
      <c r="C808" s="71" t="str">
        <f t="shared" si="12"/>
        <v>Product Info</v>
      </c>
      <c r="D808" s="37" t="s">
        <v>6977</v>
      </c>
      <c r="E808" s="143">
        <v>100</v>
      </c>
      <c r="F808" s="12" t="s">
        <v>2170</v>
      </c>
      <c r="G808" s="38">
        <v>4.3099999999999996</v>
      </c>
      <c r="H808" s="38">
        <v>3.67</v>
      </c>
      <c r="I808" s="38">
        <v>3.02</v>
      </c>
      <c r="J808" s="39"/>
      <c r="K808" s="143"/>
      <c r="L808" s="22">
        <v>8.7999999999999995E-2</v>
      </c>
      <c r="M808" s="22" t="s">
        <v>12488</v>
      </c>
      <c r="N808" s="20" t="s">
        <v>8779</v>
      </c>
      <c r="O808" s="16" t="s">
        <v>12608</v>
      </c>
      <c r="P808" s="143">
        <v>141</v>
      </c>
      <c r="Q808" s="122" t="s">
        <v>12421</v>
      </c>
      <c r="R808" s="16" t="s">
        <v>9235</v>
      </c>
      <c r="S808" s="10" t="s">
        <v>1165</v>
      </c>
      <c r="T808" s="28" t="s">
        <v>10010</v>
      </c>
      <c r="U808" s="20" t="s">
        <v>5359</v>
      </c>
      <c r="V808" s="16" t="s">
        <v>8470</v>
      </c>
      <c r="W808" s="11" t="s">
        <v>13938</v>
      </c>
      <c r="X808" s="174">
        <v>2.78</v>
      </c>
      <c r="Y808" s="174">
        <v>3.67</v>
      </c>
    </row>
    <row r="809" spans="1:25" ht="15" customHeight="1" x14ac:dyDescent="0.25">
      <c r="A809" s="20" t="s">
        <v>6340</v>
      </c>
      <c r="B809" s="14" t="s">
        <v>6341</v>
      </c>
      <c r="C809" s="71" t="str">
        <f t="shared" si="12"/>
        <v>Product Info</v>
      </c>
      <c r="D809" s="37" t="s">
        <v>6978</v>
      </c>
      <c r="E809" s="143">
        <v>100</v>
      </c>
      <c r="F809" s="12" t="s">
        <v>2170</v>
      </c>
      <c r="G809" s="38">
        <v>4.3099999999999996</v>
      </c>
      <c r="H809" s="38">
        <v>3.67</v>
      </c>
      <c r="I809" s="38">
        <v>3.02</v>
      </c>
      <c r="J809" s="39"/>
      <c r="K809" s="143"/>
      <c r="L809" s="22">
        <v>0.1</v>
      </c>
      <c r="M809" s="22" t="s">
        <v>14394</v>
      </c>
      <c r="N809" s="20" t="s">
        <v>14489</v>
      </c>
      <c r="O809" s="16">
        <v>0</v>
      </c>
      <c r="P809" s="143">
        <v>141</v>
      </c>
      <c r="Q809" s="122" t="s">
        <v>12421</v>
      </c>
      <c r="R809" s="16" t="s">
        <v>9235</v>
      </c>
      <c r="S809" s="10" t="s">
        <v>1165</v>
      </c>
      <c r="T809" s="28" t="s">
        <v>10011</v>
      </c>
      <c r="U809" s="20" t="s">
        <v>5359</v>
      </c>
      <c r="V809" s="16" t="s">
        <v>8471</v>
      </c>
      <c r="W809" s="11" t="s">
        <v>13938</v>
      </c>
      <c r="X809" s="174">
        <v>2.78</v>
      </c>
      <c r="Y809" s="174">
        <v>3.67</v>
      </c>
    </row>
    <row r="810" spans="1:25" ht="15" customHeight="1" x14ac:dyDescent="0.25">
      <c r="A810" s="20" t="s">
        <v>6342</v>
      </c>
      <c r="B810" s="14" t="s">
        <v>6343</v>
      </c>
      <c r="C810" s="71" t="str">
        <f t="shared" si="12"/>
        <v>Product Info</v>
      </c>
      <c r="D810" s="37" t="s">
        <v>6979</v>
      </c>
      <c r="E810" s="143">
        <v>100</v>
      </c>
      <c r="F810" s="12" t="s">
        <v>2170</v>
      </c>
      <c r="G810" s="38">
        <v>4.3099999999999996</v>
      </c>
      <c r="H810" s="38">
        <v>3.67</v>
      </c>
      <c r="I810" s="38">
        <v>3.02</v>
      </c>
      <c r="J810" s="39"/>
      <c r="K810" s="143"/>
      <c r="L810" s="22">
        <v>0</v>
      </c>
      <c r="M810" s="22" t="s">
        <v>2170</v>
      </c>
      <c r="N810" s="20" t="s">
        <v>14489</v>
      </c>
      <c r="O810" s="16">
        <v>0</v>
      </c>
      <c r="P810" s="143">
        <v>141</v>
      </c>
      <c r="Q810" s="122" t="s">
        <v>12421</v>
      </c>
      <c r="R810" s="16" t="s">
        <v>9235</v>
      </c>
      <c r="S810" s="10" t="s">
        <v>1165</v>
      </c>
      <c r="T810" s="28" t="s">
        <v>10012</v>
      </c>
      <c r="U810" s="20" t="s">
        <v>5359</v>
      </c>
      <c r="V810" s="16" t="s">
        <v>8472</v>
      </c>
      <c r="W810" s="11" t="s">
        <v>13938</v>
      </c>
      <c r="X810" s="174">
        <v>2.78</v>
      </c>
      <c r="Y810" s="174">
        <v>3.67</v>
      </c>
    </row>
    <row r="811" spans="1:25" ht="15" customHeight="1" x14ac:dyDescent="0.25">
      <c r="A811" s="20" t="s">
        <v>6344</v>
      </c>
      <c r="B811" s="14" t="s">
        <v>6345</v>
      </c>
      <c r="C811" s="71" t="str">
        <f t="shared" si="12"/>
        <v>Product Info</v>
      </c>
      <c r="D811" s="37" t="s">
        <v>6980</v>
      </c>
      <c r="E811" s="143">
        <v>100</v>
      </c>
      <c r="F811" s="12" t="s">
        <v>2170</v>
      </c>
      <c r="G811" s="38">
        <v>4.3099999999999996</v>
      </c>
      <c r="H811" s="38">
        <v>3.67</v>
      </c>
      <c r="I811" s="38">
        <v>3.02</v>
      </c>
      <c r="J811" s="39"/>
      <c r="K811" s="143"/>
      <c r="L811" s="22">
        <v>0.09</v>
      </c>
      <c r="M811" s="22" t="s">
        <v>14396</v>
      </c>
      <c r="N811" s="20" t="s">
        <v>8779</v>
      </c>
      <c r="O811" s="16" t="s">
        <v>13914</v>
      </c>
      <c r="P811" s="143">
        <v>141</v>
      </c>
      <c r="Q811" s="121" t="s">
        <v>14285</v>
      </c>
      <c r="R811" s="16" t="s">
        <v>9235</v>
      </c>
      <c r="S811" s="10" t="s">
        <v>1165</v>
      </c>
      <c r="T811" s="28" t="s">
        <v>10013</v>
      </c>
      <c r="U811" s="20" t="s">
        <v>5359</v>
      </c>
      <c r="V811" s="16" t="s">
        <v>8473</v>
      </c>
      <c r="W811" s="11" t="s">
        <v>13938</v>
      </c>
      <c r="X811" s="174">
        <v>2.78</v>
      </c>
      <c r="Y811" s="174">
        <v>3.67</v>
      </c>
    </row>
    <row r="812" spans="1:25" ht="15" customHeight="1" x14ac:dyDescent="0.25">
      <c r="A812" s="20" t="s">
        <v>6346</v>
      </c>
      <c r="B812" s="14" t="s">
        <v>6347</v>
      </c>
      <c r="C812" s="71" t="str">
        <f t="shared" si="12"/>
        <v>Product Info</v>
      </c>
      <c r="D812" s="37" t="s">
        <v>6981</v>
      </c>
      <c r="E812" s="143">
        <v>100</v>
      </c>
      <c r="F812" s="12" t="s">
        <v>2170</v>
      </c>
      <c r="G812" s="38">
        <v>4.3099999999999996</v>
      </c>
      <c r="H812" s="38">
        <v>3.67</v>
      </c>
      <c r="I812" s="38">
        <v>3.02</v>
      </c>
      <c r="J812" s="39"/>
      <c r="K812" s="143"/>
      <c r="L812" s="22">
        <v>0</v>
      </c>
      <c r="M812" s="22">
        <v>0</v>
      </c>
      <c r="N812" s="20" t="s">
        <v>14489</v>
      </c>
      <c r="O812" s="16">
        <v>0</v>
      </c>
      <c r="P812" s="143">
        <v>141</v>
      </c>
      <c r="Q812" s="121" t="s">
        <v>14285</v>
      </c>
      <c r="R812" s="16" t="s">
        <v>9235</v>
      </c>
      <c r="S812" s="10" t="s">
        <v>1165</v>
      </c>
      <c r="T812" s="28" t="s">
        <v>10014</v>
      </c>
      <c r="U812" s="20" t="s">
        <v>5359</v>
      </c>
      <c r="V812" s="16" t="s">
        <v>8474</v>
      </c>
      <c r="W812" s="11" t="s">
        <v>13938</v>
      </c>
      <c r="X812" s="174">
        <v>2.78</v>
      </c>
      <c r="Y812" s="174">
        <v>3.67</v>
      </c>
    </row>
    <row r="813" spans="1:25" ht="15" customHeight="1" x14ac:dyDescent="0.25">
      <c r="A813" s="20" t="s">
        <v>6348</v>
      </c>
      <c r="B813" s="14" t="s">
        <v>6349</v>
      </c>
      <c r="C813" s="71" t="str">
        <f t="shared" si="12"/>
        <v>Product Info</v>
      </c>
      <c r="D813" s="37" t="s">
        <v>6982</v>
      </c>
      <c r="E813" s="143">
        <v>100</v>
      </c>
      <c r="F813" s="12" t="s">
        <v>2170</v>
      </c>
      <c r="G813" s="38">
        <v>4.3099999999999996</v>
      </c>
      <c r="H813" s="38">
        <v>3.67</v>
      </c>
      <c r="I813" s="38">
        <v>3.02</v>
      </c>
      <c r="J813" s="39"/>
      <c r="K813" s="143"/>
      <c r="L813" s="22">
        <v>0.1</v>
      </c>
      <c r="M813" s="22" t="s">
        <v>12488</v>
      </c>
      <c r="N813" s="20" t="s">
        <v>8779</v>
      </c>
      <c r="O813" s="16" t="s">
        <v>12608</v>
      </c>
      <c r="P813" s="143">
        <v>141</v>
      </c>
      <c r="Q813" s="121" t="s">
        <v>14285</v>
      </c>
      <c r="R813" s="16" t="s">
        <v>9235</v>
      </c>
      <c r="S813" s="10" t="s">
        <v>1165</v>
      </c>
      <c r="T813" s="28" t="s">
        <v>10015</v>
      </c>
      <c r="U813" s="20" t="s">
        <v>5359</v>
      </c>
      <c r="V813" s="16" t="s">
        <v>8475</v>
      </c>
      <c r="W813" s="11" t="s">
        <v>13938</v>
      </c>
      <c r="X813" s="174">
        <v>2.78</v>
      </c>
      <c r="Y813" s="174">
        <v>3.67</v>
      </c>
    </row>
    <row r="814" spans="1:25" ht="15" customHeight="1" x14ac:dyDescent="0.25">
      <c r="A814" s="20" t="s">
        <v>6350</v>
      </c>
      <c r="B814" s="14" t="s">
        <v>6351</v>
      </c>
      <c r="C814" s="71" t="str">
        <f t="shared" si="12"/>
        <v>Product Info</v>
      </c>
      <c r="D814" s="37" t="s">
        <v>6983</v>
      </c>
      <c r="E814" s="143">
        <v>100</v>
      </c>
      <c r="F814" s="12" t="s">
        <v>2170</v>
      </c>
      <c r="G814" s="38">
        <v>4.3099999999999996</v>
      </c>
      <c r="H814" s="38">
        <v>3.67</v>
      </c>
      <c r="I814" s="38">
        <v>3.02</v>
      </c>
      <c r="J814" s="39"/>
      <c r="K814" s="143"/>
      <c r="L814" s="22">
        <v>4.9796E-2</v>
      </c>
      <c r="M814" s="22" t="s">
        <v>14394</v>
      </c>
      <c r="N814" s="20" t="s">
        <v>14489</v>
      </c>
      <c r="O814" s="16" t="s">
        <v>14482</v>
      </c>
      <c r="P814" s="143">
        <v>141</v>
      </c>
      <c r="Q814" s="121" t="s">
        <v>14285</v>
      </c>
      <c r="R814" s="16" t="s">
        <v>9235</v>
      </c>
      <c r="S814" s="10" t="s">
        <v>1165</v>
      </c>
      <c r="T814" s="28" t="s">
        <v>10016</v>
      </c>
      <c r="U814" s="20" t="s">
        <v>5359</v>
      </c>
      <c r="V814" s="16" t="s">
        <v>8476</v>
      </c>
      <c r="W814" s="11" t="s">
        <v>13938</v>
      </c>
      <c r="X814" s="174">
        <v>2.78</v>
      </c>
      <c r="Y814" s="174">
        <v>3.67</v>
      </c>
    </row>
    <row r="815" spans="1:25" ht="15" customHeight="1" x14ac:dyDescent="0.25">
      <c r="A815" s="20" t="s">
        <v>1390</v>
      </c>
      <c r="B815" s="14" t="s">
        <v>1391</v>
      </c>
      <c r="C815" s="71" t="str">
        <f t="shared" si="12"/>
        <v>Product Info</v>
      </c>
      <c r="D815" s="37" t="s">
        <v>6984</v>
      </c>
      <c r="E815" s="143">
        <v>100</v>
      </c>
      <c r="F815" s="12" t="s">
        <v>2170</v>
      </c>
      <c r="G815" s="38">
        <v>4.3099999999999996</v>
      </c>
      <c r="H815" s="38">
        <v>3.67</v>
      </c>
      <c r="I815" s="38">
        <v>3.02</v>
      </c>
      <c r="J815" s="39"/>
      <c r="K815" s="143"/>
      <c r="L815" s="22">
        <v>0.12</v>
      </c>
      <c r="M815" s="22" t="s">
        <v>12488</v>
      </c>
      <c r="N815" s="20" t="s">
        <v>8784</v>
      </c>
      <c r="O815" s="16" t="s">
        <v>12608</v>
      </c>
      <c r="P815" s="143">
        <v>141</v>
      </c>
      <c r="Q815" s="122" t="s">
        <v>9227</v>
      </c>
      <c r="R815" s="16" t="s">
        <v>9235</v>
      </c>
      <c r="S815" s="10" t="s">
        <v>1165</v>
      </c>
      <c r="T815" s="28" t="s">
        <v>10017</v>
      </c>
      <c r="U815" s="20" t="s">
        <v>5359</v>
      </c>
      <c r="V815" s="16" t="s">
        <v>8477</v>
      </c>
      <c r="W815" s="11" t="s">
        <v>13938</v>
      </c>
      <c r="X815" s="174">
        <v>2.78</v>
      </c>
      <c r="Y815" s="174">
        <v>3.67</v>
      </c>
    </row>
    <row r="816" spans="1:25" ht="15" customHeight="1" x14ac:dyDescent="0.25">
      <c r="A816" s="20" t="s">
        <v>1392</v>
      </c>
      <c r="B816" s="14" t="s">
        <v>1393</v>
      </c>
      <c r="C816" s="71" t="str">
        <f t="shared" si="12"/>
        <v>Product Info</v>
      </c>
      <c r="D816" s="37" t="s">
        <v>6985</v>
      </c>
      <c r="E816" s="143">
        <v>100</v>
      </c>
      <c r="F816" s="12" t="s">
        <v>2170</v>
      </c>
      <c r="G816" s="38">
        <v>4.3099999999999996</v>
      </c>
      <c r="H816" s="38">
        <v>3.67</v>
      </c>
      <c r="I816" s="38">
        <v>3.02</v>
      </c>
      <c r="J816" s="39"/>
      <c r="K816" s="143"/>
      <c r="L816" s="22">
        <v>0.11</v>
      </c>
      <c r="M816" s="22" t="s">
        <v>12488</v>
      </c>
      <c r="N816" s="20" t="s">
        <v>8779</v>
      </c>
      <c r="O816" s="16" t="s">
        <v>12608</v>
      </c>
      <c r="P816" s="143">
        <v>141</v>
      </c>
      <c r="Q816" s="121" t="s">
        <v>14285</v>
      </c>
      <c r="R816" s="16" t="s">
        <v>9235</v>
      </c>
      <c r="S816" s="10" t="s">
        <v>1165</v>
      </c>
      <c r="T816" s="28" t="s">
        <v>10018</v>
      </c>
      <c r="U816" s="20" t="s">
        <v>5359</v>
      </c>
      <c r="V816" s="16" t="s">
        <v>8478</v>
      </c>
      <c r="W816" s="11" t="s">
        <v>13938</v>
      </c>
      <c r="X816" s="174">
        <v>2.78</v>
      </c>
      <c r="Y816" s="174">
        <v>3.67</v>
      </c>
    </row>
    <row r="817" spans="1:25" ht="15" customHeight="1" x14ac:dyDescent="0.25">
      <c r="A817" s="20" t="s">
        <v>1394</v>
      </c>
      <c r="B817" s="14" t="s">
        <v>1395</v>
      </c>
      <c r="C817" s="71" t="str">
        <f t="shared" si="12"/>
        <v>Product Info</v>
      </c>
      <c r="D817" s="37" t="s">
        <v>6986</v>
      </c>
      <c r="E817" s="143">
        <v>100</v>
      </c>
      <c r="F817" s="12" t="s">
        <v>2170</v>
      </c>
      <c r="G817" s="38">
        <v>4.3099999999999996</v>
      </c>
      <c r="H817" s="38">
        <v>3.67</v>
      </c>
      <c r="I817" s="38">
        <v>3.02</v>
      </c>
      <c r="J817" s="39"/>
      <c r="K817" s="143"/>
      <c r="L817" s="22">
        <v>0.111</v>
      </c>
      <c r="M817" s="22" t="s">
        <v>14394</v>
      </c>
      <c r="N817" s="20" t="s">
        <v>14489</v>
      </c>
      <c r="O817" s="16">
        <v>0</v>
      </c>
      <c r="P817" s="143">
        <v>141</v>
      </c>
      <c r="Q817" s="121" t="s">
        <v>14285</v>
      </c>
      <c r="R817" s="16" t="s">
        <v>9235</v>
      </c>
      <c r="S817" s="10" t="s">
        <v>1165</v>
      </c>
      <c r="T817" s="28" t="s">
        <v>10019</v>
      </c>
      <c r="U817" s="20" t="s">
        <v>5359</v>
      </c>
      <c r="V817" s="16" t="s">
        <v>8479</v>
      </c>
      <c r="W817" s="11" t="s">
        <v>13938</v>
      </c>
      <c r="X817" s="174">
        <v>2.78</v>
      </c>
      <c r="Y817" s="174">
        <v>3.67</v>
      </c>
    </row>
    <row r="818" spans="1:25" ht="15" customHeight="1" x14ac:dyDescent="0.25">
      <c r="A818" s="20" t="s">
        <v>1396</v>
      </c>
      <c r="B818" s="14" t="s">
        <v>1397</v>
      </c>
      <c r="C818" s="71" t="str">
        <f t="shared" si="12"/>
        <v>Product Info</v>
      </c>
      <c r="D818" s="37" t="s">
        <v>6987</v>
      </c>
      <c r="E818" s="143">
        <v>100</v>
      </c>
      <c r="F818" s="12" t="s">
        <v>2170</v>
      </c>
      <c r="G818" s="38">
        <v>4.3099999999999996</v>
      </c>
      <c r="H818" s="38">
        <v>3.67</v>
      </c>
      <c r="I818" s="38">
        <v>3.02</v>
      </c>
      <c r="J818" s="39"/>
      <c r="K818" s="143"/>
      <c r="L818" s="22">
        <v>0.1</v>
      </c>
      <c r="M818" s="22" t="s">
        <v>14394</v>
      </c>
      <c r="N818" s="20" t="s">
        <v>14489</v>
      </c>
      <c r="O818" s="16">
        <v>0</v>
      </c>
      <c r="P818" s="143">
        <v>141</v>
      </c>
      <c r="Q818" s="121" t="s">
        <v>14285</v>
      </c>
      <c r="R818" s="16" t="s">
        <v>9235</v>
      </c>
      <c r="S818" s="10" t="s">
        <v>1165</v>
      </c>
      <c r="T818" s="28" t="s">
        <v>10020</v>
      </c>
      <c r="U818" s="20" t="s">
        <v>5359</v>
      </c>
      <c r="V818" s="16" t="s">
        <v>8480</v>
      </c>
      <c r="W818" s="11" t="s">
        <v>13938</v>
      </c>
      <c r="X818" s="174">
        <v>2.78</v>
      </c>
      <c r="Y818" s="174">
        <v>3.67</v>
      </c>
    </row>
    <row r="819" spans="1:25" ht="15" customHeight="1" x14ac:dyDescent="0.25">
      <c r="A819" s="20" t="s">
        <v>1398</v>
      </c>
      <c r="B819" s="14" t="s">
        <v>1399</v>
      </c>
      <c r="C819" s="71" t="str">
        <f t="shared" si="12"/>
        <v>Product Info</v>
      </c>
      <c r="D819" s="37" t="s">
        <v>6988</v>
      </c>
      <c r="E819" s="143">
        <v>2</v>
      </c>
      <c r="F819" s="12" t="s">
        <v>2170</v>
      </c>
      <c r="G819" s="38">
        <v>73.739999999999995</v>
      </c>
      <c r="H819" s="38">
        <v>62.68</v>
      </c>
      <c r="I819" s="38">
        <v>51.62</v>
      </c>
      <c r="J819" s="39"/>
      <c r="K819" s="143"/>
      <c r="L819" s="22">
        <v>2.0750000000000002</v>
      </c>
      <c r="M819" s="22" t="s">
        <v>2170</v>
      </c>
      <c r="N819" s="20" t="s">
        <v>14489</v>
      </c>
      <c r="O819" s="16" t="s">
        <v>13914</v>
      </c>
      <c r="P819" s="143" t="s">
        <v>12611</v>
      </c>
      <c r="Q819" s="122" t="s">
        <v>9227</v>
      </c>
      <c r="R819" s="16" t="s">
        <v>9235</v>
      </c>
      <c r="S819" s="10" t="s">
        <v>1165</v>
      </c>
      <c r="T819" s="28" t="s">
        <v>10021</v>
      </c>
      <c r="U819" s="20" t="s">
        <v>5359</v>
      </c>
      <c r="V819" s="16" t="s">
        <v>8481</v>
      </c>
      <c r="W819" s="11" t="s">
        <v>14395</v>
      </c>
      <c r="X819" s="174">
        <v>46.34</v>
      </c>
      <c r="Y819" s="174">
        <v>62.68</v>
      </c>
    </row>
    <row r="820" spans="1:25" ht="15" customHeight="1" x14ac:dyDescent="0.25">
      <c r="A820" s="20" t="s">
        <v>1400</v>
      </c>
      <c r="B820" s="14" t="s">
        <v>1401</v>
      </c>
      <c r="C820" s="71" t="str">
        <f t="shared" si="12"/>
        <v>Product Info</v>
      </c>
      <c r="D820" s="37" t="s">
        <v>6989</v>
      </c>
      <c r="E820" s="143">
        <v>2</v>
      </c>
      <c r="F820" s="12" t="s">
        <v>4992</v>
      </c>
      <c r="G820" s="38">
        <v>74.459999999999994</v>
      </c>
      <c r="H820" s="38">
        <v>63.29</v>
      </c>
      <c r="I820" s="38">
        <v>52.12</v>
      </c>
      <c r="J820" s="39"/>
      <c r="K820" s="143"/>
      <c r="L820" s="22">
        <v>0</v>
      </c>
      <c r="M820" s="22" t="s">
        <v>14396</v>
      </c>
      <c r="N820" s="20" t="s">
        <v>14489</v>
      </c>
      <c r="O820" s="16" t="s">
        <v>4992</v>
      </c>
      <c r="P820" s="143" t="s">
        <v>12611</v>
      </c>
      <c r="Q820" s="122" t="s">
        <v>9227</v>
      </c>
      <c r="R820" s="16" t="s">
        <v>9235</v>
      </c>
      <c r="S820" s="10" t="s">
        <v>1165</v>
      </c>
      <c r="T820" s="28" t="s">
        <v>10022</v>
      </c>
      <c r="U820" s="20" t="s">
        <v>5359</v>
      </c>
      <c r="V820" s="16" t="s">
        <v>8482</v>
      </c>
      <c r="W820" s="11" t="s">
        <v>14395</v>
      </c>
      <c r="X820" s="174">
        <v>46.78</v>
      </c>
      <c r="Y820" s="174">
        <v>63.29</v>
      </c>
    </row>
    <row r="821" spans="1:25" ht="15" customHeight="1" x14ac:dyDescent="0.25">
      <c r="A821" s="20" t="s">
        <v>1402</v>
      </c>
      <c r="B821" s="14" t="s">
        <v>1403</v>
      </c>
      <c r="C821" s="71" t="str">
        <f t="shared" si="12"/>
        <v>Product Info</v>
      </c>
      <c r="D821" s="37" t="s">
        <v>6990</v>
      </c>
      <c r="E821" s="143">
        <v>25</v>
      </c>
      <c r="F821" s="12" t="s">
        <v>2170</v>
      </c>
      <c r="G821" s="38">
        <v>34.67</v>
      </c>
      <c r="H821" s="38">
        <v>29.47</v>
      </c>
      <c r="I821" s="38">
        <v>24.27</v>
      </c>
      <c r="J821" s="39"/>
      <c r="K821" s="143"/>
      <c r="L821" s="22">
        <v>0.125</v>
      </c>
      <c r="M821" s="22" t="s">
        <v>14394</v>
      </c>
      <c r="N821" s="20" t="s">
        <v>14489</v>
      </c>
      <c r="O821" s="16" t="s">
        <v>13914</v>
      </c>
      <c r="P821" s="143">
        <v>364</v>
      </c>
      <c r="Q821" s="122" t="s">
        <v>12421</v>
      </c>
      <c r="R821" s="16" t="s">
        <v>9235</v>
      </c>
      <c r="S821" s="10" t="s">
        <v>1165</v>
      </c>
      <c r="T821" s="28" t="s">
        <v>10023</v>
      </c>
      <c r="U821" s="20" t="s">
        <v>5359</v>
      </c>
      <c r="V821" s="16" t="s">
        <v>8483</v>
      </c>
      <c r="W821" s="11" t="s">
        <v>14395</v>
      </c>
      <c r="X821" s="174">
        <v>22.06</v>
      </c>
      <c r="Y821" s="174">
        <v>29.47</v>
      </c>
    </row>
    <row r="822" spans="1:25" ht="15" customHeight="1" x14ac:dyDescent="0.25">
      <c r="A822" s="20" t="s">
        <v>1404</v>
      </c>
      <c r="B822" s="14" t="s">
        <v>1405</v>
      </c>
      <c r="C822" s="71" t="str">
        <f t="shared" si="12"/>
        <v>Product Info</v>
      </c>
      <c r="D822" s="37" t="s">
        <v>6991</v>
      </c>
      <c r="E822" s="143">
        <v>25</v>
      </c>
      <c r="F822" s="12" t="s">
        <v>2170</v>
      </c>
      <c r="G822" s="38">
        <v>34.67</v>
      </c>
      <c r="H822" s="38">
        <v>29.47</v>
      </c>
      <c r="I822" s="38">
        <v>24.27</v>
      </c>
      <c r="J822" s="39"/>
      <c r="K822" s="143"/>
      <c r="L822" s="22">
        <v>0.76</v>
      </c>
      <c r="M822" s="22" t="s">
        <v>12488</v>
      </c>
      <c r="N822" s="20" t="s">
        <v>8778</v>
      </c>
      <c r="O822" s="16" t="s">
        <v>12608</v>
      </c>
      <c r="P822" s="143">
        <v>364</v>
      </c>
      <c r="Q822" s="122" t="s">
        <v>12421</v>
      </c>
      <c r="R822" s="16" t="s">
        <v>9235</v>
      </c>
      <c r="S822" s="10" t="s">
        <v>1165</v>
      </c>
      <c r="T822" s="28" t="s">
        <v>10024</v>
      </c>
      <c r="U822" s="20" t="s">
        <v>5359</v>
      </c>
      <c r="V822" s="16" t="s">
        <v>8484</v>
      </c>
      <c r="W822" s="11" t="s">
        <v>14395</v>
      </c>
      <c r="X822" s="174">
        <v>22.06</v>
      </c>
      <c r="Y822" s="174">
        <v>29.47</v>
      </c>
    </row>
    <row r="823" spans="1:25" ht="15" customHeight="1" x14ac:dyDescent="0.25">
      <c r="A823" s="20" t="s">
        <v>1406</v>
      </c>
      <c r="B823" s="14" t="s">
        <v>1407</v>
      </c>
      <c r="C823" s="71" t="str">
        <f t="shared" si="12"/>
        <v>Product Info</v>
      </c>
      <c r="D823" s="37" t="s">
        <v>6992</v>
      </c>
      <c r="E823" s="143">
        <v>25</v>
      </c>
      <c r="F823" s="12" t="s">
        <v>2170</v>
      </c>
      <c r="G823" s="38">
        <v>34.67</v>
      </c>
      <c r="H823" s="38">
        <v>29.47</v>
      </c>
      <c r="I823" s="38">
        <v>24.27</v>
      </c>
      <c r="J823" s="39"/>
      <c r="K823" s="143"/>
      <c r="L823" s="22">
        <v>0.76</v>
      </c>
      <c r="M823" s="22" t="s">
        <v>12488</v>
      </c>
      <c r="N823" s="20" t="s">
        <v>8778</v>
      </c>
      <c r="O823" s="16" t="s">
        <v>12608</v>
      </c>
      <c r="P823" s="143">
        <v>364</v>
      </c>
      <c r="Q823" s="122" t="s">
        <v>12421</v>
      </c>
      <c r="R823" s="16" t="s">
        <v>9235</v>
      </c>
      <c r="S823" s="10" t="s">
        <v>1165</v>
      </c>
      <c r="T823" s="28" t="s">
        <v>10025</v>
      </c>
      <c r="U823" s="20" t="s">
        <v>5359</v>
      </c>
      <c r="V823" s="16" t="s">
        <v>8485</v>
      </c>
      <c r="W823" s="11" t="s">
        <v>14395</v>
      </c>
      <c r="X823" s="174">
        <v>22.06</v>
      </c>
      <c r="Y823" s="174">
        <v>29.47</v>
      </c>
    </row>
    <row r="824" spans="1:25" ht="15" customHeight="1" x14ac:dyDescent="0.25">
      <c r="A824" s="20" t="s">
        <v>1408</v>
      </c>
      <c r="B824" s="14" t="s">
        <v>1409</v>
      </c>
      <c r="C824" s="71" t="str">
        <f t="shared" si="12"/>
        <v>Product Info</v>
      </c>
      <c r="D824" s="37" t="s">
        <v>6993</v>
      </c>
      <c r="E824" s="143">
        <v>25</v>
      </c>
      <c r="F824" s="12" t="s">
        <v>2170</v>
      </c>
      <c r="G824" s="38">
        <v>34.67</v>
      </c>
      <c r="H824" s="38">
        <v>29.47</v>
      </c>
      <c r="I824" s="38">
        <v>24.27</v>
      </c>
      <c r="J824" s="39"/>
      <c r="K824" s="143"/>
      <c r="L824" s="22">
        <v>0.8</v>
      </c>
      <c r="M824" s="22" t="s">
        <v>12488</v>
      </c>
      <c r="N824" s="20" t="s">
        <v>8779</v>
      </c>
      <c r="O824" s="16" t="s">
        <v>12608</v>
      </c>
      <c r="P824" s="143">
        <v>364</v>
      </c>
      <c r="Q824" s="122" t="s">
        <v>9227</v>
      </c>
      <c r="R824" s="16" t="s">
        <v>9235</v>
      </c>
      <c r="S824" s="10" t="s">
        <v>1165</v>
      </c>
      <c r="T824" s="28" t="s">
        <v>10026</v>
      </c>
      <c r="U824" s="20" t="s">
        <v>5359</v>
      </c>
      <c r="V824" s="16" t="s">
        <v>8486</v>
      </c>
      <c r="W824" s="11" t="s">
        <v>14395</v>
      </c>
      <c r="X824" s="174">
        <v>22.06</v>
      </c>
      <c r="Y824" s="174">
        <v>29.47</v>
      </c>
    </row>
    <row r="825" spans="1:25" ht="15" customHeight="1" x14ac:dyDescent="0.25">
      <c r="A825" s="20" t="s">
        <v>1410</v>
      </c>
      <c r="B825" s="14" t="s">
        <v>4753</v>
      </c>
      <c r="C825" s="71" t="str">
        <f t="shared" si="12"/>
        <v>Product Info</v>
      </c>
      <c r="D825" s="37" t="s">
        <v>6994</v>
      </c>
      <c r="E825" s="143">
        <v>25</v>
      </c>
      <c r="F825" s="12" t="s">
        <v>2170</v>
      </c>
      <c r="G825" s="38">
        <v>34.67</v>
      </c>
      <c r="H825" s="38">
        <v>29.47</v>
      </c>
      <c r="I825" s="38">
        <v>24.27</v>
      </c>
      <c r="J825" s="39"/>
      <c r="K825" s="143"/>
      <c r="L825" s="22">
        <v>0.78</v>
      </c>
      <c r="M825" s="22" t="s">
        <v>2170</v>
      </c>
      <c r="N825" s="20" t="s">
        <v>14489</v>
      </c>
      <c r="O825" s="16" t="s">
        <v>13914</v>
      </c>
      <c r="P825" s="143">
        <v>364</v>
      </c>
      <c r="Q825" s="122" t="s">
        <v>12421</v>
      </c>
      <c r="R825" s="16" t="s">
        <v>9235</v>
      </c>
      <c r="S825" s="10" t="s">
        <v>1165</v>
      </c>
      <c r="T825" s="28" t="s">
        <v>10027</v>
      </c>
      <c r="U825" s="20" t="s">
        <v>5359</v>
      </c>
      <c r="V825" s="16" t="s">
        <v>8487</v>
      </c>
      <c r="W825" s="11" t="s">
        <v>14395</v>
      </c>
      <c r="X825" s="174">
        <v>22.06</v>
      </c>
      <c r="Y825" s="174">
        <v>29.47</v>
      </c>
    </row>
    <row r="826" spans="1:25" ht="15" customHeight="1" x14ac:dyDescent="0.25">
      <c r="A826" s="20" t="s">
        <v>4754</v>
      </c>
      <c r="B826" s="14" t="s">
        <v>4755</v>
      </c>
      <c r="C826" s="71" t="str">
        <f t="shared" si="12"/>
        <v>Product Info</v>
      </c>
      <c r="D826" s="37" t="s">
        <v>6995</v>
      </c>
      <c r="E826" s="143">
        <v>25</v>
      </c>
      <c r="F826" s="12" t="s">
        <v>2170</v>
      </c>
      <c r="G826" s="38">
        <v>34.67</v>
      </c>
      <c r="H826" s="38">
        <v>29.47</v>
      </c>
      <c r="I826" s="38">
        <v>24.27</v>
      </c>
      <c r="J826" s="39"/>
      <c r="K826" s="143"/>
      <c r="L826" s="22">
        <v>0.8</v>
      </c>
      <c r="M826" s="22" t="s">
        <v>12488</v>
      </c>
      <c r="N826" s="20" t="s">
        <v>8778</v>
      </c>
      <c r="O826" s="16" t="s">
        <v>12608</v>
      </c>
      <c r="P826" s="143">
        <v>364</v>
      </c>
      <c r="Q826" s="122" t="s">
        <v>9227</v>
      </c>
      <c r="R826" s="16" t="s">
        <v>9235</v>
      </c>
      <c r="S826" s="10" t="s">
        <v>1165</v>
      </c>
      <c r="T826" s="28" t="s">
        <v>10028</v>
      </c>
      <c r="U826" s="20" t="s">
        <v>5359</v>
      </c>
      <c r="V826" s="16" t="s">
        <v>8488</v>
      </c>
      <c r="W826" s="11" t="s">
        <v>14395</v>
      </c>
      <c r="X826" s="174">
        <v>22.06</v>
      </c>
      <c r="Y826" s="174">
        <v>29.47</v>
      </c>
    </row>
    <row r="827" spans="1:25" ht="15" customHeight="1" x14ac:dyDescent="0.25">
      <c r="A827" s="20" t="s">
        <v>4756</v>
      </c>
      <c r="B827" s="14" t="s">
        <v>4757</v>
      </c>
      <c r="C827" s="71" t="str">
        <f t="shared" si="12"/>
        <v>Product Info</v>
      </c>
      <c r="D827" s="37" t="s">
        <v>6996</v>
      </c>
      <c r="E827" s="143">
        <v>25</v>
      </c>
      <c r="F827" s="12" t="s">
        <v>2170</v>
      </c>
      <c r="G827" s="38">
        <v>34.67</v>
      </c>
      <c r="H827" s="38">
        <v>29.47</v>
      </c>
      <c r="I827" s="38">
        <v>24.27</v>
      </c>
      <c r="J827" s="39"/>
      <c r="K827" s="143"/>
      <c r="L827" s="22">
        <v>0.81399999999999995</v>
      </c>
      <c r="M827" s="22" t="s">
        <v>2170</v>
      </c>
      <c r="N827" s="20" t="s">
        <v>14489</v>
      </c>
      <c r="O827" s="16" t="s">
        <v>12608</v>
      </c>
      <c r="P827" s="143">
        <v>364</v>
      </c>
      <c r="Q827" s="122" t="s">
        <v>12421</v>
      </c>
      <c r="R827" s="16" t="s">
        <v>9235</v>
      </c>
      <c r="S827" s="10" t="s">
        <v>1165</v>
      </c>
      <c r="T827" s="28" t="s">
        <v>10029</v>
      </c>
      <c r="U827" s="20" t="s">
        <v>5359</v>
      </c>
      <c r="V827" s="16" t="s">
        <v>8489</v>
      </c>
      <c r="W827" s="11" t="s">
        <v>14395</v>
      </c>
      <c r="X827" s="174">
        <v>22.06</v>
      </c>
      <c r="Y827" s="174">
        <v>29.47</v>
      </c>
    </row>
    <row r="828" spans="1:25" ht="15" customHeight="1" x14ac:dyDescent="0.25">
      <c r="A828" s="20" t="s">
        <v>4758</v>
      </c>
      <c r="B828" s="14" t="s">
        <v>4759</v>
      </c>
      <c r="C828" s="71" t="str">
        <f t="shared" si="12"/>
        <v>Product Info</v>
      </c>
      <c r="D828" s="37" t="s">
        <v>6997</v>
      </c>
      <c r="E828" s="143">
        <v>25</v>
      </c>
      <c r="F828" s="12" t="s">
        <v>2170</v>
      </c>
      <c r="G828" s="38">
        <v>34.67</v>
      </c>
      <c r="H828" s="38">
        <v>29.47</v>
      </c>
      <c r="I828" s="38">
        <v>24.27</v>
      </c>
      <c r="J828" s="39"/>
      <c r="K828" s="143"/>
      <c r="L828" s="22">
        <v>0.79600000000000004</v>
      </c>
      <c r="M828" s="22" t="s">
        <v>2170</v>
      </c>
      <c r="N828" s="20" t="s">
        <v>14489</v>
      </c>
      <c r="O828" s="16" t="s">
        <v>12608</v>
      </c>
      <c r="P828" s="143">
        <v>364</v>
      </c>
      <c r="Q828" s="122" t="s">
        <v>9227</v>
      </c>
      <c r="R828" s="16" t="s">
        <v>9235</v>
      </c>
      <c r="S828" s="10" t="s">
        <v>1165</v>
      </c>
      <c r="T828" s="28" t="s">
        <v>10030</v>
      </c>
      <c r="U828" s="20" t="s">
        <v>5359</v>
      </c>
      <c r="V828" s="16" t="s">
        <v>8490</v>
      </c>
      <c r="W828" s="11" t="s">
        <v>14395</v>
      </c>
      <c r="X828" s="174">
        <v>22.06</v>
      </c>
      <c r="Y828" s="174">
        <v>29.47</v>
      </c>
    </row>
    <row r="829" spans="1:25" ht="15" customHeight="1" x14ac:dyDescent="0.25">
      <c r="A829" s="20" t="s">
        <v>4760</v>
      </c>
      <c r="B829" s="14" t="s">
        <v>4761</v>
      </c>
      <c r="C829" s="71" t="str">
        <f t="shared" si="12"/>
        <v>Product Info</v>
      </c>
      <c r="D829" s="37" t="s">
        <v>6998</v>
      </c>
      <c r="E829" s="143">
        <v>25</v>
      </c>
      <c r="F829" s="12" t="s">
        <v>2170</v>
      </c>
      <c r="G829" s="38">
        <v>37.89</v>
      </c>
      <c r="H829" s="38">
        <v>32.200000000000003</v>
      </c>
      <c r="I829" s="38">
        <v>26.52</v>
      </c>
      <c r="J829" s="39"/>
      <c r="K829" s="143"/>
      <c r="L829" s="22">
        <v>0.84</v>
      </c>
      <c r="M829" s="22" t="s">
        <v>14396</v>
      </c>
      <c r="N829" s="20" t="s">
        <v>8778</v>
      </c>
      <c r="O829" s="16" t="s">
        <v>12608</v>
      </c>
      <c r="P829" s="143">
        <v>364</v>
      </c>
      <c r="Q829" s="122" t="s">
        <v>9227</v>
      </c>
      <c r="R829" s="16" t="s">
        <v>9235</v>
      </c>
      <c r="S829" s="10" t="s">
        <v>1165</v>
      </c>
      <c r="T829" s="28" t="s">
        <v>10031</v>
      </c>
      <c r="U829" s="20" t="s">
        <v>5359</v>
      </c>
      <c r="V829" s="16" t="s">
        <v>8491</v>
      </c>
      <c r="W829" s="11" t="s">
        <v>14395</v>
      </c>
      <c r="X829" s="174">
        <v>24.12</v>
      </c>
      <c r="Y829" s="174">
        <v>32.200000000000003</v>
      </c>
    </row>
    <row r="830" spans="1:25" ht="15" customHeight="1" x14ac:dyDescent="0.25">
      <c r="A830" s="20" t="s">
        <v>4762</v>
      </c>
      <c r="B830" s="14" t="s">
        <v>4763</v>
      </c>
      <c r="C830" s="71" t="str">
        <f t="shared" si="12"/>
        <v>Product Info</v>
      </c>
      <c r="D830" s="37" t="s">
        <v>6999</v>
      </c>
      <c r="E830" s="143">
        <v>15</v>
      </c>
      <c r="F830" s="12" t="s">
        <v>2170</v>
      </c>
      <c r="G830" s="38">
        <v>46.76</v>
      </c>
      <c r="H830" s="38">
        <v>39.74</v>
      </c>
      <c r="I830" s="38">
        <v>32.729999999999997</v>
      </c>
      <c r="J830" s="39"/>
      <c r="K830" s="143"/>
      <c r="L830" s="22">
        <v>0</v>
      </c>
      <c r="M830" s="22">
        <v>0</v>
      </c>
      <c r="N830" s="20" t="s">
        <v>14489</v>
      </c>
      <c r="O830" s="16">
        <v>0</v>
      </c>
      <c r="P830" s="143">
        <v>364</v>
      </c>
      <c r="Q830" s="122" t="s">
        <v>12421</v>
      </c>
      <c r="R830" s="16" t="s">
        <v>9235</v>
      </c>
      <c r="S830" s="10" t="s">
        <v>1165</v>
      </c>
      <c r="T830" s="28" t="s">
        <v>10032</v>
      </c>
      <c r="U830" s="20" t="s">
        <v>5359</v>
      </c>
      <c r="V830" s="16" t="s">
        <v>8492</v>
      </c>
      <c r="W830" s="11" t="s">
        <v>14395</v>
      </c>
      <c r="X830" s="174">
        <v>29.76</v>
      </c>
      <c r="Y830" s="174">
        <v>39.74</v>
      </c>
    </row>
    <row r="831" spans="1:25" ht="15" customHeight="1" x14ac:dyDescent="0.25">
      <c r="A831" s="20" t="s">
        <v>4877</v>
      </c>
      <c r="B831" s="14" t="s">
        <v>4878</v>
      </c>
      <c r="C831" s="71" t="str">
        <f t="shared" si="12"/>
        <v>Product Info</v>
      </c>
      <c r="D831" s="37" t="s">
        <v>7000</v>
      </c>
      <c r="E831" s="143">
        <v>30</v>
      </c>
      <c r="F831" s="12" t="s">
        <v>2170</v>
      </c>
      <c r="G831" s="38">
        <v>45.86</v>
      </c>
      <c r="H831" s="38">
        <v>38.979999999999997</v>
      </c>
      <c r="I831" s="38">
        <v>32.1</v>
      </c>
      <c r="J831" s="39"/>
      <c r="K831" s="143"/>
      <c r="L831" s="22">
        <v>0</v>
      </c>
      <c r="M831" s="22">
        <v>0</v>
      </c>
      <c r="N831" s="20" t="s">
        <v>14489</v>
      </c>
      <c r="O831" s="16">
        <v>0</v>
      </c>
      <c r="P831" s="143">
        <v>364</v>
      </c>
      <c r="Q831" s="121" t="s">
        <v>14285</v>
      </c>
      <c r="R831" s="16" t="s">
        <v>9235</v>
      </c>
      <c r="S831" s="10" t="s">
        <v>1165</v>
      </c>
      <c r="T831" s="28" t="s">
        <v>10033</v>
      </c>
      <c r="U831" s="20" t="s">
        <v>5359</v>
      </c>
      <c r="V831" s="16" t="s">
        <v>8493</v>
      </c>
      <c r="W831" s="11" t="s">
        <v>14395</v>
      </c>
      <c r="X831" s="174">
        <v>29.17</v>
      </c>
      <c r="Y831" s="174">
        <v>38.979999999999997</v>
      </c>
    </row>
    <row r="832" spans="1:25" ht="15" customHeight="1" x14ac:dyDescent="0.25">
      <c r="A832" s="20" t="s">
        <v>4879</v>
      </c>
      <c r="B832" s="14" t="s">
        <v>4880</v>
      </c>
      <c r="C832" s="71" t="str">
        <f t="shared" si="12"/>
        <v>Product Info</v>
      </c>
      <c r="D832" s="37" t="s">
        <v>7001</v>
      </c>
      <c r="E832" s="143">
        <v>30</v>
      </c>
      <c r="F832" s="12" t="s">
        <v>2170</v>
      </c>
      <c r="G832" s="38">
        <v>46.31</v>
      </c>
      <c r="H832" s="38">
        <v>39.369999999999997</v>
      </c>
      <c r="I832" s="38">
        <v>32.42</v>
      </c>
      <c r="J832" s="39"/>
      <c r="K832" s="143"/>
      <c r="L832" s="22">
        <v>1</v>
      </c>
      <c r="M832" s="22" t="s">
        <v>14394</v>
      </c>
      <c r="N832" s="20" t="s">
        <v>14489</v>
      </c>
      <c r="O832" s="16">
        <v>0</v>
      </c>
      <c r="P832" s="143">
        <v>364</v>
      </c>
      <c r="Q832" s="121" t="s">
        <v>14285</v>
      </c>
      <c r="R832" s="16" t="s">
        <v>9235</v>
      </c>
      <c r="S832" s="10" t="s">
        <v>1165</v>
      </c>
      <c r="T832" s="28" t="s">
        <v>10034</v>
      </c>
      <c r="U832" s="20" t="s">
        <v>5359</v>
      </c>
      <c r="V832" s="16" t="s">
        <v>8494</v>
      </c>
      <c r="W832" s="11" t="s">
        <v>14395</v>
      </c>
      <c r="X832" s="174">
        <v>29.47</v>
      </c>
      <c r="Y832" s="174">
        <v>39.369999999999997</v>
      </c>
    </row>
    <row r="833" spans="1:25" ht="15" customHeight="1" x14ac:dyDescent="0.25">
      <c r="A833" s="20" t="s">
        <v>4881</v>
      </c>
      <c r="B833" s="14" t="s">
        <v>4882</v>
      </c>
      <c r="C833" s="71" t="str">
        <f t="shared" si="12"/>
        <v>Product Info</v>
      </c>
      <c r="D833" s="37" t="s">
        <v>7002</v>
      </c>
      <c r="E833" s="143">
        <v>30</v>
      </c>
      <c r="F833" s="12" t="s">
        <v>2170</v>
      </c>
      <c r="G833" s="38">
        <v>45.86</v>
      </c>
      <c r="H833" s="38">
        <v>38.979999999999997</v>
      </c>
      <c r="I833" s="38">
        <v>32.1</v>
      </c>
      <c r="J833" s="39"/>
      <c r="K833" s="143"/>
      <c r="L833" s="22">
        <v>0.5</v>
      </c>
      <c r="M833" s="22" t="s">
        <v>14394</v>
      </c>
      <c r="N833" s="20" t="s">
        <v>14489</v>
      </c>
      <c r="O833" s="16">
        <v>0</v>
      </c>
      <c r="P833" s="143">
        <v>364</v>
      </c>
      <c r="Q833" s="122" t="s">
        <v>9227</v>
      </c>
      <c r="R833" s="16" t="s">
        <v>9235</v>
      </c>
      <c r="S833" s="10" t="s">
        <v>1165</v>
      </c>
      <c r="T833" s="28" t="s">
        <v>10035</v>
      </c>
      <c r="U833" s="20" t="s">
        <v>5359</v>
      </c>
      <c r="V833" s="16" t="s">
        <v>8495</v>
      </c>
      <c r="W833" s="11" t="s">
        <v>14395</v>
      </c>
      <c r="X833" s="174">
        <v>29.17</v>
      </c>
      <c r="Y833" s="174">
        <v>38.979999999999997</v>
      </c>
    </row>
    <row r="834" spans="1:25" ht="15" customHeight="1" x14ac:dyDescent="0.25">
      <c r="A834" s="20" t="s">
        <v>4883</v>
      </c>
      <c r="B834" s="14" t="s">
        <v>4884</v>
      </c>
      <c r="C834" s="71" t="str">
        <f t="shared" si="12"/>
        <v>Product Info</v>
      </c>
      <c r="D834" s="37" t="s">
        <v>7003</v>
      </c>
      <c r="E834" s="143">
        <v>15</v>
      </c>
      <c r="F834" s="12" t="s">
        <v>2170</v>
      </c>
      <c r="G834" s="38">
        <v>45.86</v>
      </c>
      <c r="H834" s="38">
        <v>38.979999999999997</v>
      </c>
      <c r="I834" s="38">
        <v>32.1</v>
      </c>
      <c r="J834" s="39"/>
      <c r="K834" s="143"/>
      <c r="L834" s="22">
        <v>3.5999999999999997E-2</v>
      </c>
      <c r="M834" s="22" t="s">
        <v>14394</v>
      </c>
      <c r="N834" s="20" t="s">
        <v>14489</v>
      </c>
      <c r="O834" s="16">
        <v>0</v>
      </c>
      <c r="P834" s="143">
        <v>364</v>
      </c>
      <c r="Q834" s="122" t="s">
        <v>9227</v>
      </c>
      <c r="R834" s="16" t="s">
        <v>9235</v>
      </c>
      <c r="S834" s="10" t="s">
        <v>1165</v>
      </c>
      <c r="T834" s="28" t="s">
        <v>10036</v>
      </c>
      <c r="U834" s="20" t="s">
        <v>5359</v>
      </c>
      <c r="V834" s="16" t="s">
        <v>8496</v>
      </c>
      <c r="W834" s="11" t="s">
        <v>14395</v>
      </c>
      <c r="X834" s="174">
        <v>29.17</v>
      </c>
      <c r="Y834" s="174">
        <v>38.979999999999997</v>
      </c>
    </row>
    <row r="835" spans="1:25" ht="15" customHeight="1" x14ac:dyDescent="0.25">
      <c r="A835" s="20" t="s">
        <v>4885</v>
      </c>
      <c r="B835" s="14" t="s">
        <v>4886</v>
      </c>
      <c r="C835" s="71" t="str">
        <f t="shared" si="12"/>
        <v>Product Info</v>
      </c>
      <c r="D835" s="37" t="s">
        <v>7004</v>
      </c>
      <c r="E835" s="143">
        <v>15</v>
      </c>
      <c r="F835" s="12" t="s">
        <v>2170</v>
      </c>
      <c r="G835" s="38">
        <v>45.86</v>
      </c>
      <c r="H835" s="38">
        <v>38.979999999999997</v>
      </c>
      <c r="I835" s="38">
        <v>32.1</v>
      </c>
      <c r="J835" s="39"/>
      <c r="K835" s="143"/>
      <c r="L835" s="22">
        <v>3.5999999999999997E-2</v>
      </c>
      <c r="M835" s="22" t="s">
        <v>14394</v>
      </c>
      <c r="N835" s="20" t="s">
        <v>14489</v>
      </c>
      <c r="O835" s="16">
        <v>0</v>
      </c>
      <c r="P835" s="143">
        <v>364</v>
      </c>
      <c r="Q835" s="122" t="s">
        <v>12421</v>
      </c>
      <c r="R835" s="16" t="s">
        <v>9235</v>
      </c>
      <c r="S835" s="10" t="s">
        <v>1165</v>
      </c>
      <c r="T835" s="28" t="s">
        <v>10037</v>
      </c>
      <c r="U835" s="20" t="s">
        <v>5359</v>
      </c>
      <c r="V835" s="16" t="s">
        <v>8497</v>
      </c>
      <c r="W835" s="11" t="s">
        <v>14395</v>
      </c>
      <c r="X835" s="174">
        <v>29.17</v>
      </c>
      <c r="Y835" s="174">
        <v>38.979999999999997</v>
      </c>
    </row>
    <row r="836" spans="1:25" ht="15" customHeight="1" x14ac:dyDescent="0.25">
      <c r="A836" s="20" t="s">
        <v>4887</v>
      </c>
      <c r="B836" s="14" t="s">
        <v>4888</v>
      </c>
      <c r="C836" s="71" t="str">
        <f t="shared" si="12"/>
        <v>Product Info</v>
      </c>
      <c r="D836" s="37" t="s">
        <v>7005</v>
      </c>
      <c r="E836" s="143">
        <v>5</v>
      </c>
      <c r="F836" s="12" t="s">
        <v>2170</v>
      </c>
      <c r="G836" s="38">
        <v>34.659999999999997</v>
      </c>
      <c r="H836" s="38">
        <v>29.46</v>
      </c>
      <c r="I836" s="38">
        <v>24.26</v>
      </c>
      <c r="J836" s="39">
        <v>3000</v>
      </c>
      <c r="K836" s="143"/>
      <c r="L836" s="22">
        <v>1.2</v>
      </c>
      <c r="M836" s="22" t="s">
        <v>12488</v>
      </c>
      <c r="N836" s="20" t="s">
        <v>8778</v>
      </c>
      <c r="O836" s="16" t="s">
        <v>12608</v>
      </c>
      <c r="P836" s="143">
        <v>364</v>
      </c>
      <c r="Q836" s="122" t="s">
        <v>9227</v>
      </c>
      <c r="R836" s="16" t="s">
        <v>9235</v>
      </c>
      <c r="S836" s="10" t="s">
        <v>1165</v>
      </c>
      <c r="T836" s="28" t="s">
        <v>10038</v>
      </c>
      <c r="U836" s="20" t="s">
        <v>5359</v>
      </c>
      <c r="V836" s="16" t="s">
        <v>8498</v>
      </c>
      <c r="W836" s="11" t="s">
        <v>14395</v>
      </c>
      <c r="X836" s="174">
        <v>22.05</v>
      </c>
      <c r="Y836" s="174">
        <v>29.46</v>
      </c>
    </row>
    <row r="837" spans="1:25" ht="15" customHeight="1" x14ac:dyDescent="0.25">
      <c r="A837" s="20" t="s">
        <v>4889</v>
      </c>
      <c r="B837" s="14" t="s">
        <v>4890</v>
      </c>
      <c r="C837" s="71" t="str">
        <f t="shared" si="12"/>
        <v>Product Info</v>
      </c>
      <c r="D837" s="37" t="s">
        <v>7006</v>
      </c>
      <c r="E837" s="143">
        <v>5</v>
      </c>
      <c r="F837" s="12" t="s">
        <v>2170</v>
      </c>
      <c r="G837" s="38">
        <v>34.659999999999997</v>
      </c>
      <c r="H837" s="38">
        <v>29.46</v>
      </c>
      <c r="I837" s="38">
        <v>24.26</v>
      </c>
      <c r="J837" s="39">
        <v>3000</v>
      </c>
      <c r="K837" s="143"/>
      <c r="L837" s="22">
        <v>1.0049999999999999</v>
      </c>
      <c r="M837" s="22" t="s">
        <v>2170</v>
      </c>
      <c r="N837" s="20" t="s">
        <v>14489</v>
      </c>
      <c r="O837" s="16" t="s">
        <v>12608</v>
      </c>
      <c r="P837" s="143">
        <v>364</v>
      </c>
      <c r="Q837" s="122" t="s">
        <v>9227</v>
      </c>
      <c r="R837" s="16" t="s">
        <v>9235</v>
      </c>
      <c r="S837" s="10" t="s">
        <v>1165</v>
      </c>
      <c r="T837" s="28" t="s">
        <v>10039</v>
      </c>
      <c r="U837" s="20" t="s">
        <v>5359</v>
      </c>
      <c r="V837" s="16" t="s">
        <v>8499</v>
      </c>
      <c r="W837" s="11" t="s">
        <v>14395</v>
      </c>
      <c r="X837" s="174">
        <v>22.05</v>
      </c>
      <c r="Y837" s="174">
        <v>29.46</v>
      </c>
    </row>
    <row r="838" spans="1:25" ht="15" customHeight="1" x14ac:dyDescent="0.25">
      <c r="A838" s="20" t="s">
        <v>4891</v>
      </c>
      <c r="B838" s="14" t="s">
        <v>4892</v>
      </c>
      <c r="C838" s="71" t="str">
        <f t="shared" ref="C838:C901" si="13">HYPERLINK(T838,U838)</f>
        <v>Product Info</v>
      </c>
      <c r="D838" s="37" t="s">
        <v>7007</v>
      </c>
      <c r="E838" s="143">
        <v>5</v>
      </c>
      <c r="F838" s="12" t="s">
        <v>2170</v>
      </c>
      <c r="G838" s="38">
        <v>34.659999999999997</v>
      </c>
      <c r="H838" s="38">
        <v>29.46</v>
      </c>
      <c r="I838" s="38">
        <v>24.26</v>
      </c>
      <c r="J838" s="39">
        <v>3000</v>
      </c>
      <c r="K838" s="143"/>
      <c r="L838" s="22">
        <v>1.04</v>
      </c>
      <c r="M838" s="22" t="s">
        <v>2170</v>
      </c>
      <c r="N838" s="20" t="s">
        <v>14489</v>
      </c>
      <c r="O838" s="16" t="s">
        <v>12608</v>
      </c>
      <c r="P838" s="143">
        <v>364</v>
      </c>
      <c r="Q838" s="122" t="s">
        <v>9227</v>
      </c>
      <c r="R838" s="16" t="s">
        <v>9235</v>
      </c>
      <c r="S838" s="10" t="s">
        <v>1165</v>
      </c>
      <c r="T838" s="28" t="s">
        <v>10040</v>
      </c>
      <c r="U838" s="20" t="s">
        <v>5359</v>
      </c>
      <c r="V838" s="16" t="s">
        <v>8500</v>
      </c>
      <c r="W838" s="11" t="s">
        <v>14395</v>
      </c>
      <c r="X838" s="174">
        <v>22.05</v>
      </c>
      <c r="Y838" s="174">
        <v>29.46</v>
      </c>
    </row>
    <row r="839" spans="1:25" ht="15" customHeight="1" x14ac:dyDescent="0.25">
      <c r="A839" s="20" t="s">
        <v>4893</v>
      </c>
      <c r="B839" s="14" t="s">
        <v>4894</v>
      </c>
      <c r="C839" s="71" t="str">
        <f t="shared" si="13"/>
        <v>Product Info</v>
      </c>
      <c r="D839" s="37" t="s">
        <v>7008</v>
      </c>
      <c r="E839" s="143">
        <v>5</v>
      </c>
      <c r="F839" s="12" t="s">
        <v>2170</v>
      </c>
      <c r="G839" s="38">
        <v>35.36</v>
      </c>
      <c r="H839" s="38">
        <v>30.05</v>
      </c>
      <c r="I839" s="38">
        <v>24.75</v>
      </c>
      <c r="J839" s="39">
        <v>3000</v>
      </c>
      <c r="K839" s="143"/>
      <c r="L839" s="22">
        <v>1.08</v>
      </c>
      <c r="M839" s="22" t="s">
        <v>12488</v>
      </c>
      <c r="N839" s="20" t="s">
        <v>8778</v>
      </c>
      <c r="O839" s="16" t="s">
        <v>12608</v>
      </c>
      <c r="P839" s="143">
        <v>364</v>
      </c>
      <c r="Q839" s="122" t="s">
        <v>9227</v>
      </c>
      <c r="R839" s="16" t="s">
        <v>9235</v>
      </c>
      <c r="S839" s="10" t="s">
        <v>1165</v>
      </c>
      <c r="T839" s="28" t="s">
        <v>10041</v>
      </c>
      <c r="U839" s="20" t="s">
        <v>5359</v>
      </c>
      <c r="V839" s="16" t="s">
        <v>8501</v>
      </c>
      <c r="W839" s="11" t="s">
        <v>14395</v>
      </c>
      <c r="X839" s="174">
        <v>22.49</v>
      </c>
      <c r="Y839" s="174">
        <v>30.05</v>
      </c>
    </row>
    <row r="840" spans="1:25" ht="15" customHeight="1" x14ac:dyDescent="0.25">
      <c r="A840" s="20" t="s">
        <v>4895</v>
      </c>
      <c r="B840" s="14" t="s">
        <v>4896</v>
      </c>
      <c r="C840" s="71" t="str">
        <f t="shared" si="13"/>
        <v>Product Info</v>
      </c>
      <c r="D840" s="37" t="s">
        <v>7009</v>
      </c>
      <c r="E840" s="143">
        <v>5</v>
      </c>
      <c r="F840" s="12" t="s">
        <v>2170</v>
      </c>
      <c r="G840" s="38">
        <v>35.36</v>
      </c>
      <c r="H840" s="38">
        <v>30.05</v>
      </c>
      <c r="I840" s="38">
        <v>24.75</v>
      </c>
      <c r="J840" s="39">
        <v>3000</v>
      </c>
      <c r="K840" s="143"/>
      <c r="L840" s="22">
        <v>1.115</v>
      </c>
      <c r="M840" s="22" t="s">
        <v>2170</v>
      </c>
      <c r="N840" s="20" t="s">
        <v>14489</v>
      </c>
      <c r="O840" s="16" t="s">
        <v>12608</v>
      </c>
      <c r="P840" s="143">
        <v>364</v>
      </c>
      <c r="Q840" s="122" t="s">
        <v>9227</v>
      </c>
      <c r="R840" s="16" t="s">
        <v>9235</v>
      </c>
      <c r="S840" s="10" t="s">
        <v>1165</v>
      </c>
      <c r="T840" s="28" t="s">
        <v>10042</v>
      </c>
      <c r="U840" s="20" t="s">
        <v>5359</v>
      </c>
      <c r="V840" s="16" t="s">
        <v>8502</v>
      </c>
      <c r="W840" s="11" t="s">
        <v>14395</v>
      </c>
      <c r="X840" s="174">
        <v>22.49</v>
      </c>
      <c r="Y840" s="174">
        <v>30.05</v>
      </c>
    </row>
    <row r="841" spans="1:25" ht="15" customHeight="1" x14ac:dyDescent="0.25">
      <c r="A841" s="20" t="s">
        <v>4897</v>
      </c>
      <c r="B841" s="14" t="s">
        <v>4898</v>
      </c>
      <c r="C841" s="71" t="str">
        <f t="shared" si="13"/>
        <v>Product Info</v>
      </c>
      <c r="D841" s="37" t="s">
        <v>7010</v>
      </c>
      <c r="E841" s="143">
        <v>5</v>
      </c>
      <c r="F841" s="12" t="s">
        <v>2170</v>
      </c>
      <c r="G841" s="38">
        <v>35.36</v>
      </c>
      <c r="H841" s="38">
        <v>30.05</v>
      </c>
      <c r="I841" s="38">
        <v>24.75</v>
      </c>
      <c r="J841" s="39">
        <v>3000</v>
      </c>
      <c r="K841" s="143"/>
      <c r="L841" s="22">
        <v>1.125</v>
      </c>
      <c r="M841" s="22" t="s">
        <v>2170</v>
      </c>
      <c r="N841" s="20" t="s">
        <v>14489</v>
      </c>
      <c r="O841" s="16" t="s">
        <v>13914</v>
      </c>
      <c r="P841" s="143">
        <v>364</v>
      </c>
      <c r="Q841" s="122" t="s">
        <v>9227</v>
      </c>
      <c r="R841" s="16" t="s">
        <v>9235</v>
      </c>
      <c r="S841" s="10" t="s">
        <v>1165</v>
      </c>
      <c r="T841" s="28" t="s">
        <v>10043</v>
      </c>
      <c r="U841" s="20" t="s">
        <v>5359</v>
      </c>
      <c r="V841" s="16" t="s">
        <v>8503</v>
      </c>
      <c r="W841" s="11" t="s">
        <v>14395</v>
      </c>
      <c r="X841" s="174">
        <v>22.49</v>
      </c>
      <c r="Y841" s="174">
        <v>30.05</v>
      </c>
    </row>
    <row r="842" spans="1:25" ht="15" customHeight="1" x14ac:dyDescent="0.25">
      <c r="A842" s="20" t="s">
        <v>4899</v>
      </c>
      <c r="B842" s="14" t="s">
        <v>4900</v>
      </c>
      <c r="C842" s="71" t="str">
        <f t="shared" si="13"/>
        <v>Product Info</v>
      </c>
      <c r="D842" s="37" t="s">
        <v>7011</v>
      </c>
      <c r="E842" s="143">
        <v>5</v>
      </c>
      <c r="F842" s="12" t="s">
        <v>2170</v>
      </c>
      <c r="G842" s="38">
        <v>35.36</v>
      </c>
      <c r="H842" s="38">
        <v>30.05</v>
      </c>
      <c r="I842" s="38">
        <v>24.75</v>
      </c>
      <c r="J842" s="39">
        <v>3000</v>
      </c>
      <c r="K842" s="143"/>
      <c r="L842" s="22">
        <v>1.1299999999999999</v>
      </c>
      <c r="M842" s="22" t="s">
        <v>2170</v>
      </c>
      <c r="N842" s="20" t="s">
        <v>14489</v>
      </c>
      <c r="O842" s="16" t="s">
        <v>12608</v>
      </c>
      <c r="P842" s="143">
        <v>364</v>
      </c>
      <c r="Q842" s="122" t="s">
        <v>9227</v>
      </c>
      <c r="R842" s="16" t="s">
        <v>9235</v>
      </c>
      <c r="S842" s="10" t="s">
        <v>1165</v>
      </c>
      <c r="T842" s="28" t="s">
        <v>10044</v>
      </c>
      <c r="U842" s="20" t="s">
        <v>5359</v>
      </c>
      <c r="V842" s="16" t="s">
        <v>8504</v>
      </c>
      <c r="W842" s="11" t="s">
        <v>14395</v>
      </c>
      <c r="X842" s="174">
        <v>22.49</v>
      </c>
      <c r="Y842" s="174">
        <v>30.05</v>
      </c>
    </row>
    <row r="843" spans="1:25" ht="15" customHeight="1" x14ac:dyDescent="0.25">
      <c r="A843" s="20" t="s">
        <v>4901</v>
      </c>
      <c r="B843" s="14" t="s">
        <v>4902</v>
      </c>
      <c r="C843" s="71" t="str">
        <f t="shared" si="13"/>
        <v>Product Info</v>
      </c>
      <c r="D843" s="37" t="s">
        <v>7012</v>
      </c>
      <c r="E843" s="143">
        <v>5</v>
      </c>
      <c r="F843" s="12" t="s">
        <v>2170</v>
      </c>
      <c r="G843" s="38">
        <v>35.36</v>
      </c>
      <c r="H843" s="38">
        <v>30.05</v>
      </c>
      <c r="I843" s="38">
        <v>24.75</v>
      </c>
      <c r="J843" s="39">
        <v>3000</v>
      </c>
      <c r="K843" s="143"/>
      <c r="L843" s="22">
        <v>1.2</v>
      </c>
      <c r="M843" s="22" t="s">
        <v>12488</v>
      </c>
      <c r="N843" s="20" t="s">
        <v>8778</v>
      </c>
      <c r="O843" s="16" t="s">
        <v>12608</v>
      </c>
      <c r="P843" s="143">
        <v>364</v>
      </c>
      <c r="Q843" s="122" t="s">
        <v>9227</v>
      </c>
      <c r="R843" s="16" t="s">
        <v>9235</v>
      </c>
      <c r="S843" s="10" t="s">
        <v>1165</v>
      </c>
      <c r="T843" s="28" t="s">
        <v>10045</v>
      </c>
      <c r="U843" s="20" t="s">
        <v>5359</v>
      </c>
      <c r="V843" s="16" t="s">
        <v>8505</v>
      </c>
      <c r="W843" s="11" t="s">
        <v>14395</v>
      </c>
      <c r="X843" s="174">
        <v>22.49</v>
      </c>
      <c r="Y843" s="174">
        <v>30.05</v>
      </c>
    </row>
    <row r="844" spans="1:25" ht="15" customHeight="1" x14ac:dyDescent="0.25">
      <c r="A844" s="20" t="s">
        <v>4903</v>
      </c>
      <c r="B844" s="14" t="s">
        <v>4904</v>
      </c>
      <c r="C844" s="71" t="str">
        <f t="shared" si="13"/>
        <v>Product Info</v>
      </c>
      <c r="D844" s="37" t="s">
        <v>7013</v>
      </c>
      <c r="E844" s="143">
        <v>5</v>
      </c>
      <c r="F844" s="12" t="s">
        <v>2170</v>
      </c>
      <c r="G844" s="38">
        <v>35.36</v>
      </c>
      <c r="H844" s="38">
        <v>30.05</v>
      </c>
      <c r="I844" s="38">
        <v>24.75</v>
      </c>
      <c r="J844" s="39">
        <v>3000</v>
      </c>
      <c r="K844" s="143"/>
      <c r="L844" s="22">
        <v>1.155</v>
      </c>
      <c r="M844" s="22" t="s">
        <v>2170</v>
      </c>
      <c r="N844" s="20" t="s">
        <v>14489</v>
      </c>
      <c r="O844" s="16" t="s">
        <v>12608</v>
      </c>
      <c r="P844" s="143">
        <v>364</v>
      </c>
      <c r="Q844" s="122" t="s">
        <v>9227</v>
      </c>
      <c r="R844" s="16" t="s">
        <v>9235</v>
      </c>
      <c r="S844" s="10" t="s">
        <v>1165</v>
      </c>
      <c r="T844" s="28" t="s">
        <v>10046</v>
      </c>
      <c r="U844" s="20" t="s">
        <v>5359</v>
      </c>
      <c r="V844" s="16" t="s">
        <v>8506</v>
      </c>
      <c r="W844" s="11" t="s">
        <v>14395</v>
      </c>
      <c r="X844" s="174">
        <v>22.49</v>
      </c>
      <c r="Y844" s="174">
        <v>30.05</v>
      </c>
    </row>
    <row r="845" spans="1:25" ht="15" customHeight="1" x14ac:dyDescent="0.25">
      <c r="A845" s="20" t="s">
        <v>4905</v>
      </c>
      <c r="B845" s="14" t="s">
        <v>4906</v>
      </c>
      <c r="C845" s="71" t="str">
        <f t="shared" si="13"/>
        <v>Product Info</v>
      </c>
      <c r="D845" s="37" t="s">
        <v>7014</v>
      </c>
      <c r="E845" s="143">
        <v>3</v>
      </c>
      <c r="F845" s="12" t="s">
        <v>2170</v>
      </c>
      <c r="G845" s="38">
        <v>72.27</v>
      </c>
      <c r="H845" s="38">
        <v>61.43</v>
      </c>
      <c r="I845" s="38">
        <v>50.59</v>
      </c>
      <c r="J845" s="39">
        <v>3000</v>
      </c>
      <c r="K845" s="143"/>
      <c r="L845" s="22">
        <v>2</v>
      </c>
      <c r="M845" s="22" t="s">
        <v>12488</v>
      </c>
      <c r="N845" s="20" t="s">
        <v>8778</v>
      </c>
      <c r="O845" s="16" t="s">
        <v>12608</v>
      </c>
      <c r="P845" s="143">
        <v>364</v>
      </c>
      <c r="Q845" s="122" t="s">
        <v>9227</v>
      </c>
      <c r="R845" s="16" t="s">
        <v>9235</v>
      </c>
      <c r="S845" s="10" t="s">
        <v>1165</v>
      </c>
      <c r="T845" s="28" t="s">
        <v>10047</v>
      </c>
      <c r="U845" s="20" t="s">
        <v>5359</v>
      </c>
      <c r="V845" s="16" t="s">
        <v>8507</v>
      </c>
      <c r="W845" s="11" t="s">
        <v>14395</v>
      </c>
      <c r="X845" s="174">
        <v>45.99</v>
      </c>
      <c r="Y845" s="174">
        <v>61.43</v>
      </c>
    </row>
    <row r="846" spans="1:25" ht="15" customHeight="1" x14ac:dyDescent="0.25">
      <c r="A846" s="20" t="s">
        <v>4907</v>
      </c>
      <c r="B846" s="14" t="s">
        <v>4908</v>
      </c>
      <c r="C846" s="71" t="str">
        <f t="shared" si="13"/>
        <v>Product Info</v>
      </c>
      <c r="D846" s="37" t="s">
        <v>6896</v>
      </c>
      <c r="E846" s="143">
        <v>3</v>
      </c>
      <c r="F846" s="12" t="s">
        <v>2170</v>
      </c>
      <c r="G846" s="38">
        <v>72.27</v>
      </c>
      <c r="H846" s="38">
        <v>61.43</v>
      </c>
      <c r="I846" s="38">
        <v>50.59</v>
      </c>
      <c r="J846" s="39">
        <v>3000</v>
      </c>
      <c r="K846" s="143"/>
      <c r="L846" s="22">
        <v>1.925</v>
      </c>
      <c r="M846" s="22" t="s">
        <v>2170</v>
      </c>
      <c r="N846" s="20" t="s">
        <v>14489</v>
      </c>
      <c r="O846" s="16" t="s">
        <v>12608</v>
      </c>
      <c r="P846" s="143">
        <v>364</v>
      </c>
      <c r="Q846" s="122" t="s">
        <v>9227</v>
      </c>
      <c r="R846" s="16" t="s">
        <v>9235</v>
      </c>
      <c r="S846" s="10" t="s">
        <v>1165</v>
      </c>
      <c r="T846" s="28" t="s">
        <v>10048</v>
      </c>
      <c r="U846" s="20" t="s">
        <v>5359</v>
      </c>
      <c r="V846" s="16" t="s">
        <v>8508</v>
      </c>
      <c r="W846" s="11" t="s">
        <v>14395</v>
      </c>
      <c r="X846" s="174">
        <v>45.99</v>
      </c>
      <c r="Y846" s="174">
        <v>61.43</v>
      </c>
    </row>
    <row r="847" spans="1:25" ht="15" customHeight="1" x14ac:dyDescent="0.25">
      <c r="A847" s="20" t="s">
        <v>4909</v>
      </c>
      <c r="B847" s="14" t="s">
        <v>4910</v>
      </c>
      <c r="C847" s="71" t="str">
        <f t="shared" si="13"/>
        <v>Product Info</v>
      </c>
      <c r="D847" s="37" t="s">
        <v>4319</v>
      </c>
      <c r="E847" s="143">
        <v>3</v>
      </c>
      <c r="F847" s="12" t="s">
        <v>2170</v>
      </c>
      <c r="G847" s="38">
        <v>72.27</v>
      </c>
      <c r="H847" s="38">
        <v>61.43</v>
      </c>
      <c r="I847" s="38">
        <v>50.59</v>
      </c>
      <c r="J847" s="39">
        <v>3000</v>
      </c>
      <c r="K847" s="143"/>
      <c r="L847" s="22">
        <v>1.75</v>
      </c>
      <c r="M847" s="22" t="s">
        <v>12488</v>
      </c>
      <c r="N847" s="20" t="s">
        <v>8778</v>
      </c>
      <c r="O847" s="16" t="s">
        <v>12608</v>
      </c>
      <c r="P847" s="143">
        <v>364</v>
      </c>
      <c r="Q847" s="122" t="s">
        <v>9227</v>
      </c>
      <c r="R847" s="16" t="s">
        <v>9235</v>
      </c>
      <c r="S847" s="10" t="s">
        <v>1165</v>
      </c>
      <c r="T847" s="28" t="s">
        <v>10049</v>
      </c>
      <c r="U847" s="20" t="s">
        <v>5359</v>
      </c>
      <c r="V847" s="16" t="s">
        <v>8509</v>
      </c>
      <c r="W847" s="11" t="s">
        <v>14395</v>
      </c>
      <c r="X847" s="174">
        <v>45.99</v>
      </c>
      <c r="Y847" s="174">
        <v>61.43</v>
      </c>
    </row>
    <row r="848" spans="1:25" ht="15" customHeight="1" x14ac:dyDescent="0.25">
      <c r="A848" s="20" t="s">
        <v>4911</v>
      </c>
      <c r="B848" s="14" t="s">
        <v>4764</v>
      </c>
      <c r="C848" s="71" t="str">
        <f t="shared" si="13"/>
        <v>Product Info</v>
      </c>
      <c r="D848" s="37" t="s">
        <v>4320</v>
      </c>
      <c r="E848" s="143">
        <v>3</v>
      </c>
      <c r="F848" s="12" t="s">
        <v>2170</v>
      </c>
      <c r="G848" s="38">
        <v>72.27</v>
      </c>
      <c r="H848" s="38">
        <v>61.43</v>
      </c>
      <c r="I848" s="38">
        <v>50.59</v>
      </c>
      <c r="J848" s="39">
        <v>3000</v>
      </c>
      <c r="K848" s="143"/>
      <c r="L848" s="22">
        <v>2.0419999999999998</v>
      </c>
      <c r="M848" s="22" t="s">
        <v>2170</v>
      </c>
      <c r="N848" s="20" t="s">
        <v>14489</v>
      </c>
      <c r="O848" s="16">
        <v>0</v>
      </c>
      <c r="P848" s="143">
        <v>364</v>
      </c>
      <c r="Q848" s="122" t="s">
        <v>9227</v>
      </c>
      <c r="R848" s="16" t="s">
        <v>9235</v>
      </c>
      <c r="S848" s="10" t="s">
        <v>1165</v>
      </c>
      <c r="T848" s="28" t="s">
        <v>10050</v>
      </c>
      <c r="U848" s="20" t="s">
        <v>5359</v>
      </c>
      <c r="V848" s="16" t="s">
        <v>8510</v>
      </c>
      <c r="W848" s="11" t="s">
        <v>14395</v>
      </c>
      <c r="X848" s="174">
        <v>45.99</v>
      </c>
      <c r="Y848" s="174">
        <v>61.43</v>
      </c>
    </row>
    <row r="849" spans="1:25" ht="15" customHeight="1" x14ac:dyDescent="0.25">
      <c r="A849" s="20" t="s">
        <v>4765</v>
      </c>
      <c r="B849" s="14" t="s">
        <v>4766</v>
      </c>
      <c r="C849" s="71" t="str">
        <f t="shared" si="13"/>
        <v>Product Info</v>
      </c>
      <c r="D849" s="37" t="s">
        <v>4321</v>
      </c>
      <c r="E849" s="143">
        <v>3</v>
      </c>
      <c r="F849" s="12" t="s">
        <v>2170</v>
      </c>
      <c r="G849" s="38">
        <v>72.27</v>
      </c>
      <c r="H849" s="38">
        <v>61.43</v>
      </c>
      <c r="I849" s="38">
        <v>50.59</v>
      </c>
      <c r="J849" s="39">
        <v>3000</v>
      </c>
      <c r="K849" s="143"/>
      <c r="L849" s="22">
        <v>1.992</v>
      </c>
      <c r="M849" s="22" t="s">
        <v>2170</v>
      </c>
      <c r="N849" s="20" t="s">
        <v>14489</v>
      </c>
      <c r="O849" s="16">
        <v>0</v>
      </c>
      <c r="P849" s="143">
        <v>364</v>
      </c>
      <c r="Q849" s="122" t="s">
        <v>9227</v>
      </c>
      <c r="R849" s="16" t="s">
        <v>9235</v>
      </c>
      <c r="S849" s="10" t="s">
        <v>1165</v>
      </c>
      <c r="T849" s="28" t="s">
        <v>10051</v>
      </c>
      <c r="U849" s="20" t="s">
        <v>5359</v>
      </c>
      <c r="V849" s="16" t="s">
        <v>8511</v>
      </c>
      <c r="W849" s="11" t="s">
        <v>14395</v>
      </c>
      <c r="X849" s="174">
        <v>45.99</v>
      </c>
      <c r="Y849" s="174">
        <v>61.43</v>
      </c>
    </row>
    <row r="850" spans="1:25" ht="15" customHeight="1" x14ac:dyDescent="0.25">
      <c r="A850" s="20" t="s">
        <v>4767</v>
      </c>
      <c r="B850" s="14" t="s">
        <v>4768</v>
      </c>
      <c r="C850" s="71" t="str">
        <f t="shared" si="13"/>
        <v>Product Info</v>
      </c>
      <c r="D850" s="37" t="s">
        <v>4322</v>
      </c>
      <c r="E850" s="143">
        <v>3</v>
      </c>
      <c r="F850" s="12" t="s">
        <v>2170</v>
      </c>
      <c r="G850" s="38">
        <v>85.74</v>
      </c>
      <c r="H850" s="38">
        <v>72.88</v>
      </c>
      <c r="I850" s="38">
        <v>60.02</v>
      </c>
      <c r="J850" s="39"/>
      <c r="K850" s="143"/>
      <c r="L850" s="22">
        <v>0.85729999999999995</v>
      </c>
      <c r="M850" s="22" t="s">
        <v>14394</v>
      </c>
      <c r="N850" s="20" t="s">
        <v>14489</v>
      </c>
      <c r="O850" s="16">
        <v>0</v>
      </c>
      <c r="P850" s="143">
        <v>364</v>
      </c>
      <c r="Q850" s="122" t="s">
        <v>9227</v>
      </c>
      <c r="R850" s="16" t="s">
        <v>9235</v>
      </c>
      <c r="S850" s="10" t="s">
        <v>1165</v>
      </c>
      <c r="T850" s="28" t="s">
        <v>10052</v>
      </c>
      <c r="U850" s="20" t="s">
        <v>5359</v>
      </c>
      <c r="V850" s="16" t="s">
        <v>8512</v>
      </c>
      <c r="W850" s="11" t="s">
        <v>14395</v>
      </c>
      <c r="X850" s="174">
        <v>54.56</v>
      </c>
      <c r="Y850" s="174">
        <v>72.88</v>
      </c>
    </row>
    <row r="851" spans="1:25" ht="15" customHeight="1" x14ac:dyDescent="0.25">
      <c r="A851" s="20" t="s">
        <v>4769</v>
      </c>
      <c r="B851" s="14" t="s">
        <v>4770</v>
      </c>
      <c r="C851" s="71" t="str">
        <f t="shared" si="13"/>
        <v>Product Info</v>
      </c>
      <c r="D851" s="37" t="s">
        <v>4323</v>
      </c>
      <c r="E851" s="143">
        <v>3</v>
      </c>
      <c r="F851" s="12" t="s">
        <v>2170</v>
      </c>
      <c r="G851" s="38">
        <v>85.74</v>
      </c>
      <c r="H851" s="38">
        <v>72.88</v>
      </c>
      <c r="I851" s="38">
        <v>60.02</v>
      </c>
      <c r="J851" s="39"/>
      <c r="K851" s="143"/>
      <c r="L851" s="22">
        <v>2</v>
      </c>
      <c r="M851" s="22" t="s">
        <v>12488</v>
      </c>
      <c r="N851" s="20" t="s">
        <v>8778</v>
      </c>
      <c r="O851" s="16" t="s">
        <v>12608</v>
      </c>
      <c r="P851" s="143">
        <v>364</v>
      </c>
      <c r="Q851" s="121" t="s">
        <v>14285</v>
      </c>
      <c r="R851" s="16" t="s">
        <v>9235</v>
      </c>
      <c r="S851" s="10" t="s">
        <v>1165</v>
      </c>
      <c r="T851" s="28" t="s">
        <v>10053</v>
      </c>
      <c r="U851" s="20" t="s">
        <v>5359</v>
      </c>
      <c r="V851" s="16" t="s">
        <v>8513</v>
      </c>
      <c r="W851" s="11" t="s">
        <v>14395</v>
      </c>
      <c r="X851" s="174">
        <v>54.56</v>
      </c>
      <c r="Y851" s="174">
        <v>72.88</v>
      </c>
    </row>
    <row r="852" spans="1:25" ht="15" customHeight="1" x14ac:dyDescent="0.25">
      <c r="A852" s="20" t="s">
        <v>4771</v>
      </c>
      <c r="B852" s="14" t="s">
        <v>4772</v>
      </c>
      <c r="C852" s="71" t="str">
        <f t="shared" si="13"/>
        <v>Product Info</v>
      </c>
      <c r="D852" s="37" t="s">
        <v>4324</v>
      </c>
      <c r="E852" s="143">
        <v>3</v>
      </c>
      <c r="F852" s="12" t="s">
        <v>2170</v>
      </c>
      <c r="G852" s="38">
        <v>85.74</v>
      </c>
      <c r="H852" s="38">
        <v>72.88</v>
      </c>
      <c r="I852" s="38">
        <v>60.02</v>
      </c>
      <c r="J852" s="39"/>
      <c r="K852" s="143"/>
      <c r="L852" s="22">
        <v>1.983333</v>
      </c>
      <c r="M852" s="22" t="s">
        <v>2170</v>
      </c>
      <c r="N852" s="20" t="s">
        <v>14489</v>
      </c>
      <c r="O852" s="16">
        <v>0</v>
      </c>
      <c r="P852" s="143">
        <v>364</v>
      </c>
      <c r="Q852" s="122" t="s">
        <v>9227</v>
      </c>
      <c r="R852" s="16" t="s">
        <v>9235</v>
      </c>
      <c r="S852" s="10" t="s">
        <v>1165</v>
      </c>
      <c r="T852" s="28" t="s">
        <v>10054</v>
      </c>
      <c r="U852" s="20" t="s">
        <v>5359</v>
      </c>
      <c r="V852" s="16" t="s">
        <v>8514</v>
      </c>
      <c r="W852" s="11" t="s">
        <v>14395</v>
      </c>
      <c r="X852" s="174">
        <v>54.56</v>
      </c>
      <c r="Y852" s="174">
        <v>72.88</v>
      </c>
    </row>
    <row r="853" spans="1:25" ht="15" customHeight="1" x14ac:dyDescent="0.25">
      <c r="A853" s="20" t="s">
        <v>4773</v>
      </c>
      <c r="B853" s="14" t="s">
        <v>5683</v>
      </c>
      <c r="C853" s="71" t="str">
        <f t="shared" si="13"/>
        <v>Product Info</v>
      </c>
      <c r="D853" s="37" t="s">
        <v>4325</v>
      </c>
      <c r="E853" s="143">
        <v>3</v>
      </c>
      <c r="F853" s="12" t="s">
        <v>2170</v>
      </c>
      <c r="G853" s="38">
        <v>85.74</v>
      </c>
      <c r="H853" s="38">
        <v>72.88</v>
      </c>
      <c r="I853" s="38">
        <v>60.02</v>
      </c>
      <c r="J853" s="39"/>
      <c r="K853" s="143"/>
      <c r="L853" s="22">
        <v>0.88329999999999997</v>
      </c>
      <c r="M853" s="22" t="s">
        <v>14394</v>
      </c>
      <c r="N853" s="20" t="s">
        <v>14489</v>
      </c>
      <c r="O853" s="16">
        <v>0</v>
      </c>
      <c r="P853" s="143">
        <v>364</v>
      </c>
      <c r="Q853" s="122" t="s">
        <v>12421</v>
      </c>
      <c r="R853" s="16" t="s">
        <v>9235</v>
      </c>
      <c r="S853" s="10" t="s">
        <v>1165</v>
      </c>
      <c r="T853" s="28" t="s">
        <v>10055</v>
      </c>
      <c r="U853" s="20" t="s">
        <v>5359</v>
      </c>
      <c r="V853" s="16" t="s">
        <v>8515</v>
      </c>
      <c r="W853" s="11" t="s">
        <v>14395</v>
      </c>
      <c r="X853" s="174">
        <v>54.56</v>
      </c>
      <c r="Y853" s="174">
        <v>72.88</v>
      </c>
    </row>
    <row r="854" spans="1:25" ht="15" customHeight="1" x14ac:dyDescent="0.25">
      <c r="A854" s="20" t="s">
        <v>5684</v>
      </c>
      <c r="B854" s="14" t="s">
        <v>5685</v>
      </c>
      <c r="C854" s="71" t="str">
        <f t="shared" si="13"/>
        <v>Product Info</v>
      </c>
      <c r="D854" s="37" t="s">
        <v>4326</v>
      </c>
      <c r="E854" s="143">
        <v>3</v>
      </c>
      <c r="F854" s="12" t="s">
        <v>2170</v>
      </c>
      <c r="G854" s="38">
        <v>85.74</v>
      </c>
      <c r="H854" s="38">
        <v>72.88</v>
      </c>
      <c r="I854" s="38">
        <v>60.02</v>
      </c>
      <c r="J854" s="39"/>
      <c r="K854" s="143"/>
      <c r="L854" s="22">
        <v>0.1055</v>
      </c>
      <c r="M854" s="22" t="s">
        <v>14394</v>
      </c>
      <c r="N854" s="20" t="s">
        <v>14489</v>
      </c>
      <c r="O854" s="16">
        <v>0</v>
      </c>
      <c r="P854" s="143">
        <v>364</v>
      </c>
      <c r="Q854" s="121" t="s">
        <v>14285</v>
      </c>
      <c r="R854" s="16" t="s">
        <v>9235</v>
      </c>
      <c r="S854" s="10" t="s">
        <v>1165</v>
      </c>
      <c r="T854" s="28" t="s">
        <v>10056</v>
      </c>
      <c r="U854" s="20" t="s">
        <v>5359</v>
      </c>
      <c r="V854" s="16" t="s">
        <v>8516</v>
      </c>
      <c r="W854" s="11" t="s">
        <v>14395</v>
      </c>
      <c r="X854" s="174">
        <v>54.56</v>
      </c>
      <c r="Y854" s="174">
        <v>72.88</v>
      </c>
    </row>
    <row r="855" spans="1:25" ht="15" customHeight="1" x14ac:dyDescent="0.25">
      <c r="A855" s="20" t="s">
        <v>5686</v>
      </c>
      <c r="B855" s="14" t="s">
        <v>5687</v>
      </c>
      <c r="C855" s="71" t="str">
        <f t="shared" si="13"/>
        <v>Product Info</v>
      </c>
      <c r="D855" s="37" t="s">
        <v>4327</v>
      </c>
      <c r="E855" s="143">
        <v>3</v>
      </c>
      <c r="F855" s="12" t="s">
        <v>2170</v>
      </c>
      <c r="G855" s="38">
        <v>85.74</v>
      </c>
      <c r="H855" s="38">
        <v>72.88</v>
      </c>
      <c r="I855" s="38">
        <v>60.02</v>
      </c>
      <c r="J855" s="39"/>
      <c r="K855" s="143"/>
      <c r="L855" s="22">
        <v>0.16300000000000001</v>
      </c>
      <c r="M855" s="22" t="s">
        <v>14394</v>
      </c>
      <c r="N855" s="20" t="s">
        <v>14489</v>
      </c>
      <c r="O855" s="16">
        <v>0</v>
      </c>
      <c r="P855" s="143">
        <v>364</v>
      </c>
      <c r="Q855" s="122" t="s">
        <v>12421</v>
      </c>
      <c r="R855" s="16" t="s">
        <v>9235</v>
      </c>
      <c r="S855" s="10" t="s">
        <v>1165</v>
      </c>
      <c r="T855" s="28" t="s">
        <v>10057</v>
      </c>
      <c r="U855" s="20" t="s">
        <v>5359</v>
      </c>
      <c r="V855" s="16" t="s">
        <v>8517</v>
      </c>
      <c r="W855" s="11" t="s">
        <v>14395</v>
      </c>
      <c r="X855" s="174">
        <v>54.56</v>
      </c>
      <c r="Y855" s="174">
        <v>72.88</v>
      </c>
    </row>
    <row r="856" spans="1:25" ht="15" customHeight="1" x14ac:dyDescent="0.25">
      <c r="A856" s="20" t="s">
        <v>5688</v>
      </c>
      <c r="B856" s="14" t="s">
        <v>7703</v>
      </c>
      <c r="C856" s="71" t="str">
        <f t="shared" si="13"/>
        <v>Product Info</v>
      </c>
      <c r="D856" s="37" t="s">
        <v>4328</v>
      </c>
      <c r="E856" s="143">
        <v>3</v>
      </c>
      <c r="F856" s="12" t="s">
        <v>2170</v>
      </c>
      <c r="G856" s="38">
        <v>85.74</v>
      </c>
      <c r="H856" s="38">
        <v>72.88</v>
      </c>
      <c r="I856" s="38">
        <v>60.02</v>
      </c>
      <c r="J856" s="39"/>
      <c r="K856" s="143"/>
      <c r="L856" s="22">
        <v>0.75</v>
      </c>
      <c r="M856" s="22" t="s">
        <v>14394</v>
      </c>
      <c r="N856" s="20" t="s">
        <v>14489</v>
      </c>
      <c r="O856" s="16">
        <v>0</v>
      </c>
      <c r="P856" s="143">
        <v>364</v>
      </c>
      <c r="Q856" s="121" t="s">
        <v>14285</v>
      </c>
      <c r="R856" s="16" t="s">
        <v>9235</v>
      </c>
      <c r="S856" s="10" t="s">
        <v>1165</v>
      </c>
      <c r="T856" s="28" t="s">
        <v>10058</v>
      </c>
      <c r="U856" s="20" t="s">
        <v>5359</v>
      </c>
      <c r="V856" s="16" t="s">
        <v>8518</v>
      </c>
      <c r="W856" s="11" t="s">
        <v>14395</v>
      </c>
      <c r="X856" s="174">
        <v>54.56</v>
      </c>
      <c r="Y856" s="174">
        <v>72.88</v>
      </c>
    </row>
    <row r="857" spans="1:25" ht="15" customHeight="1" x14ac:dyDescent="0.25">
      <c r="A857" s="20" t="s">
        <v>7704</v>
      </c>
      <c r="B857" s="14" t="s">
        <v>6498</v>
      </c>
      <c r="C857" s="71" t="str">
        <f t="shared" si="13"/>
        <v>Product Info</v>
      </c>
      <c r="D857" s="37" t="s">
        <v>3649</v>
      </c>
      <c r="E857" s="143">
        <v>3</v>
      </c>
      <c r="F857" s="12" t="s">
        <v>2170</v>
      </c>
      <c r="G857" s="38">
        <v>85.74</v>
      </c>
      <c r="H857" s="38">
        <v>72.88</v>
      </c>
      <c r="I857" s="38">
        <v>60.02</v>
      </c>
      <c r="J857" s="39"/>
      <c r="K857" s="143"/>
      <c r="L857" s="22">
        <v>0.87090000000000001</v>
      </c>
      <c r="M857" s="22" t="s">
        <v>14394</v>
      </c>
      <c r="N857" s="20" t="s">
        <v>14489</v>
      </c>
      <c r="O857" s="16">
        <v>0</v>
      </c>
      <c r="P857" s="143">
        <v>364</v>
      </c>
      <c r="Q857" s="121" t="s">
        <v>14285</v>
      </c>
      <c r="R857" s="16" t="s">
        <v>9235</v>
      </c>
      <c r="S857" s="10" t="s">
        <v>1165</v>
      </c>
      <c r="T857" s="28" t="s">
        <v>10059</v>
      </c>
      <c r="U857" s="20" t="s">
        <v>5359</v>
      </c>
      <c r="V857" s="16" t="s">
        <v>8519</v>
      </c>
      <c r="W857" s="11" t="s">
        <v>14395</v>
      </c>
      <c r="X857" s="174">
        <v>54.56</v>
      </c>
      <c r="Y857" s="174">
        <v>72.88</v>
      </c>
    </row>
    <row r="858" spans="1:25" ht="15" customHeight="1" x14ac:dyDescent="0.25">
      <c r="A858" s="20" t="s">
        <v>6499</v>
      </c>
      <c r="B858" s="14" t="s">
        <v>6500</v>
      </c>
      <c r="C858" s="71" t="str">
        <f t="shared" si="13"/>
        <v>Product Info</v>
      </c>
      <c r="D858" s="37" t="s">
        <v>3650</v>
      </c>
      <c r="E858" s="143">
        <v>3</v>
      </c>
      <c r="F858" s="12" t="s">
        <v>2170</v>
      </c>
      <c r="G858" s="38">
        <v>85.74</v>
      </c>
      <c r="H858" s="38">
        <v>72.88</v>
      </c>
      <c r="I858" s="38">
        <v>60.02</v>
      </c>
      <c r="J858" s="39"/>
      <c r="K858" s="143"/>
      <c r="L858" s="22">
        <v>0</v>
      </c>
      <c r="M858" s="22">
        <v>0</v>
      </c>
      <c r="N858" s="20" t="s">
        <v>14489</v>
      </c>
      <c r="O858" s="16">
        <v>0</v>
      </c>
      <c r="P858" s="143">
        <v>364</v>
      </c>
      <c r="Q858" s="121" t="s">
        <v>14285</v>
      </c>
      <c r="R858" s="16" t="s">
        <v>9235</v>
      </c>
      <c r="S858" s="10" t="s">
        <v>1165</v>
      </c>
      <c r="T858" s="28" t="s">
        <v>10060</v>
      </c>
      <c r="U858" s="20" t="s">
        <v>5359</v>
      </c>
      <c r="V858" s="16" t="s">
        <v>8520</v>
      </c>
      <c r="W858" s="11" t="s">
        <v>14395</v>
      </c>
      <c r="X858" s="174">
        <v>54.56</v>
      </c>
      <c r="Y858" s="174">
        <v>72.88</v>
      </c>
    </row>
    <row r="859" spans="1:25" ht="15" customHeight="1" x14ac:dyDescent="0.25">
      <c r="A859" s="20" t="s">
        <v>6501</v>
      </c>
      <c r="B859" s="14" t="s">
        <v>6502</v>
      </c>
      <c r="C859" s="71" t="str">
        <f t="shared" si="13"/>
        <v>Product Info</v>
      </c>
      <c r="D859" s="37" t="s">
        <v>4853</v>
      </c>
      <c r="E859" s="143">
        <v>25</v>
      </c>
      <c r="F859" s="12" t="s">
        <v>2170</v>
      </c>
      <c r="G859" s="38">
        <v>34.67</v>
      </c>
      <c r="H859" s="38">
        <v>29.47</v>
      </c>
      <c r="I859" s="38">
        <v>24.27</v>
      </c>
      <c r="J859" s="39"/>
      <c r="K859" s="143"/>
      <c r="L859" s="22">
        <v>0.67600000000000005</v>
      </c>
      <c r="M859" s="22" t="s">
        <v>2170</v>
      </c>
      <c r="N859" s="20" t="s">
        <v>14489</v>
      </c>
      <c r="O859" s="16" t="s">
        <v>13914</v>
      </c>
      <c r="P859" s="143">
        <v>364</v>
      </c>
      <c r="Q859" s="122" t="s">
        <v>9227</v>
      </c>
      <c r="R859" s="16" t="s">
        <v>9235</v>
      </c>
      <c r="S859" s="10" t="s">
        <v>1165</v>
      </c>
      <c r="T859" s="28" t="s">
        <v>10062</v>
      </c>
      <c r="U859" s="20" t="s">
        <v>5359</v>
      </c>
      <c r="V859" s="16" t="s">
        <v>8522</v>
      </c>
      <c r="W859" s="11" t="s">
        <v>14395</v>
      </c>
      <c r="X859" s="174">
        <v>22.06</v>
      </c>
      <c r="Y859" s="174">
        <v>29.47</v>
      </c>
    </row>
    <row r="860" spans="1:25" ht="15" customHeight="1" x14ac:dyDescent="0.25">
      <c r="A860" s="20" t="s">
        <v>6503</v>
      </c>
      <c r="B860" s="14" t="s">
        <v>6504</v>
      </c>
      <c r="C860" s="71" t="str">
        <f t="shared" si="13"/>
        <v>Product Info</v>
      </c>
      <c r="D860" s="37" t="s">
        <v>4574</v>
      </c>
      <c r="E860" s="143">
        <v>30</v>
      </c>
      <c r="F860" s="12" t="s">
        <v>2170</v>
      </c>
      <c r="G860" s="38">
        <v>49.27</v>
      </c>
      <c r="H860" s="38">
        <v>41.88</v>
      </c>
      <c r="I860" s="38">
        <v>34.49</v>
      </c>
      <c r="J860" s="39"/>
      <c r="K860" s="143"/>
      <c r="L860" s="22">
        <v>1.06</v>
      </c>
      <c r="M860" s="22" t="s">
        <v>12488</v>
      </c>
      <c r="N860" s="20" t="s">
        <v>8778</v>
      </c>
      <c r="O860" s="16" t="s">
        <v>12608</v>
      </c>
      <c r="P860" s="143">
        <v>364</v>
      </c>
      <c r="Q860" s="121" t="s">
        <v>14285</v>
      </c>
      <c r="R860" s="16" t="s">
        <v>9235</v>
      </c>
      <c r="S860" s="10" t="s">
        <v>1165</v>
      </c>
      <c r="T860" s="28" t="s">
        <v>10063</v>
      </c>
      <c r="U860" s="20" t="s">
        <v>5359</v>
      </c>
      <c r="V860" s="16" t="s">
        <v>8523</v>
      </c>
      <c r="W860" s="11" t="s">
        <v>14395</v>
      </c>
      <c r="X860" s="174">
        <v>31.35</v>
      </c>
      <c r="Y860" s="174">
        <v>41.88</v>
      </c>
    </row>
    <row r="861" spans="1:25" ht="15" customHeight="1" x14ac:dyDescent="0.25">
      <c r="A861" s="20" t="s">
        <v>6505</v>
      </c>
      <c r="B861" s="14" t="s">
        <v>6506</v>
      </c>
      <c r="C861" s="71" t="str">
        <f t="shared" si="13"/>
        <v>Product Info</v>
      </c>
      <c r="D861" s="37" t="s">
        <v>4575</v>
      </c>
      <c r="E861" s="143">
        <v>5</v>
      </c>
      <c r="F861" s="12" t="s">
        <v>2170</v>
      </c>
      <c r="G861" s="38">
        <v>37.71</v>
      </c>
      <c r="H861" s="38">
        <v>32.06</v>
      </c>
      <c r="I861" s="38">
        <v>26.4</v>
      </c>
      <c r="J861" s="39">
        <v>3000</v>
      </c>
      <c r="K861" s="143"/>
      <c r="L861" s="22">
        <v>1.1299999999999999</v>
      </c>
      <c r="M861" s="22" t="s">
        <v>2170</v>
      </c>
      <c r="N861" s="20" t="s">
        <v>14489</v>
      </c>
      <c r="O861" s="16">
        <v>0</v>
      </c>
      <c r="P861" s="143">
        <v>364</v>
      </c>
      <c r="Q861" s="122" t="s">
        <v>12421</v>
      </c>
      <c r="R861" s="16" t="s">
        <v>9235</v>
      </c>
      <c r="S861" s="10" t="s">
        <v>1165</v>
      </c>
      <c r="T861" s="28" t="s">
        <v>10064</v>
      </c>
      <c r="U861" s="20" t="s">
        <v>5359</v>
      </c>
      <c r="V861" s="16" t="s">
        <v>8524</v>
      </c>
      <c r="W861" s="11" t="s">
        <v>14395</v>
      </c>
      <c r="X861" s="174">
        <v>24</v>
      </c>
      <c r="Y861" s="174">
        <v>32.06</v>
      </c>
    </row>
    <row r="862" spans="1:25" ht="15" customHeight="1" x14ac:dyDescent="0.25">
      <c r="A862" s="20" t="s">
        <v>6507</v>
      </c>
      <c r="B862" s="14" t="s">
        <v>6508</v>
      </c>
      <c r="C862" s="71" t="str">
        <f t="shared" si="13"/>
        <v>Product Info</v>
      </c>
      <c r="D862" s="37" t="s">
        <v>4576</v>
      </c>
      <c r="E862" s="143">
        <v>5</v>
      </c>
      <c r="F862" s="12" t="s">
        <v>2170</v>
      </c>
      <c r="G862" s="38">
        <v>37.71</v>
      </c>
      <c r="H862" s="38">
        <v>32.06</v>
      </c>
      <c r="I862" s="38">
        <v>26.4</v>
      </c>
      <c r="J862" s="39">
        <v>3000</v>
      </c>
      <c r="K862" s="143"/>
      <c r="L862" s="22">
        <v>0.83</v>
      </c>
      <c r="M862" s="22" t="s">
        <v>12488</v>
      </c>
      <c r="N862" s="20" t="s">
        <v>8778</v>
      </c>
      <c r="O862" s="16" t="s">
        <v>12608</v>
      </c>
      <c r="P862" s="143">
        <v>364</v>
      </c>
      <c r="Q862" s="122" t="s">
        <v>9227</v>
      </c>
      <c r="R862" s="16" t="s">
        <v>9235</v>
      </c>
      <c r="S862" s="10" t="s">
        <v>1165</v>
      </c>
      <c r="T862" s="28" t="s">
        <v>10065</v>
      </c>
      <c r="U862" s="20" t="s">
        <v>5359</v>
      </c>
      <c r="V862" s="16" t="s">
        <v>8525</v>
      </c>
      <c r="W862" s="11" t="s">
        <v>14395</v>
      </c>
      <c r="X862" s="174">
        <v>24</v>
      </c>
      <c r="Y862" s="174">
        <v>32.06</v>
      </c>
    </row>
    <row r="863" spans="1:25" ht="15" customHeight="1" x14ac:dyDescent="0.25">
      <c r="A863" s="20" t="s">
        <v>6509</v>
      </c>
      <c r="B863" s="14" t="s">
        <v>6510</v>
      </c>
      <c r="C863" s="71" t="str">
        <f t="shared" si="13"/>
        <v>Product Info</v>
      </c>
      <c r="D863" s="37" t="s">
        <v>4577</v>
      </c>
      <c r="E863" s="143">
        <v>5</v>
      </c>
      <c r="F863" s="12" t="s">
        <v>2170</v>
      </c>
      <c r="G863" s="38">
        <v>37.71</v>
      </c>
      <c r="H863" s="38">
        <v>32.06</v>
      </c>
      <c r="I863" s="38">
        <v>26.4</v>
      </c>
      <c r="J863" s="39">
        <v>3000</v>
      </c>
      <c r="K863" s="143"/>
      <c r="L863" s="22">
        <v>0.51249999999999996</v>
      </c>
      <c r="M863" s="22" t="s">
        <v>14394</v>
      </c>
      <c r="N863" s="20" t="s">
        <v>14489</v>
      </c>
      <c r="O863" s="16">
        <v>0</v>
      </c>
      <c r="P863" s="143">
        <v>364</v>
      </c>
      <c r="Q863" s="122" t="s">
        <v>9227</v>
      </c>
      <c r="R863" s="16" t="s">
        <v>9235</v>
      </c>
      <c r="S863" s="10" t="s">
        <v>1165</v>
      </c>
      <c r="T863" s="28" t="s">
        <v>10066</v>
      </c>
      <c r="U863" s="20" t="s">
        <v>5359</v>
      </c>
      <c r="V863" s="16" t="s">
        <v>8526</v>
      </c>
      <c r="W863" s="11" t="s">
        <v>14395</v>
      </c>
      <c r="X863" s="174">
        <v>24</v>
      </c>
      <c r="Y863" s="174">
        <v>32.06</v>
      </c>
    </row>
    <row r="864" spans="1:25" ht="15" customHeight="1" x14ac:dyDescent="0.25">
      <c r="A864" s="20" t="s">
        <v>6511</v>
      </c>
      <c r="B864" s="14" t="s">
        <v>6512</v>
      </c>
      <c r="C864" s="71" t="str">
        <f t="shared" si="13"/>
        <v>Product Info</v>
      </c>
      <c r="D864" s="37" t="s">
        <v>4578</v>
      </c>
      <c r="E864" s="143">
        <v>25</v>
      </c>
      <c r="F864" s="12" t="s">
        <v>2170</v>
      </c>
      <c r="G864" s="38">
        <v>34.19</v>
      </c>
      <c r="H864" s="38">
        <v>29.06</v>
      </c>
      <c r="I864" s="38">
        <v>23.93</v>
      </c>
      <c r="J864" s="39"/>
      <c r="K864" s="143"/>
      <c r="L864" s="22">
        <v>0.76</v>
      </c>
      <c r="M864" s="22" t="s">
        <v>12488</v>
      </c>
      <c r="N864" s="20" t="s">
        <v>8778</v>
      </c>
      <c r="O864" s="16" t="s">
        <v>12608</v>
      </c>
      <c r="P864" s="143">
        <v>364</v>
      </c>
      <c r="Q864" s="121" t="s">
        <v>14285</v>
      </c>
      <c r="R864" s="16" t="s">
        <v>9235</v>
      </c>
      <c r="S864" s="10" t="s">
        <v>1165</v>
      </c>
      <c r="T864" s="28" t="s">
        <v>10067</v>
      </c>
      <c r="U864" s="20" t="s">
        <v>5359</v>
      </c>
      <c r="V864" s="16" t="s">
        <v>8527</v>
      </c>
      <c r="W864" s="11" t="s">
        <v>14395</v>
      </c>
      <c r="X864" s="174">
        <v>21.75</v>
      </c>
      <c r="Y864" s="174">
        <v>29.06</v>
      </c>
    </row>
    <row r="865" spans="1:25" ht="15" customHeight="1" x14ac:dyDescent="0.25">
      <c r="A865" s="20" t="s">
        <v>6513</v>
      </c>
      <c r="B865" s="14" t="s">
        <v>6514</v>
      </c>
      <c r="C865" s="71" t="str">
        <f t="shared" si="13"/>
        <v>Product Info</v>
      </c>
      <c r="D865" s="37" t="s">
        <v>4579</v>
      </c>
      <c r="E865" s="143">
        <v>25</v>
      </c>
      <c r="F865" s="12" t="s">
        <v>2170</v>
      </c>
      <c r="G865" s="38">
        <v>34.19</v>
      </c>
      <c r="H865" s="38">
        <v>29.06</v>
      </c>
      <c r="I865" s="38">
        <v>23.93</v>
      </c>
      <c r="J865" s="39"/>
      <c r="K865" s="143"/>
      <c r="L865" s="22">
        <v>0.76</v>
      </c>
      <c r="M865" s="22" t="s">
        <v>12488</v>
      </c>
      <c r="N865" s="20" t="s">
        <v>8778</v>
      </c>
      <c r="O865" s="16" t="s">
        <v>12608</v>
      </c>
      <c r="P865" s="143">
        <v>364</v>
      </c>
      <c r="Q865" s="122" t="s">
        <v>12421</v>
      </c>
      <c r="R865" s="16" t="s">
        <v>9235</v>
      </c>
      <c r="S865" s="10" t="s">
        <v>1165</v>
      </c>
      <c r="T865" s="28" t="s">
        <v>10068</v>
      </c>
      <c r="U865" s="20" t="s">
        <v>5359</v>
      </c>
      <c r="V865" s="16" t="s">
        <v>8528</v>
      </c>
      <c r="W865" s="11" t="s">
        <v>14395</v>
      </c>
      <c r="X865" s="174">
        <v>21.75</v>
      </c>
      <c r="Y865" s="174">
        <v>29.06</v>
      </c>
    </row>
    <row r="866" spans="1:25" ht="15" customHeight="1" x14ac:dyDescent="0.25">
      <c r="A866" s="20" t="s">
        <v>6515</v>
      </c>
      <c r="B866" s="14" t="s">
        <v>6516</v>
      </c>
      <c r="C866" s="71" t="str">
        <f t="shared" si="13"/>
        <v>Product Info</v>
      </c>
      <c r="D866" s="37" t="s">
        <v>4580</v>
      </c>
      <c r="E866" s="143">
        <v>25</v>
      </c>
      <c r="F866" s="12" t="s">
        <v>2170</v>
      </c>
      <c r="G866" s="38">
        <v>34.19</v>
      </c>
      <c r="H866" s="38">
        <v>29.06</v>
      </c>
      <c r="I866" s="38">
        <v>23.93</v>
      </c>
      <c r="J866" s="39"/>
      <c r="K866" s="143"/>
      <c r="L866" s="22">
        <v>0.8</v>
      </c>
      <c r="M866" s="22" t="s">
        <v>12488</v>
      </c>
      <c r="N866" s="20" t="s">
        <v>8779</v>
      </c>
      <c r="O866" s="16" t="s">
        <v>12608</v>
      </c>
      <c r="P866" s="143">
        <v>364</v>
      </c>
      <c r="Q866" s="122" t="s">
        <v>9227</v>
      </c>
      <c r="R866" s="16" t="s">
        <v>9235</v>
      </c>
      <c r="S866" s="10" t="s">
        <v>1165</v>
      </c>
      <c r="T866" s="28" t="s">
        <v>10069</v>
      </c>
      <c r="U866" s="20" t="s">
        <v>5359</v>
      </c>
      <c r="V866" s="16" t="s">
        <v>8529</v>
      </c>
      <c r="W866" s="11" t="s">
        <v>14395</v>
      </c>
      <c r="X866" s="174">
        <v>21.75</v>
      </c>
      <c r="Y866" s="174">
        <v>29.06</v>
      </c>
    </row>
    <row r="867" spans="1:25" ht="15" customHeight="1" x14ac:dyDescent="0.25">
      <c r="A867" s="20" t="s">
        <v>6517</v>
      </c>
      <c r="B867" s="14" t="s">
        <v>6518</v>
      </c>
      <c r="C867" s="71" t="str">
        <f t="shared" si="13"/>
        <v>Product Info</v>
      </c>
      <c r="D867" s="37" t="s">
        <v>4581</v>
      </c>
      <c r="E867" s="143">
        <v>25</v>
      </c>
      <c r="F867" s="12" t="s">
        <v>2170</v>
      </c>
      <c r="G867" s="38">
        <v>34.19</v>
      </c>
      <c r="H867" s="38">
        <v>29.06</v>
      </c>
      <c r="I867" s="38">
        <v>23.93</v>
      </c>
      <c r="J867" s="39"/>
      <c r="K867" s="143"/>
      <c r="L867" s="22">
        <v>0.2</v>
      </c>
      <c r="M867" s="22" t="s">
        <v>14394</v>
      </c>
      <c r="N867" s="20" t="s">
        <v>14489</v>
      </c>
      <c r="O867" s="16" t="s">
        <v>14482</v>
      </c>
      <c r="P867" s="143">
        <v>364</v>
      </c>
      <c r="Q867" s="122" t="s">
        <v>12421</v>
      </c>
      <c r="R867" s="16" t="s">
        <v>9235</v>
      </c>
      <c r="S867" s="10" t="s">
        <v>1165</v>
      </c>
      <c r="T867" s="28" t="s">
        <v>10070</v>
      </c>
      <c r="U867" s="20" t="s">
        <v>5359</v>
      </c>
      <c r="V867" s="16" t="s">
        <v>8530</v>
      </c>
      <c r="W867" s="11" t="s">
        <v>14395</v>
      </c>
      <c r="X867" s="174">
        <v>21.75</v>
      </c>
      <c r="Y867" s="174">
        <v>29.06</v>
      </c>
    </row>
    <row r="868" spans="1:25" ht="15" customHeight="1" x14ac:dyDescent="0.25">
      <c r="A868" s="20" t="s">
        <v>7662</v>
      </c>
      <c r="B868" s="14" t="s">
        <v>7663</v>
      </c>
      <c r="C868" s="71" t="str">
        <f t="shared" si="13"/>
        <v>Product Info</v>
      </c>
      <c r="D868" s="37" t="s">
        <v>4582</v>
      </c>
      <c r="E868" s="143">
        <v>25</v>
      </c>
      <c r="F868" s="12" t="s">
        <v>2170</v>
      </c>
      <c r="G868" s="38">
        <v>34.54</v>
      </c>
      <c r="H868" s="38">
        <v>29.36</v>
      </c>
      <c r="I868" s="38">
        <v>24.18</v>
      </c>
      <c r="J868" s="39"/>
      <c r="K868" s="143"/>
      <c r="L868" s="22">
        <v>0.81</v>
      </c>
      <c r="M868" s="22" t="s">
        <v>2170</v>
      </c>
      <c r="N868" s="20" t="s">
        <v>14489</v>
      </c>
      <c r="O868" s="16" t="s">
        <v>13914</v>
      </c>
      <c r="P868" s="143">
        <v>364</v>
      </c>
      <c r="Q868" s="122" t="s">
        <v>12421</v>
      </c>
      <c r="R868" s="16" t="s">
        <v>9235</v>
      </c>
      <c r="S868" s="10" t="s">
        <v>1165</v>
      </c>
      <c r="T868" s="28" t="s">
        <v>10071</v>
      </c>
      <c r="U868" s="20" t="s">
        <v>5359</v>
      </c>
      <c r="V868" s="16" t="s">
        <v>8531</v>
      </c>
      <c r="W868" s="11" t="s">
        <v>14395</v>
      </c>
      <c r="X868" s="174">
        <v>21.98</v>
      </c>
      <c r="Y868" s="174">
        <v>29.36</v>
      </c>
    </row>
    <row r="869" spans="1:25" ht="15" customHeight="1" x14ac:dyDescent="0.25">
      <c r="A869" s="20" t="s">
        <v>7592</v>
      </c>
      <c r="B869" s="14" t="s">
        <v>7593</v>
      </c>
      <c r="C869" s="71" t="str">
        <f t="shared" si="13"/>
        <v>Product Info</v>
      </c>
      <c r="D869" s="37" t="s">
        <v>4583</v>
      </c>
      <c r="E869" s="143">
        <v>25</v>
      </c>
      <c r="F869" s="12" t="s">
        <v>2170</v>
      </c>
      <c r="G869" s="38">
        <v>34.86</v>
      </c>
      <c r="H869" s="38">
        <v>29.63</v>
      </c>
      <c r="I869" s="38">
        <v>24.4</v>
      </c>
      <c r="J869" s="39"/>
      <c r="K869" s="143"/>
      <c r="L869" s="22">
        <v>0.38</v>
      </c>
      <c r="M869" s="22" t="s">
        <v>14394</v>
      </c>
      <c r="N869" s="20" t="s">
        <v>14489</v>
      </c>
      <c r="O869" s="16">
        <v>0</v>
      </c>
      <c r="P869" s="143">
        <v>364</v>
      </c>
      <c r="Q869" s="122" t="s">
        <v>9227</v>
      </c>
      <c r="R869" s="16" t="s">
        <v>9235</v>
      </c>
      <c r="S869" s="10" t="s">
        <v>1165</v>
      </c>
      <c r="T869" s="28" t="s">
        <v>10072</v>
      </c>
      <c r="U869" s="20" t="s">
        <v>5359</v>
      </c>
      <c r="V869" s="16" t="s">
        <v>8532</v>
      </c>
      <c r="W869" s="11" t="s">
        <v>14395</v>
      </c>
      <c r="X869" s="174">
        <v>22.19</v>
      </c>
      <c r="Y869" s="174">
        <v>29.63</v>
      </c>
    </row>
    <row r="870" spans="1:25" ht="15" customHeight="1" x14ac:dyDescent="0.25">
      <c r="A870" s="20" t="s">
        <v>6577</v>
      </c>
      <c r="B870" s="14" t="s">
        <v>6578</v>
      </c>
      <c r="C870" s="71" t="str">
        <f t="shared" si="13"/>
        <v>Product Info</v>
      </c>
      <c r="D870" s="37" t="s">
        <v>4584</v>
      </c>
      <c r="E870" s="143">
        <v>25</v>
      </c>
      <c r="F870" s="12" t="s">
        <v>2170</v>
      </c>
      <c r="G870" s="38">
        <v>34.19</v>
      </c>
      <c r="H870" s="38">
        <v>29.06</v>
      </c>
      <c r="I870" s="38">
        <v>23.93</v>
      </c>
      <c r="J870" s="39"/>
      <c r="K870" s="143"/>
      <c r="L870" s="22">
        <v>0.84</v>
      </c>
      <c r="M870" s="22" t="s">
        <v>12488</v>
      </c>
      <c r="N870" s="20" t="s">
        <v>8779</v>
      </c>
      <c r="O870" s="16" t="s">
        <v>12608</v>
      </c>
      <c r="P870" s="143">
        <v>364</v>
      </c>
      <c r="Q870" s="122" t="s">
        <v>12421</v>
      </c>
      <c r="R870" s="16" t="s">
        <v>9235</v>
      </c>
      <c r="S870" s="10" t="s">
        <v>1165</v>
      </c>
      <c r="T870" s="28" t="s">
        <v>10073</v>
      </c>
      <c r="U870" s="20" t="s">
        <v>5359</v>
      </c>
      <c r="V870" s="16" t="s">
        <v>8533</v>
      </c>
      <c r="W870" s="11" t="s">
        <v>14395</v>
      </c>
      <c r="X870" s="174">
        <v>21.75</v>
      </c>
      <c r="Y870" s="174">
        <v>29.06</v>
      </c>
    </row>
    <row r="871" spans="1:25" ht="15" customHeight="1" x14ac:dyDescent="0.25">
      <c r="A871" s="20" t="s">
        <v>6579</v>
      </c>
      <c r="B871" s="14" t="s">
        <v>6580</v>
      </c>
      <c r="C871" s="71" t="str">
        <f t="shared" si="13"/>
        <v>Product Info</v>
      </c>
      <c r="D871" s="37" t="s">
        <v>4585</v>
      </c>
      <c r="E871" s="143">
        <v>15</v>
      </c>
      <c r="F871" s="12" t="s">
        <v>2170</v>
      </c>
      <c r="G871" s="38">
        <v>47.64</v>
      </c>
      <c r="H871" s="38">
        <v>40.5</v>
      </c>
      <c r="I871" s="38">
        <v>33.35</v>
      </c>
      <c r="J871" s="39"/>
      <c r="K871" s="143"/>
      <c r="L871" s="22">
        <v>0.1082</v>
      </c>
      <c r="M871" s="22" t="s">
        <v>14394</v>
      </c>
      <c r="N871" s="20" t="s">
        <v>14489</v>
      </c>
      <c r="O871" s="16">
        <v>0</v>
      </c>
      <c r="P871" s="143">
        <v>364</v>
      </c>
      <c r="Q871" s="121" t="s">
        <v>14285</v>
      </c>
      <c r="R871" s="16" t="s">
        <v>9235</v>
      </c>
      <c r="S871" s="10" t="s">
        <v>1165</v>
      </c>
      <c r="T871" s="28" t="s">
        <v>10074</v>
      </c>
      <c r="U871" s="20" t="s">
        <v>5359</v>
      </c>
      <c r="V871" s="16" t="s">
        <v>8534</v>
      </c>
      <c r="W871" s="11" t="s">
        <v>14395</v>
      </c>
      <c r="X871" s="174">
        <v>30.33</v>
      </c>
      <c r="Y871" s="174">
        <v>40.5</v>
      </c>
    </row>
    <row r="872" spans="1:25" ht="15" customHeight="1" x14ac:dyDescent="0.25">
      <c r="A872" s="20" t="s">
        <v>6581</v>
      </c>
      <c r="B872" s="14" t="s">
        <v>6582</v>
      </c>
      <c r="C872" s="71" t="str">
        <f t="shared" si="13"/>
        <v>Product Info</v>
      </c>
      <c r="D872" s="37" t="s">
        <v>4586</v>
      </c>
      <c r="E872" s="143">
        <v>15</v>
      </c>
      <c r="F872" s="12" t="s">
        <v>2170</v>
      </c>
      <c r="G872" s="38">
        <v>49.27</v>
      </c>
      <c r="H872" s="38">
        <v>41.88</v>
      </c>
      <c r="I872" s="38">
        <v>34.49</v>
      </c>
      <c r="J872" s="39"/>
      <c r="K872" s="143"/>
      <c r="L872" s="22">
        <v>0</v>
      </c>
      <c r="M872" s="22">
        <v>0</v>
      </c>
      <c r="N872" s="20" t="s">
        <v>14489</v>
      </c>
      <c r="O872" s="16">
        <v>0</v>
      </c>
      <c r="P872" s="143">
        <v>364</v>
      </c>
      <c r="Q872" s="121" t="s">
        <v>14285</v>
      </c>
      <c r="R872" s="16" t="s">
        <v>9235</v>
      </c>
      <c r="S872" s="10" t="s">
        <v>1165</v>
      </c>
      <c r="T872" s="28" t="s">
        <v>10075</v>
      </c>
      <c r="U872" s="20" t="s">
        <v>5359</v>
      </c>
      <c r="V872" s="16" t="s">
        <v>8535</v>
      </c>
      <c r="W872" s="11" t="s">
        <v>14395</v>
      </c>
      <c r="X872" s="174">
        <v>31.35</v>
      </c>
      <c r="Y872" s="174">
        <v>41.88</v>
      </c>
    </row>
    <row r="873" spans="1:25" ht="15" customHeight="1" x14ac:dyDescent="0.25">
      <c r="A873" s="20" t="s">
        <v>6583</v>
      </c>
      <c r="B873" s="14" t="s">
        <v>6584</v>
      </c>
      <c r="C873" s="71" t="str">
        <f t="shared" si="13"/>
        <v>Product Info</v>
      </c>
      <c r="D873" s="37" t="s">
        <v>4587</v>
      </c>
      <c r="E873" s="143">
        <v>15</v>
      </c>
      <c r="F873" s="12" t="s">
        <v>2170</v>
      </c>
      <c r="G873" s="38">
        <v>45.86</v>
      </c>
      <c r="H873" s="38">
        <v>38.979999999999997</v>
      </c>
      <c r="I873" s="38">
        <v>32.1</v>
      </c>
      <c r="J873" s="39"/>
      <c r="K873" s="143"/>
      <c r="L873" s="22">
        <v>0.3</v>
      </c>
      <c r="M873" s="22" t="s">
        <v>14394</v>
      </c>
      <c r="N873" s="20" t="s">
        <v>14489</v>
      </c>
      <c r="O873" s="16">
        <v>0</v>
      </c>
      <c r="P873" s="143">
        <v>364</v>
      </c>
      <c r="Q873" s="121" t="s">
        <v>14285</v>
      </c>
      <c r="R873" s="16" t="s">
        <v>9235</v>
      </c>
      <c r="S873" s="10" t="s">
        <v>1165</v>
      </c>
      <c r="T873" s="28" t="s">
        <v>10076</v>
      </c>
      <c r="U873" s="20" t="s">
        <v>5359</v>
      </c>
      <c r="V873" s="16" t="s">
        <v>8536</v>
      </c>
      <c r="W873" s="11" t="s">
        <v>14395</v>
      </c>
      <c r="X873" s="174">
        <v>29.17</v>
      </c>
      <c r="Y873" s="174">
        <v>38.979999999999997</v>
      </c>
    </row>
    <row r="874" spans="1:25" ht="15" customHeight="1" x14ac:dyDescent="0.25">
      <c r="A874" s="20" t="s">
        <v>6585</v>
      </c>
      <c r="B874" s="14" t="s">
        <v>6586</v>
      </c>
      <c r="C874" s="71" t="str">
        <f t="shared" si="13"/>
        <v>Product Info</v>
      </c>
      <c r="D874" s="37" t="s">
        <v>4588</v>
      </c>
      <c r="E874" s="143">
        <v>15</v>
      </c>
      <c r="F874" s="12" t="s">
        <v>2170</v>
      </c>
      <c r="G874" s="38">
        <v>45.86</v>
      </c>
      <c r="H874" s="38">
        <v>38.979999999999997</v>
      </c>
      <c r="I874" s="38">
        <v>32.1</v>
      </c>
      <c r="J874" s="39"/>
      <c r="K874" s="143"/>
      <c r="L874" s="22">
        <v>0.43149999999999999</v>
      </c>
      <c r="M874" s="22" t="s">
        <v>14394</v>
      </c>
      <c r="N874" s="20" t="s">
        <v>14489</v>
      </c>
      <c r="O874" s="16">
        <v>0</v>
      </c>
      <c r="P874" s="143">
        <v>364</v>
      </c>
      <c r="Q874" s="121" t="s">
        <v>14285</v>
      </c>
      <c r="R874" s="16" t="s">
        <v>9235</v>
      </c>
      <c r="S874" s="10" t="s">
        <v>1165</v>
      </c>
      <c r="T874" s="28" t="s">
        <v>10077</v>
      </c>
      <c r="U874" s="20" t="s">
        <v>5359</v>
      </c>
      <c r="V874" s="16" t="s">
        <v>8537</v>
      </c>
      <c r="W874" s="11" t="s">
        <v>14395</v>
      </c>
      <c r="X874" s="174">
        <v>29.17</v>
      </c>
      <c r="Y874" s="174">
        <v>38.979999999999997</v>
      </c>
    </row>
    <row r="875" spans="1:25" ht="15" customHeight="1" x14ac:dyDescent="0.25">
      <c r="A875" s="20" t="s">
        <v>6587</v>
      </c>
      <c r="B875" s="14" t="s">
        <v>6588</v>
      </c>
      <c r="C875" s="71" t="str">
        <f t="shared" si="13"/>
        <v>Product Info</v>
      </c>
      <c r="D875" s="37" t="s">
        <v>4589</v>
      </c>
      <c r="E875" s="143">
        <v>15</v>
      </c>
      <c r="F875" s="12" t="s">
        <v>2170</v>
      </c>
      <c r="G875" s="38">
        <v>49.27</v>
      </c>
      <c r="H875" s="38">
        <v>41.88</v>
      </c>
      <c r="I875" s="38">
        <v>34.49</v>
      </c>
      <c r="J875" s="39"/>
      <c r="K875" s="143"/>
      <c r="L875" s="22">
        <v>0</v>
      </c>
      <c r="M875" s="22">
        <v>0</v>
      </c>
      <c r="N875" s="20" t="s">
        <v>14489</v>
      </c>
      <c r="O875" s="16">
        <v>0</v>
      </c>
      <c r="P875" s="143">
        <v>364</v>
      </c>
      <c r="Q875" s="121" t="s">
        <v>14285</v>
      </c>
      <c r="R875" s="16" t="s">
        <v>9235</v>
      </c>
      <c r="S875" s="10" t="s">
        <v>1165</v>
      </c>
      <c r="T875" s="28" t="s">
        <v>10078</v>
      </c>
      <c r="U875" s="20" t="s">
        <v>5359</v>
      </c>
      <c r="V875" s="16" t="s">
        <v>8538</v>
      </c>
      <c r="W875" s="11" t="s">
        <v>14395</v>
      </c>
      <c r="X875" s="174">
        <v>31.35</v>
      </c>
      <c r="Y875" s="174">
        <v>41.88</v>
      </c>
    </row>
    <row r="876" spans="1:25" ht="15" customHeight="1" x14ac:dyDescent="0.25">
      <c r="A876" s="20" t="s">
        <v>6589</v>
      </c>
      <c r="B876" s="14" t="s">
        <v>6590</v>
      </c>
      <c r="C876" s="71" t="str">
        <f t="shared" si="13"/>
        <v>Product Info</v>
      </c>
      <c r="D876" s="37" t="s">
        <v>6966</v>
      </c>
      <c r="E876" s="143">
        <v>15</v>
      </c>
      <c r="F876" s="12" t="s">
        <v>2170</v>
      </c>
      <c r="G876" s="38">
        <v>49.27</v>
      </c>
      <c r="H876" s="38">
        <v>41.88</v>
      </c>
      <c r="I876" s="38">
        <v>34.49</v>
      </c>
      <c r="J876" s="39"/>
      <c r="K876" s="143"/>
      <c r="L876" s="22">
        <v>3.5999999999999997E-2</v>
      </c>
      <c r="M876" s="22" t="s">
        <v>14394</v>
      </c>
      <c r="N876" s="20" t="s">
        <v>14489</v>
      </c>
      <c r="O876" s="16">
        <v>0</v>
      </c>
      <c r="P876" s="143">
        <v>364</v>
      </c>
      <c r="Q876" s="121" t="s">
        <v>14285</v>
      </c>
      <c r="R876" s="16" t="s">
        <v>9235</v>
      </c>
      <c r="S876" s="10" t="s">
        <v>1165</v>
      </c>
      <c r="T876" s="28" t="s">
        <v>10079</v>
      </c>
      <c r="U876" s="20" t="s">
        <v>5359</v>
      </c>
      <c r="V876" s="16" t="s">
        <v>8539</v>
      </c>
      <c r="W876" s="11" t="s">
        <v>14395</v>
      </c>
      <c r="X876" s="174">
        <v>31.35</v>
      </c>
      <c r="Y876" s="174">
        <v>41.88</v>
      </c>
    </row>
    <row r="877" spans="1:25" ht="15" customHeight="1" x14ac:dyDescent="0.25">
      <c r="A877" s="20" t="s">
        <v>4123</v>
      </c>
      <c r="B877" s="14" t="s">
        <v>4124</v>
      </c>
      <c r="C877" s="71" t="str">
        <f t="shared" si="13"/>
        <v>Product Info</v>
      </c>
      <c r="D877" s="37" t="s">
        <v>2286</v>
      </c>
      <c r="E877" s="143">
        <v>25</v>
      </c>
      <c r="F877" s="12" t="s">
        <v>2170</v>
      </c>
      <c r="G877" s="38">
        <v>35.729999999999997</v>
      </c>
      <c r="H877" s="38">
        <v>30.37</v>
      </c>
      <c r="I877" s="38">
        <v>25.01</v>
      </c>
      <c r="J877" s="39"/>
      <c r="K877" s="143"/>
      <c r="L877" s="22">
        <v>0.82799999999999996</v>
      </c>
      <c r="M877" s="22" t="s">
        <v>2170</v>
      </c>
      <c r="N877" s="20" t="s">
        <v>14489</v>
      </c>
      <c r="O877" s="16" t="s">
        <v>12608</v>
      </c>
      <c r="P877" s="143">
        <v>364</v>
      </c>
      <c r="Q877" s="122" t="s">
        <v>9227</v>
      </c>
      <c r="R877" s="16" t="s">
        <v>9235</v>
      </c>
      <c r="S877" s="10" t="s">
        <v>1165</v>
      </c>
      <c r="T877" s="28" t="s">
        <v>10080</v>
      </c>
      <c r="U877" s="20" t="s">
        <v>5359</v>
      </c>
      <c r="V877" s="16" t="s">
        <v>8540</v>
      </c>
      <c r="W877" s="11" t="s">
        <v>14395</v>
      </c>
      <c r="X877" s="174">
        <v>22.74</v>
      </c>
      <c r="Y877" s="174">
        <v>30.37</v>
      </c>
    </row>
    <row r="878" spans="1:25" ht="15" customHeight="1" x14ac:dyDescent="0.25">
      <c r="A878" s="20" t="s">
        <v>4125</v>
      </c>
      <c r="B878" s="14" t="s">
        <v>4126</v>
      </c>
      <c r="C878" s="71" t="str">
        <f t="shared" si="13"/>
        <v>Product Info</v>
      </c>
      <c r="D878" s="37" t="s">
        <v>2287</v>
      </c>
      <c r="E878" s="143">
        <v>15</v>
      </c>
      <c r="F878" s="12" t="s">
        <v>2170</v>
      </c>
      <c r="G878" s="38">
        <v>45.86</v>
      </c>
      <c r="H878" s="38">
        <v>38.979999999999997</v>
      </c>
      <c r="I878" s="38">
        <v>32.1</v>
      </c>
      <c r="J878" s="39"/>
      <c r="K878" s="143"/>
      <c r="L878" s="22">
        <v>1.26</v>
      </c>
      <c r="M878" s="22" t="s">
        <v>12488</v>
      </c>
      <c r="N878" s="20" t="s">
        <v>8778</v>
      </c>
      <c r="O878" s="16" t="s">
        <v>12608</v>
      </c>
      <c r="P878" s="143">
        <v>364</v>
      </c>
      <c r="Q878" s="121" t="s">
        <v>14285</v>
      </c>
      <c r="R878" s="16" t="s">
        <v>9235</v>
      </c>
      <c r="S878" s="10" t="s">
        <v>1165</v>
      </c>
      <c r="T878" s="28" t="s">
        <v>10081</v>
      </c>
      <c r="U878" s="20" t="s">
        <v>5359</v>
      </c>
      <c r="V878" s="16" t="s">
        <v>8541</v>
      </c>
      <c r="W878" s="11" t="s">
        <v>14395</v>
      </c>
      <c r="X878" s="174">
        <v>29.17</v>
      </c>
      <c r="Y878" s="174">
        <v>38.979999999999997</v>
      </c>
    </row>
    <row r="879" spans="1:25" ht="15" customHeight="1" x14ac:dyDescent="0.25">
      <c r="A879" s="20" t="s">
        <v>4127</v>
      </c>
      <c r="B879" s="14" t="s">
        <v>4128</v>
      </c>
      <c r="C879" s="71" t="str">
        <f t="shared" si="13"/>
        <v>Product Info</v>
      </c>
      <c r="D879" s="37" t="s">
        <v>2288</v>
      </c>
      <c r="E879" s="143">
        <v>15</v>
      </c>
      <c r="F879" s="12" t="s">
        <v>2170</v>
      </c>
      <c r="G879" s="38">
        <v>49.74</v>
      </c>
      <c r="H879" s="38">
        <v>42.28</v>
      </c>
      <c r="I879" s="38">
        <v>34.82</v>
      </c>
      <c r="J879" s="39"/>
      <c r="K879" s="143"/>
      <c r="L879" s="22">
        <v>8.7999999999999995E-2</v>
      </c>
      <c r="M879" s="22" t="s">
        <v>14394</v>
      </c>
      <c r="N879" s="20" t="s">
        <v>14489</v>
      </c>
      <c r="O879" s="16">
        <v>0</v>
      </c>
      <c r="P879" s="143">
        <v>364</v>
      </c>
      <c r="Q879" s="121" t="s">
        <v>14285</v>
      </c>
      <c r="R879" s="16" t="s">
        <v>9235</v>
      </c>
      <c r="S879" s="10" t="s">
        <v>1165</v>
      </c>
      <c r="T879" s="28" t="s">
        <v>10082</v>
      </c>
      <c r="U879" s="20" t="s">
        <v>5359</v>
      </c>
      <c r="V879" s="16" t="s">
        <v>8542</v>
      </c>
      <c r="W879" s="11" t="s">
        <v>14395</v>
      </c>
      <c r="X879" s="174">
        <v>31.66</v>
      </c>
      <c r="Y879" s="174">
        <v>42.28</v>
      </c>
    </row>
    <row r="880" spans="1:25" ht="15" customHeight="1" x14ac:dyDescent="0.25">
      <c r="A880" s="20" t="s">
        <v>4129</v>
      </c>
      <c r="B880" s="14" t="s">
        <v>4130</v>
      </c>
      <c r="C880" s="71" t="str">
        <f t="shared" si="13"/>
        <v>Product Info</v>
      </c>
      <c r="D880" s="37" t="s">
        <v>2289</v>
      </c>
      <c r="E880" s="143">
        <v>15</v>
      </c>
      <c r="F880" s="12" t="s">
        <v>2170</v>
      </c>
      <c r="G880" s="38">
        <v>46.31</v>
      </c>
      <c r="H880" s="38">
        <v>39.369999999999997</v>
      </c>
      <c r="I880" s="38">
        <v>32.42</v>
      </c>
      <c r="J880" s="39"/>
      <c r="K880" s="143"/>
      <c r="L880" s="22">
        <v>1.33</v>
      </c>
      <c r="M880" s="22" t="s">
        <v>14396</v>
      </c>
      <c r="N880" s="20" t="s">
        <v>8778</v>
      </c>
      <c r="O880" s="16" t="s">
        <v>13914</v>
      </c>
      <c r="P880" s="143">
        <v>364</v>
      </c>
      <c r="Q880" s="121" t="s">
        <v>14285</v>
      </c>
      <c r="R880" s="16" t="s">
        <v>9235</v>
      </c>
      <c r="S880" s="10" t="s">
        <v>1165</v>
      </c>
      <c r="T880" s="28" t="s">
        <v>10083</v>
      </c>
      <c r="U880" s="20" t="s">
        <v>5359</v>
      </c>
      <c r="V880" s="16" t="s">
        <v>8543</v>
      </c>
      <c r="W880" s="11" t="s">
        <v>14395</v>
      </c>
      <c r="X880" s="174">
        <v>29.47</v>
      </c>
      <c r="Y880" s="174">
        <v>39.369999999999997</v>
      </c>
    </row>
    <row r="881" spans="1:25" ht="15" customHeight="1" x14ac:dyDescent="0.25">
      <c r="A881" s="20" t="s">
        <v>4131</v>
      </c>
      <c r="B881" s="14" t="s">
        <v>4132</v>
      </c>
      <c r="C881" s="71" t="str">
        <f t="shared" si="13"/>
        <v>Product Info</v>
      </c>
      <c r="D881" s="37" t="s">
        <v>2290</v>
      </c>
      <c r="E881" s="143">
        <v>15</v>
      </c>
      <c r="F881" s="12" t="s">
        <v>2170</v>
      </c>
      <c r="G881" s="38">
        <v>46.31</v>
      </c>
      <c r="H881" s="38">
        <v>39.369999999999997</v>
      </c>
      <c r="I881" s="38">
        <v>32.42</v>
      </c>
      <c r="J881" s="39"/>
      <c r="K881" s="143"/>
      <c r="L881" s="22">
        <v>1.06</v>
      </c>
      <c r="M881" s="22" t="s">
        <v>12488</v>
      </c>
      <c r="N881" s="20" t="s">
        <v>8779</v>
      </c>
      <c r="O881" s="16" t="s">
        <v>12608</v>
      </c>
      <c r="P881" s="143">
        <v>364</v>
      </c>
      <c r="Q881" s="121" t="s">
        <v>14285</v>
      </c>
      <c r="R881" s="16" t="s">
        <v>9235</v>
      </c>
      <c r="S881" s="10" t="s">
        <v>1165</v>
      </c>
      <c r="T881" s="28" t="s">
        <v>10084</v>
      </c>
      <c r="U881" s="20" t="s">
        <v>5359</v>
      </c>
      <c r="V881" s="16" t="s">
        <v>8544</v>
      </c>
      <c r="W881" s="11" t="s">
        <v>14395</v>
      </c>
      <c r="X881" s="174">
        <v>29.47</v>
      </c>
      <c r="Y881" s="174">
        <v>39.369999999999997</v>
      </c>
    </row>
    <row r="882" spans="1:25" ht="15" customHeight="1" x14ac:dyDescent="0.25">
      <c r="A882" s="20" t="s">
        <v>4133</v>
      </c>
      <c r="B882" s="14" t="s">
        <v>3964</v>
      </c>
      <c r="C882" s="71" t="str">
        <f t="shared" si="13"/>
        <v>Product Info</v>
      </c>
      <c r="D882" s="37" t="s">
        <v>2291</v>
      </c>
      <c r="E882" s="143">
        <v>15</v>
      </c>
      <c r="F882" s="12" t="s">
        <v>2170</v>
      </c>
      <c r="G882" s="38">
        <v>45.86</v>
      </c>
      <c r="H882" s="38">
        <v>38.979999999999997</v>
      </c>
      <c r="I882" s="38">
        <v>32.1</v>
      </c>
      <c r="J882" s="39"/>
      <c r="K882" s="143"/>
      <c r="L882" s="22">
        <v>1.0900000000000001</v>
      </c>
      <c r="M882" s="22" t="s">
        <v>2170</v>
      </c>
      <c r="N882" s="20" t="s">
        <v>14489</v>
      </c>
      <c r="O882" s="16" t="s">
        <v>12608</v>
      </c>
      <c r="P882" s="143">
        <v>364</v>
      </c>
      <c r="Q882" s="122" t="s">
        <v>12421</v>
      </c>
      <c r="R882" s="16" t="s">
        <v>9235</v>
      </c>
      <c r="S882" s="10" t="s">
        <v>1165</v>
      </c>
      <c r="T882" s="28" t="s">
        <v>10085</v>
      </c>
      <c r="U882" s="20" t="s">
        <v>5359</v>
      </c>
      <c r="V882" s="16" t="s">
        <v>8545</v>
      </c>
      <c r="W882" s="11" t="s">
        <v>14395</v>
      </c>
      <c r="X882" s="174">
        <v>29.17</v>
      </c>
      <c r="Y882" s="174">
        <v>38.979999999999997</v>
      </c>
    </row>
    <row r="883" spans="1:25" ht="15" customHeight="1" x14ac:dyDescent="0.25">
      <c r="A883" s="20" t="s">
        <v>3965</v>
      </c>
      <c r="B883" s="14" t="s">
        <v>3966</v>
      </c>
      <c r="C883" s="71" t="str">
        <f t="shared" si="13"/>
        <v>Product Info</v>
      </c>
      <c r="D883" s="37" t="s">
        <v>2292</v>
      </c>
      <c r="E883" s="143">
        <v>15</v>
      </c>
      <c r="F883" s="12" t="s">
        <v>2170</v>
      </c>
      <c r="G883" s="38">
        <v>46.31</v>
      </c>
      <c r="H883" s="38">
        <v>39.369999999999997</v>
      </c>
      <c r="I883" s="38">
        <v>32.42</v>
      </c>
      <c r="J883" s="39"/>
      <c r="K883" s="143"/>
      <c r="L883" s="22">
        <v>1.1000000000000001</v>
      </c>
      <c r="M883" s="22" t="s">
        <v>14396</v>
      </c>
      <c r="N883" s="20" t="s">
        <v>8779</v>
      </c>
      <c r="O883" s="16" t="s">
        <v>13914</v>
      </c>
      <c r="P883" s="143">
        <v>364</v>
      </c>
      <c r="Q883" s="121" t="s">
        <v>14285</v>
      </c>
      <c r="R883" s="16" t="s">
        <v>9235</v>
      </c>
      <c r="S883" s="10" t="s">
        <v>1165</v>
      </c>
      <c r="T883" s="28" t="s">
        <v>10086</v>
      </c>
      <c r="U883" s="20" t="s">
        <v>5359</v>
      </c>
      <c r="V883" s="16" t="s">
        <v>8546</v>
      </c>
      <c r="W883" s="11" t="s">
        <v>14395</v>
      </c>
      <c r="X883" s="174">
        <v>29.47</v>
      </c>
      <c r="Y883" s="174">
        <v>39.369999999999997</v>
      </c>
    </row>
    <row r="884" spans="1:25" ht="15" customHeight="1" x14ac:dyDescent="0.25">
      <c r="A884" s="20" t="s">
        <v>6951</v>
      </c>
      <c r="B884" s="14" t="s">
        <v>6952</v>
      </c>
      <c r="C884" s="71" t="str">
        <f t="shared" si="13"/>
        <v>Product Info</v>
      </c>
      <c r="D884" s="37" t="s">
        <v>2293</v>
      </c>
      <c r="E884" s="143">
        <v>15</v>
      </c>
      <c r="F884" s="12" t="s">
        <v>2170</v>
      </c>
      <c r="G884" s="38">
        <v>49.27</v>
      </c>
      <c r="H884" s="38">
        <v>41.88</v>
      </c>
      <c r="I884" s="38">
        <v>34.49</v>
      </c>
      <c r="J884" s="39"/>
      <c r="K884" s="143"/>
      <c r="L884" s="22">
        <v>1.0900000000000001</v>
      </c>
      <c r="M884" s="22" t="s">
        <v>12488</v>
      </c>
      <c r="N884" s="20" t="s">
        <v>8778</v>
      </c>
      <c r="O884" s="16" t="s">
        <v>12608</v>
      </c>
      <c r="P884" s="143">
        <v>364</v>
      </c>
      <c r="Q884" s="121" t="s">
        <v>14285</v>
      </c>
      <c r="R884" s="16" t="s">
        <v>9235</v>
      </c>
      <c r="S884" s="10" t="s">
        <v>1165</v>
      </c>
      <c r="T884" s="28" t="s">
        <v>10087</v>
      </c>
      <c r="U884" s="20" t="s">
        <v>5359</v>
      </c>
      <c r="V884" s="16" t="s">
        <v>8547</v>
      </c>
      <c r="W884" s="11" t="s">
        <v>14395</v>
      </c>
      <c r="X884" s="174">
        <v>31.35</v>
      </c>
      <c r="Y884" s="174">
        <v>41.88</v>
      </c>
    </row>
    <row r="885" spans="1:25" ht="15" customHeight="1" x14ac:dyDescent="0.25">
      <c r="A885" s="20" t="s">
        <v>6953</v>
      </c>
      <c r="B885" s="14" t="s">
        <v>6954</v>
      </c>
      <c r="C885" s="71" t="str">
        <f t="shared" si="13"/>
        <v>Product Info</v>
      </c>
      <c r="D885" s="37" t="s">
        <v>2294</v>
      </c>
      <c r="E885" s="143">
        <v>15</v>
      </c>
      <c r="F885" s="12" t="s">
        <v>2170</v>
      </c>
      <c r="G885" s="38">
        <v>47.64</v>
      </c>
      <c r="H885" s="38">
        <v>40.5</v>
      </c>
      <c r="I885" s="38">
        <v>33.35</v>
      </c>
      <c r="J885" s="39"/>
      <c r="K885" s="143"/>
      <c r="L885" s="22">
        <v>0.55000000000000004</v>
      </c>
      <c r="M885" s="22" t="s">
        <v>14394</v>
      </c>
      <c r="N885" s="20" t="s">
        <v>14489</v>
      </c>
      <c r="O885" s="16">
        <v>0</v>
      </c>
      <c r="P885" s="143">
        <v>364</v>
      </c>
      <c r="Q885" s="122" t="s">
        <v>12421</v>
      </c>
      <c r="R885" s="16" t="s">
        <v>9235</v>
      </c>
      <c r="S885" s="10" t="s">
        <v>1165</v>
      </c>
      <c r="T885" s="28" t="s">
        <v>10088</v>
      </c>
      <c r="U885" s="20" t="s">
        <v>5359</v>
      </c>
      <c r="V885" s="16" t="s">
        <v>8548</v>
      </c>
      <c r="W885" s="11" t="s">
        <v>14395</v>
      </c>
      <c r="X885" s="174">
        <v>30.33</v>
      </c>
      <c r="Y885" s="174">
        <v>40.5</v>
      </c>
    </row>
    <row r="886" spans="1:25" ht="15" customHeight="1" x14ac:dyDescent="0.25">
      <c r="A886" s="20" t="s">
        <v>9038</v>
      </c>
      <c r="B886" s="14" t="s">
        <v>12442</v>
      </c>
      <c r="C886" s="71" t="str">
        <f t="shared" si="13"/>
        <v>Product Info</v>
      </c>
      <c r="D886" s="37" t="s">
        <v>9039</v>
      </c>
      <c r="E886" s="143">
        <v>15</v>
      </c>
      <c r="F886" s="12" t="s">
        <v>2170</v>
      </c>
      <c r="G886" s="38">
        <v>46.79</v>
      </c>
      <c r="H886" s="38">
        <v>39.770000000000003</v>
      </c>
      <c r="I886" s="38">
        <v>32.75</v>
      </c>
      <c r="J886" s="39">
        <v>2</v>
      </c>
      <c r="K886" s="143"/>
      <c r="L886" s="22">
        <v>1.06</v>
      </c>
      <c r="M886" s="22" t="s">
        <v>14396</v>
      </c>
      <c r="N886" s="20" t="s">
        <v>8779</v>
      </c>
      <c r="O886" s="16" t="s">
        <v>12608</v>
      </c>
      <c r="P886" s="143">
        <v>364</v>
      </c>
      <c r="Q886" s="121" t="s">
        <v>14285</v>
      </c>
      <c r="R886" s="16" t="s">
        <v>9235</v>
      </c>
      <c r="S886" s="10" t="s">
        <v>1165</v>
      </c>
      <c r="T886" s="28" t="s">
        <v>12418</v>
      </c>
      <c r="U886" s="20" t="s">
        <v>5359</v>
      </c>
      <c r="V886" s="16" t="s">
        <v>12605</v>
      </c>
      <c r="W886" s="11" t="s">
        <v>14395</v>
      </c>
      <c r="X886" s="174">
        <v>29.78</v>
      </c>
      <c r="Y886" s="174">
        <v>39.770000000000003</v>
      </c>
    </row>
    <row r="887" spans="1:25" ht="15" customHeight="1" x14ac:dyDescent="0.25">
      <c r="A887" s="20" t="s">
        <v>6955</v>
      </c>
      <c r="B887" s="14" t="s">
        <v>6956</v>
      </c>
      <c r="C887" s="71" t="str">
        <f t="shared" si="13"/>
        <v>Product Info</v>
      </c>
      <c r="D887" s="37" t="s">
        <v>2295</v>
      </c>
      <c r="E887" s="143">
        <v>15</v>
      </c>
      <c r="F887" s="12" t="s">
        <v>2170</v>
      </c>
      <c r="G887" s="38">
        <v>46.71</v>
      </c>
      <c r="H887" s="38">
        <v>39.71</v>
      </c>
      <c r="I887" s="38">
        <v>32.700000000000003</v>
      </c>
      <c r="J887" s="39"/>
      <c r="K887" s="143"/>
      <c r="L887" s="22">
        <v>0.51249999999999996</v>
      </c>
      <c r="M887" s="22" t="s">
        <v>14394</v>
      </c>
      <c r="N887" s="20" t="s">
        <v>14489</v>
      </c>
      <c r="O887" s="16">
        <v>0</v>
      </c>
      <c r="P887" s="143">
        <v>364</v>
      </c>
      <c r="Q887" s="121" t="s">
        <v>14285</v>
      </c>
      <c r="R887" s="16" t="s">
        <v>9235</v>
      </c>
      <c r="S887" s="10" t="s">
        <v>1165</v>
      </c>
      <c r="T887" s="28" t="s">
        <v>10089</v>
      </c>
      <c r="U887" s="20" t="s">
        <v>5359</v>
      </c>
      <c r="V887" s="16" t="s">
        <v>8549</v>
      </c>
      <c r="W887" s="11" t="s">
        <v>14395</v>
      </c>
      <c r="X887" s="174">
        <v>29.73</v>
      </c>
      <c r="Y887" s="174">
        <v>39.71</v>
      </c>
    </row>
    <row r="888" spans="1:25" ht="15" customHeight="1" x14ac:dyDescent="0.25">
      <c r="A888" s="20" t="s">
        <v>6957</v>
      </c>
      <c r="B888" s="14" t="s">
        <v>7949</v>
      </c>
      <c r="C888" s="71" t="str">
        <f t="shared" si="13"/>
        <v>Product Info</v>
      </c>
      <c r="D888" s="37" t="s">
        <v>6942</v>
      </c>
      <c r="E888" s="143">
        <v>8</v>
      </c>
      <c r="F888" s="12" t="s">
        <v>2170</v>
      </c>
      <c r="G888" s="38">
        <v>73.17</v>
      </c>
      <c r="H888" s="38">
        <v>62.2</v>
      </c>
      <c r="I888" s="38">
        <v>51.22</v>
      </c>
      <c r="J888" s="39"/>
      <c r="K888" s="143"/>
      <c r="L888" s="22">
        <v>1.7</v>
      </c>
      <c r="M888" s="22" t="s">
        <v>14396</v>
      </c>
      <c r="N888" s="20" t="s">
        <v>8790</v>
      </c>
      <c r="O888" s="16" t="s">
        <v>12608</v>
      </c>
      <c r="P888" s="143">
        <v>364</v>
      </c>
      <c r="Q888" s="122" t="s">
        <v>12421</v>
      </c>
      <c r="R888" s="16" t="s">
        <v>9235</v>
      </c>
      <c r="S888" s="10" t="s">
        <v>1165</v>
      </c>
      <c r="T888" s="28" t="s">
        <v>10090</v>
      </c>
      <c r="U888" s="20" t="s">
        <v>5359</v>
      </c>
      <c r="V888" s="16" t="s">
        <v>13055</v>
      </c>
      <c r="W888" s="11" t="s">
        <v>14395</v>
      </c>
      <c r="X888" s="174">
        <v>46.57</v>
      </c>
      <c r="Y888" s="174">
        <v>62.2</v>
      </c>
    </row>
    <row r="889" spans="1:25" ht="15" customHeight="1" x14ac:dyDescent="0.25">
      <c r="A889" s="20" t="s">
        <v>7950</v>
      </c>
      <c r="B889" s="14" t="s">
        <v>7951</v>
      </c>
      <c r="C889" s="71" t="str">
        <f t="shared" si="13"/>
        <v>Product Info</v>
      </c>
      <c r="D889" s="37" t="s">
        <v>6943</v>
      </c>
      <c r="E889" s="143">
        <v>30</v>
      </c>
      <c r="F889" s="12" t="s">
        <v>2170</v>
      </c>
      <c r="G889" s="38">
        <v>47.23</v>
      </c>
      <c r="H889" s="38">
        <v>40.15</v>
      </c>
      <c r="I889" s="38">
        <v>33.06</v>
      </c>
      <c r="J889" s="39"/>
      <c r="K889" s="143"/>
      <c r="L889" s="22">
        <v>0.1</v>
      </c>
      <c r="M889" s="22" t="s">
        <v>14394</v>
      </c>
      <c r="N889" s="20" t="s">
        <v>14489</v>
      </c>
      <c r="O889" s="16">
        <v>0</v>
      </c>
      <c r="P889" s="143">
        <v>364</v>
      </c>
      <c r="Q889" s="121" t="s">
        <v>14285</v>
      </c>
      <c r="R889" s="16" t="s">
        <v>9235</v>
      </c>
      <c r="S889" s="10" t="s">
        <v>1165</v>
      </c>
      <c r="T889" s="28" t="s">
        <v>10091</v>
      </c>
      <c r="U889" s="20" t="s">
        <v>5359</v>
      </c>
      <c r="V889" s="16" t="s">
        <v>8550</v>
      </c>
      <c r="W889" s="11" t="s">
        <v>14395</v>
      </c>
      <c r="X889" s="174">
        <v>30.05</v>
      </c>
      <c r="Y889" s="174">
        <v>40.15</v>
      </c>
    </row>
    <row r="890" spans="1:25" ht="15" customHeight="1" x14ac:dyDescent="0.25">
      <c r="A890" s="20" t="s">
        <v>7952</v>
      </c>
      <c r="B890" s="14" t="s">
        <v>7953</v>
      </c>
      <c r="C890" s="71" t="str">
        <f t="shared" si="13"/>
        <v>Product Info</v>
      </c>
      <c r="D890" s="37" t="s">
        <v>6944</v>
      </c>
      <c r="E890" s="143">
        <v>30</v>
      </c>
      <c r="F890" s="12" t="s">
        <v>2170</v>
      </c>
      <c r="G890" s="38">
        <v>46.74</v>
      </c>
      <c r="H890" s="38">
        <v>39.729999999999997</v>
      </c>
      <c r="I890" s="38">
        <v>32.72</v>
      </c>
      <c r="J890" s="39"/>
      <c r="K890" s="143"/>
      <c r="L890" s="22">
        <v>1.1299999999999999</v>
      </c>
      <c r="M890" s="22" t="s">
        <v>12488</v>
      </c>
      <c r="N890" s="20" t="s">
        <v>8778</v>
      </c>
      <c r="O890" s="16" t="s">
        <v>12608</v>
      </c>
      <c r="P890" s="143">
        <v>364</v>
      </c>
      <c r="Q890" s="121" t="s">
        <v>14285</v>
      </c>
      <c r="R890" s="16" t="s">
        <v>9235</v>
      </c>
      <c r="S890" s="10" t="s">
        <v>1165</v>
      </c>
      <c r="T890" s="28" t="s">
        <v>10092</v>
      </c>
      <c r="U890" s="20" t="s">
        <v>5359</v>
      </c>
      <c r="V890" s="16" t="s">
        <v>8551</v>
      </c>
      <c r="W890" s="11" t="s">
        <v>14395</v>
      </c>
      <c r="X890" s="174">
        <v>29.75</v>
      </c>
      <c r="Y890" s="174">
        <v>39.729999999999997</v>
      </c>
    </row>
    <row r="891" spans="1:25" ht="15" customHeight="1" x14ac:dyDescent="0.25">
      <c r="A891" s="20" t="s">
        <v>6572</v>
      </c>
      <c r="B891" s="14" t="s">
        <v>6573</v>
      </c>
      <c r="C891" s="71" t="str">
        <f t="shared" si="13"/>
        <v>Product Info</v>
      </c>
      <c r="D891" s="37" t="s">
        <v>6945</v>
      </c>
      <c r="E891" s="143">
        <v>25</v>
      </c>
      <c r="F891" s="12" t="s">
        <v>2170</v>
      </c>
      <c r="G891" s="38">
        <v>3.51</v>
      </c>
      <c r="H891" s="38">
        <v>2.99</v>
      </c>
      <c r="I891" s="38">
        <v>2.46</v>
      </c>
      <c r="J891" s="39"/>
      <c r="K891" s="143"/>
      <c r="L891" s="22">
        <v>2.5999999999999999E-2</v>
      </c>
      <c r="M891" s="22" t="s">
        <v>12488</v>
      </c>
      <c r="N891" s="20" t="s">
        <v>8800</v>
      </c>
      <c r="O891" s="16" t="s">
        <v>12608</v>
      </c>
      <c r="P891" s="143">
        <v>364</v>
      </c>
      <c r="Q891" s="122" t="s">
        <v>9227</v>
      </c>
      <c r="R891" s="16" t="s">
        <v>8904</v>
      </c>
      <c r="S891" s="10" t="s">
        <v>1165</v>
      </c>
      <c r="T891" s="28" t="s">
        <v>10093</v>
      </c>
      <c r="U891" s="20" t="s">
        <v>5359</v>
      </c>
      <c r="V891" s="16" t="s">
        <v>8552</v>
      </c>
      <c r="W891" s="11" t="s">
        <v>14395</v>
      </c>
      <c r="X891" s="174">
        <v>2.23</v>
      </c>
      <c r="Y891" s="174">
        <v>2.99</v>
      </c>
    </row>
    <row r="892" spans="1:25" ht="15" customHeight="1" x14ac:dyDescent="0.25">
      <c r="A892" s="20" t="s">
        <v>6574</v>
      </c>
      <c r="B892" s="14" t="s">
        <v>6575</v>
      </c>
      <c r="C892" s="71" t="str">
        <f t="shared" si="13"/>
        <v>Product Info</v>
      </c>
      <c r="D892" s="37" t="s">
        <v>6946</v>
      </c>
      <c r="E892" s="143">
        <v>25</v>
      </c>
      <c r="F892" s="12" t="s">
        <v>2170</v>
      </c>
      <c r="G892" s="38">
        <v>3.51</v>
      </c>
      <c r="H892" s="38">
        <v>2.99</v>
      </c>
      <c r="I892" s="38">
        <v>2.46</v>
      </c>
      <c r="J892" s="39"/>
      <c r="K892" s="143"/>
      <c r="L892" s="22">
        <v>2.5999999999999999E-2</v>
      </c>
      <c r="M892" s="22" t="s">
        <v>12488</v>
      </c>
      <c r="N892" s="20" t="s">
        <v>8800</v>
      </c>
      <c r="O892" s="16" t="s">
        <v>12608</v>
      </c>
      <c r="P892" s="143">
        <v>364</v>
      </c>
      <c r="Q892" s="122" t="s">
        <v>9227</v>
      </c>
      <c r="R892" s="16" t="s">
        <v>8904</v>
      </c>
      <c r="S892" s="10" t="s">
        <v>1165</v>
      </c>
      <c r="T892" s="28" t="s">
        <v>10094</v>
      </c>
      <c r="U892" s="20" t="s">
        <v>5359</v>
      </c>
      <c r="V892" s="16" t="s">
        <v>8553</v>
      </c>
      <c r="W892" s="11" t="s">
        <v>14395</v>
      </c>
      <c r="X892" s="174">
        <v>2.23</v>
      </c>
      <c r="Y892" s="174">
        <v>2.99</v>
      </c>
    </row>
    <row r="893" spans="1:25" ht="15" customHeight="1" x14ac:dyDescent="0.25">
      <c r="A893" s="20" t="s">
        <v>6576</v>
      </c>
      <c r="B893" s="14" t="s">
        <v>6189</v>
      </c>
      <c r="C893" s="71" t="str">
        <f t="shared" si="13"/>
        <v>Product Info</v>
      </c>
      <c r="D893" s="37" t="s">
        <v>6947</v>
      </c>
      <c r="E893" s="143">
        <v>25</v>
      </c>
      <c r="F893" s="12" t="s">
        <v>2170</v>
      </c>
      <c r="G893" s="38">
        <v>3.51</v>
      </c>
      <c r="H893" s="38">
        <v>2.99</v>
      </c>
      <c r="I893" s="38">
        <v>2.46</v>
      </c>
      <c r="J893" s="39"/>
      <c r="K893" s="143"/>
      <c r="L893" s="22">
        <v>2.5999999999999999E-2</v>
      </c>
      <c r="M893" s="22" t="s">
        <v>14396</v>
      </c>
      <c r="N893" s="20" t="s">
        <v>8800</v>
      </c>
      <c r="O893" s="16" t="s">
        <v>12608</v>
      </c>
      <c r="P893" s="143">
        <v>364</v>
      </c>
      <c r="Q893" s="122" t="s">
        <v>9227</v>
      </c>
      <c r="R893" s="16" t="s">
        <v>8904</v>
      </c>
      <c r="S893" s="10" t="s">
        <v>1165</v>
      </c>
      <c r="T893" s="28" t="s">
        <v>10095</v>
      </c>
      <c r="U893" s="20" t="s">
        <v>5359</v>
      </c>
      <c r="V893" s="16" t="s">
        <v>8554</v>
      </c>
      <c r="W893" s="11" t="s">
        <v>14395</v>
      </c>
      <c r="X893" s="174">
        <v>2.23</v>
      </c>
      <c r="Y893" s="174">
        <v>2.99</v>
      </c>
    </row>
    <row r="894" spans="1:25" ht="15" customHeight="1" x14ac:dyDescent="0.25">
      <c r="A894" s="20" t="s">
        <v>6190</v>
      </c>
      <c r="B894" s="14" t="s">
        <v>6191</v>
      </c>
      <c r="C894" s="71" t="str">
        <f t="shared" si="13"/>
        <v>Product Info</v>
      </c>
      <c r="D894" s="37" t="s">
        <v>6948</v>
      </c>
      <c r="E894" s="143">
        <v>25</v>
      </c>
      <c r="F894" s="12" t="s">
        <v>2170</v>
      </c>
      <c r="G894" s="38">
        <v>3.51</v>
      </c>
      <c r="H894" s="38">
        <v>2.99</v>
      </c>
      <c r="I894" s="38">
        <v>2.46</v>
      </c>
      <c r="J894" s="39"/>
      <c r="K894" s="143"/>
      <c r="L894" s="22">
        <v>2.4969999999999999E-2</v>
      </c>
      <c r="M894" s="22" t="s">
        <v>14396</v>
      </c>
      <c r="N894" s="20" t="s">
        <v>8800</v>
      </c>
      <c r="O894" s="16" t="s">
        <v>12608</v>
      </c>
      <c r="P894" s="143">
        <v>364</v>
      </c>
      <c r="Q894" s="122" t="s">
        <v>9227</v>
      </c>
      <c r="R894" s="16" t="s">
        <v>8904</v>
      </c>
      <c r="S894" s="10" t="s">
        <v>1165</v>
      </c>
      <c r="T894" s="28" t="s">
        <v>10096</v>
      </c>
      <c r="U894" s="20" t="s">
        <v>5359</v>
      </c>
      <c r="V894" s="16" t="s">
        <v>8555</v>
      </c>
      <c r="W894" s="11" t="s">
        <v>14395</v>
      </c>
      <c r="X894" s="174">
        <v>2.23</v>
      </c>
      <c r="Y894" s="174">
        <v>2.99</v>
      </c>
    </row>
    <row r="895" spans="1:25" ht="15" customHeight="1" x14ac:dyDescent="0.25">
      <c r="A895" s="20" t="s">
        <v>1167</v>
      </c>
      <c r="B895" s="14" t="s">
        <v>1168</v>
      </c>
      <c r="C895" s="71" t="str">
        <f t="shared" si="13"/>
        <v>Product Info</v>
      </c>
      <c r="D895" s="37" t="s">
        <v>1169</v>
      </c>
      <c r="E895" s="143">
        <v>1</v>
      </c>
      <c r="F895" s="12" t="s">
        <v>4992</v>
      </c>
      <c r="G895" s="38">
        <v>55.07</v>
      </c>
      <c r="H895" s="38">
        <v>46.81</v>
      </c>
      <c r="I895" s="38">
        <v>38.549999999999997</v>
      </c>
      <c r="J895" s="39"/>
      <c r="K895" s="143"/>
      <c r="L895" s="22">
        <v>1.2</v>
      </c>
      <c r="M895" s="22" t="s">
        <v>14396</v>
      </c>
      <c r="N895" s="20" t="s">
        <v>8801</v>
      </c>
      <c r="O895" s="16" t="s">
        <v>13914</v>
      </c>
      <c r="P895" s="143">
        <v>814</v>
      </c>
      <c r="Q895" s="121" t="s">
        <v>14285</v>
      </c>
      <c r="R895" s="16" t="s">
        <v>9235</v>
      </c>
      <c r="S895" s="10" t="s">
        <v>1163</v>
      </c>
      <c r="T895" s="28" t="s">
        <v>10097</v>
      </c>
      <c r="U895" s="20" t="s">
        <v>5359</v>
      </c>
      <c r="V895" s="16" t="s">
        <v>1167</v>
      </c>
      <c r="W895" s="11" t="s">
        <v>13938</v>
      </c>
      <c r="X895" s="174">
        <v>35.57</v>
      </c>
      <c r="Y895" s="174">
        <v>46.81</v>
      </c>
    </row>
    <row r="896" spans="1:25" ht="15" customHeight="1" x14ac:dyDescent="0.25">
      <c r="A896" s="20" t="s">
        <v>1170</v>
      </c>
      <c r="B896" s="14" t="s">
        <v>1171</v>
      </c>
      <c r="C896" s="71" t="str">
        <f t="shared" si="13"/>
        <v>Product Info</v>
      </c>
      <c r="D896" s="37" t="s">
        <v>1172</v>
      </c>
      <c r="E896" s="143">
        <v>1</v>
      </c>
      <c r="F896" s="12" t="s">
        <v>4992</v>
      </c>
      <c r="G896" s="38">
        <v>71.25</v>
      </c>
      <c r="H896" s="38">
        <v>60.57</v>
      </c>
      <c r="I896" s="38">
        <v>49.88</v>
      </c>
      <c r="J896" s="39"/>
      <c r="K896" s="143"/>
      <c r="L896" s="22">
        <v>1.2</v>
      </c>
      <c r="M896" s="22" t="s">
        <v>14396</v>
      </c>
      <c r="N896" s="20" t="s">
        <v>8801</v>
      </c>
      <c r="O896" s="16" t="s">
        <v>13914</v>
      </c>
      <c r="P896" s="143">
        <v>814</v>
      </c>
      <c r="Q896" s="121" t="s">
        <v>14285</v>
      </c>
      <c r="R896" s="16" t="s">
        <v>9235</v>
      </c>
      <c r="S896" s="10" t="s">
        <v>1163</v>
      </c>
      <c r="T896" s="28" t="s">
        <v>10098</v>
      </c>
      <c r="U896" s="20" t="s">
        <v>5359</v>
      </c>
      <c r="V896" s="16" t="s">
        <v>1170</v>
      </c>
      <c r="W896" s="11" t="s">
        <v>13938</v>
      </c>
      <c r="X896" s="174">
        <v>46.02</v>
      </c>
      <c r="Y896" s="174">
        <v>60.57</v>
      </c>
    </row>
    <row r="897" spans="1:25" ht="15" customHeight="1" x14ac:dyDescent="0.25">
      <c r="A897" s="20" t="s">
        <v>8026</v>
      </c>
      <c r="B897" s="14" t="s">
        <v>8027</v>
      </c>
      <c r="C897" s="71" t="str">
        <f t="shared" si="13"/>
        <v>Product Info</v>
      </c>
      <c r="D897" s="37" t="s">
        <v>8678</v>
      </c>
      <c r="E897" s="143">
        <v>1</v>
      </c>
      <c r="F897" s="12" t="s">
        <v>4992</v>
      </c>
      <c r="G897" s="38">
        <v>22.47</v>
      </c>
      <c r="H897" s="38">
        <v>19.100000000000001</v>
      </c>
      <c r="I897" s="38">
        <v>15.73</v>
      </c>
      <c r="J897" s="39"/>
      <c r="K897" s="143"/>
      <c r="L897" s="22">
        <v>0</v>
      </c>
      <c r="M897" s="22">
        <v>0</v>
      </c>
      <c r="N897" s="20" t="s">
        <v>14489</v>
      </c>
      <c r="O897" s="16">
        <v>0</v>
      </c>
      <c r="P897" s="143">
        <v>814</v>
      </c>
      <c r="Q897" s="121" t="s">
        <v>14285</v>
      </c>
      <c r="R897" s="16" t="s">
        <v>9235</v>
      </c>
      <c r="S897" s="10" t="s">
        <v>1163</v>
      </c>
      <c r="T897" s="28" t="s">
        <v>10099</v>
      </c>
      <c r="U897" s="20" t="s">
        <v>5359</v>
      </c>
      <c r="V897" s="16" t="s">
        <v>8026</v>
      </c>
      <c r="W897" s="11" t="s">
        <v>13938</v>
      </c>
      <c r="X897" s="174">
        <v>14.52</v>
      </c>
      <c r="Y897" s="174">
        <v>19.100000000000001</v>
      </c>
    </row>
    <row r="898" spans="1:25" ht="15" customHeight="1" x14ac:dyDescent="0.25">
      <c r="A898" s="20" t="s">
        <v>1173</v>
      </c>
      <c r="B898" s="14" t="s">
        <v>12426</v>
      </c>
      <c r="C898" s="71" t="str">
        <f t="shared" si="13"/>
        <v>Product Info</v>
      </c>
      <c r="D898" s="37" t="s">
        <v>1174</v>
      </c>
      <c r="E898" s="143">
        <v>12</v>
      </c>
      <c r="F898" s="12" t="s">
        <v>4992</v>
      </c>
      <c r="G898" s="38">
        <v>36.950000000000003</v>
      </c>
      <c r="H898" s="38">
        <v>31.41</v>
      </c>
      <c r="I898" s="38">
        <v>25.87</v>
      </c>
      <c r="J898" s="39"/>
      <c r="K898" s="143"/>
      <c r="L898" s="22">
        <v>1.2</v>
      </c>
      <c r="M898" s="22" t="s">
        <v>14396</v>
      </c>
      <c r="N898" s="20" t="s">
        <v>8801</v>
      </c>
      <c r="O898" s="16" t="s">
        <v>13914</v>
      </c>
      <c r="P898" s="143">
        <v>814</v>
      </c>
      <c r="Q898" s="122" t="s">
        <v>12421</v>
      </c>
      <c r="R898" s="16" t="s">
        <v>9235</v>
      </c>
      <c r="S898" s="10" t="s">
        <v>1163</v>
      </c>
      <c r="T898" s="28" t="s">
        <v>10100</v>
      </c>
      <c r="U898" s="20" t="s">
        <v>5359</v>
      </c>
      <c r="V898" s="16" t="s">
        <v>1173</v>
      </c>
      <c r="W898" s="11" t="s">
        <v>13938</v>
      </c>
      <c r="X898" s="174">
        <v>23.87</v>
      </c>
      <c r="Y898" s="174">
        <v>31.41</v>
      </c>
    </row>
    <row r="899" spans="1:25" ht="15" customHeight="1" x14ac:dyDescent="0.25">
      <c r="A899" s="20" t="s">
        <v>1175</v>
      </c>
      <c r="B899" s="14" t="s">
        <v>1176</v>
      </c>
      <c r="C899" s="71" t="str">
        <f t="shared" si="13"/>
        <v>Product Info</v>
      </c>
      <c r="D899" s="37" t="s">
        <v>1177</v>
      </c>
      <c r="E899" s="143">
        <v>1</v>
      </c>
      <c r="F899" s="12" t="s">
        <v>4992</v>
      </c>
      <c r="G899" s="38">
        <v>39.33</v>
      </c>
      <c r="H899" s="38">
        <v>33.43</v>
      </c>
      <c r="I899" s="38">
        <v>27.53</v>
      </c>
      <c r="J899" s="39"/>
      <c r="K899" s="143"/>
      <c r="L899" s="22">
        <v>1.2</v>
      </c>
      <c r="M899" s="22" t="s">
        <v>14396</v>
      </c>
      <c r="N899" s="20" t="s">
        <v>8801</v>
      </c>
      <c r="O899" s="16" t="s">
        <v>13914</v>
      </c>
      <c r="P899" s="143">
        <v>814</v>
      </c>
      <c r="Q899" s="121" t="s">
        <v>14285</v>
      </c>
      <c r="R899" s="16" t="s">
        <v>9235</v>
      </c>
      <c r="S899" s="10" t="s">
        <v>1163</v>
      </c>
      <c r="T899" s="28" t="s">
        <v>10101</v>
      </c>
      <c r="U899" s="20" t="s">
        <v>5359</v>
      </c>
      <c r="V899" s="16" t="s">
        <v>1175</v>
      </c>
      <c r="W899" s="11" t="s">
        <v>13938</v>
      </c>
      <c r="X899" s="174">
        <v>25.4</v>
      </c>
      <c r="Y899" s="174">
        <v>33.43</v>
      </c>
    </row>
    <row r="900" spans="1:25" ht="15" customHeight="1" x14ac:dyDescent="0.25">
      <c r="A900" s="20" t="s">
        <v>1178</v>
      </c>
      <c r="B900" s="14" t="s">
        <v>1179</v>
      </c>
      <c r="C900" s="71" t="str">
        <f t="shared" si="13"/>
        <v>Product Info</v>
      </c>
      <c r="D900" s="37" t="s">
        <v>1180</v>
      </c>
      <c r="E900" s="143">
        <v>1</v>
      </c>
      <c r="F900" s="12" t="s">
        <v>4992</v>
      </c>
      <c r="G900" s="38">
        <v>23.78</v>
      </c>
      <c r="H900" s="38">
        <v>20.21</v>
      </c>
      <c r="I900" s="38">
        <v>16.649999999999999</v>
      </c>
      <c r="J900" s="39"/>
      <c r="K900" s="143"/>
      <c r="L900" s="22">
        <v>0.08</v>
      </c>
      <c r="M900" s="22" t="s">
        <v>14397</v>
      </c>
      <c r="N900" s="20" t="s">
        <v>8802</v>
      </c>
      <c r="O900" s="16" t="s">
        <v>12608</v>
      </c>
      <c r="P900" s="143">
        <v>814</v>
      </c>
      <c r="Q900" s="122" t="s">
        <v>9227</v>
      </c>
      <c r="R900" s="16" t="s">
        <v>9235</v>
      </c>
      <c r="S900" s="10" t="s">
        <v>1163</v>
      </c>
      <c r="T900" s="28" t="s">
        <v>10102</v>
      </c>
      <c r="U900" s="20" t="s">
        <v>5359</v>
      </c>
      <c r="V900" s="16" t="s">
        <v>1178</v>
      </c>
      <c r="W900" s="11" t="s">
        <v>13938</v>
      </c>
      <c r="X900" s="174">
        <v>15.36</v>
      </c>
      <c r="Y900" s="174">
        <v>20.21</v>
      </c>
    </row>
    <row r="901" spans="1:25" ht="15" customHeight="1" x14ac:dyDescent="0.25">
      <c r="A901" s="20" t="s">
        <v>1181</v>
      </c>
      <c r="B901" s="14" t="s">
        <v>1182</v>
      </c>
      <c r="C901" s="71" t="str">
        <f t="shared" si="13"/>
        <v>Product Info</v>
      </c>
      <c r="D901" s="37" t="s">
        <v>1183</v>
      </c>
      <c r="E901" s="143">
        <v>1</v>
      </c>
      <c r="F901" s="12" t="s">
        <v>4992</v>
      </c>
      <c r="G901" s="38">
        <v>56.32</v>
      </c>
      <c r="H901" s="38">
        <v>47.87</v>
      </c>
      <c r="I901" s="38">
        <v>39.42</v>
      </c>
      <c r="J901" s="39"/>
      <c r="K901" s="143"/>
      <c r="L901" s="22">
        <v>1.2</v>
      </c>
      <c r="M901" s="22" t="s">
        <v>12488</v>
      </c>
      <c r="N901" s="20" t="s">
        <v>8801</v>
      </c>
      <c r="O901" s="16" t="s">
        <v>12608</v>
      </c>
      <c r="P901" s="143">
        <v>814</v>
      </c>
      <c r="Q901" s="122" t="s">
        <v>9227</v>
      </c>
      <c r="R901" s="16" t="s">
        <v>9235</v>
      </c>
      <c r="S901" s="10" t="s">
        <v>1163</v>
      </c>
      <c r="T901" s="28" t="s">
        <v>10103</v>
      </c>
      <c r="U901" s="20" t="s">
        <v>5359</v>
      </c>
      <c r="V901" s="16" t="s">
        <v>1181</v>
      </c>
      <c r="W901" s="11" t="s">
        <v>13938</v>
      </c>
      <c r="X901" s="174">
        <v>36.369999999999997</v>
      </c>
      <c r="Y901" s="174">
        <v>47.87</v>
      </c>
    </row>
    <row r="902" spans="1:25" ht="15" customHeight="1" x14ac:dyDescent="0.25">
      <c r="A902" s="20" t="s">
        <v>1184</v>
      </c>
      <c r="B902" s="14" t="s">
        <v>1185</v>
      </c>
      <c r="C902" s="71" t="str">
        <f t="shared" ref="C902:C965" si="14">HYPERLINK(T902,U902)</f>
        <v>Product Info</v>
      </c>
      <c r="D902" s="37" t="s">
        <v>1186</v>
      </c>
      <c r="E902" s="143">
        <v>1</v>
      </c>
      <c r="F902" s="12" t="s">
        <v>4992</v>
      </c>
      <c r="G902" s="38">
        <v>53.83</v>
      </c>
      <c r="H902" s="38">
        <v>45.75</v>
      </c>
      <c r="I902" s="38">
        <v>37.68</v>
      </c>
      <c r="J902" s="39"/>
      <c r="K902" s="143"/>
      <c r="L902" s="22">
        <v>1.2</v>
      </c>
      <c r="M902" s="22" t="s">
        <v>12488</v>
      </c>
      <c r="N902" s="20" t="s">
        <v>8801</v>
      </c>
      <c r="O902" s="16" t="s">
        <v>12608</v>
      </c>
      <c r="P902" s="143">
        <v>814</v>
      </c>
      <c r="Q902" s="121" t="s">
        <v>14285</v>
      </c>
      <c r="R902" s="16" t="s">
        <v>9235</v>
      </c>
      <c r="S902" s="10" t="s">
        <v>1163</v>
      </c>
      <c r="T902" s="28" t="s">
        <v>10104</v>
      </c>
      <c r="U902" s="20" t="s">
        <v>5359</v>
      </c>
      <c r="V902" s="16" t="s">
        <v>1184</v>
      </c>
      <c r="W902" s="11" t="s">
        <v>13938</v>
      </c>
      <c r="X902" s="174">
        <v>34.770000000000003</v>
      </c>
      <c r="Y902" s="174">
        <v>45.75</v>
      </c>
    </row>
    <row r="903" spans="1:25" ht="15" customHeight="1" x14ac:dyDescent="0.25">
      <c r="A903" s="20" t="s">
        <v>4991</v>
      </c>
      <c r="B903" s="14" t="s">
        <v>256</v>
      </c>
      <c r="C903" s="71" t="str">
        <f t="shared" si="14"/>
        <v>Product Info</v>
      </c>
      <c r="D903" s="37" t="s">
        <v>7919</v>
      </c>
      <c r="E903" s="143">
        <v>18</v>
      </c>
      <c r="F903" s="12" t="s">
        <v>4992</v>
      </c>
      <c r="G903" s="38">
        <v>14.06</v>
      </c>
      <c r="H903" s="38">
        <v>11.95</v>
      </c>
      <c r="I903" s="38">
        <v>9.84</v>
      </c>
      <c r="J903" s="39"/>
      <c r="K903" s="143" t="s">
        <v>8905</v>
      </c>
      <c r="L903" s="22">
        <v>0.1</v>
      </c>
      <c r="M903" s="22" t="s">
        <v>14394</v>
      </c>
      <c r="N903" s="20" t="s">
        <v>8803</v>
      </c>
      <c r="O903" s="16" t="s">
        <v>13914</v>
      </c>
      <c r="P903" s="143">
        <v>814</v>
      </c>
      <c r="Q903" s="122" t="s">
        <v>9227</v>
      </c>
      <c r="R903" s="16" t="s">
        <v>8904</v>
      </c>
      <c r="S903" s="10" t="s">
        <v>1163</v>
      </c>
      <c r="T903" s="28" t="s">
        <v>10105</v>
      </c>
      <c r="U903" s="20" t="s">
        <v>5359</v>
      </c>
      <c r="V903" s="16" t="s">
        <v>8556</v>
      </c>
      <c r="W903" s="11" t="s">
        <v>13938</v>
      </c>
      <c r="X903" s="174">
        <v>9.08</v>
      </c>
      <c r="Y903" s="174">
        <v>11.95</v>
      </c>
    </row>
    <row r="904" spans="1:25" ht="15" customHeight="1" x14ac:dyDescent="0.25">
      <c r="A904" s="20" t="s">
        <v>4993</v>
      </c>
      <c r="B904" s="14" t="s">
        <v>257</v>
      </c>
      <c r="C904" s="71" t="str">
        <f t="shared" si="14"/>
        <v>Product Info</v>
      </c>
      <c r="D904" s="37" t="s">
        <v>6460</v>
      </c>
      <c r="E904" s="143">
        <v>6</v>
      </c>
      <c r="F904" s="12" t="s">
        <v>4992</v>
      </c>
      <c r="G904" s="38">
        <v>37.619999999999997</v>
      </c>
      <c r="H904" s="38">
        <v>31.98</v>
      </c>
      <c r="I904" s="38">
        <v>26.34</v>
      </c>
      <c r="J904" s="39"/>
      <c r="K904" s="143"/>
      <c r="L904" s="22">
        <v>0</v>
      </c>
      <c r="M904" s="22" t="s">
        <v>14396</v>
      </c>
      <c r="N904" s="20" t="s">
        <v>14489</v>
      </c>
      <c r="O904" s="16" t="s">
        <v>12608</v>
      </c>
      <c r="P904" s="143">
        <v>814</v>
      </c>
      <c r="Q904" s="122" t="s">
        <v>9227</v>
      </c>
      <c r="R904" s="16" t="s">
        <v>9235</v>
      </c>
      <c r="S904" s="10" t="s">
        <v>1163</v>
      </c>
      <c r="T904" s="28" t="s">
        <v>10106</v>
      </c>
      <c r="U904" s="20" t="s">
        <v>5359</v>
      </c>
      <c r="V904" s="16" t="s">
        <v>8557</v>
      </c>
      <c r="W904" s="11" t="s">
        <v>13938</v>
      </c>
      <c r="X904" s="174">
        <v>24.3</v>
      </c>
      <c r="Y904" s="174">
        <v>31.98</v>
      </c>
    </row>
    <row r="905" spans="1:25" ht="15" customHeight="1" x14ac:dyDescent="0.25">
      <c r="A905" s="20" t="s">
        <v>6486</v>
      </c>
      <c r="B905" s="14" t="s">
        <v>258</v>
      </c>
      <c r="C905" s="71" t="str">
        <f t="shared" si="14"/>
        <v>Product Info</v>
      </c>
      <c r="D905" s="37" t="s">
        <v>7920</v>
      </c>
      <c r="E905" s="143">
        <v>1</v>
      </c>
      <c r="F905" s="12" t="s">
        <v>4992</v>
      </c>
      <c r="G905" s="38">
        <v>36.17</v>
      </c>
      <c r="H905" s="38">
        <v>30.74</v>
      </c>
      <c r="I905" s="38">
        <v>25.32</v>
      </c>
      <c r="J905" s="39"/>
      <c r="K905" s="143" t="s">
        <v>8905</v>
      </c>
      <c r="L905" s="22">
        <v>0</v>
      </c>
      <c r="M905" s="22">
        <v>0</v>
      </c>
      <c r="N905" s="20" t="s">
        <v>14489</v>
      </c>
      <c r="O905" s="16" t="s">
        <v>12608</v>
      </c>
      <c r="P905" s="143">
        <v>814</v>
      </c>
      <c r="Q905" s="122" t="s">
        <v>9227</v>
      </c>
      <c r="R905" s="16" t="s">
        <v>8904</v>
      </c>
      <c r="S905" s="10" t="s">
        <v>1163</v>
      </c>
      <c r="T905" s="28" t="s">
        <v>10107</v>
      </c>
      <c r="U905" s="20" t="s">
        <v>5359</v>
      </c>
      <c r="V905" s="16" t="s">
        <v>8558</v>
      </c>
      <c r="W905" s="11" t="s">
        <v>13938</v>
      </c>
      <c r="X905" s="174">
        <v>23.36</v>
      </c>
      <c r="Y905" s="174">
        <v>30.74</v>
      </c>
    </row>
    <row r="906" spans="1:25" ht="15" customHeight="1" x14ac:dyDescent="0.25">
      <c r="A906" s="20" t="s">
        <v>2560</v>
      </c>
      <c r="B906" s="14" t="s">
        <v>2561</v>
      </c>
      <c r="C906" s="71" t="str">
        <f t="shared" si="14"/>
        <v>Product Info</v>
      </c>
      <c r="D906" s="37" t="s">
        <v>2562</v>
      </c>
      <c r="E906" s="143">
        <v>1</v>
      </c>
      <c r="F906" s="12" t="s">
        <v>4992</v>
      </c>
      <c r="G906" s="38">
        <v>39.04</v>
      </c>
      <c r="H906" s="38">
        <v>33.18</v>
      </c>
      <c r="I906" s="38">
        <v>27.33</v>
      </c>
      <c r="J906" s="39"/>
      <c r="K906" s="143"/>
      <c r="L906" s="22">
        <v>0</v>
      </c>
      <c r="M906" s="22">
        <v>0</v>
      </c>
      <c r="N906" s="20" t="s">
        <v>14489</v>
      </c>
      <c r="O906" s="16">
        <v>0</v>
      </c>
      <c r="P906" s="143">
        <v>814</v>
      </c>
      <c r="Q906" s="122" t="s">
        <v>9227</v>
      </c>
      <c r="R906" s="16" t="s">
        <v>9235</v>
      </c>
      <c r="S906" s="10" t="s">
        <v>1163</v>
      </c>
      <c r="T906" s="28" t="s">
        <v>10108</v>
      </c>
      <c r="U906" s="20" t="s">
        <v>5359</v>
      </c>
      <c r="V906" s="16" t="s">
        <v>8559</v>
      </c>
      <c r="W906" s="11" t="s">
        <v>13938</v>
      </c>
      <c r="X906" s="174">
        <v>25.21</v>
      </c>
      <c r="Y906" s="174">
        <v>33.18</v>
      </c>
    </row>
    <row r="907" spans="1:25" ht="15" customHeight="1" x14ac:dyDescent="0.25">
      <c r="A907" s="20" t="s">
        <v>6487</v>
      </c>
      <c r="B907" s="14" t="s">
        <v>259</v>
      </c>
      <c r="C907" s="71" t="str">
        <f t="shared" si="14"/>
        <v>Product Info</v>
      </c>
      <c r="D907" s="37" t="s">
        <v>7921</v>
      </c>
      <c r="E907" s="143">
        <v>6</v>
      </c>
      <c r="F907" s="12" t="s">
        <v>4992</v>
      </c>
      <c r="G907" s="38">
        <v>60.89</v>
      </c>
      <c r="H907" s="38">
        <v>51.76</v>
      </c>
      <c r="I907" s="38">
        <v>42.63</v>
      </c>
      <c r="J907" s="39"/>
      <c r="K907" s="143" t="s">
        <v>8905</v>
      </c>
      <c r="L907" s="22">
        <v>2</v>
      </c>
      <c r="M907" s="22" t="s">
        <v>12488</v>
      </c>
      <c r="N907" s="20" t="s">
        <v>14489</v>
      </c>
      <c r="O907" s="16" t="s">
        <v>4992</v>
      </c>
      <c r="P907" s="143">
        <v>814</v>
      </c>
      <c r="Q907" s="122" t="s">
        <v>9227</v>
      </c>
      <c r="R907" s="16" t="s">
        <v>9235</v>
      </c>
      <c r="S907" s="10" t="s">
        <v>1163</v>
      </c>
      <c r="T907" s="28" t="s">
        <v>10109</v>
      </c>
      <c r="U907" s="20" t="s">
        <v>5359</v>
      </c>
      <c r="V907" s="16" t="s">
        <v>8560</v>
      </c>
      <c r="W907" s="11" t="s">
        <v>13938</v>
      </c>
      <c r="X907" s="174">
        <v>39.33</v>
      </c>
      <c r="Y907" s="174">
        <v>51.76</v>
      </c>
    </row>
    <row r="908" spans="1:25" ht="15" customHeight="1" x14ac:dyDescent="0.25">
      <c r="A908" s="20" t="s">
        <v>6488</v>
      </c>
      <c r="B908" s="14" t="s">
        <v>260</v>
      </c>
      <c r="C908" s="71" t="str">
        <f t="shared" si="14"/>
        <v>Product Info</v>
      </c>
      <c r="D908" s="37" t="s">
        <v>6461</v>
      </c>
      <c r="E908" s="143">
        <v>1</v>
      </c>
      <c r="F908" s="12" t="s">
        <v>4992</v>
      </c>
      <c r="G908" s="38">
        <v>47.87</v>
      </c>
      <c r="H908" s="38">
        <v>40.69</v>
      </c>
      <c r="I908" s="38">
        <v>33.51</v>
      </c>
      <c r="J908" s="39"/>
      <c r="K908" s="143"/>
      <c r="L908" s="22">
        <v>0.86</v>
      </c>
      <c r="M908" s="22" t="s">
        <v>12488</v>
      </c>
      <c r="N908" s="20" t="s">
        <v>8804</v>
      </c>
      <c r="O908" s="16" t="s">
        <v>12608</v>
      </c>
      <c r="P908" s="143">
        <v>814</v>
      </c>
      <c r="Q908" s="122" t="s">
        <v>9227</v>
      </c>
      <c r="R908" s="16" t="s">
        <v>9235</v>
      </c>
      <c r="S908" s="10" t="s">
        <v>1163</v>
      </c>
      <c r="T908" s="28" t="s">
        <v>10110</v>
      </c>
      <c r="U908" s="20" t="s">
        <v>5359</v>
      </c>
      <c r="V908" s="16" t="s">
        <v>8561</v>
      </c>
      <c r="W908" s="11" t="s">
        <v>13938</v>
      </c>
      <c r="X908" s="174">
        <v>30.92</v>
      </c>
      <c r="Y908" s="174">
        <v>40.69</v>
      </c>
    </row>
    <row r="909" spans="1:25" ht="15" customHeight="1" x14ac:dyDescent="0.25">
      <c r="A909" s="20" t="s">
        <v>6489</v>
      </c>
      <c r="B909" s="14" t="s">
        <v>261</v>
      </c>
      <c r="C909" s="71" t="str">
        <f t="shared" si="14"/>
        <v>Product Info</v>
      </c>
      <c r="D909" s="37" t="s">
        <v>6462</v>
      </c>
      <c r="E909" s="143">
        <v>9</v>
      </c>
      <c r="F909" s="12" t="s">
        <v>4992</v>
      </c>
      <c r="G909" s="38">
        <v>69.67</v>
      </c>
      <c r="H909" s="38">
        <v>59.22</v>
      </c>
      <c r="I909" s="38">
        <v>48.77</v>
      </c>
      <c r="J909" s="39"/>
      <c r="K909" s="143" t="s">
        <v>8905</v>
      </c>
      <c r="L909" s="22">
        <v>0.8</v>
      </c>
      <c r="M909" s="22" t="s">
        <v>12487</v>
      </c>
      <c r="N909" s="20" t="s">
        <v>14489</v>
      </c>
      <c r="O909" s="16" t="s">
        <v>12608</v>
      </c>
      <c r="P909" s="143">
        <v>814</v>
      </c>
      <c r="Q909" s="122" t="s">
        <v>9227</v>
      </c>
      <c r="R909" s="16" t="s">
        <v>9235</v>
      </c>
      <c r="S909" s="10" t="s">
        <v>1163</v>
      </c>
      <c r="T909" s="28" t="s">
        <v>10111</v>
      </c>
      <c r="U909" s="20" t="s">
        <v>5359</v>
      </c>
      <c r="V909" s="16" t="s">
        <v>8562</v>
      </c>
      <c r="W909" s="11" t="s">
        <v>13938</v>
      </c>
      <c r="X909" s="174">
        <v>45</v>
      </c>
      <c r="Y909" s="174">
        <v>59.22</v>
      </c>
    </row>
    <row r="910" spans="1:25" ht="15" customHeight="1" x14ac:dyDescent="0.25">
      <c r="A910" s="20" t="s">
        <v>1187</v>
      </c>
      <c r="B910" s="14" t="s">
        <v>1188</v>
      </c>
      <c r="C910" s="71" t="str">
        <f t="shared" si="14"/>
        <v>Product Info</v>
      </c>
      <c r="D910" s="37" t="s">
        <v>1189</v>
      </c>
      <c r="E910" s="143">
        <v>1</v>
      </c>
      <c r="F910" s="12" t="s">
        <v>4992</v>
      </c>
      <c r="G910" s="38">
        <v>64.45</v>
      </c>
      <c r="H910" s="38">
        <v>54.78</v>
      </c>
      <c r="I910" s="38">
        <v>45.11</v>
      </c>
      <c r="J910" s="39"/>
      <c r="K910" s="143"/>
      <c r="L910" s="22">
        <v>1.2</v>
      </c>
      <c r="M910" s="22" t="s">
        <v>14396</v>
      </c>
      <c r="N910" s="20" t="s">
        <v>8801</v>
      </c>
      <c r="O910" s="16" t="s">
        <v>13914</v>
      </c>
      <c r="P910" s="143">
        <v>814</v>
      </c>
      <c r="Q910" s="122" t="s">
        <v>9227</v>
      </c>
      <c r="R910" s="16" t="s">
        <v>9235</v>
      </c>
      <c r="S910" s="10" t="s">
        <v>1163</v>
      </c>
      <c r="T910" s="28" t="s">
        <v>10112</v>
      </c>
      <c r="U910" s="20" t="s">
        <v>5359</v>
      </c>
      <c r="V910" s="16" t="s">
        <v>1187</v>
      </c>
      <c r="W910" s="11" t="s">
        <v>13938</v>
      </c>
      <c r="X910" s="174">
        <v>41.63</v>
      </c>
      <c r="Y910" s="174">
        <v>54.78</v>
      </c>
    </row>
    <row r="911" spans="1:25" ht="15" customHeight="1" x14ac:dyDescent="0.25">
      <c r="A911" s="20" t="s">
        <v>6490</v>
      </c>
      <c r="B911" s="14" t="s">
        <v>6491</v>
      </c>
      <c r="C911" s="71" t="str">
        <f t="shared" si="14"/>
        <v>Product Info</v>
      </c>
      <c r="D911" s="37" t="s">
        <v>8020</v>
      </c>
      <c r="E911" s="143">
        <v>1</v>
      </c>
      <c r="F911" s="12" t="s">
        <v>4992</v>
      </c>
      <c r="G911" s="38">
        <v>50.56</v>
      </c>
      <c r="H911" s="38">
        <v>42.98</v>
      </c>
      <c r="I911" s="38">
        <v>35.39</v>
      </c>
      <c r="J911" s="39"/>
      <c r="K911" s="143"/>
      <c r="L911" s="22">
        <v>0.52100000000000002</v>
      </c>
      <c r="M911" s="22" t="s">
        <v>12488</v>
      </c>
      <c r="N911" s="20" t="s">
        <v>8805</v>
      </c>
      <c r="O911" s="16" t="s">
        <v>12608</v>
      </c>
      <c r="P911" s="143">
        <v>814</v>
      </c>
      <c r="Q911" s="122" t="s">
        <v>9227</v>
      </c>
      <c r="R911" s="16" t="s">
        <v>9235</v>
      </c>
      <c r="S911" s="10" t="s">
        <v>1163</v>
      </c>
      <c r="T911" s="28" t="s">
        <v>10113</v>
      </c>
      <c r="U911" s="20" t="s">
        <v>5359</v>
      </c>
      <c r="V911" s="16" t="s">
        <v>8563</v>
      </c>
      <c r="W911" s="11" t="s">
        <v>13938</v>
      </c>
      <c r="X911" s="174">
        <v>32.659999999999997</v>
      </c>
      <c r="Y911" s="174">
        <v>42.98</v>
      </c>
    </row>
    <row r="912" spans="1:25" ht="15" customHeight="1" x14ac:dyDescent="0.25">
      <c r="A912" s="20" t="s">
        <v>13345</v>
      </c>
      <c r="B912" s="40" t="s">
        <v>13346</v>
      </c>
      <c r="C912" s="71" t="str">
        <f t="shared" si="14"/>
        <v>Product Info</v>
      </c>
      <c r="D912" s="37" t="s">
        <v>13353</v>
      </c>
      <c r="E912" s="143">
        <v>1</v>
      </c>
      <c r="F912" s="12" t="s">
        <v>4992</v>
      </c>
      <c r="G912" s="38">
        <v>50.56</v>
      </c>
      <c r="H912" s="38">
        <v>42.98</v>
      </c>
      <c r="I912" s="38">
        <v>35.39</v>
      </c>
      <c r="J912" s="39"/>
      <c r="K912" s="143"/>
      <c r="L912" s="22">
        <v>0</v>
      </c>
      <c r="M912" s="22">
        <v>0</v>
      </c>
      <c r="N912" s="20" t="s">
        <v>14489</v>
      </c>
      <c r="O912" s="16" t="s">
        <v>12608</v>
      </c>
      <c r="P912" s="143">
        <v>814</v>
      </c>
      <c r="Q912" s="122" t="s">
        <v>9227</v>
      </c>
      <c r="R912" s="16" t="s">
        <v>8904</v>
      </c>
      <c r="S912" s="10" t="s">
        <v>1163</v>
      </c>
      <c r="T912" s="15" t="s">
        <v>13361</v>
      </c>
      <c r="U912" s="20" t="s">
        <v>5359</v>
      </c>
      <c r="V912" s="14" t="s">
        <v>13345</v>
      </c>
      <c r="W912" s="11" t="s">
        <v>13938</v>
      </c>
      <c r="X912" s="174">
        <v>32.56</v>
      </c>
      <c r="Y912" s="174">
        <v>42.98</v>
      </c>
    </row>
    <row r="913" spans="1:25" ht="15" customHeight="1" x14ac:dyDescent="0.25">
      <c r="A913" s="20" t="s">
        <v>13347</v>
      </c>
      <c r="B913" s="40" t="s">
        <v>13348</v>
      </c>
      <c r="C913" s="71" t="str">
        <f t="shared" si="14"/>
        <v>Product Info</v>
      </c>
      <c r="D913" s="37" t="s">
        <v>13354</v>
      </c>
      <c r="E913" s="143">
        <v>1</v>
      </c>
      <c r="F913" s="12" t="s">
        <v>4992</v>
      </c>
      <c r="G913" s="38">
        <v>50.56</v>
      </c>
      <c r="H913" s="38">
        <v>42.98</v>
      </c>
      <c r="I913" s="38">
        <v>35.39</v>
      </c>
      <c r="J913" s="39"/>
      <c r="K913" s="143"/>
      <c r="L913" s="22">
        <v>0</v>
      </c>
      <c r="M913" s="22">
        <v>0</v>
      </c>
      <c r="N913" s="20" t="s">
        <v>14489</v>
      </c>
      <c r="O913" s="16">
        <v>0</v>
      </c>
      <c r="P913" s="143">
        <v>814</v>
      </c>
      <c r="Q913" s="122" t="s">
        <v>9227</v>
      </c>
      <c r="R913" s="16" t="s">
        <v>8904</v>
      </c>
      <c r="S913" s="10" t="s">
        <v>1163</v>
      </c>
      <c r="T913" s="15" t="s">
        <v>13362</v>
      </c>
      <c r="U913" s="20" t="s">
        <v>5359</v>
      </c>
      <c r="V913" s="14" t="s">
        <v>13347</v>
      </c>
      <c r="W913" s="11" t="s">
        <v>13938</v>
      </c>
      <c r="X913" s="174">
        <v>32.56</v>
      </c>
      <c r="Y913" s="174">
        <v>42.98</v>
      </c>
    </row>
    <row r="914" spans="1:25" ht="15" customHeight="1" x14ac:dyDescent="0.25">
      <c r="A914" s="20" t="s">
        <v>13349</v>
      </c>
      <c r="B914" s="40" t="s">
        <v>13350</v>
      </c>
      <c r="C914" s="71" t="str">
        <f t="shared" si="14"/>
        <v>Product Info</v>
      </c>
      <c r="D914" s="37" t="s">
        <v>13355</v>
      </c>
      <c r="E914" s="143">
        <v>1</v>
      </c>
      <c r="F914" s="12" t="s">
        <v>4992</v>
      </c>
      <c r="G914" s="38">
        <v>57.16</v>
      </c>
      <c r="H914" s="38">
        <v>48.59</v>
      </c>
      <c r="I914" s="38">
        <v>40.01</v>
      </c>
      <c r="J914" s="39"/>
      <c r="K914" s="143"/>
      <c r="L914" s="22">
        <v>0</v>
      </c>
      <c r="M914" s="22">
        <v>0</v>
      </c>
      <c r="N914" s="20" t="s">
        <v>14489</v>
      </c>
      <c r="O914" s="16">
        <v>0</v>
      </c>
      <c r="P914" s="143">
        <v>814</v>
      </c>
      <c r="Q914" s="122" t="s">
        <v>9227</v>
      </c>
      <c r="R914" s="16" t="s">
        <v>9235</v>
      </c>
      <c r="S914" s="10" t="s">
        <v>1163</v>
      </c>
      <c r="T914" s="15" t="s">
        <v>13363</v>
      </c>
      <c r="U914" s="20" t="s">
        <v>5359</v>
      </c>
      <c r="V914" s="14" t="s">
        <v>13349</v>
      </c>
      <c r="W914" s="11" t="s">
        <v>13938</v>
      </c>
      <c r="X914" s="174">
        <v>36.81</v>
      </c>
      <c r="Y914" s="174">
        <v>48.59</v>
      </c>
    </row>
    <row r="915" spans="1:25" ht="15" customHeight="1" x14ac:dyDescent="0.25">
      <c r="A915" s="20" t="s">
        <v>6492</v>
      </c>
      <c r="B915" s="14" t="s">
        <v>6493</v>
      </c>
      <c r="C915" s="71" t="str">
        <f t="shared" si="14"/>
        <v>Product Info</v>
      </c>
      <c r="D915" s="37" t="s">
        <v>5509</v>
      </c>
      <c r="E915" s="143">
        <v>6</v>
      </c>
      <c r="F915" s="12" t="s">
        <v>4992</v>
      </c>
      <c r="G915" s="38">
        <v>57.16</v>
      </c>
      <c r="H915" s="38">
        <v>48.59</v>
      </c>
      <c r="I915" s="38">
        <v>40.01</v>
      </c>
      <c r="J915" s="39"/>
      <c r="K915" s="143"/>
      <c r="L915" s="22">
        <v>1.141</v>
      </c>
      <c r="M915" s="22" t="s">
        <v>12488</v>
      </c>
      <c r="N915" s="20" t="s">
        <v>8806</v>
      </c>
      <c r="O915" s="16" t="s">
        <v>12608</v>
      </c>
      <c r="P915" s="143">
        <v>814</v>
      </c>
      <c r="Q915" s="122" t="s">
        <v>9227</v>
      </c>
      <c r="R915" s="16" t="s">
        <v>9235</v>
      </c>
      <c r="S915" s="10" t="s">
        <v>1163</v>
      </c>
      <c r="T915" s="28" t="s">
        <v>10114</v>
      </c>
      <c r="U915" s="20" t="s">
        <v>5359</v>
      </c>
      <c r="V915" s="16" t="s">
        <v>8564</v>
      </c>
      <c r="W915" s="11" t="s">
        <v>13938</v>
      </c>
      <c r="X915" s="174">
        <v>36.92</v>
      </c>
      <c r="Y915" s="174">
        <v>48.59</v>
      </c>
    </row>
    <row r="916" spans="1:25" ht="15" customHeight="1" x14ac:dyDescent="0.25">
      <c r="A916" s="20" t="s">
        <v>6494</v>
      </c>
      <c r="B916" s="14" t="s">
        <v>6689</v>
      </c>
      <c r="C916" s="71" t="str">
        <f t="shared" si="14"/>
        <v>Product Info</v>
      </c>
      <c r="D916" s="37" t="s">
        <v>5510</v>
      </c>
      <c r="E916" s="143">
        <v>1</v>
      </c>
      <c r="F916" s="12" t="s">
        <v>4992</v>
      </c>
      <c r="G916" s="38">
        <v>66.81</v>
      </c>
      <c r="H916" s="38">
        <v>56.79</v>
      </c>
      <c r="I916" s="38">
        <v>46.77</v>
      </c>
      <c r="J916" s="39"/>
      <c r="K916" s="143"/>
      <c r="L916" s="22">
        <v>1.3333330000000001</v>
      </c>
      <c r="M916" s="22" t="s">
        <v>12488</v>
      </c>
      <c r="N916" s="20" t="s">
        <v>8790</v>
      </c>
      <c r="O916" s="16" t="s">
        <v>13914</v>
      </c>
      <c r="P916" s="143">
        <v>814</v>
      </c>
      <c r="Q916" s="122" t="s">
        <v>9227</v>
      </c>
      <c r="R916" s="16" t="s">
        <v>9235</v>
      </c>
      <c r="S916" s="10" t="s">
        <v>1163</v>
      </c>
      <c r="T916" s="28" t="s">
        <v>10115</v>
      </c>
      <c r="U916" s="20" t="s">
        <v>5359</v>
      </c>
      <c r="V916" s="16" t="s">
        <v>8565</v>
      </c>
      <c r="W916" s="11" t="s">
        <v>13938</v>
      </c>
      <c r="X916" s="174">
        <v>43.15</v>
      </c>
      <c r="Y916" s="174">
        <v>56.79</v>
      </c>
    </row>
    <row r="917" spans="1:25" ht="15" customHeight="1" x14ac:dyDescent="0.25">
      <c r="A917" s="20" t="s">
        <v>6690</v>
      </c>
      <c r="B917" s="14" t="s">
        <v>6691</v>
      </c>
      <c r="C917" s="71" t="str">
        <f t="shared" si="14"/>
        <v>Product Info</v>
      </c>
      <c r="D917" s="37" t="s">
        <v>6463</v>
      </c>
      <c r="E917" s="143">
        <v>50</v>
      </c>
      <c r="F917" s="12" t="s">
        <v>6692</v>
      </c>
      <c r="G917" s="38">
        <v>30.84</v>
      </c>
      <c r="H917" s="38">
        <v>26.22</v>
      </c>
      <c r="I917" s="38">
        <v>21.59</v>
      </c>
      <c r="J917" s="39"/>
      <c r="K917" s="12" t="s">
        <v>8905</v>
      </c>
      <c r="L917" s="22">
        <v>0.42</v>
      </c>
      <c r="M917" s="22" t="s">
        <v>12488</v>
      </c>
      <c r="N917" s="20" t="s">
        <v>9236</v>
      </c>
      <c r="O917" s="16" t="s">
        <v>12608</v>
      </c>
      <c r="P917" s="143">
        <v>760</v>
      </c>
      <c r="Q917" s="122" t="s">
        <v>14461</v>
      </c>
      <c r="R917" s="16" t="s">
        <v>8904</v>
      </c>
      <c r="S917" s="10" t="s">
        <v>1163</v>
      </c>
      <c r="T917" s="28" t="s">
        <v>10116</v>
      </c>
      <c r="U917" s="20" t="s">
        <v>5359</v>
      </c>
      <c r="V917" s="16" t="s">
        <v>6690</v>
      </c>
      <c r="W917" s="20" t="s">
        <v>14432</v>
      </c>
      <c r="X917" s="174">
        <v>19.920000000000002</v>
      </c>
      <c r="Y917" s="174">
        <v>26.22</v>
      </c>
    </row>
    <row r="918" spans="1:25" ht="15" customHeight="1" x14ac:dyDescent="0.25">
      <c r="A918" s="20" t="s">
        <v>6693</v>
      </c>
      <c r="B918" s="14" t="s">
        <v>6694</v>
      </c>
      <c r="C918" s="71" t="str">
        <f t="shared" si="14"/>
        <v>Product Info</v>
      </c>
      <c r="D918" s="37" t="s">
        <v>6464</v>
      </c>
      <c r="E918" s="143">
        <v>50</v>
      </c>
      <c r="F918" s="12" t="s">
        <v>6692</v>
      </c>
      <c r="G918" s="38">
        <v>43.91</v>
      </c>
      <c r="H918" s="38">
        <v>37.33</v>
      </c>
      <c r="I918" s="38">
        <v>30.74</v>
      </c>
      <c r="J918" s="39"/>
      <c r="K918" s="12" t="s">
        <v>8905</v>
      </c>
      <c r="L918" s="22">
        <v>0.67300000000000004</v>
      </c>
      <c r="M918" s="22" t="s">
        <v>12488</v>
      </c>
      <c r="N918" s="20" t="s">
        <v>9237</v>
      </c>
      <c r="O918" s="16" t="s">
        <v>12608</v>
      </c>
      <c r="P918" s="143">
        <v>760</v>
      </c>
      <c r="Q918" s="122" t="s">
        <v>9227</v>
      </c>
      <c r="R918" s="16" t="s">
        <v>8904</v>
      </c>
      <c r="S918" s="10" t="s">
        <v>1163</v>
      </c>
      <c r="T918" s="28" t="s">
        <v>10117</v>
      </c>
      <c r="U918" s="20" t="s">
        <v>5359</v>
      </c>
      <c r="V918" s="16" t="s">
        <v>6693</v>
      </c>
      <c r="W918" s="20" t="s">
        <v>14432</v>
      </c>
      <c r="X918" s="174">
        <v>28.37</v>
      </c>
      <c r="Y918" s="174">
        <v>37.33</v>
      </c>
    </row>
    <row r="919" spans="1:25" ht="15" customHeight="1" x14ac:dyDescent="0.25">
      <c r="A919" s="20" t="s">
        <v>2615</v>
      </c>
      <c r="B919" s="14" t="s">
        <v>2616</v>
      </c>
      <c r="C919" s="71" t="str">
        <f t="shared" si="14"/>
        <v>Product Info</v>
      </c>
      <c r="D919" s="37" t="s">
        <v>6465</v>
      </c>
      <c r="E919" s="143">
        <v>50</v>
      </c>
      <c r="F919" s="12" t="s">
        <v>6692</v>
      </c>
      <c r="G919" s="38">
        <v>62.37</v>
      </c>
      <c r="H919" s="38">
        <v>53.02</v>
      </c>
      <c r="I919" s="38">
        <v>43.66</v>
      </c>
      <c r="J919" s="39"/>
      <c r="K919" s="143"/>
      <c r="L919" s="22">
        <v>3.5</v>
      </c>
      <c r="M919" s="22" t="s">
        <v>12488</v>
      </c>
      <c r="N919" s="20" t="s">
        <v>8817</v>
      </c>
      <c r="O919" s="16" t="s">
        <v>12608</v>
      </c>
      <c r="P919" s="143">
        <v>760</v>
      </c>
      <c r="Q919" s="121" t="s">
        <v>14285</v>
      </c>
      <c r="R919" s="16" t="s">
        <v>8904</v>
      </c>
      <c r="S919" s="10" t="s">
        <v>1163</v>
      </c>
      <c r="T919" s="28" t="s">
        <v>10118</v>
      </c>
      <c r="U919" s="20" t="s">
        <v>5359</v>
      </c>
      <c r="V919" s="16" t="s">
        <v>2615</v>
      </c>
      <c r="W919" s="20" t="s">
        <v>14432</v>
      </c>
      <c r="X919" s="174">
        <v>40.28</v>
      </c>
      <c r="Y919" s="174">
        <v>53.02</v>
      </c>
    </row>
    <row r="920" spans="1:25" ht="15" customHeight="1" x14ac:dyDescent="0.25">
      <c r="A920" s="20" t="s">
        <v>2256</v>
      </c>
      <c r="B920" s="14" t="s">
        <v>2257</v>
      </c>
      <c r="C920" s="71" t="str">
        <f t="shared" si="14"/>
        <v>Product Info</v>
      </c>
      <c r="D920" s="37" t="s">
        <v>6466</v>
      </c>
      <c r="E920" s="143">
        <v>65</v>
      </c>
      <c r="F920" s="12" t="s">
        <v>6692</v>
      </c>
      <c r="G920" s="38">
        <v>17.39</v>
      </c>
      <c r="H920" s="38">
        <v>14.78</v>
      </c>
      <c r="I920" s="38">
        <v>12.17</v>
      </c>
      <c r="J920" s="39"/>
      <c r="K920" s="143"/>
      <c r="L920" s="22">
        <v>1.01</v>
      </c>
      <c r="M920" s="22" t="s">
        <v>12488</v>
      </c>
      <c r="N920" s="20" t="s">
        <v>9238</v>
      </c>
      <c r="O920" s="16" t="s">
        <v>12608</v>
      </c>
      <c r="P920" s="143">
        <v>760</v>
      </c>
      <c r="Q920" s="122" t="s">
        <v>9227</v>
      </c>
      <c r="R920" s="16" t="s">
        <v>8904</v>
      </c>
      <c r="S920" s="10" t="s">
        <v>1163</v>
      </c>
      <c r="T920" s="28" t="s">
        <v>10119</v>
      </c>
      <c r="U920" s="20" t="s">
        <v>5359</v>
      </c>
      <c r="V920" s="16" t="s">
        <v>2256</v>
      </c>
      <c r="W920" s="20" t="s">
        <v>14432</v>
      </c>
      <c r="X920" s="174">
        <v>11.23</v>
      </c>
      <c r="Y920" s="174">
        <v>14.78</v>
      </c>
    </row>
    <row r="921" spans="1:25" ht="15" customHeight="1" x14ac:dyDescent="0.25">
      <c r="A921" s="20" t="s">
        <v>2258</v>
      </c>
      <c r="B921" s="14" t="s">
        <v>2259</v>
      </c>
      <c r="C921" s="71" t="str">
        <f t="shared" si="14"/>
        <v>Product Info</v>
      </c>
      <c r="D921" s="37" t="s">
        <v>4490</v>
      </c>
      <c r="E921" s="143">
        <v>60</v>
      </c>
      <c r="F921" s="12" t="s">
        <v>6692</v>
      </c>
      <c r="G921" s="38">
        <v>18.239999999999998</v>
      </c>
      <c r="H921" s="38">
        <v>15.51</v>
      </c>
      <c r="I921" s="38">
        <v>12.77</v>
      </c>
      <c r="J921" s="39"/>
      <c r="K921" s="12" t="s">
        <v>8905</v>
      </c>
      <c r="L921" s="22">
        <v>0.222</v>
      </c>
      <c r="M921" s="22" t="s">
        <v>12488</v>
      </c>
      <c r="N921" s="20" t="s">
        <v>9239</v>
      </c>
      <c r="O921" s="16" t="s">
        <v>12608</v>
      </c>
      <c r="P921" s="143">
        <v>760</v>
      </c>
      <c r="Q921" s="122" t="s">
        <v>14461</v>
      </c>
      <c r="R921" s="16" t="s">
        <v>8904</v>
      </c>
      <c r="S921" s="10" t="s">
        <v>1163</v>
      </c>
      <c r="T921" s="28" t="s">
        <v>10120</v>
      </c>
      <c r="U921" s="20" t="s">
        <v>5359</v>
      </c>
      <c r="V921" s="16" t="s">
        <v>2258</v>
      </c>
      <c r="W921" s="20" t="s">
        <v>14432</v>
      </c>
      <c r="X921" s="174">
        <v>11.78</v>
      </c>
      <c r="Y921" s="174">
        <v>15.51</v>
      </c>
    </row>
    <row r="922" spans="1:25" ht="15" customHeight="1" x14ac:dyDescent="0.25">
      <c r="A922" s="20" t="s">
        <v>2260</v>
      </c>
      <c r="B922" s="14" t="s">
        <v>2261</v>
      </c>
      <c r="C922" s="71" t="str">
        <f t="shared" si="14"/>
        <v>Product Info</v>
      </c>
      <c r="D922" s="37" t="s">
        <v>4491</v>
      </c>
      <c r="E922" s="143">
        <v>50</v>
      </c>
      <c r="F922" s="12" t="s">
        <v>6692</v>
      </c>
      <c r="G922" s="38">
        <v>20.27</v>
      </c>
      <c r="H922" s="38">
        <v>17.23</v>
      </c>
      <c r="I922" s="38">
        <v>14.19</v>
      </c>
      <c r="J922" s="39"/>
      <c r="K922" s="12" t="s">
        <v>8905</v>
      </c>
      <c r="L922" s="22">
        <v>0.3</v>
      </c>
      <c r="M922" s="22" t="s">
        <v>12488</v>
      </c>
      <c r="N922" s="20" t="s">
        <v>9240</v>
      </c>
      <c r="O922" s="16" t="s">
        <v>13914</v>
      </c>
      <c r="P922" s="143">
        <v>760</v>
      </c>
      <c r="Q922" s="122" t="s">
        <v>14461</v>
      </c>
      <c r="R922" s="16" t="s">
        <v>8904</v>
      </c>
      <c r="S922" s="10" t="s">
        <v>1163</v>
      </c>
      <c r="T922" s="28" t="s">
        <v>10121</v>
      </c>
      <c r="U922" s="20" t="s">
        <v>5359</v>
      </c>
      <c r="V922" s="16" t="s">
        <v>2260</v>
      </c>
      <c r="W922" s="20" t="s">
        <v>14432</v>
      </c>
      <c r="X922" s="174">
        <v>13.09</v>
      </c>
      <c r="Y922" s="174">
        <v>17.23</v>
      </c>
    </row>
    <row r="923" spans="1:25" ht="15" customHeight="1" x14ac:dyDescent="0.25">
      <c r="A923" s="20" t="s">
        <v>2262</v>
      </c>
      <c r="B923" s="14" t="s">
        <v>262</v>
      </c>
      <c r="C923" s="71" t="str">
        <f t="shared" si="14"/>
        <v>Product Info</v>
      </c>
      <c r="D923" s="37" t="s">
        <v>7838</v>
      </c>
      <c r="E923" s="143">
        <v>18</v>
      </c>
      <c r="F923" s="12" t="s">
        <v>2170</v>
      </c>
      <c r="G923" s="38">
        <v>27.97</v>
      </c>
      <c r="H923" s="38">
        <v>23.78</v>
      </c>
      <c r="I923" s="38">
        <v>19.579999999999998</v>
      </c>
      <c r="J923" s="39"/>
      <c r="K923" s="143"/>
      <c r="L923" s="22">
        <v>0</v>
      </c>
      <c r="M923" s="22">
        <v>0</v>
      </c>
      <c r="N923" s="20" t="s">
        <v>14489</v>
      </c>
      <c r="O923" s="16" t="s">
        <v>12608</v>
      </c>
      <c r="P923" s="143">
        <v>760</v>
      </c>
      <c r="Q923" s="122" t="s">
        <v>12421</v>
      </c>
      <c r="R923" s="16" t="s">
        <v>8904</v>
      </c>
      <c r="S923" s="10" t="s">
        <v>1163</v>
      </c>
      <c r="T923" s="28" t="s">
        <v>10122</v>
      </c>
      <c r="U923" s="20" t="s">
        <v>5359</v>
      </c>
      <c r="V923" s="16" t="s">
        <v>2262</v>
      </c>
      <c r="W923" s="20" t="s">
        <v>14432</v>
      </c>
      <c r="X923" s="174">
        <v>18.07</v>
      </c>
      <c r="Y923" s="174">
        <v>23.78</v>
      </c>
    </row>
    <row r="924" spans="1:25" ht="15" customHeight="1" x14ac:dyDescent="0.25">
      <c r="A924" s="20" t="s">
        <v>900</v>
      </c>
      <c r="B924" s="14" t="s">
        <v>901</v>
      </c>
      <c r="C924" s="71" t="str">
        <f t="shared" si="14"/>
        <v>Product Info</v>
      </c>
      <c r="D924" s="37" t="s">
        <v>4492</v>
      </c>
      <c r="E924" s="143">
        <v>12</v>
      </c>
      <c r="F924" s="12" t="s">
        <v>2170</v>
      </c>
      <c r="G924" s="38">
        <v>22.33</v>
      </c>
      <c r="H924" s="38">
        <v>18.98</v>
      </c>
      <c r="I924" s="38">
        <v>15.63</v>
      </c>
      <c r="J924" s="39"/>
      <c r="K924" s="143"/>
      <c r="L924" s="22">
        <v>0.8</v>
      </c>
      <c r="M924" s="22" t="s">
        <v>12488</v>
      </c>
      <c r="N924" s="20" t="s">
        <v>8807</v>
      </c>
      <c r="O924" s="16" t="s">
        <v>12608</v>
      </c>
      <c r="P924" s="143">
        <v>760</v>
      </c>
      <c r="Q924" s="122" t="s">
        <v>9227</v>
      </c>
      <c r="R924" s="16" t="s">
        <v>8904</v>
      </c>
      <c r="S924" s="10" t="s">
        <v>1163</v>
      </c>
      <c r="T924" s="28" t="s">
        <v>10123</v>
      </c>
      <c r="U924" s="20" t="s">
        <v>5359</v>
      </c>
      <c r="V924" s="16" t="s">
        <v>900</v>
      </c>
      <c r="W924" s="20" t="s">
        <v>14432</v>
      </c>
      <c r="X924" s="174">
        <v>14.42</v>
      </c>
      <c r="Y924" s="174">
        <v>18.98</v>
      </c>
    </row>
    <row r="925" spans="1:25" ht="15" customHeight="1" x14ac:dyDescent="0.25">
      <c r="A925" s="20" t="s">
        <v>902</v>
      </c>
      <c r="B925" s="14" t="s">
        <v>903</v>
      </c>
      <c r="C925" s="71" t="str">
        <f t="shared" si="14"/>
        <v>Product Info</v>
      </c>
      <c r="D925" s="37" t="s">
        <v>5196</v>
      </c>
      <c r="E925" s="143">
        <v>6</v>
      </c>
      <c r="F925" s="12" t="s">
        <v>4992</v>
      </c>
      <c r="G925" s="38">
        <v>37.1</v>
      </c>
      <c r="H925" s="38">
        <v>31.54</v>
      </c>
      <c r="I925" s="38">
        <v>25.97</v>
      </c>
      <c r="J925" s="39"/>
      <c r="K925" s="143"/>
      <c r="L925" s="22">
        <v>9</v>
      </c>
      <c r="M925" s="22" t="s">
        <v>14396</v>
      </c>
      <c r="N925" s="20" t="s">
        <v>8808</v>
      </c>
      <c r="O925" s="16" t="s">
        <v>12608</v>
      </c>
      <c r="P925" s="143">
        <v>760</v>
      </c>
      <c r="Q925" s="122" t="s">
        <v>9227</v>
      </c>
      <c r="R925" s="16" t="s">
        <v>8904</v>
      </c>
      <c r="S925" s="10" t="s">
        <v>1163</v>
      </c>
      <c r="T925" s="28" t="s">
        <v>10124</v>
      </c>
      <c r="U925" s="20" t="s">
        <v>5359</v>
      </c>
      <c r="V925" s="16" t="s">
        <v>902</v>
      </c>
      <c r="W925" s="20" t="s">
        <v>14432</v>
      </c>
      <c r="X925" s="174">
        <v>23.96</v>
      </c>
      <c r="Y925" s="174">
        <v>31.54</v>
      </c>
    </row>
    <row r="926" spans="1:25" ht="15" customHeight="1" x14ac:dyDescent="0.25">
      <c r="A926" s="20" t="s">
        <v>6080</v>
      </c>
      <c r="B926" s="14" t="s">
        <v>6081</v>
      </c>
      <c r="C926" s="71" t="str">
        <f t="shared" si="14"/>
        <v>Product Info</v>
      </c>
      <c r="D926" s="37" t="s">
        <v>2276</v>
      </c>
      <c r="E926" s="143">
        <v>6</v>
      </c>
      <c r="F926" s="12" t="s">
        <v>4992</v>
      </c>
      <c r="G926" s="38">
        <v>61.26</v>
      </c>
      <c r="H926" s="38">
        <v>52.07</v>
      </c>
      <c r="I926" s="38">
        <v>42.88</v>
      </c>
      <c r="J926" s="39"/>
      <c r="K926" s="143"/>
      <c r="L926" s="22">
        <v>2.3439999999999999</v>
      </c>
      <c r="M926" s="22" t="s">
        <v>12488</v>
      </c>
      <c r="N926" s="20" t="s">
        <v>8809</v>
      </c>
      <c r="O926" s="16" t="s">
        <v>12608</v>
      </c>
      <c r="P926" s="143">
        <v>760</v>
      </c>
      <c r="Q926" s="122" t="s">
        <v>12421</v>
      </c>
      <c r="R926" s="16" t="s">
        <v>8904</v>
      </c>
      <c r="S926" s="10" t="s">
        <v>1163</v>
      </c>
      <c r="T926" s="28" t="s">
        <v>10125</v>
      </c>
      <c r="U926" s="20" t="s">
        <v>5359</v>
      </c>
      <c r="V926" s="16" t="s">
        <v>6080</v>
      </c>
      <c r="W926" s="20" t="s">
        <v>14432</v>
      </c>
      <c r="X926" s="174">
        <v>39.57</v>
      </c>
      <c r="Y926" s="174">
        <v>52.07</v>
      </c>
    </row>
    <row r="927" spans="1:25" ht="15" customHeight="1" x14ac:dyDescent="0.25">
      <c r="A927" s="20" t="s">
        <v>57</v>
      </c>
      <c r="B927" s="14" t="s">
        <v>58</v>
      </c>
      <c r="C927" s="71" t="str">
        <f t="shared" si="14"/>
        <v>Product Info</v>
      </c>
      <c r="D927" s="37" t="s">
        <v>59</v>
      </c>
      <c r="E927" s="143">
        <v>24</v>
      </c>
      <c r="F927" s="12" t="s">
        <v>4992</v>
      </c>
      <c r="G927" s="38">
        <v>8.23</v>
      </c>
      <c r="H927" s="38">
        <v>6.99</v>
      </c>
      <c r="I927" s="38">
        <v>5.76</v>
      </c>
      <c r="J927" s="39"/>
      <c r="K927" s="143"/>
      <c r="L927" s="22">
        <v>0</v>
      </c>
      <c r="M927" s="22">
        <v>0</v>
      </c>
      <c r="N927" s="20" t="s">
        <v>14489</v>
      </c>
      <c r="O927" s="16">
        <v>0</v>
      </c>
      <c r="P927" s="143">
        <v>760</v>
      </c>
      <c r="Q927" s="122" t="s">
        <v>12421</v>
      </c>
      <c r="R927" s="16" t="s">
        <v>8904</v>
      </c>
      <c r="S927" s="10" t="s">
        <v>1163</v>
      </c>
      <c r="T927" s="28" t="s">
        <v>10126</v>
      </c>
      <c r="U927" s="20" t="s">
        <v>5359</v>
      </c>
      <c r="V927" s="16" t="s">
        <v>57</v>
      </c>
      <c r="W927" s="20" t="s">
        <v>14432</v>
      </c>
      <c r="X927" s="174">
        <v>5.32</v>
      </c>
      <c r="Y927" s="174">
        <v>6.99</v>
      </c>
    </row>
    <row r="928" spans="1:25" ht="15" customHeight="1" x14ac:dyDescent="0.25">
      <c r="A928" s="20" t="s">
        <v>263</v>
      </c>
      <c r="B928" s="14" t="s">
        <v>264</v>
      </c>
      <c r="C928" s="71" t="str">
        <f t="shared" si="14"/>
        <v>Product Info</v>
      </c>
      <c r="D928" s="37" t="s">
        <v>265</v>
      </c>
      <c r="E928" s="143">
        <v>24</v>
      </c>
      <c r="F928" s="12" t="s">
        <v>4992</v>
      </c>
      <c r="G928" s="38">
        <v>8.6</v>
      </c>
      <c r="H928" s="38">
        <v>7.31</v>
      </c>
      <c r="I928" s="38">
        <v>6.02</v>
      </c>
      <c r="J928" s="39"/>
      <c r="K928" s="143"/>
      <c r="L928" s="22">
        <v>0</v>
      </c>
      <c r="M928" s="22">
        <v>0</v>
      </c>
      <c r="N928" s="20" t="s">
        <v>14489</v>
      </c>
      <c r="O928" s="16">
        <v>0</v>
      </c>
      <c r="P928" s="143">
        <v>760</v>
      </c>
      <c r="Q928" s="122" t="s">
        <v>9227</v>
      </c>
      <c r="R928" s="16" t="s">
        <v>8904</v>
      </c>
      <c r="S928" s="10" t="s">
        <v>1163</v>
      </c>
      <c r="T928" s="28" t="s">
        <v>10127</v>
      </c>
      <c r="U928" s="20" t="s">
        <v>5359</v>
      </c>
      <c r="V928" s="16" t="s">
        <v>263</v>
      </c>
      <c r="W928" s="20" t="s">
        <v>14432</v>
      </c>
      <c r="X928" s="174">
        <v>5.55</v>
      </c>
      <c r="Y928" s="174">
        <v>7.31</v>
      </c>
    </row>
    <row r="929" spans="1:25" ht="15" customHeight="1" x14ac:dyDescent="0.25">
      <c r="A929" s="20" t="s">
        <v>1034</v>
      </c>
      <c r="B929" s="14" t="s">
        <v>266</v>
      </c>
      <c r="C929" s="71" t="str">
        <f t="shared" si="14"/>
        <v>Product Info</v>
      </c>
      <c r="D929" s="37" t="s">
        <v>1037</v>
      </c>
      <c r="E929" s="143">
        <v>1</v>
      </c>
      <c r="F929" s="12" t="s">
        <v>4992</v>
      </c>
      <c r="G929" s="38">
        <v>265.17</v>
      </c>
      <c r="H929" s="38">
        <v>225.4</v>
      </c>
      <c r="I929" s="38">
        <v>185.62</v>
      </c>
      <c r="J929" s="39"/>
      <c r="K929" s="143"/>
      <c r="L929" s="22">
        <v>0</v>
      </c>
      <c r="M929" s="22">
        <v>0</v>
      </c>
      <c r="N929" s="20" t="s">
        <v>14489</v>
      </c>
      <c r="O929" s="16">
        <v>0</v>
      </c>
      <c r="P929" s="143">
        <v>760</v>
      </c>
      <c r="Q929" s="121" t="s">
        <v>14285</v>
      </c>
      <c r="R929" s="16" t="s">
        <v>8904</v>
      </c>
      <c r="S929" s="10" t="s">
        <v>1163</v>
      </c>
      <c r="T929" s="28" t="s">
        <v>10128</v>
      </c>
      <c r="U929" s="20" t="s">
        <v>5359</v>
      </c>
      <c r="V929" s="16" t="s">
        <v>1034</v>
      </c>
      <c r="W929" s="20" t="s">
        <v>14432</v>
      </c>
      <c r="X929" s="174">
        <v>171.27</v>
      </c>
      <c r="Y929" s="174">
        <v>225.4</v>
      </c>
    </row>
    <row r="930" spans="1:25" ht="15" customHeight="1" x14ac:dyDescent="0.25">
      <c r="A930" s="20" t="s">
        <v>6082</v>
      </c>
      <c r="B930" s="14" t="s">
        <v>6083</v>
      </c>
      <c r="C930" s="71" t="str">
        <f t="shared" si="14"/>
        <v>Product Info</v>
      </c>
      <c r="D930" s="37" t="s">
        <v>2277</v>
      </c>
      <c r="E930" s="143">
        <v>1</v>
      </c>
      <c r="F930" s="12" t="s">
        <v>4992</v>
      </c>
      <c r="G930" s="38">
        <v>229.53</v>
      </c>
      <c r="H930" s="38">
        <v>195.11</v>
      </c>
      <c r="I930" s="38">
        <v>160.66999999999999</v>
      </c>
      <c r="J930" s="39"/>
      <c r="K930" s="143"/>
      <c r="L930" s="22">
        <v>0</v>
      </c>
      <c r="M930" s="22">
        <v>0</v>
      </c>
      <c r="N930" s="20" t="s">
        <v>14489</v>
      </c>
      <c r="O930" s="16">
        <v>0</v>
      </c>
      <c r="P930" s="143">
        <v>760</v>
      </c>
      <c r="Q930" s="121" t="s">
        <v>14285</v>
      </c>
      <c r="R930" s="16" t="s">
        <v>8904</v>
      </c>
      <c r="S930" s="10" t="s">
        <v>1163</v>
      </c>
      <c r="T930" s="28" t="s">
        <v>10129</v>
      </c>
      <c r="U930" s="20" t="s">
        <v>5359</v>
      </c>
      <c r="V930" s="16" t="s">
        <v>6082</v>
      </c>
      <c r="W930" s="20" t="s">
        <v>14432</v>
      </c>
      <c r="X930" s="174">
        <v>148.25</v>
      </c>
      <c r="Y930" s="174">
        <v>195.11</v>
      </c>
    </row>
    <row r="931" spans="1:25" ht="15" customHeight="1" x14ac:dyDescent="0.25">
      <c r="A931" s="20" t="s">
        <v>12650</v>
      </c>
      <c r="B931" s="16" t="s">
        <v>12651</v>
      </c>
      <c r="C931" s="71" t="str">
        <f t="shared" si="14"/>
        <v>Product Info</v>
      </c>
      <c r="D931" s="37" t="s">
        <v>12919</v>
      </c>
      <c r="E931" s="143">
        <v>18</v>
      </c>
      <c r="F931" s="12" t="s">
        <v>4992</v>
      </c>
      <c r="G931" s="38">
        <v>28.37</v>
      </c>
      <c r="H931" s="38">
        <v>24.12</v>
      </c>
      <c r="I931" s="38">
        <v>19.86</v>
      </c>
      <c r="J931" s="39"/>
      <c r="K931" s="143"/>
      <c r="L931" s="22">
        <v>0</v>
      </c>
      <c r="M931" s="22">
        <v>0</v>
      </c>
      <c r="N931" s="20" t="s">
        <v>14489</v>
      </c>
      <c r="O931" s="16">
        <v>0</v>
      </c>
      <c r="P931" s="143">
        <v>760</v>
      </c>
      <c r="Q931" s="122" t="s">
        <v>9227</v>
      </c>
      <c r="R931" s="16" t="s">
        <v>8904</v>
      </c>
      <c r="S931" s="10" t="s">
        <v>1163</v>
      </c>
      <c r="T931" s="28" t="s">
        <v>12979</v>
      </c>
      <c r="U931" s="20" t="s">
        <v>5359</v>
      </c>
      <c r="V931" s="16" t="s">
        <v>12650</v>
      </c>
      <c r="W931" s="20" t="s">
        <v>14432</v>
      </c>
      <c r="X931" s="174">
        <v>18.329999999999998</v>
      </c>
      <c r="Y931" s="174">
        <v>24.12</v>
      </c>
    </row>
    <row r="932" spans="1:25" ht="15" customHeight="1" x14ac:dyDescent="0.25">
      <c r="A932" s="20" t="s">
        <v>2234</v>
      </c>
      <c r="B932" s="14" t="s">
        <v>2235</v>
      </c>
      <c r="C932" s="71" t="str">
        <f t="shared" si="14"/>
        <v>Product Info</v>
      </c>
      <c r="D932" s="37" t="s">
        <v>2278</v>
      </c>
      <c r="E932" s="143">
        <v>12</v>
      </c>
      <c r="F932" s="12" t="s">
        <v>4992</v>
      </c>
      <c r="G932" s="38">
        <v>22.33</v>
      </c>
      <c r="H932" s="38">
        <v>18.98</v>
      </c>
      <c r="I932" s="38">
        <v>15.63</v>
      </c>
      <c r="J932" s="39"/>
      <c r="K932" s="143"/>
      <c r="L932" s="22">
        <v>9.3239999999999998</v>
      </c>
      <c r="M932" s="22" t="s">
        <v>12488</v>
      </c>
      <c r="N932" s="20" t="s">
        <v>8810</v>
      </c>
      <c r="O932" s="16" t="s">
        <v>12608</v>
      </c>
      <c r="P932" s="143">
        <v>760</v>
      </c>
      <c r="Q932" s="122" t="s">
        <v>9227</v>
      </c>
      <c r="R932" s="16" t="s">
        <v>8904</v>
      </c>
      <c r="S932" s="10" t="s">
        <v>1163</v>
      </c>
      <c r="T932" s="28" t="s">
        <v>10130</v>
      </c>
      <c r="U932" s="20" t="s">
        <v>5359</v>
      </c>
      <c r="V932" s="16" t="s">
        <v>2234</v>
      </c>
      <c r="W932" s="20" t="s">
        <v>14432</v>
      </c>
      <c r="X932" s="174">
        <v>14.42</v>
      </c>
      <c r="Y932" s="174">
        <v>18.98</v>
      </c>
    </row>
    <row r="933" spans="1:25" ht="15" customHeight="1" x14ac:dyDescent="0.25">
      <c r="A933" s="20" t="s">
        <v>2236</v>
      </c>
      <c r="B933" s="14" t="s">
        <v>2237</v>
      </c>
      <c r="C933" s="71" t="str">
        <f t="shared" si="14"/>
        <v>Product Info</v>
      </c>
      <c r="D933" s="37" t="s">
        <v>7569</v>
      </c>
      <c r="E933" s="143">
        <v>6</v>
      </c>
      <c r="F933" s="12" t="s">
        <v>4992</v>
      </c>
      <c r="G933" s="38">
        <v>39.200000000000003</v>
      </c>
      <c r="H933" s="38">
        <v>33.32</v>
      </c>
      <c r="I933" s="38">
        <v>27.44</v>
      </c>
      <c r="J933" s="39"/>
      <c r="K933" s="143"/>
      <c r="L933" s="22">
        <v>0</v>
      </c>
      <c r="M933" s="22">
        <v>0</v>
      </c>
      <c r="N933" s="20" t="s">
        <v>14489</v>
      </c>
      <c r="O933" s="16">
        <v>0</v>
      </c>
      <c r="P933" s="143">
        <v>760</v>
      </c>
      <c r="Q933" s="121" t="s">
        <v>14285</v>
      </c>
      <c r="R933" s="16" t="s">
        <v>8904</v>
      </c>
      <c r="S933" s="10" t="s">
        <v>1163</v>
      </c>
      <c r="T933" s="28" t="s">
        <v>10131</v>
      </c>
      <c r="U933" s="20" t="s">
        <v>5359</v>
      </c>
      <c r="V933" s="16" t="s">
        <v>2236</v>
      </c>
      <c r="W933" s="20" t="s">
        <v>14432</v>
      </c>
      <c r="X933" s="174">
        <v>25.32</v>
      </c>
      <c r="Y933" s="174">
        <v>33.32</v>
      </c>
    </row>
    <row r="934" spans="1:25" ht="15" customHeight="1" x14ac:dyDescent="0.25">
      <c r="A934" s="20" t="s">
        <v>2238</v>
      </c>
      <c r="B934" s="14" t="s">
        <v>2239</v>
      </c>
      <c r="C934" s="71" t="str">
        <f t="shared" si="14"/>
        <v>Product Info</v>
      </c>
      <c r="D934" s="37" t="s">
        <v>2279</v>
      </c>
      <c r="E934" s="143">
        <v>6</v>
      </c>
      <c r="F934" s="12" t="s">
        <v>4992</v>
      </c>
      <c r="G934" s="38">
        <v>59.51</v>
      </c>
      <c r="H934" s="38">
        <v>50.59</v>
      </c>
      <c r="I934" s="38">
        <v>41.66</v>
      </c>
      <c r="J934" s="39"/>
      <c r="K934" s="143"/>
      <c r="L934" s="22">
        <v>13.44</v>
      </c>
      <c r="M934" s="22" t="s">
        <v>12488</v>
      </c>
      <c r="N934" s="20" t="s">
        <v>8811</v>
      </c>
      <c r="O934" s="16" t="s">
        <v>12608</v>
      </c>
      <c r="P934" s="143">
        <v>760</v>
      </c>
      <c r="Q934" s="122" t="s">
        <v>9227</v>
      </c>
      <c r="R934" s="16" t="s">
        <v>8904</v>
      </c>
      <c r="S934" s="10" t="s">
        <v>1163</v>
      </c>
      <c r="T934" s="28" t="s">
        <v>10132</v>
      </c>
      <c r="U934" s="20" t="s">
        <v>5359</v>
      </c>
      <c r="V934" s="16" t="s">
        <v>2238</v>
      </c>
      <c r="W934" s="20" t="s">
        <v>14432</v>
      </c>
      <c r="X934" s="174">
        <v>38.44</v>
      </c>
      <c r="Y934" s="174">
        <v>50.59</v>
      </c>
    </row>
    <row r="935" spans="1:25" ht="15" customHeight="1" x14ac:dyDescent="0.25">
      <c r="A935" s="20" t="s">
        <v>2240</v>
      </c>
      <c r="B935" s="14" t="s">
        <v>2241</v>
      </c>
      <c r="C935" s="71" t="str">
        <f t="shared" si="14"/>
        <v>Product Info</v>
      </c>
      <c r="D935" s="37" t="s">
        <v>2280</v>
      </c>
      <c r="E935" s="143">
        <v>24</v>
      </c>
      <c r="F935" s="12" t="s">
        <v>4992</v>
      </c>
      <c r="G935" s="38">
        <v>8.5299999999999994</v>
      </c>
      <c r="H935" s="38">
        <v>7.25</v>
      </c>
      <c r="I935" s="38">
        <v>5.97</v>
      </c>
      <c r="J935" s="39"/>
      <c r="K935" s="143"/>
      <c r="L935" s="22">
        <v>0.52500000000000002</v>
      </c>
      <c r="M935" s="22" t="s">
        <v>14396</v>
      </c>
      <c r="N935" s="20" t="s">
        <v>8812</v>
      </c>
      <c r="O935" s="16" t="s">
        <v>12608</v>
      </c>
      <c r="P935" s="143">
        <v>760</v>
      </c>
      <c r="Q935" s="122" t="s">
        <v>9227</v>
      </c>
      <c r="R935" s="16" t="s">
        <v>8904</v>
      </c>
      <c r="S935" s="10" t="s">
        <v>1163</v>
      </c>
      <c r="T935" s="28" t="s">
        <v>10133</v>
      </c>
      <c r="U935" s="20" t="s">
        <v>5359</v>
      </c>
      <c r="V935" s="16" t="s">
        <v>2240</v>
      </c>
      <c r="W935" s="20" t="s">
        <v>14432</v>
      </c>
      <c r="X935" s="174">
        <v>5.51</v>
      </c>
      <c r="Y935" s="174">
        <v>7.25</v>
      </c>
    </row>
    <row r="936" spans="1:25" ht="15" customHeight="1" x14ac:dyDescent="0.25">
      <c r="A936" s="20" t="s">
        <v>8028</v>
      </c>
      <c r="B936" s="14" t="s">
        <v>8029</v>
      </c>
      <c r="C936" s="71" t="str">
        <f t="shared" si="14"/>
        <v>Product Info</v>
      </c>
      <c r="D936" s="37" t="s">
        <v>8679</v>
      </c>
      <c r="E936" s="143">
        <v>24</v>
      </c>
      <c r="F936" s="12" t="s">
        <v>4992</v>
      </c>
      <c r="G936" s="38">
        <v>8.6</v>
      </c>
      <c r="H936" s="38">
        <v>7.31</v>
      </c>
      <c r="I936" s="38">
        <v>6.02</v>
      </c>
      <c r="J936" s="39"/>
      <c r="K936" s="143"/>
      <c r="L936" s="22">
        <v>8</v>
      </c>
      <c r="M936" s="22" t="s">
        <v>12488</v>
      </c>
      <c r="N936" s="20" t="s">
        <v>9243</v>
      </c>
      <c r="O936" s="16" t="s">
        <v>12608</v>
      </c>
      <c r="P936" s="143">
        <v>760</v>
      </c>
      <c r="Q936" s="122" t="s">
        <v>9227</v>
      </c>
      <c r="R936" s="16" t="s">
        <v>8904</v>
      </c>
      <c r="S936" s="10" t="s">
        <v>1163</v>
      </c>
      <c r="T936" s="28" t="s">
        <v>10134</v>
      </c>
      <c r="U936" s="20" t="s">
        <v>5359</v>
      </c>
      <c r="V936" s="16" t="s">
        <v>8028</v>
      </c>
      <c r="W936" s="20" t="s">
        <v>14432</v>
      </c>
      <c r="X936" s="174">
        <v>5.55</v>
      </c>
      <c r="Y936" s="174">
        <v>7.31</v>
      </c>
    </row>
    <row r="937" spans="1:25" ht="15" customHeight="1" x14ac:dyDescent="0.25">
      <c r="A937" s="20" t="s">
        <v>2242</v>
      </c>
      <c r="B937" s="14" t="s">
        <v>2243</v>
      </c>
      <c r="C937" s="71" t="str">
        <f t="shared" si="14"/>
        <v>Product Info</v>
      </c>
      <c r="D937" s="37" t="s">
        <v>2281</v>
      </c>
      <c r="E937" s="143">
        <v>24</v>
      </c>
      <c r="F937" s="12" t="s">
        <v>4992</v>
      </c>
      <c r="G937" s="38">
        <v>8.5299999999999994</v>
      </c>
      <c r="H937" s="38">
        <v>7.25</v>
      </c>
      <c r="I937" s="38">
        <v>5.97</v>
      </c>
      <c r="J937" s="39"/>
      <c r="K937" s="143"/>
      <c r="L937" s="22">
        <v>7.2</v>
      </c>
      <c r="M937" s="22" t="s">
        <v>12488</v>
      </c>
      <c r="N937" s="20" t="s">
        <v>9241</v>
      </c>
      <c r="O937" s="16" t="s">
        <v>12608</v>
      </c>
      <c r="P937" s="143">
        <v>760</v>
      </c>
      <c r="Q937" s="122" t="s">
        <v>9227</v>
      </c>
      <c r="R937" s="16" t="s">
        <v>8904</v>
      </c>
      <c r="S937" s="10" t="s">
        <v>1163</v>
      </c>
      <c r="T937" s="28" t="s">
        <v>10135</v>
      </c>
      <c r="U937" s="20" t="s">
        <v>5359</v>
      </c>
      <c r="V937" s="16" t="s">
        <v>2242</v>
      </c>
      <c r="W937" s="20" t="s">
        <v>14432</v>
      </c>
      <c r="X937" s="174">
        <v>5.51</v>
      </c>
      <c r="Y937" s="174">
        <v>7.25</v>
      </c>
    </row>
    <row r="938" spans="1:25" ht="15" customHeight="1" x14ac:dyDescent="0.25">
      <c r="A938" s="20" t="s">
        <v>12630</v>
      </c>
      <c r="B938" s="17" t="s">
        <v>12631</v>
      </c>
      <c r="C938" s="71" t="str">
        <f t="shared" si="14"/>
        <v>Product Info</v>
      </c>
      <c r="D938" s="37" t="s">
        <v>12822</v>
      </c>
      <c r="E938" s="143">
        <v>12</v>
      </c>
      <c r="F938" s="12" t="s">
        <v>4992</v>
      </c>
      <c r="G938" s="38">
        <v>42.93</v>
      </c>
      <c r="H938" s="38">
        <v>36.49</v>
      </c>
      <c r="I938" s="38">
        <v>30.05</v>
      </c>
      <c r="J938" s="39"/>
      <c r="K938" s="143"/>
      <c r="L938" s="22">
        <v>12</v>
      </c>
      <c r="M938" s="22" t="s">
        <v>12488</v>
      </c>
      <c r="N938" s="20" t="s">
        <v>12814</v>
      </c>
      <c r="O938" s="16" t="s">
        <v>13912</v>
      </c>
      <c r="P938" s="143">
        <v>760</v>
      </c>
      <c r="Q938" s="122" t="s">
        <v>9227</v>
      </c>
      <c r="R938" s="16" t="s">
        <v>8904</v>
      </c>
      <c r="S938" s="10" t="s">
        <v>1163</v>
      </c>
      <c r="T938" s="30" t="s">
        <v>12815</v>
      </c>
      <c r="U938" s="20" t="s">
        <v>5359</v>
      </c>
      <c r="V938" s="16" t="s">
        <v>12630</v>
      </c>
      <c r="W938" s="20" t="s">
        <v>14432</v>
      </c>
      <c r="X938" s="174">
        <v>27.72</v>
      </c>
      <c r="Y938" s="174">
        <v>36.49</v>
      </c>
    </row>
    <row r="939" spans="1:25" ht="15" customHeight="1" x14ac:dyDescent="0.25">
      <c r="A939" s="20" t="s">
        <v>2244</v>
      </c>
      <c r="B939" s="14" t="s">
        <v>2245</v>
      </c>
      <c r="C939" s="71" t="str">
        <f t="shared" si="14"/>
        <v>Product Info</v>
      </c>
      <c r="D939" s="37" t="s">
        <v>2282</v>
      </c>
      <c r="E939" s="143">
        <v>12</v>
      </c>
      <c r="F939" s="12" t="s">
        <v>4992</v>
      </c>
      <c r="G939" s="38">
        <v>33.99</v>
      </c>
      <c r="H939" s="38">
        <v>28.89</v>
      </c>
      <c r="I939" s="38">
        <v>23.79</v>
      </c>
      <c r="J939" s="39"/>
      <c r="K939" s="143"/>
      <c r="L939" s="22">
        <v>9</v>
      </c>
      <c r="M939" s="22" t="s">
        <v>12488</v>
      </c>
      <c r="N939" s="20" t="s">
        <v>9244</v>
      </c>
      <c r="O939" s="16" t="s">
        <v>12608</v>
      </c>
      <c r="P939" s="143">
        <v>760</v>
      </c>
      <c r="Q939" s="122" t="s">
        <v>12421</v>
      </c>
      <c r="R939" s="16" t="s">
        <v>8904</v>
      </c>
      <c r="S939" s="10" t="s">
        <v>1163</v>
      </c>
      <c r="T939" s="28" t="s">
        <v>10136</v>
      </c>
      <c r="U939" s="20" t="s">
        <v>5359</v>
      </c>
      <c r="V939" s="16" t="s">
        <v>2244</v>
      </c>
      <c r="W939" s="20" t="s">
        <v>14432</v>
      </c>
      <c r="X939" s="174">
        <v>21.95</v>
      </c>
      <c r="Y939" s="174">
        <v>28.89</v>
      </c>
    </row>
    <row r="940" spans="1:25" ht="15" customHeight="1" x14ac:dyDescent="0.25">
      <c r="A940" s="20" t="s">
        <v>2246</v>
      </c>
      <c r="B940" s="14" t="s">
        <v>2247</v>
      </c>
      <c r="C940" s="71" t="str">
        <f t="shared" si="14"/>
        <v>Product Info</v>
      </c>
      <c r="D940" s="37" t="s">
        <v>7961</v>
      </c>
      <c r="E940" s="143">
        <v>1</v>
      </c>
      <c r="F940" s="12" t="s">
        <v>4992</v>
      </c>
      <c r="G940" s="38">
        <v>676.71</v>
      </c>
      <c r="H940" s="38">
        <v>575.23</v>
      </c>
      <c r="I940" s="38">
        <v>473.7</v>
      </c>
      <c r="J940" s="39"/>
      <c r="K940" s="143"/>
      <c r="L940" s="22">
        <v>0</v>
      </c>
      <c r="M940" s="22">
        <v>0</v>
      </c>
      <c r="N940" s="20" t="s">
        <v>14489</v>
      </c>
      <c r="O940" s="16">
        <v>0</v>
      </c>
      <c r="P940" s="143">
        <v>760</v>
      </c>
      <c r="Q940" s="122" t="s">
        <v>9227</v>
      </c>
      <c r="R940" s="16" t="s">
        <v>8904</v>
      </c>
      <c r="S940" s="10" t="s">
        <v>1163</v>
      </c>
      <c r="T940" s="28" t="s">
        <v>10137</v>
      </c>
      <c r="U940" s="20" t="s">
        <v>5359</v>
      </c>
      <c r="V940" s="16" t="s">
        <v>2246</v>
      </c>
      <c r="W940" s="20" t="s">
        <v>14432</v>
      </c>
      <c r="X940" s="174">
        <v>437.09</v>
      </c>
      <c r="Y940" s="174">
        <v>575.23</v>
      </c>
    </row>
    <row r="941" spans="1:25" ht="15" customHeight="1" x14ac:dyDescent="0.25">
      <c r="A941" s="20" t="s">
        <v>2248</v>
      </c>
      <c r="B941" s="14" t="s">
        <v>2249</v>
      </c>
      <c r="C941" s="71" t="str">
        <f t="shared" si="14"/>
        <v>Product Info</v>
      </c>
      <c r="D941" s="37" t="s">
        <v>2283</v>
      </c>
      <c r="E941" s="143">
        <v>12</v>
      </c>
      <c r="F941" s="12" t="s">
        <v>4992</v>
      </c>
      <c r="G941" s="38">
        <v>30.21</v>
      </c>
      <c r="H941" s="38">
        <v>25.68</v>
      </c>
      <c r="I941" s="38">
        <v>21.15</v>
      </c>
      <c r="J941" s="39"/>
      <c r="K941" s="143"/>
      <c r="L941" s="22">
        <v>1.32</v>
      </c>
      <c r="M941" s="22" t="s">
        <v>12488</v>
      </c>
      <c r="N941" s="20" t="s">
        <v>9245</v>
      </c>
      <c r="O941" s="16" t="s">
        <v>12608</v>
      </c>
      <c r="P941" s="143">
        <v>760</v>
      </c>
      <c r="Q941" s="122" t="s">
        <v>14461</v>
      </c>
      <c r="R941" s="16" t="s">
        <v>8904</v>
      </c>
      <c r="S941" s="10" t="s">
        <v>1163</v>
      </c>
      <c r="T941" s="28" t="s">
        <v>10138</v>
      </c>
      <c r="U941" s="20" t="s">
        <v>5359</v>
      </c>
      <c r="V941" s="16" t="s">
        <v>2248</v>
      </c>
      <c r="W941" s="20" t="s">
        <v>14432</v>
      </c>
      <c r="X941" s="174">
        <v>19.52</v>
      </c>
      <c r="Y941" s="174">
        <v>25.68</v>
      </c>
    </row>
    <row r="942" spans="1:25" ht="15" customHeight="1" x14ac:dyDescent="0.25">
      <c r="A942" s="20" t="s">
        <v>8030</v>
      </c>
      <c r="B942" s="14" t="s">
        <v>8031</v>
      </c>
      <c r="C942" s="71" t="str">
        <f t="shared" si="14"/>
        <v>Product Info</v>
      </c>
      <c r="D942" s="37" t="s">
        <v>8680</v>
      </c>
      <c r="E942" s="143">
        <v>12</v>
      </c>
      <c r="F942" s="12" t="s">
        <v>4992</v>
      </c>
      <c r="G942" s="38">
        <v>32.909999999999997</v>
      </c>
      <c r="H942" s="38">
        <v>27.98</v>
      </c>
      <c r="I942" s="38">
        <v>23.04</v>
      </c>
      <c r="J942" s="39"/>
      <c r="K942" s="143"/>
      <c r="L942" s="22">
        <v>0</v>
      </c>
      <c r="M942" s="22">
        <v>0</v>
      </c>
      <c r="N942" s="20" t="s">
        <v>14489</v>
      </c>
      <c r="O942" s="16" t="s">
        <v>12608</v>
      </c>
      <c r="P942" s="143">
        <v>760</v>
      </c>
      <c r="Q942" s="122" t="s">
        <v>9227</v>
      </c>
      <c r="R942" s="16" t="s">
        <v>8904</v>
      </c>
      <c r="S942" s="10" t="s">
        <v>1163</v>
      </c>
      <c r="T942" s="28" t="s">
        <v>10139</v>
      </c>
      <c r="U942" s="20" t="s">
        <v>5359</v>
      </c>
      <c r="V942" s="16" t="s">
        <v>8030</v>
      </c>
      <c r="W942" s="20" t="s">
        <v>14432</v>
      </c>
      <c r="X942" s="174">
        <v>21.26</v>
      </c>
      <c r="Y942" s="174">
        <v>27.98</v>
      </c>
    </row>
    <row r="943" spans="1:25" ht="15" customHeight="1" x14ac:dyDescent="0.25">
      <c r="A943" s="20" t="s">
        <v>7939</v>
      </c>
      <c r="B943" s="14" t="s">
        <v>7940</v>
      </c>
      <c r="C943" s="71" t="str">
        <f t="shared" si="14"/>
        <v>Product Info</v>
      </c>
      <c r="D943" s="37" t="s">
        <v>1095</v>
      </c>
      <c r="E943" s="143">
        <v>3</v>
      </c>
      <c r="F943" s="12" t="s">
        <v>4992</v>
      </c>
      <c r="G943" s="38">
        <v>97.84</v>
      </c>
      <c r="H943" s="38">
        <v>83.17</v>
      </c>
      <c r="I943" s="38">
        <v>68.489999999999995</v>
      </c>
      <c r="J943" s="39"/>
      <c r="K943" s="143"/>
      <c r="L943" s="22">
        <v>0</v>
      </c>
      <c r="M943" s="22">
        <v>0</v>
      </c>
      <c r="N943" s="20" t="s">
        <v>14489</v>
      </c>
      <c r="O943" s="16">
        <v>0</v>
      </c>
      <c r="P943" s="143">
        <v>760</v>
      </c>
      <c r="Q943" s="122" t="s">
        <v>12421</v>
      </c>
      <c r="R943" s="16" t="s">
        <v>8904</v>
      </c>
      <c r="S943" s="10" t="s">
        <v>1163</v>
      </c>
      <c r="T943" s="28" t="s">
        <v>10140</v>
      </c>
      <c r="U943" s="20" t="s">
        <v>5359</v>
      </c>
      <c r="V943" s="16" t="s">
        <v>7939</v>
      </c>
      <c r="W943" s="20" t="s">
        <v>14432</v>
      </c>
      <c r="X943" s="174">
        <v>63.2</v>
      </c>
      <c r="Y943" s="174">
        <v>83.17</v>
      </c>
    </row>
    <row r="944" spans="1:25" ht="15" customHeight="1" x14ac:dyDescent="0.25">
      <c r="A944" s="20" t="s">
        <v>9040</v>
      </c>
      <c r="B944" s="14" t="s">
        <v>9041</v>
      </c>
      <c r="C944" s="71" t="str">
        <f t="shared" si="14"/>
        <v>Product Info</v>
      </c>
      <c r="D944" s="37" t="s">
        <v>9042</v>
      </c>
      <c r="E944" s="143">
        <v>6</v>
      </c>
      <c r="F944" s="12" t="s">
        <v>4992</v>
      </c>
      <c r="G944" s="38">
        <v>69.36</v>
      </c>
      <c r="H944" s="38">
        <v>58.96</v>
      </c>
      <c r="I944" s="38">
        <v>48.55</v>
      </c>
      <c r="J944" s="39"/>
      <c r="K944" s="143"/>
      <c r="L944" s="22">
        <v>16</v>
      </c>
      <c r="M944" s="22" t="s">
        <v>12488</v>
      </c>
      <c r="N944" s="20" t="s">
        <v>9246</v>
      </c>
      <c r="O944" s="16" t="s">
        <v>13912</v>
      </c>
      <c r="P944" s="143">
        <v>760</v>
      </c>
      <c r="Q944" s="122" t="s">
        <v>9227</v>
      </c>
      <c r="R944" s="16" t="s">
        <v>8904</v>
      </c>
      <c r="S944" s="10" t="s">
        <v>1163</v>
      </c>
      <c r="T944" s="28" t="s">
        <v>12680</v>
      </c>
      <c r="U944" s="20" t="s">
        <v>5359</v>
      </c>
      <c r="V944" s="16" t="s">
        <v>9040</v>
      </c>
      <c r="W944" s="20" t="s">
        <v>14432</v>
      </c>
      <c r="X944" s="174">
        <v>44.8</v>
      </c>
      <c r="Y944" s="174">
        <v>58.96</v>
      </c>
    </row>
    <row r="945" spans="1:25" ht="15" customHeight="1" x14ac:dyDescent="0.25">
      <c r="A945" s="20" t="s">
        <v>91</v>
      </c>
      <c r="B945" s="14" t="s">
        <v>92</v>
      </c>
      <c r="C945" s="71" t="str">
        <f t="shared" si="14"/>
        <v>Product Info</v>
      </c>
      <c r="D945" s="37" t="s">
        <v>93</v>
      </c>
      <c r="E945" s="143">
        <v>6</v>
      </c>
      <c r="F945" s="12" t="s">
        <v>4992</v>
      </c>
      <c r="G945" s="38">
        <v>12.66</v>
      </c>
      <c r="H945" s="38">
        <v>10.76</v>
      </c>
      <c r="I945" s="38">
        <v>8.86</v>
      </c>
      <c r="J945" s="39"/>
      <c r="K945" s="143"/>
      <c r="L945" s="22">
        <v>16</v>
      </c>
      <c r="M945" s="22" t="s">
        <v>12488</v>
      </c>
      <c r="N945" s="20" t="s">
        <v>8813</v>
      </c>
      <c r="O945" s="16" t="s">
        <v>12608</v>
      </c>
      <c r="P945" s="143">
        <v>760</v>
      </c>
      <c r="Q945" s="122" t="s">
        <v>9227</v>
      </c>
      <c r="R945" s="16" t="s">
        <v>8904</v>
      </c>
      <c r="S945" s="10" t="s">
        <v>1163</v>
      </c>
      <c r="T945" s="28" t="s">
        <v>10141</v>
      </c>
      <c r="U945" s="20" t="s">
        <v>5359</v>
      </c>
      <c r="V945" s="16" t="s">
        <v>91</v>
      </c>
      <c r="W945" s="20" t="s">
        <v>14432</v>
      </c>
      <c r="X945" s="174">
        <v>8.18</v>
      </c>
      <c r="Y945" s="174">
        <v>10.76</v>
      </c>
    </row>
    <row r="946" spans="1:25" ht="15" customHeight="1" x14ac:dyDescent="0.25">
      <c r="A946" s="20" t="s">
        <v>4973</v>
      </c>
      <c r="B946" s="14" t="s">
        <v>4974</v>
      </c>
      <c r="C946" s="71" t="str">
        <f t="shared" si="14"/>
        <v>Product Info</v>
      </c>
      <c r="D946" s="37" t="s">
        <v>4497</v>
      </c>
      <c r="E946" s="143">
        <v>6</v>
      </c>
      <c r="F946" s="12" t="s">
        <v>4992</v>
      </c>
      <c r="G946" s="38">
        <v>35.93</v>
      </c>
      <c r="H946" s="38">
        <v>30.54</v>
      </c>
      <c r="I946" s="38">
        <v>25.15</v>
      </c>
      <c r="J946" s="39"/>
      <c r="K946" s="143"/>
      <c r="L946" s="22">
        <v>0</v>
      </c>
      <c r="M946" s="22">
        <v>0</v>
      </c>
      <c r="N946" s="20" t="s">
        <v>14489</v>
      </c>
      <c r="O946" s="16">
        <v>0</v>
      </c>
      <c r="P946" s="143">
        <v>760</v>
      </c>
      <c r="Q946" s="122" t="s">
        <v>9227</v>
      </c>
      <c r="R946" s="16" t="s">
        <v>8904</v>
      </c>
      <c r="S946" s="10" t="s">
        <v>1163</v>
      </c>
      <c r="T946" s="28" t="s">
        <v>10142</v>
      </c>
      <c r="U946" s="20" t="s">
        <v>5359</v>
      </c>
      <c r="V946" s="16" t="s">
        <v>4973</v>
      </c>
      <c r="W946" s="20" t="s">
        <v>14432</v>
      </c>
      <c r="X946" s="174">
        <v>23.21</v>
      </c>
      <c r="Y946" s="174">
        <v>30.54</v>
      </c>
    </row>
    <row r="947" spans="1:25" ht="15" customHeight="1" x14ac:dyDescent="0.25">
      <c r="A947" s="20" t="s">
        <v>4975</v>
      </c>
      <c r="B947" s="14" t="s">
        <v>4976</v>
      </c>
      <c r="C947" s="71" t="str">
        <f t="shared" si="14"/>
        <v>Product Info</v>
      </c>
      <c r="D947" s="37" t="s">
        <v>4495</v>
      </c>
      <c r="E947" s="143">
        <v>6</v>
      </c>
      <c r="F947" s="12" t="s">
        <v>4992</v>
      </c>
      <c r="G947" s="38">
        <v>55.8</v>
      </c>
      <c r="H947" s="38">
        <v>47.43</v>
      </c>
      <c r="I947" s="38">
        <v>39.06</v>
      </c>
      <c r="J947" s="39"/>
      <c r="K947" s="143"/>
      <c r="L947" s="22">
        <v>13</v>
      </c>
      <c r="M947" s="22" t="s">
        <v>14396</v>
      </c>
      <c r="N947" s="20" t="s">
        <v>9247</v>
      </c>
      <c r="O947" s="16" t="s">
        <v>13914</v>
      </c>
      <c r="P947" s="143">
        <v>760</v>
      </c>
      <c r="Q947" s="122" t="s">
        <v>9227</v>
      </c>
      <c r="R947" s="16" t="s">
        <v>8904</v>
      </c>
      <c r="S947" s="10" t="s">
        <v>1163</v>
      </c>
      <c r="T947" s="28" t="s">
        <v>10143</v>
      </c>
      <c r="U947" s="20" t="s">
        <v>5359</v>
      </c>
      <c r="V947" s="16" t="s">
        <v>4975</v>
      </c>
      <c r="W947" s="20" t="s">
        <v>14432</v>
      </c>
      <c r="X947" s="174">
        <v>36.04</v>
      </c>
      <c r="Y947" s="174">
        <v>47.43</v>
      </c>
    </row>
    <row r="948" spans="1:25" ht="15" customHeight="1" x14ac:dyDescent="0.25">
      <c r="A948" s="20" t="s">
        <v>1231</v>
      </c>
      <c r="B948" s="14" t="s">
        <v>1232</v>
      </c>
      <c r="C948" s="71" t="str">
        <f t="shared" si="14"/>
        <v>Product Info</v>
      </c>
      <c r="D948" s="37" t="s">
        <v>1233</v>
      </c>
      <c r="E948" s="143">
        <v>1</v>
      </c>
      <c r="F948" s="12" t="s">
        <v>4992</v>
      </c>
      <c r="G948" s="38">
        <v>270.36</v>
      </c>
      <c r="H948" s="38">
        <v>229.81</v>
      </c>
      <c r="I948" s="38">
        <v>189.25</v>
      </c>
      <c r="J948" s="39"/>
      <c r="K948" s="143"/>
      <c r="L948" s="22">
        <v>0</v>
      </c>
      <c r="M948" s="22">
        <v>0</v>
      </c>
      <c r="N948" s="20" t="s">
        <v>14489</v>
      </c>
      <c r="O948" s="16">
        <v>0</v>
      </c>
      <c r="P948" s="143">
        <v>760</v>
      </c>
      <c r="Q948" s="122" t="s">
        <v>12421</v>
      </c>
      <c r="R948" s="16" t="s">
        <v>8904</v>
      </c>
      <c r="S948" s="10" t="s">
        <v>1163</v>
      </c>
      <c r="T948" s="28" t="s">
        <v>10144</v>
      </c>
      <c r="U948" s="20" t="s">
        <v>5359</v>
      </c>
      <c r="V948" s="16" t="s">
        <v>1231</v>
      </c>
      <c r="W948" s="20" t="s">
        <v>14432</v>
      </c>
      <c r="X948" s="174">
        <v>174.62</v>
      </c>
      <c r="Y948" s="174">
        <v>229.81</v>
      </c>
    </row>
    <row r="949" spans="1:25" ht="15" customHeight="1" x14ac:dyDescent="0.25">
      <c r="A949" s="20" t="s">
        <v>2250</v>
      </c>
      <c r="B949" s="14" t="s">
        <v>2251</v>
      </c>
      <c r="C949" s="71" t="str">
        <f t="shared" si="14"/>
        <v>Product Info</v>
      </c>
      <c r="D949" s="37" t="s">
        <v>7728</v>
      </c>
      <c r="E949" s="143">
        <v>12</v>
      </c>
      <c r="F949" s="12" t="s">
        <v>4992</v>
      </c>
      <c r="G949" s="38">
        <v>92.3</v>
      </c>
      <c r="H949" s="38">
        <v>78.459999999999994</v>
      </c>
      <c r="I949" s="38">
        <v>64.61</v>
      </c>
      <c r="J949" s="39"/>
      <c r="K949" s="143"/>
      <c r="L949" s="22">
        <v>0</v>
      </c>
      <c r="M949" s="22">
        <v>0</v>
      </c>
      <c r="N949" s="20" t="s">
        <v>14489</v>
      </c>
      <c r="O949" s="16">
        <v>0</v>
      </c>
      <c r="P949" s="143">
        <v>760</v>
      </c>
      <c r="Q949" s="122" t="s">
        <v>12421</v>
      </c>
      <c r="R949" s="16" t="s">
        <v>8904</v>
      </c>
      <c r="S949" s="10" t="s">
        <v>1163</v>
      </c>
      <c r="T949" s="28" t="s">
        <v>10145</v>
      </c>
      <c r="U949" s="20" t="s">
        <v>5359</v>
      </c>
      <c r="V949" s="16" t="s">
        <v>2250</v>
      </c>
      <c r="W949" s="20" t="s">
        <v>14432</v>
      </c>
      <c r="X949" s="174">
        <v>59.62</v>
      </c>
      <c r="Y949" s="174">
        <v>78.459999999999994</v>
      </c>
    </row>
    <row r="950" spans="1:25" ht="15" customHeight="1" x14ac:dyDescent="0.25">
      <c r="A950" s="20" t="s">
        <v>9043</v>
      </c>
      <c r="B950" s="14" t="s">
        <v>9044</v>
      </c>
      <c r="C950" s="71" t="str">
        <f t="shared" si="14"/>
        <v>Product Info</v>
      </c>
      <c r="D950" s="37" t="s">
        <v>9045</v>
      </c>
      <c r="E950" s="143">
        <v>6</v>
      </c>
      <c r="F950" s="12" t="s">
        <v>4992</v>
      </c>
      <c r="G950" s="38">
        <v>69.36</v>
      </c>
      <c r="H950" s="38">
        <v>58.96</v>
      </c>
      <c r="I950" s="38">
        <v>48.55</v>
      </c>
      <c r="J950" s="39"/>
      <c r="K950" s="143"/>
      <c r="L950" s="22">
        <v>3</v>
      </c>
      <c r="M950" s="22" t="s">
        <v>12488</v>
      </c>
      <c r="N950" s="20" t="s">
        <v>9246</v>
      </c>
      <c r="O950" s="16" t="s">
        <v>13912</v>
      </c>
      <c r="P950" s="143">
        <v>760</v>
      </c>
      <c r="Q950" s="122" t="s">
        <v>9227</v>
      </c>
      <c r="R950" s="16" t="s">
        <v>8904</v>
      </c>
      <c r="S950" s="10" t="s">
        <v>1163</v>
      </c>
      <c r="T950" s="28" t="s">
        <v>12679</v>
      </c>
      <c r="U950" s="20" t="s">
        <v>5359</v>
      </c>
      <c r="V950" s="16" t="s">
        <v>9043</v>
      </c>
      <c r="W950" s="20" t="s">
        <v>14432</v>
      </c>
      <c r="X950" s="174">
        <v>44.8</v>
      </c>
      <c r="Y950" s="174">
        <v>58.96</v>
      </c>
    </row>
    <row r="951" spans="1:25" ht="15" customHeight="1" x14ac:dyDescent="0.25">
      <c r="A951" s="20" t="s">
        <v>94</v>
      </c>
      <c r="B951" s="14" t="s">
        <v>95</v>
      </c>
      <c r="C951" s="71" t="str">
        <f t="shared" si="14"/>
        <v>Product Info</v>
      </c>
      <c r="D951" s="37" t="s">
        <v>96</v>
      </c>
      <c r="E951" s="143">
        <v>6</v>
      </c>
      <c r="F951" s="12" t="s">
        <v>4992</v>
      </c>
      <c r="G951" s="38">
        <v>12.66</v>
      </c>
      <c r="H951" s="38">
        <v>10.76</v>
      </c>
      <c r="I951" s="38">
        <v>8.86</v>
      </c>
      <c r="J951" s="39"/>
      <c r="K951" s="143"/>
      <c r="L951" s="22">
        <v>1</v>
      </c>
      <c r="M951" s="22" t="s">
        <v>12488</v>
      </c>
      <c r="N951" s="20" t="s">
        <v>8813</v>
      </c>
      <c r="O951" s="16" t="s">
        <v>12608</v>
      </c>
      <c r="P951" s="143">
        <v>760</v>
      </c>
      <c r="Q951" s="122" t="s">
        <v>9227</v>
      </c>
      <c r="R951" s="16" t="s">
        <v>8904</v>
      </c>
      <c r="S951" s="10" t="s">
        <v>1163</v>
      </c>
      <c r="T951" s="28" t="s">
        <v>10146</v>
      </c>
      <c r="U951" s="20" t="s">
        <v>5359</v>
      </c>
      <c r="V951" s="16" t="s">
        <v>94</v>
      </c>
      <c r="W951" s="20" t="s">
        <v>14432</v>
      </c>
      <c r="X951" s="174">
        <v>8.18</v>
      </c>
      <c r="Y951" s="174">
        <v>10.76</v>
      </c>
    </row>
    <row r="952" spans="1:25" ht="15" customHeight="1" x14ac:dyDescent="0.25">
      <c r="A952" s="20" t="s">
        <v>4971</v>
      </c>
      <c r="B952" s="14" t="s">
        <v>4972</v>
      </c>
      <c r="C952" s="71" t="str">
        <f t="shared" si="14"/>
        <v>Product Info</v>
      </c>
      <c r="D952" s="37" t="s">
        <v>4496</v>
      </c>
      <c r="E952" s="143">
        <v>6</v>
      </c>
      <c r="F952" s="12" t="s">
        <v>4992</v>
      </c>
      <c r="G952" s="38">
        <v>36.340000000000003</v>
      </c>
      <c r="H952" s="38">
        <v>30.89</v>
      </c>
      <c r="I952" s="38">
        <v>25.44</v>
      </c>
      <c r="J952" s="39"/>
      <c r="K952" s="143"/>
      <c r="L952" s="22">
        <v>1</v>
      </c>
      <c r="M952" s="22" t="s">
        <v>12488</v>
      </c>
      <c r="N952" s="20" t="s">
        <v>14489</v>
      </c>
      <c r="O952" s="16" t="s">
        <v>12608</v>
      </c>
      <c r="P952" s="143">
        <v>760</v>
      </c>
      <c r="Q952" s="122" t="s">
        <v>9227</v>
      </c>
      <c r="R952" s="16" t="s">
        <v>8904</v>
      </c>
      <c r="S952" s="10" t="s">
        <v>1163</v>
      </c>
      <c r="T952" s="28" t="s">
        <v>10147</v>
      </c>
      <c r="U952" s="20" t="s">
        <v>5359</v>
      </c>
      <c r="V952" s="16" t="s">
        <v>4971</v>
      </c>
      <c r="W952" s="20" t="s">
        <v>14432</v>
      </c>
      <c r="X952" s="174">
        <v>23.47</v>
      </c>
      <c r="Y952" s="174">
        <v>30.89</v>
      </c>
    </row>
    <row r="953" spans="1:25" ht="15" customHeight="1" x14ac:dyDescent="0.25">
      <c r="A953" s="20" t="s">
        <v>7214</v>
      </c>
      <c r="B953" s="14" t="s">
        <v>7215</v>
      </c>
      <c r="C953" s="71" t="str">
        <f t="shared" si="14"/>
        <v>Product Info</v>
      </c>
      <c r="D953" s="37" t="s">
        <v>7216</v>
      </c>
      <c r="E953" s="143">
        <v>6</v>
      </c>
      <c r="F953" s="12" t="s">
        <v>4992</v>
      </c>
      <c r="G953" s="38">
        <v>55.44</v>
      </c>
      <c r="H953" s="38">
        <v>47.13</v>
      </c>
      <c r="I953" s="38">
        <v>38.81</v>
      </c>
      <c r="J953" s="39"/>
      <c r="K953" s="143"/>
      <c r="L953" s="22">
        <v>3</v>
      </c>
      <c r="M953" s="22" t="s">
        <v>12488</v>
      </c>
      <c r="N953" s="20" t="s">
        <v>14489</v>
      </c>
      <c r="O953" s="16" t="s">
        <v>12608</v>
      </c>
      <c r="P953" s="143">
        <v>760</v>
      </c>
      <c r="Q953" s="122" t="s">
        <v>9227</v>
      </c>
      <c r="R953" s="16" t="s">
        <v>8904</v>
      </c>
      <c r="S953" s="10" t="s">
        <v>1163</v>
      </c>
      <c r="T953" s="28" t="s">
        <v>10148</v>
      </c>
      <c r="U953" s="20" t="s">
        <v>5359</v>
      </c>
      <c r="V953" s="16" t="s">
        <v>7214</v>
      </c>
      <c r="W953" s="20" t="s">
        <v>14432</v>
      </c>
      <c r="X953" s="174">
        <v>35.81</v>
      </c>
      <c r="Y953" s="174">
        <v>47.13</v>
      </c>
    </row>
    <row r="954" spans="1:25" ht="15" customHeight="1" x14ac:dyDescent="0.25">
      <c r="A954" s="20" t="s">
        <v>1228</v>
      </c>
      <c r="B954" s="14" t="s">
        <v>1229</v>
      </c>
      <c r="C954" s="71" t="str">
        <f t="shared" si="14"/>
        <v>Product Info</v>
      </c>
      <c r="D954" s="37" t="s">
        <v>1230</v>
      </c>
      <c r="E954" s="143">
        <v>1</v>
      </c>
      <c r="F954" s="12" t="s">
        <v>4992</v>
      </c>
      <c r="G954" s="38">
        <v>263.66000000000003</v>
      </c>
      <c r="H954" s="38">
        <v>224.12</v>
      </c>
      <c r="I954" s="38">
        <v>184.56</v>
      </c>
      <c r="J954" s="39"/>
      <c r="K954" s="143"/>
      <c r="L954" s="22">
        <v>0</v>
      </c>
      <c r="M954" s="22">
        <v>0</v>
      </c>
      <c r="N954" s="20" t="s">
        <v>14489</v>
      </c>
      <c r="O954" s="16">
        <v>0</v>
      </c>
      <c r="P954" s="143" t="s">
        <v>12555</v>
      </c>
      <c r="Q954" s="122" t="s">
        <v>12421</v>
      </c>
      <c r="R954" s="16" t="s">
        <v>8904</v>
      </c>
      <c r="S954" s="10" t="s">
        <v>1163</v>
      </c>
      <c r="T954" s="28" t="s">
        <v>10149</v>
      </c>
      <c r="U954" s="20" t="s">
        <v>5359</v>
      </c>
      <c r="V954" s="16" t="s">
        <v>1228</v>
      </c>
      <c r="W954" s="11" t="s">
        <v>14433</v>
      </c>
      <c r="X954" s="174">
        <v>172.83</v>
      </c>
      <c r="Y954" s="174">
        <v>224.12</v>
      </c>
    </row>
    <row r="955" spans="1:25" ht="15" customHeight="1" x14ac:dyDescent="0.25">
      <c r="A955" s="20" t="s">
        <v>97</v>
      </c>
      <c r="B955" s="14" t="s">
        <v>98</v>
      </c>
      <c r="C955" s="71" t="str">
        <f t="shared" si="14"/>
        <v>Product Info</v>
      </c>
      <c r="D955" s="37" t="s">
        <v>99</v>
      </c>
      <c r="E955" s="143">
        <v>6</v>
      </c>
      <c r="F955" s="12" t="s">
        <v>4992</v>
      </c>
      <c r="G955" s="38">
        <v>5.59</v>
      </c>
      <c r="H955" s="38">
        <v>4.75</v>
      </c>
      <c r="I955" s="38">
        <v>3.91</v>
      </c>
      <c r="J955" s="39"/>
      <c r="K955" s="143"/>
      <c r="L955" s="22">
        <v>0.7</v>
      </c>
      <c r="M955" s="22" t="s">
        <v>12488</v>
      </c>
      <c r="N955" s="20" t="s">
        <v>8813</v>
      </c>
      <c r="O955" s="16" t="s">
        <v>12608</v>
      </c>
      <c r="P955" s="143">
        <v>760</v>
      </c>
      <c r="Q955" s="122" t="s">
        <v>9227</v>
      </c>
      <c r="R955" s="16" t="s">
        <v>8904</v>
      </c>
      <c r="S955" s="10" t="s">
        <v>1163</v>
      </c>
      <c r="T955" s="28" t="s">
        <v>10150</v>
      </c>
      <c r="U955" s="20" t="s">
        <v>5359</v>
      </c>
      <c r="V955" s="16" t="s">
        <v>97</v>
      </c>
      <c r="W955" s="20" t="s">
        <v>14432</v>
      </c>
      <c r="X955" s="174">
        <v>3.6</v>
      </c>
      <c r="Y955" s="174">
        <v>4.75</v>
      </c>
    </row>
    <row r="956" spans="1:25" ht="15" customHeight="1" x14ac:dyDescent="0.25">
      <c r="A956" s="20" t="s">
        <v>2252</v>
      </c>
      <c r="B956" s="14" t="s">
        <v>2253</v>
      </c>
      <c r="C956" s="71" t="str">
        <f t="shared" si="14"/>
        <v>Product Info</v>
      </c>
      <c r="D956" s="37" t="s">
        <v>2284</v>
      </c>
      <c r="E956" s="143">
        <v>3</v>
      </c>
      <c r="F956" s="12" t="s">
        <v>2170</v>
      </c>
      <c r="G956" s="38">
        <v>66.33</v>
      </c>
      <c r="H956" s="38">
        <v>56.38</v>
      </c>
      <c r="I956" s="38">
        <v>46.43</v>
      </c>
      <c r="J956" s="39"/>
      <c r="K956" s="143"/>
      <c r="L956" s="22">
        <v>2</v>
      </c>
      <c r="M956" s="22" t="s">
        <v>12488</v>
      </c>
      <c r="N956" s="20" t="s">
        <v>9248</v>
      </c>
      <c r="O956" s="16" t="s">
        <v>12608</v>
      </c>
      <c r="P956" s="143">
        <v>760</v>
      </c>
      <c r="Q956" s="121" t="s">
        <v>14285</v>
      </c>
      <c r="R956" s="16" t="s">
        <v>8904</v>
      </c>
      <c r="S956" s="10" t="s">
        <v>1163</v>
      </c>
      <c r="T956" s="28" t="s">
        <v>10151</v>
      </c>
      <c r="U956" s="20" t="s">
        <v>5359</v>
      </c>
      <c r="V956" s="16" t="s">
        <v>2252</v>
      </c>
      <c r="W956" s="20" t="s">
        <v>14432</v>
      </c>
      <c r="X956" s="174">
        <v>42.84</v>
      </c>
      <c r="Y956" s="174">
        <v>56.38</v>
      </c>
    </row>
    <row r="957" spans="1:25" ht="15" customHeight="1" x14ac:dyDescent="0.25">
      <c r="A957" s="20" t="s">
        <v>1252</v>
      </c>
      <c r="B957" s="14" t="s">
        <v>1253</v>
      </c>
      <c r="C957" s="71" t="str">
        <f t="shared" si="14"/>
        <v>Product Info</v>
      </c>
      <c r="D957" s="37" t="s">
        <v>2285</v>
      </c>
      <c r="E957" s="143">
        <v>3</v>
      </c>
      <c r="F957" s="12" t="s">
        <v>2170</v>
      </c>
      <c r="G957" s="38">
        <v>92.11</v>
      </c>
      <c r="H957" s="38">
        <v>78.3</v>
      </c>
      <c r="I957" s="38">
        <v>64.48</v>
      </c>
      <c r="J957" s="39"/>
      <c r="K957" s="143"/>
      <c r="L957" s="22">
        <v>2</v>
      </c>
      <c r="M957" s="22" t="s">
        <v>12488</v>
      </c>
      <c r="N957" s="20" t="s">
        <v>9244</v>
      </c>
      <c r="O957" s="16" t="s">
        <v>12608</v>
      </c>
      <c r="P957" s="143">
        <v>760</v>
      </c>
      <c r="Q957" s="121" t="s">
        <v>14285</v>
      </c>
      <c r="R957" s="16" t="s">
        <v>8904</v>
      </c>
      <c r="S957" s="10" t="s">
        <v>1163</v>
      </c>
      <c r="T957" s="28" t="s">
        <v>10152</v>
      </c>
      <c r="U957" s="20" t="s">
        <v>5359</v>
      </c>
      <c r="V957" s="16" t="s">
        <v>1252</v>
      </c>
      <c r="W957" s="20" t="s">
        <v>14432</v>
      </c>
      <c r="X957" s="174">
        <v>59.5</v>
      </c>
      <c r="Y957" s="174">
        <v>78.3</v>
      </c>
    </row>
    <row r="958" spans="1:25" ht="15" customHeight="1" x14ac:dyDescent="0.25">
      <c r="A958" s="20" t="s">
        <v>267</v>
      </c>
      <c r="B958" s="14" t="s">
        <v>268</v>
      </c>
      <c r="C958" s="71" t="str">
        <f t="shared" si="14"/>
        <v>Product Info</v>
      </c>
      <c r="D958" s="37" t="s">
        <v>269</v>
      </c>
      <c r="E958" s="143">
        <v>3</v>
      </c>
      <c r="F958" s="12" t="s">
        <v>4992</v>
      </c>
      <c r="G958" s="38">
        <v>183.06</v>
      </c>
      <c r="H958" s="38">
        <v>155.6</v>
      </c>
      <c r="I958" s="38">
        <v>128.13999999999999</v>
      </c>
      <c r="J958" s="39"/>
      <c r="K958" s="143"/>
      <c r="L958" s="22">
        <v>1.98</v>
      </c>
      <c r="M958" s="22" t="s">
        <v>12488</v>
      </c>
      <c r="N958" s="20" t="s">
        <v>9249</v>
      </c>
      <c r="O958" s="16" t="s">
        <v>12608</v>
      </c>
      <c r="P958" s="143">
        <v>760</v>
      </c>
      <c r="Q958" s="122" t="s">
        <v>12421</v>
      </c>
      <c r="R958" s="16" t="s">
        <v>8904</v>
      </c>
      <c r="S958" s="10" t="s">
        <v>1163</v>
      </c>
      <c r="T958" s="28" t="s">
        <v>10153</v>
      </c>
      <c r="U958" s="20" t="s">
        <v>5359</v>
      </c>
      <c r="V958" s="16" t="s">
        <v>267</v>
      </c>
      <c r="W958" s="20" t="s">
        <v>14432</v>
      </c>
      <c r="X958" s="174">
        <v>118.24</v>
      </c>
      <c r="Y958" s="174">
        <v>155.6</v>
      </c>
    </row>
    <row r="959" spans="1:25" ht="15" customHeight="1" x14ac:dyDescent="0.25">
      <c r="A959" s="20" t="s">
        <v>1254</v>
      </c>
      <c r="B959" s="14" t="s">
        <v>1255</v>
      </c>
      <c r="C959" s="71" t="str">
        <f t="shared" si="14"/>
        <v>Product Info</v>
      </c>
      <c r="D959" s="37" t="s">
        <v>5953</v>
      </c>
      <c r="E959" s="143">
        <v>12</v>
      </c>
      <c r="F959" s="12" t="s">
        <v>2170</v>
      </c>
      <c r="G959" s="38">
        <v>200.96</v>
      </c>
      <c r="H959" s="38">
        <v>170.82</v>
      </c>
      <c r="I959" s="38">
        <v>140.66999999999999</v>
      </c>
      <c r="J959" s="39"/>
      <c r="K959" s="143"/>
      <c r="L959" s="22">
        <v>1.1000000000000001</v>
      </c>
      <c r="M959" s="22" t="s">
        <v>12488</v>
      </c>
      <c r="N959" s="20" t="s">
        <v>9250</v>
      </c>
      <c r="O959" s="16" t="s">
        <v>12608</v>
      </c>
      <c r="P959" s="143">
        <v>760</v>
      </c>
      <c r="Q959" s="121" t="s">
        <v>14285</v>
      </c>
      <c r="R959" s="16" t="s">
        <v>8904</v>
      </c>
      <c r="S959" s="10" t="s">
        <v>1163</v>
      </c>
      <c r="T959" s="28" t="s">
        <v>10154</v>
      </c>
      <c r="U959" s="20" t="s">
        <v>5359</v>
      </c>
      <c r="V959" s="16" t="s">
        <v>1254</v>
      </c>
      <c r="W959" s="20" t="s">
        <v>14432</v>
      </c>
      <c r="X959" s="174">
        <v>129.80000000000001</v>
      </c>
      <c r="Y959" s="174">
        <v>170.82</v>
      </c>
    </row>
    <row r="960" spans="1:25" ht="15" customHeight="1" x14ac:dyDescent="0.25">
      <c r="A960" s="20" t="s">
        <v>3222</v>
      </c>
      <c r="B960" s="14" t="s">
        <v>3223</v>
      </c>
      <c r="C960" s="71" t="str">
        <f t="shared" si="14"/>
        <v>Product Info</v>
      </c>
      <c r="D960" s="37" t="s">
        <v>5954</v>
      </c>
      <c r="E960" s="143">
        <v>12</v>
      </c>
      <c r="F960" s="12" t="s">
        <v>2170</v>
      </c>
      <c r="G960" s="38">
        <v>232.16</v>
      </c>
      <c r="H960" s="38">
        <v>197.34</v>
      </c>
      <c r="I960" s="38">
        <v>162.51</v>
      </c>
      <c r="J960" s="39"/>
      <c r="K960" s="143"/>
      <c r="L960" s="22">
        <v>0</v>
      </c>
      <c r="M960" s="22">
        <v>0</v>
      </c>
      <c r="N960" s="20" t="s">
        <v>14489</v>
      </c>
      <c r="O960" s="16">
        <v>0</v>
      </c>
      <c r="P960" s="143">
        <v>760</v>
      </c>
      <c r="Q960" s="121" t="s">
        <v>14285</v>
      </c>
      <c r="R960" s="16" t="s">
        <v>8904</v>
      </c>
      <c r="S960" s="10" t="s">
        <v>1163</v>
      </c>
      <c r="T960" s="28" t="s">
        <v>10155</v>
      </c>
      <c r="U960" s="20" t="s">
        <v>5359</v>
      </c>
      <c r="V960" s="16" t="s">
        <v>3222</v>
      </c>
      <c r="W960" s="20" t="s">
        <v>14432</v>
      </c>
      <c r="X960" s="174">
        <v>149.94999999999999</v>
      </c>
      <c r="Y960" s="174">
        <v>197.34</v>
      </c>
    </row>
    <row r="961" spans="1:25" ht="15" customHeight="1" x14ac:dyDescent="0.25">
      <c r="A961" s="20" t="s">
        <v>270</v>
      </c>
      <c r="B961" s="14" t="s">
        <v>271</v>
      </c>
      <c r="C961" s="71" t="str">
        <f t="shared" si="14"/>
        <v>Product Info</v>
      </c>
      <c r="D961" s="37" t="s">
        <v>272</v>
      </c>
      <c r="E961" s="143">
        <v>3</v>
      </c>
      <c r="F961" s="12" t="s">
        <v>4992</v>
      </c>
      <c r="G961" s="38">
        <v>215.77</v>
      </c>
      <c r="H961" s="38">
        <v>183.41</v>
      </c>
      <c r="I961" s="38">
        <v>151.04</v>
      </c>
      <c r="J961" s="39"/>
      <c r="K961" s="143"/>
      <c r="L961" s="22">
        <v>13.5</v>
      </c>
      <c r="M961" s="22" t="s">
        <v>12488</v>
      </c>
      <c r="N961" s="20" t="s">
        <v>8814</v>
      </c>
      <c r="O961" s="16" t="s">
        <v>12608</v>
      </c>
      <c r="P961" s="143">
        <v>760</v>
      </c>
      <c r="Q961" s="121" t="s">
        <v>14285</v>
      </c>
      <c r="R961" s="16" t="s">
        <v>8904</v>
      </c>
      <c r="S961" s="10" t="s">
        <v>1163</v>
      </c>
      <c r="T961" s="28" t="s">
        <v>10156</v>
      </c>
      <c r="U961" s="20" t="s">
        <v>5359</v>
      </c>
      <c r="V961" s="16" t="s">
        <v>270</v>
      </c>
      <c r="W961" s="20" t="s">
        <v>14432</v>
      </c>
      <c r="X961" s="174">
        <v>139.37</v>
      </c>
      <c r="Y961" s="174">
        <v>183.41</v>
      </c>
    </row>
    <row r="962" spans="1:25" ht="15" customHeight="1" x14ac:dyDescent="0.25">
      <c r="A962" s="20" t="s">
        <v>3224</v>
      </c>
      <c r="B962" s="14" t="s">
        <v>3225</v>
      </c>
      <c r="C962" s="71" t="str">
        <f t="shared" si="14"/>
        <v>Product Info</v>
      </c>
      <c r="D962" s="37" t="s">
        <v>4925</v>
      </c>
      <c r="E962" s="143">
        <v>3</v>
      </c>
      <c r="F962" s="12" t="s">
        <v>2170</v>
      </c>
      <c r="G962" s="38">
        <v>253.31</v>
      </c>
      <c r="H962" s="38">
        <v>215.32</v>
      </c>
      <c r="I962" s="38">
        <v>177.32</v>
      </c>
      <c r="J962" s="39"/>
      <c r="K962" s="143"/>
      <c r="L962" s="22">
        <v>2</v>
      </c>
      <c r="M962" s="22" t="s">
        <v>12488</v>
      </c>
      <c r="N962" s="20" t="s">
        <v>9251</v>
      </c>
      <c r="O962" s="16" t="s">
        <v>12608</v>
      </c>
      <c r="P962" s="143">
        <v>760</v>
      </c>
      <c r="Q962" s="122" t="s">
        <v>9227</v>
      </c>
      <c r="R962" s="16" t="s">
        <v>8904</v>
      </c>
      <c r="S962" s="10" t="s">
        <v>1163</v>
      </c>
      <c r="T962" s="28" t="s">
        <v>10157</v>
      </c>
      <c r="U962" s="20" t="s">
        <v>5359</v>
      </c>
      <c r="V962" s="16" t="s">
        <v>3224</v>
      </c>
      <c r="W962" s="20" t="s">
        <v>14432</v>
      </c>
      <c r="X962" s="174">
        <v>163.61000000000001</v>
      </c>
      <c r="Y962" s="174">
        <v>215.32</v>
      </c>
    </row>
    <row r="963" spans="1:25" ht="15" customHeight="1" x14ac:dyDescent="0.25">
      <c r="A963" s="20" t="s">
        <v>4054</v>
      </c>
      <c r="B963" s="14" t="s">
        <v>4055</v>
      </c>
      <c r="C963" s="71" t="str">
        <f t="shared" si="14"/>
        <v>Product Info</v>
      </c>
      <c r="D963" s="37" t="s">
        <v>4926</v>
      </c>
      <c r="E963" s="143">
        <v>3</v>
      </c>
      <c r="F963" s="12" t="s">
        <v>2170</v>
      </c>
      <c r="G963" s="38">
        <v>267.97000000000003</v>
      </c>
      <c r="H963" s="38">
        <v>227.78</v>
      </c>
      <c r="I963" s="38">
        <v>187.58</v>
      </c>
      <c r="J963" s="39"/>
      <c r="K963" s="143"/>
      <c r="L963" s="22">
        <v>10</v>
      </c>
      <c r="M963" s="22" t="s">
        <v>12488</v>
      </c>
      <c r="N963" s="20" t="s">
        <v>9251</v>
      </c>
      <c r="O963" s="16" t="s">
        <v>12608</v>
      </c>
      <c r="P963" s="143">
        <v>760</v>
      </c>
      <c r="Q963" s="121" t="s">
        <v>14285</v>
      </c>
      <c r="R963" s="16" t="s">
        <v>8904</v>
      </c>
      <c r="S963" s="10" t="s">
        <v>1163</v>
      </c>
      <c r="T963" s="28" t="s">
        <v>10158</v>
      </c>
      <c r="U963" s="20" t="s">
        <v>5359</v>
      </c>
      <c r="V963" s="16" t="s">
        <v>4054</v>
      </c>
      <c r="W963" s="20" t="s">
        <v>14432</v>
      </c>
      <c r="X963" s="174">
        <v>173.08</v>
      </c>
      <c r="Y963" s="174">
        <v>227.78</v>
      </c>
    </row>
    <row r="964" spans="1:25" ht="15" customHeight="1" x14ac:dyDescent="0.25">
      <c r="A964" s="20" t="s">
        <v>4056</v>
      </c>
      <c r="B964" s="14" t="s">
        <v>4057</v>
      </c>
      <c r="C964" s="71" t="str">
        <f t="shared" si="14"/>
        <v>Product Info</v>
      </c>
      <c r="D964" s="37" t="s">
        <v>4927</v>
      </c>
      <c r="E964" s="143">
        <v>1</v>
      </c>
      <c r="F964" s="12" t="s">
        <v>2170</v>
      </c>
      <c r="G964" s="38">
        <v>1271.5899999999999</v>
      </c>
      <c r="H964" s="38">
        <v>1080.8900000000001</v>
      </c>
      <c r="I964" s="38">
        <v>890.11</v>
      </c>
      <c r="J964" s="39"/>
      <c r="K964" s="143"/>
      <c r="L964" s="22">
        <v>60</v>
      </c>
      <c r="M964" s="22" t="s">
        <v>12488</v>
      </c>
      <c r="N964" s="20" t="s">
        <v>8815</v>
      </c>
      <c r="O964" s="16" t="s">
        <v>12608</v>
      </c>
      <c r="P964" s="143">
        <v>760</v>
      </c>
      <c r="Q964" s="121" t="s">
        <v>14285</v>
      </c>
      <c r="R964" s="16" t="s">
        <v>8904</v>
      </c>
      <c r="S964" s="10" t="s">
        <v>1163</v>
      </c>
      <c r="T964" s="28" t="s">
        <v>10159</v>
      </c>
      <c r="U964" s="20" t="s">
        <v>5359</v>
      </c>
      <c r="V964" s="16" t="s">
        <v>4056</v>
      </c>
      <c r="W964" s="20" t="s">
        <v>14432</v>
      </c>
      <c r="X964" s="174">
        <v>821.33</v>
      </c>
      <c r="Y964" s="174">
        <v>1080.8900000000001</v>
      </c>
    </row>
    <row r="965" spans="1:25" ht="15" customHeight="1" x14ac:dyDescent="0.25">
      <c r="A965" s="20" t="s">
        <v>4058</v>
      </c>
      <c r="B965" s="14" t="s">
        <v>4059</v>
      </c>
      <c r="C965" s="71" t="str">
        <f t="shared" si="14"/>
        <v>Product Info</v>
      </c>
      <c r="D965" s="37" t="s">
        <v>4928</v>
      </c>
      <c r="E965" s="143">
        <v>3</v>
      </c>
      <c r="F965" s="12" t="s">
        <v>2170</v>
      </c>
      <c r="G965" s="38">
        <v>152.30000000000001</v>
      </c>
      <c r="H965" s="38">
        <v>129.46</v>
      </c>
      <c r="I965" s="38">
        <v>106.61</v>
      </c>
      <c r="J965" s="39"/>
      <c r="K965" s="143"/>
      <c r="L965" s="22">
        <v>6</v>
      </c>
      <c r="M965" s="22" t="s">
        <v>12488</v>
      </c>
      <c r="N965" s="20" t="s">
        <v>9241</v>
      </c>
      <c r="O965" s="16" t="s">
        <v>12608</v>
      </c>
      <c r="P965" s="143">
        <v>760</v>
      </c>
      <c r="Q965" s="122" t="s">
        <v>12421</v>
      </c>
      <c r="R965" s="16" t="s">
        <v>8904</v>
      </c>
      <c r="S965" s="10" t="s">
        <v>1163</v>
      </c>
      <c r="T965" s="28" t="s">
        <v>10160</v>
      </c>
      <c r="U965" s="20" t="s">
        <v>5359</v>
      </c>
      <c r="V965" s="16" t="s">
        <v>4058</v>
      </c>
      <c r="W965" s="20" t="s">
        <v>14432</v>
      </c>
      <c r="X965" s="174">
        <v>98.37</v>
      </c>
      <c r="Y965" s="174">
        <v>129.46</v>
      </c>
    </row>
    <row r="966" spans="1:25" ht="15" customHeight="1" x14ac:dyDescent="0.25">
      <c r="A966" s="20" t="s">
        <v>6154</v>
      </c>
      <c r="B966" s="14" t="s">
        <v>6155</v>
      </c>
      <c r="C966" s="71" t="str">
        <f t="shared" ref="C966:C1029" si="15">HYPERLINK(T966,U966)</f>
        <v>Product Info</v>
      </c>
      <c r="D966" s="37" t="s">
        <v>4929</v>
      </c>
      <c r="E966" s="143">
        <v>3</v>
      </c>
      <c r="F966" s="12" t="s">
        <v>2170</v>
      </c>
      <c r="G966" s="38">
        <v>247.39</v>
      </c>
      <c r="H966" s="38">
        <v>210.29</v>
      </c>
      <c r="I966" s="38">
        <v>173.17</v>
      </c>
      <c r="J966" s="39"/>
      <c r="K966" s="143"/>
      <c r="L966" s="22">
        <v>8</v>
      </c>
      <c r="M966" s="22" t="s">
        <v>12488</v>
      </c>
      <c r="N966" s="20" t="s">
        <v>9252</v>
      </c>
      <c r="O966" s="16" t="s">
        <v>12608</v>
      </c>
      <c r="P966" s="143">
        <v>760</v>
      </c>
      <c r="Q966" s="122" t="s">
        <v>14461</v>
      </c>
      <c r="R966" s="16" t="s">
        <v>8904</v>
      </c>
      <c r="S966" s="10" t="s">
        <v>1163</v>
      </c>
      <c r="T966" s="28" t="s">
        <v>10161</v>
      </c>
      <c r="U966" s="20" t="s">
        <v>5359</v>
      </c>
      <c r="V966" s="16" t="s">
        <v>6154</v>
      </c>
      <c r="W966" s="20" t="s">
        <v>14432</v>
      </c>
      <c r="X966" s="174">
        <v>159.78</v>
      </c>
      <c r="Y966" s="174">
        <v>210.29</v>
      </c>
    </row>
    <row r="967" spans="1:25" ht="15" customHeight="1" x14ac:dyDescent="0.25">
      <c r="A967" s="20" t="s">
        <v>1256</v>
      </c>
      <c r="B967" s="14" t="s">
        <v>2945</v>
      </c>
      <c r="C967" s="71" t="str">
        <f t="shared" si="15"/>
        <v>Product Info</v>
      </c>
      <c r="D967" s="37" t="s">
        <v>4930</v>
      </c>
      <c r="E967" s="143">
        <v>3</v>
      </c>
      <c r="F967" s="12" t="s">
        <v>2170</v>
      </c>
      <c r="G967" s="38">
        <v>304.61</v>
      </c>
      <c r="H967" s="38">
        <v>258.93</v>
      </c>
      <c r="I967" s="38">
        <v>213.23</v>
      </c>
      <c r="J967" s="39"/>
      <c r="K967" s="143"/>
      <c r="L967" s="22">
        <v>5.2530000000000001</v>
      </c>
      <c r="M967" s="22" t="s">
        <v>12488</v>
      </c>
      <c r="N967" s="20" t="s">
        <v>9253</v>
      </c>
      <c r="O967" s="16" t="s">
        <v>12608</v>
      </c>
      <c r="P967" s="143">
        <v>760</v>
      </c>
      <c r="Q967" s="122" t="s">
        <v>12421</v>
      </c>
      <c r="R967" s="16" t="s">
        <v>8904</v>
      </c>
      <c r="S967" s="10" t="s">
        <v>1163</v>
      </c>
      <c r="T967" s="28" t="s">
        <v>10162</v>
      </c>
      <c r="U967" s="20" t="s">
        <v>5359</v>
      </c>
      <c r="V967" s="16" t="s">
        <v>1256</v>
      </c>
      <c r="W967" s="20" t="s">
        <v>14432</v>
      </c>
      <c r="X967" s="174">
        <v>196.75</v>
      </c>
      <c r="Y967" s="174">
        <v>258.93</v>
      </c>
    </row>
    <row r="968" spans="1:25" ht="15" customHeight="1" x14ac:dyDescent="0.25">
      <c r="A968" s="20" t="s">
        <v>2946</v>
      </c>
      <c r="B968" s="14" t="s">
        <v>2947</v>
      </c>
      <c r="C968" s="71" t="str">
        <f t="shared" si="15"/>
        <v>Product Info</v>
      </c>
      <c r="D968" s="37" t="s">
        <v>4931</v>
      </c>
      <c r="E968" s="143">
        <v>12</v>
      </c>
      <c r="F968" s="12" t="s">
        <v>2170</v>
      </c>
      <c r="G968" s="38">
        <v>248.84</v>
      </c>
      <c r="H968" s="38">
        <v>211.52</v>
      </c>
      <c r="I968" s="38">
        <v>174.19</v>
      </c>
      <c r="J968" s="39"/>
      <c r="K968" s="143"/>
      <c r="L968" s="22">
        <v>7</v>
      </c>
      <c r="M968" s="22" t="s">
        <v>12488</v>
      </c>
      <c r="N968" s="20" t="s">
        <v>9254</v>
      </c>
      <c r="O968" s="16" t="s">
        <v>12608</v>
      </c>
      <c r="P968" s="143">
        <v>760</v>
      </c>
      <c r="Q968" s="121" t="s">
        <v>14285</v>
      </c>
      <c r="R968" s="16" t="s">
        <v>8904</v>
      </c>
      <c r="S968" s="10" t="s">
        <v>1163</v>
      </c>
      <c r="T968" s="28" t="s">
        <v>10163</v>
      </c>
      <c r="U968" s="20" t="s">
        <v>5359</v>
      </c>
      <c r="V968" s="16" t="s">
        <v>2946</v>
      </c>
      <c r="W968" s="20" t="s">
        <v>14432</v>
      </c>
      <c r="X968" s="174">
        <v>160.72</v>
      </c>
      <c r="Y968" s="174">
        <v>211.52</v>
      </c>
    </row>
    <row r="969" spans="1:25" ht="15" customHeight="1" x14ac:dyDescent="0.25">
      <c r="A969" s="20" t="s">
        <v>4498</v>
      </c>
      <c r="B969" s="14" t="s">
        <v>4499</v>
      </c>
      <c r="C969" s="71" t="str">
        <f t="shared" si="15"/>
        <v>Product Info</v>
      </c>
      <c r="D969" s="37" t="s">
        <v>4932</v>
      </c>
      <c r="E969" s="143">
        <v>3</v>
      </c>
      <c r="F969" s="12" t="s">
        <v>2170</v>
      </c>
      <c r="G969" s="38">
        <v>365.83</v>
      </c>
      <c r="H969" s="38">
        <v>310.97000000000003</v>
      </c>
      <c r="I969" s="38">
        <v>256.08</v>
      </c>
      <c r="J969" s="39"/>
      <c r="K969" s="143"/>
      <c r="L969" s="22">
        <v>24</v>
      </c>
      <c r="M969" s="22" t="s">
        <v>12488</v>
      </c>
      <c r="N969" s="20" t="s">
        <v>9255</v>
      </c>
      <c r="O969" s="16" t="s">
        <v>12608</v>
      </c>
      <c r="P969" s="143">
        <v>760</v>
      </c>
      <c r="Q969" s="122" t="s">
        <v>12421</v>
      </c>
      <c r="R969" s="16" t="s">
        <v>8904</v>
      </c>
      <c r="S969" s="10" t="s">
        <v>1163</v>
      </c>
      <c r="T969" s="28" t="s">
        <v>10164</v>
      </c>
      <c r="U969" s="20" t="s">
        <v>5359</v>
      </c>
      <c r="V969" s="16" t="s">
        <v>4498</v>
      </c>
      <c r="W969" s="20" t="s">
        <v>14432</v>
      </c>
      <c r="X969" s="174">
        <v>236.29</v>
      </c>
      <c r="Y969" s="174">
        <v>310.97000000000003</v>
      </c>
    </row>
    <row r="970" spans="1:25" ht="15" customHeight="1" x14ac:dyDescent="0.25">
      <c r="A970" s="20" t="s">
        <v>6029</v>
      </c>
      <c r="B970" s="14" t="s">
        <v>6030</v>
      </c>
      <c r="C970" s="71" t="str">
        <f t="shared" si="15"/>
        <v>Product Info</v>
      </c>
      <c r="D970" s="37" t="s">
        <v>4933</v>
      </c>
      <c r="E970" s="143">
        <v>3</v>
      </c>
      <c r="F970" s="12" t="s">
        <v>2170</v>
      </c>
      <c r="G970" s="38">
        <v>122.59</v>
      </c>
      <c r="H970" s="38">
        <v>104.2</v>
      </c>
      <c r="I970" s="38">
        <v>85.81</v>
      </c>
      <c r="J970" s="39"/>
      <c r="K970" s="143"/>
      <c r="L970" s="22">
        <v>1</v>
      </c>
      <c r="M970" s="22" t="s">
        <v>12488</v>
      </c>
      <c r="N970" s="20" t="s">
        <v>9256</v>
      </c>
      <c r="O970" s="16" t="s">
        <v>12608</v>
      </c>
      <c r="P970" s="143">
        <v>760</v>
      </c>
      <c r="Q970" s="121" t="s">
        <v>14285</v>
      </c>
      <c r="R970" s="16" t="s">
        <v>8904</v>
      </c>
      <c r="S970" s="10" t="s">
        <v>1163</v>
      </c>
      <c r="T970" s="28" t="s">
        <v>10165</v>
      </c>
      <c r="U970" s="20" t="s">
        <v>5359</v>
      </c>
      <c r="V970" s="16" t="s">
        <v>6029</v>
      </c>
      <c r="W970" s="20" t="s">
        <v>14432</v>
      </c>
      <c r="X970" s="174">
        <v>79.180000000000007</v>
      </c>
      <c r="Y970" s="174">
        <v>104.2</v>
      </c>
    </row>
    <row r="971" spans="1:25" ht="15" customHeight="1" x14ac:dyDescent="0.25">
      <c r="A971" s="20" t="s">
        <v>6031</v>
      </c>
      <c r="B971" s="14" t="s">
        <v>273</v>
      </c>
      <c r="C971" s="71" t="str">
        <f t="shared" si="15"/>
        <v>Product Info</v>
      </c>
      <c r="D971" s="37" t="s">
        <v>4934</v>
      </c>
      <c r="E971" s="143">
        <v>1</v>
      </c>
      <c r="F971" s="12" t="s">
        <v>2170</v>
      </c>
      <c r="G971" s="38">
        <v>242.89</v>
      </c>
      <c r="H971" s="38">
        <v>206.46</v>
      </c>
      <c r="I971" s="38">
        <v>170.02</v>
      </c>
      <c r="J971" s="39"/>
      <c r="K971" s="143"/>
      <c r="L971" s="22">
        <v>0.91200000000000003</v>
      </c>
      <c r="M971" s="22" t="s">
        <v>12487</v>
      </c>
      <c r="N971" s="20" t="s">
        <v>8816</v>
      </c>
      <c r="O971" s="16" t="s">
        <v>12608</v>
      </c>
      <c r="P971" s="143">
        <v>760</v>
      </c>
      <c r="Q971" s="121" t="s">
        <v>14285</v>
      </c>
      <c r="R971" s="16" t="s">
        <v>8904</v>
      </c>
      <c r="S971" s="10" t="s">
        <v>1163</v>
      </c>
      <c r="T971" s="28" t="s">
        <v>10166</v>
      </c>
      <c r="U971" s="20" t="s">
        <v>5359</v>
      </c>
      <c r="V971" s="16" t="s">
        <v>6031</v>
      </c>
      <c r="W971" s="20" t="s">
        <v>14432</v>
      </c>
      <c r="X971" s="174">
        <v>156.88</v>
      </c>
      <c r="Y971" s="174">
        <v>206.46</v>
      </c>
    </row>
    <row r="972" spans="1:25" ht="15" customHeight="1" x14ac:dyDescent="0.25">
      <c r="A972" s="20" t="s">
        <v>6032</v>
      </c>
      <c r="B972" s="14" t="s">
        <v>6033</v>
      </c>
      <c r="C972" s="71" t="str">
        <f t="shared" si="15"/>
        <v>Product Info</v>
      </c>
      <c r="D972" s="37" t="s">
        <v>4935</v>
      </c>
      <c r="E972" s="143">
        <v>3</v>
      </c>
      <c r="F972" s="12" t="s">
        <v>2170</v>
      </c>
      <c r="G972" s="38">
        <v>57.03</v>
      </c>
      <c r="H972" s="38">
        <v>48.48</v>
      </c>
      <c r="I972" s="38">
        <v>39.92</v>
      </c>
      <c r="J972" s="39"/>
      <c r="K972" s="143"/>
      <c r="L972" s="22">
        <v>2</v>
      </c>
      <c r="M972" s="22" t="s">
        <v>12488</v>
      </c>
      <c r="N972" s="20" t="s">
        <v>9258</v>
      </c>
      <c r="O972" s="16" t="s">
        <v>12608</v>
      </c>
      <c r="P972" s="143">
        <v>760</v>
      </c>
      <c r="Q972" s="121" t="s">
        <v>14285</v>
      </c>
      <c r="R972" s="16" t="s">
        <v>8904</v>
      </c>
      <c r="S972" s="10" t="s">
        <v>1163</v>
      </c>
      <c r="T972" s="28" t="s">
        <v>10167</v>
      </c>
      <c r="U972" s="20" t="s">
        <v>5359</v>
      </c>
      <c r="V972" s="16" t="s">
        <v>6032</v>
      </c>
      <c r="W972" s="20" t="s">
        <v>14432</v>
      </c>
      <c r="X972" s="174">
        <v>36.840000000000003</v>
      </c>
      <c r="Y972" s="174">
        <v>48.48</v>
      </c>
    </row>
    <row r="973" spans="1:25" ht="15" customHeight="1" x14ac:dyDescent="0.25">
      <c r="A973" s="20" t="s">
        <v>6034</v>
      </c>
      <c r="B973" s="14" t="s">
        <v>6035</v>
      </c>
      <c r="C973" s="71" t="str">
        <f t="shared" si="15"/>
        <v>Product Info</v>
      </c>
      <c r="D973" s="37" t="s">
        <v>4936</v>
      </c>
      <c r="E973" s="143">
        <v>3</v>
      </c>
      <c r="F973" s="12" t="s">
        <v>2170</v>
      </c>
      <c r="G973" s="38">
        <v>121</v>
      </c>
      <c r="H973" s="38">
        <v>102.85</v>
      </c>
      <c r="I973" s="38">
        <v>84.7</v>
      </c>
      <c r="J973" s="39"/>
      <c r="K973" s="143"/>
      <c r="L973" s="22">
        <v>9</v>
      </c>
      <c r="M973" s="22" t="s">
        <v>12488</v>
      </c>
      <c r="N973" s="20" t="s">
        <v>9259</v>
      </c>
      <c r="O973" s="16" t="s">
        <v>12608</v>
      </c>
      <c r="P973" s="143">
        <v>760</v>
      </c>
      <c r="Q973" s="122" t="s">
        <v>9227</v>
      </c>
      <c r="R973" s="16" t="s">
        <v>8904</v>
      </c>
      <c r="S973" s="10" t="s">
        <v>1163</v>
      </c>
      <c r="T973" s="28" t="s">
        <v>10168</v>
      </c>
      <c r="U973" s="20" t="s">
        <v>5359</v>
      </c>
      <c r="V973" s="16" t="s">
        <v>6034</v>
      </c>
      <c r="W973" s="20" t="s">
        <v>14432</v>
      </c>
      <c r="X973" s="174">
        <v>78.150000000000006</v>
      </c>
      <c r="Y973" s="174">
        <v>102.85</v>
      </c>
    </row>
    <row r="974" spans="1:25" ht="15" customHeight="1" x14ac:dyDescent="0.25">
      <c r="A974" s="20" t="s">
        <v>1328</v>
      </c>
      <c r="B974" s="14" t="s">
        <v>1329</v>
      </c>
      <c r="C974" s="71" t="str">
        <f t="shared" si="15"/>
        <v>Product Info</v>
      </c>
      <c r="D974" s="37" t="s">
        <v>4697</v>
      </c>
      <c r="E974" s="143">
        <v>3</v>
      </c>
      <c r="F974" s="12" t="s">
        <v>2170</v>
      </c>
      <c r="G974" s="38">
        <v>150.66999999999999</v>
      </c>
      <c r="H974" s="38">
        <v>128.08000000000001</v>
      </c>
      <c r="I974" s="38">
        <v>105.47</v>
      </c>
      <c r="J974" s="39"/>
      <c r="K974" s="143"/>
      <c r="L974" s="22">
        <v>1.556</v>
      </c>
      <c r="M974" s="22" t="s">
        <v>12488</v>
      </c>
      <c r="N974" s="20" t="s">
        <v>9260</v>
      </c>
      <c r="O974" s="16" t="s">
        <v>12608</v>
      </c>
      <c r="P974" s="143">
        <v>760</v>
      </c>
      <c r="Q974" s="121" t="s">
        <v>14285</v>
      </c>
      <c r="R974" s="16" t="s">
        <v>8904</v>
      </c>
      <c r="S974" s="10" t="s">
        <v>1163</v>
      </c>
      <c r="T974" s="28" t="s">
        <v>10169</v>
      </c>
      <c r="U974" s="20" t="s">
        <v>5359</v>
      </c>
      <c r="V974" s="16" t="s">
        <v>1328</v>
      </c>
      <c r="W974" s="20" t="s">
        <v>14432</v>
      </c>
      <c r="X974" s="174">
        <v>97.32</v>
      </c>
      <c r="Y974" s="174">
        <v>128.08000000000001</v>
      </c>
    </row>
    <row r="975" spans="1:25" ht="15" customHeight="1" x14ac:dyDescent="0.25">
      <c r="A975" s="20" t="s">
        <v>2735</v>
      </c>
      <c r="B975" s="14" t="s">
        <v>2736</v>
      </c>
      <c r="C975" s="71" t="str">
        <f t="shared" si="15"/>
        <v>Product Info</v>
      </c>
      <c r="D975" s="37" t="s">
        <v>4698</v>
      </c>
      <c r="E975" s="143">
        <v>3</v>
      </c>
      <c r="F975" s="12" t="s">
        <v>2170</v>
      </c>
      <c r="G975" s="38">
        <v>86.87</v>
      </c>
      <c r="H975" s="38">
        <v>73.84</v>
      </c>
      <c r="I975" s="38">
        <v>60.81</v>
      </c>
      <c r="J975" s="39"/>
      <c r="K975" s="143"/>
      <c r="L975" s="22">
        <v>1.9</v>
      </c>
      <c r="M975" s="22" t="s">
        <v>12488</v>
      </c>
      <c r="N975" s="20" t="s">
        <v>8826</v>
      </c>
      <c r="O975" s="16" t="s">
        <v>13914</v>
      </c>
      <c r="P975" s="143">
        <v>760</v>
      </c>
      <c r="Q975" s="122" t="s">
        <v>9227</v>
      </c>
      <c r="R975" s="16" t="s">
        <v>8904</v>
      </c>
      <c r="S975" s="10" t="s">
        <v>1163</v>
      </c>
      <c r="T975" s="28" t="s">
        <v>10170</v>
      </c>
      <c r="U975" s="20" t="s">
        <v>5359</v>
      </c>
      <c r="V975" s="16" t="s">
        <v>2735</v>
      </c>
      <c r="W975" s="20" t="s">
        <v>14432</v>
      </c>
      <c r="X975" s="174">
        <v>56.11</v>
      </c>
      <c r="Y975" s="174">
        <v>73.84</v>
      </c>
    </row>
    <row r="976" spans="1:25" ht="15" customHeight="1" x14ac:dyDescent="0.25">
      <c r="A976" s="20" t="s">
        <v>2737</v>
      </c>
      <c r="B976" s="14" t="s">
        <v>2738</v>
      </c>
      <c r="C976" s="71" t="str">
        <f t="shared" si="15"/>
        <v>Product Info</v>
      </c>
      <c r="D976" s="37" t="s">
        <v>4699</v>
      </c>
      <c r="E976" s="143">
        <v>3</v>
      </c>
      <c r="F976" s="12" t="s">
        <v>2170</v>
      </c>
      <c r="G976" s="38">
        <v>46.7</v>
      </c>
      <c r="H976" s="38">
        <v>39.700000000000003</v>
      </c>
      <c r="I976" s="38">
        <v>32.69</v>
      </c>
      <c r="J976" s="39"/>
      <c r="K976" s="143"/>
      <c r="L976" s="22">
        <v>3</v>
      </c>
      <c r="M976" s="22" t="s">
        <v>12488</v>
      </c>
      <c r="N976" s="20" t="s">
        <v>9261</v>
      </c>
      <c r="O976" s="16" t="s">
        <v>12608</v>
      </c>
      <c r="P976" s="143">
        <v>760</v>
      </c>
      <c r="Q976" s="122" t="s">
        <v>9227</v>
      </c>
      <c r="R976" s="16" t="s">
        <v>8904</v>
      </c>
      <c r="S976" s="10" t="s">
        <v>1163</v>
      </c>
      <c r="T976" s="28" t="s">
        <v>10171</v>
      </c>
      <c r="U976" s="20" t="s">
        <v>5359</v>
      </c>
      <c r="V976" s="16" t="s">
        <v>2737</v>
      </c>
      <c r="W976" s="20" t="s">
        <v>14432</v>
      </c>
      <c r="X976" s="174">
        <v>30.16</v>
      </c>
      <c r="Y976" s="174">
        <v>39.700000000000003</v>
      </c>
    </row>
    <row r="977" spans="1:25" ht="15" customHeight="1" x14ac:dyDescent="0.25">
      <c r="A977" s="20" t="s">
        <v>2739</v>
      </c>
      <c r="B977" s="14" t="s">
        <v>2740</v>
      </c>
      <c r="C977" s="71" t="str">
        <f t="shared" si="15"/>
        <v>Product Info</v>
      </c>
      <c r="D977" s="37" t="s">
        <v>4700</v>
      </c>
      <c r="E977" s="143">
        <v>3</v>
      </c>
      <c r="F977" s="12" t="s">
        <v>2170</v>
      </c>
      <c r="G977" s="38">
        <v>117</v>
      </c>
      <c r="H977" s="38">
        <v>99.45</v>
      </c>
      <c r="I977" s="38">
        <v>81.900000000000006</v>
      </c>
      <c r="J977" s="39"/>
      <c r="K977" s="143"/>
      <c r="L977" s="22">
        <v>5</v>
      </c>
      <c r="M977" s="22" t="s">
        <v>12488</v>
      </c>
      <c r="N977" s="20" t="s">
        <v>9262</v>
      </c>
      <c r="O977" s="16" t="s">
        <v>12608</v>
      </c>
      <c r="P977" s="143">
        <v>760</v>
      </c>
      <c r="Q977" s="122" t="s">
        <v>12421</v>
      </c>
      <c r="R977" s="16" t="s">
        <v>8904</v>
      </c>
      <c r="S977" s="10" t="s">
        <v>1163</v>
      </c>
      <c r="T977" s="28" t="s">
        <v>10172</v>
      </c>
      <c r="U977" s="20" t="s">
        <v>5359</v>
      </c>
      <c r="V977" s="16" t="s">
        <v>2739</v>
      </c>
      <c r="W977" s="20" t="s">
        <v>14432</v>
      </c>
      <c r="X977" s="174">
        <v>75.569999999999993</v>
      </c>
      <c r="Y977" s="174">
        <v>99.45</v>
      </c>
    </row>
    <row r="978" spans="1:25" ht="15" customHeight="1" x14ac:dyDescent="0.25">
      <c r="A978" s="20" t="s">
        <v>1368</v>
      </c>
      <c r="B978" s="14" t="s">
        <v>3575</v>
      </c>
      <c r="C978" s="71" t="str">
        <f t="shared" si="15"/>
        <v>Product Info</v>
      </c>
      <c r="D978" s="37" t="s">
        <v>3576</v>
      </c>
      <c r="E978" s="143">
        <v>3</v>
      </c>
      <c r="F978" s="12" t="s">
        <v>4992</v>
      </c>
      <c r="G978" s="38">
        <v>250.16</v>
      </c>
      <c r="H978" s="38">
        <v>212.64</v>
      </c>
      <c r="I978" s="38">
        <v>175.11</v>
      </c>
      <c r="J978" s="39"/>
      <c r="K978" s="143"/>
      <c r="L978" s="22">
        <v>0</v>
      </c>
      <c r="M978" s="22">
        <v>0</v>
      </c>
      <c r="N978" s="20" t="s">
        <v>14489</v>
      </c>
      <c r="O978" s="16">
        <v>0</v>
      </c>
      <c r="P978" s="143">
        <v>760</v>
      </c>
      <c r="Q978" s="121" t="s">
        <v>14285</v>
      </c>
      <c r="R978" s="16" t="s">
        <v>8904</v>
      </c>
      <c r="S978" s="10" t="s">
        <v>1163</v>
      </c>
      <c r="T978" s="28" t="s">
        <v>10173</v>
      </c>
      <c r="U978" s="20" t="s">
        <v>5359</v>
      </c>
      <c r="V978" s="16" t="s">
        <v>1368</v>
      </c>
      <c r="W978" s="20" t="s">
        <v>14432</v>
      </c>
      <c r="X978" s="174">
        <v>161.58000000000001</v>
      </c>
      <c r="Y978" s="174">
        <v>212.64</v>
      </c>
    </row>
    <row r="979" spans="1:25" ht="15" customHeight="1" x14ac:dyDescent="0.25">
      <c r="A979" s="20" t="s">
        <v>2741</v>
      </c>
      <c r="B979" s="14" t="s">
        <v>2742</v>
      </c>
      <c r="C979" s="71" t="str">
        <f t="shared" si="15"/>
        <v>Product Info</v>
      </c>
      <c r="D979" s="37" t="s">
        <v>4701</v>
      </c>
      <c r="E979" s="143">
        <v>6</v>
      </c>
      <c r="F979" s="12" t="s">
        <v>2170</v>
      </c>
      <c r="G979" s="38">
        <v>65.27</v>
      </c>
      <c r="H979" s="38">
        <v>55.48</v>
      </c>
      <c r="I979" s="38">
        <v>45.69</v>
      </c>
      <c r="J979" s="39"/>
      <c r="K979" s="143"/>
      <c r="L979" s="22">
        <v>6</v>
      </c>
      <c r="M979" s="22" t="s">
        <v>12488</v>
      </c>
      <c r="N979" s="20" t="s">
        <v>9264</v>
      </c>
      <c r="O979" s="16" t="s">
        <v>12608</v>
      </c>
      <c r="P979" s="143">
        <v>760</v>
      </c>
      <c r="Q979" s="121" t="s">
        <v>14285</v>
      </c>
      <c r="R979" s="16" t="s">
        <v>8904</v>
      </c>
      <c r="S979" s="10" t="s">
        <v>1163</v>
      </c>
      <c r="T979" s="28" t="s">
        <v>10174</v>
      </c>
      <c r="U979" s="20" t="s">
        <v>5359</v>
      </c>
      <c r="V979" s="16" t="s">
        <v>2741</v>
      </c>
      <c r="W979" s="20" t="s">
        <v>14432</v>
      </c>
      <c r="X979" s="174">
        <v>42.15</v>
      </c>
      <c r="Y979" s="174">
        <v>55.48</v>
      </c>
    </row>
    <row r="980" spans="1:25" ht="15" customHeight="1" x14ac:dyDescent="0.25">
      <c r="A980" s="20" t="s">
        <v>2743</v>
      </c>
      <c r="B980" s="14" t="s">
        <v>2744</v>
      </c>
      <c r="C980" s="71" t="str">
        <f t="shared" si="15"/>
        <v>Product Info</v>
      </c>
      <c r="D980" s="37" t="s">
        <v>4702</v>
      </c>
      <c r="E980" s="143">
        <v>15</v>
      </c>
      <c r="F980" s="12" t="s">
        <v>2170</v>
      </c>
      <c r="G980" s="38">
        <v>71.61</v>
      </c>
      <c r="H980" s="38">
        <v>60.87</v>
      </c>
      <c r="I980" s="38">
        <v>50.13</v>
      </c>
      <c r="J980" s="39"/>
      <c r="K980" s="143"/>
      <c r="L980" s="22">
        <v>17.600000000000001</v>
      </c>
      <c r="M980" s="22" t="s">
        <v>12488</v>
      </c>
      <c r="N980" s="20" t="s">
        <v>9265</v>
      </c>
      <c r="O980" s="16" t="s">
        <v>12608</v>
      </c>
      <c r="P980" s="143">
        <v>760</v>
      </c>
      <c r="Q980" s="121" t="s">
        <v>14285</v>
      </c>
      <c r="R980" s="16" t="s">
        <v>8904</v>
      </c>
      <c r="S980" s="10" t="s">
        <v>1163</v>
      </c>
      <c r="T980" s="28" t="s">
        <v>10175</v>
      </c>
      <c r="U980" s="20" t="s">
        <v>5359</v>
      </c>
      <c r="V980" s="16" t="s">
        <v>2743</v>
      </c>
      <c r="W980" s="20" t="s">
        <v>14432</v>
      </c>
      <c r="X980" s="174">
        <v>46.26</v>
      </c>
      <c r="Y980" s="174">
        <v>60.87</v>
      </c>
    </row>
    <row r="981" spans="1:25" ht="15" customHeight="1" x14ac:dyDescent="0.25">
      <c r="A981" s="20" t="s">
        <v>2745</v>
      </c>
      <c r="B981" s="14" t="s">
        <v>2746</v>
      </c>
      <c r="C981" s="71" t="str">
        <f t="shared" si="15"/>
        <v>Product Info</v>
      </c>
      <c r="D981" s="37" t="s">
        <v>4703</v>
      </c>
      <c r="E981" s="143">
        <v>3</v>
      </c>
      <c r="F981" s="12" t="s">
        <v>2170</v>
      </c>
      <c r="G981" s="38">
        <v>71.61</v>
      </c>
      <c r="H981" s="38">
        <v>60.87</v>
      </c>
      <c r="I981" s="38">
        <v>50.13</v>
      </c>
      <c r="J981" s="39"/>
      <c r="K981" s="143"/>
      <c r="L981" s="22">
        <v>4.5</v>
      </c>
      <c r="M981" s="22" t="s">
        <v>12488</v>
      </c>
      <c r="N981" s="20" t="s">
        <v>9244</v>
      </c>
      <c r="O981" s="16" t="s">
        <v>12608</v>
      </c>
      <c r="P981" s="143">
        <v>760</v>
      </c>
      <c r="Q981" s="122" t="s">
        <v>9227</v>
      </c>
      <c r="R981" s="16" t="s">
        <v>8904</v>
      </c>
      <c r="S981" s="10" t="s">
        <v>1163</v>
      </c>
      <c r="T981" s="28" t="s">
        <v>10176</v>
      </c>
      <c r="U981" s="20" t="s">
        <v>5359</v>
      </c>
      <c r="V981" s="16" t="s">
        <v>2745</v>
      </c>
      <c r="W981" s="20" t="s">
        <v>14432</v>
      </c>
      <c r="X981" s="174">
        <v>46.26</v>
      </c>
      <c r="Y981" s="174">
        <v>60.87</v>
      </c>
    </row>
    <row r="982" spans="1:25" ht="15" customHeight="1" x14ac:dyDescent="0.25">
      <c r="A982" s="20" t="s">
        <v>2747</v>
      </c>
      <c r="B982" s="14" t="s">
        <v>2748</v>
      </c>
      <c r="C982" s="71" t="str">
        <f t="shared" si="15"/>
        <v>Product Info</v>
      </c>
      <c r="D982" s="37" t="s">
        <v>4704</v>
      </c>
      <c r="E982" s="143">
        <v>15</v>
      </c>
      <c r="F982" s="12" t="s">
        <v>2170</v>
      </c>
      <c r="G982" s="38">
        <v>116.97</v>
      </c>
      <c r="H982" s="38">
        <v>99.43</v>
      </c>
      <c r="I982" s="38">
        <v>81.88</v>
      </c>
      <c r="J982" s="39"/>
      <c r="K982" s="143"/>
      <c r="L982" s="22">
        <v>23</v>
      </c>
      <c r="M982" s="22" t="s">
        <v>12488</v>
      </c>
      <c r="N982" s="20" t="s">
        <v>9264</v>
      </c>
      <c r="O982" s="16" t="s">
        <v>12608</v>
      </c>
      <c r="P982" s="143">
        <v>760</v>
      </c>
      <c r="Q982" s="121" t="s">
        <v>14285</v>
      </c>
      <c r="R982" s="16" t="s">
        <v>8904</v>
      </c>
      <c r="S982" s="10" t="s">
        <v>1163</v>
      </c>
      <c r="T982" s="28" t="s">
        <v>10177</v>
      </c>
      <c r="U982" s="20" t="s">
        <v>5359</v>
      </c>
      <c r="V982" s="16" t="s">
        <v>2747</v>
      </c>
      <c r="W982" s="20" t="s">
        <v>14432</v>
      </c>
      <c r="X982" s="174">
        <v>75.55</v>
      </c>
      <c r="Y982" s="174">
        <v>99.43</v>
      </c>
    </row>
    <row r="983" spans="1:25" ht="15" customHeight="1" x14ac:dyDescent="0.25">
      <c r="A983" s="20" t="s">
        <v>2749</v>
      </c>
      <c r="B983" s="14" t="s">
        <v>884</v>
      </c>
      <c r="C983" s="71" t="str">
        <f t="shared" si="15"/>
        <v>Product Info</v>
      </c>
      <c r="D983" s="37" t="s">
        <v>4705</v>
      </c>
      <c r="E983" s="143">
        <v>3</v>
      </c>
      <c r="F983" s="12" t="s">
        <v>2170</v>
      </c>
      <c r="G983" s="38">
        <v>118.69</v>
      </c>
      <c r="H983" s="38">
        <v>100.89</v>
      </c>
      <c r="I983" s="38">
        <v>83.08</v>
      </c>
      <c r="J983" s="39"/>
      <c r="K983" s="143"/>
      <c r="L983" s="22">
        <v>1.6</v>
      </c>
      <c r="M983" s="22" t="s">
        <v>12488</v>
      </c>
      <c r="N983" s="20" t="s">
        <v>9264</v>
      </c>
      <c r="O983" s="16" t="s">
        <v>12608</v>
      </c>
      <c r="P983" s="143">
        <v>760</v>
      </c>
      <c r="Q983" s="122" t="s">
        <v>9227</v>
      </c>
      <c r="R983" s="16" t="s">
        <v>8904</v>
      </c>
      <c r="S983" s="10" t="s">
        <v>1163</v>
      </c>
      <c r="T983" s="28" t="s">
        <v>10178</v>
      </c>
      <c r="U983" s="20" t="s">
        <v>5359</v>
      </c>
      <c r="V983" s="16" t="s">
        <v>2749</v>
      </c>
      <c r="W983" s="20" t="s">
        <v>14432</v>
      </c>
      <c r="X983" s="174">
        <v>76.66</v>
      </c>
      <c r="Y983" s="174">
        <v>100.89</v>
      </c>
    </row>
    <row r="984" spans="1:25" ht="15" customHeight="1" x14ac:dyDescent="0.25">
      <c r="A984" s="20" t="s">
        <v>885</v>
      </c>
      <c r="B984" s="14" t="s">
        <v>886</v>
      </c>
      <c r="C984" s="71" t="str">
        <f t="shared" si="15"/>
        <v>Product Info</v>
      </c>
      <c r="D984" s="37" t="s">
        <v>4706</v>
      </c>
      <c r="E984" s="143">
        <v>15</v>
      </c>
      <c r="F984" s="12" t="s">
        <v>2170</v>
      </c>
      <c r="G984" s="38">
        <v>116.97</v>
      </c>
      <c r="H984" s="38">
        <v>99.43</v>
      </c>
      <c r="I984" s="38">
        <v>81.88</v>
      </c>
      <c r="J984" s="39"/>
      <c r="K984" s="143"/>
      <c r="L984" s="22">
        <v>5</v>
      </c>
      <c r="M984" s="22" t="s">
        <v>12488</v>
      </c>
      <c r="N984" s="20" t="s">
        <v>9264</v>
      </c>
      <c r="O984" s="16" t="s">
        <v>12608</v>
      </c>
      <c r="P984" s="143">
        <v>760</v>
      </c>
      <c r="Q984" s="121" t="s">
        <v>14285</v>
      </c>
      <c r="R984" s="16" t="s">
        <v>8904</v>
      </c>
      <c r="S984" s="10" t="s">
        <v>1163</v>
      </c>
      <c r="T984" s="28" t="s">
        <v>10179</v>
      </c>
      <c r="U984" s="20" t="s">
        <v>5359</v>
      </c>
      <c r="V984" s="16" t="s">
        <v>885</v>
      </c>
      <c r="W984" s="20" t="s">
        <v>14432</v>
      </c>
      <c r="X984" s="174">
        <v>75.55</v>
      </c>
      <c r="Y984" s="174">
        <v>99.43</v>
      </c>
    </row>
    <row r="985" spans="1:25" ht="15" customHeight="1" x14ac:dyDescent="0.25">
      <c r="A985" s="20" t="s">
        <v>887</v>
      </c>
      <c r="B985" s="14" t="s">
        <v>888</v>
      </c>
      <c r="C985" s="71" t="str">
        <f t="shared" si="15"/>
        <v>Product Info</v>
      </c>
      <c r="D985" s="37" t="s">
        <v>4707</v>
      </c>
      <c r="E985" s="143">
        <v>3</v>
      </c>
      <c r="F985" s="12" t="s">
        <v>2170</v>
      </c>
      <c r="G985" s="38">
        <v>116.97</v>
      </c>
      <c r="H985" s="38">
        <v>99.43</v>
      </c>
      <c r="I985" s="38">
        <v>81.88</v>
      </c>
      <c r="J985" s="39"/>
      <c r="K985" s="143"/>
      <c r="L985" s="22">
        <v>1.9033</v>
      </c>
      <c r="M985" s="22" t="s">
        <v>12488</v>
      </c>
      <c r="N985" s="20" t="s">
        <v>9264</v>
      </c>
      <c r="O985" s="16" t="s">
        <v>12608</v>
      </c>
      <c r="P985" s="143">
        <v>760</v>
      </c>
      <c r="Q985" s="122" t="s">
        <v>12421</v>
      </c>
      <c r="R985" s="16" t="s">
        <v>8904</v>
      </c>
      <c r="S985" s="10" t="s">
        <v>1163</v>
      </c>
      <c r="T985" s="28" t="s">
        <v>10180</v>
      </c>
      <c r="U985" s="20" t="s">
        <v>5359</v>
      </c>
      <c r="V985" s="16" t="s">
        <v>887</v>
      </c>
      <c r="W985" s="20" t="s">
        <v>14432</v>
      </c>
      <c r="X985" s="174">
        <v>75.55</v>
      </c>
      <c r="Y985" s="174">
        <v>99.43</v>
      </c>
    </row>
    <row r="986" spans="1:25" ht="15" customHeight="1" x14ac:dyDescent="0.25">
      <c r="A986" s="20" t="s">
        <v>889</v>
      </c>
      <c r="B986" s="14" t="s">
        <v>890</v>
      </c>
      <c r="C986" s="71" t="str">
        <f t="shared" si="15"/>
        <v>Product Info</v>
      </c>
      <c r="D986" s="37" t="s">
        <v>4708</v>
      </c>
      <c r="E986" s="143">
        <v>15</v>
      </c>
      <c r="F986" s="12" t="s">
        <v>2170</v>
      </c>
      <c r="G986" s="38">
        <v>50.4</v>
      </c>
      <c r="H986" s="38">
        <v>42.84</v>
      </c>
      <c r="I986" s="38">
        <v>35.28</v>
      </c>
      <c r="J986" s="39"/>
      <c r="K986" s="143"/>
      <c r="L986" s="22">
        <v>15</v>
      </c>
      <c r="M986" s="22" t="s">
        <v>12488</v>
      </c>
      <c r="N986" s="20" t="s">
        <v>9241</v>
      </c>
      <c r="O986" s="16" t="s">
        <v>12608</v>
      </c>
      <c r="P986" s="143">
        <v>760</v>
      </c>
      <c r="Q986" s="121" t="s">
        <v>14285</v>
      </c>
      <c r="R986" s="16" t="s">
        <v>8904</v>
      </c>
      <c r="S986" s="10" t="s">
        <v>1163</v>
      </c>
      <c r="T986" s="28" t="s">
        <v>10181</v>
      </c>
      <c r="U986" s="20" t="s">
        <v>5359</v>
      </c>
      <c r="V986" s="16" t="s">
        <v>889</v>
      </c>
      <c r="W986" s="20" t="s">
        <v>14432</v>
      </c>
      <c r="X986" s="174">
        <v>32.549999999999997</v>
      </c>
      <c r="Y986" s="174">
        <v>42.84</v>
      </c>
    </row>
    <row r="987" spans="1:25" ht="15" customHeight="1" x14ac:dyDescent="0.25">
      <c r="A987" s="20" t="s">
        <v>891</v>
      </c>
      <c r="B987" s="14" t="s">
        <v>892</v>
      </c>
      <c r="C987" s="71" t="str">
        <f t="shared" si="15"/>
        <v>Product Info</v>
      </c>
      <c r="D987" s="37" t="s">
        <v>4709</v>
      </c>
      <c r="E987" s="143">
        <v>3</v>
      </c>
      <c r="F987" s="12" t="s">
        <v>2170</v>
      </c>
      <c r="G987" s="38">
        <v>50.4</v>
      </c>
      <c r="H987" s="38">
        <v>42.84</v>
      </c>
      <c r="I987" s="38">
        <v>35.28</v>
      </c>
      <c r="J987" s="39"/>
      <c r="K987" s="143"/>
      <c r="L987" s="22">
        <v>0.746</v>
      </c>
      <c r="M987" s="22" t="s">
        <v>12488</v>
      </c>
      <c r="N987" s="20" t="s">
        <v>9266</v>
      </c>
      <c r="O987" s="16" t="s">
        <v>12608</v>
      </c>
      <c r="P987" s="143">
        <v>760</v>
      </c>
      <c r="Q987" s="122" t="s">
        <v>9227</v>
      </c>
      <c r="R987" s="16" t="s">
        <v>8904</v>
      </c>
      <c r="S987" s="10" t="s">
        <v>1163</v>
      </c>
      <c r="T987" s="28" t="s">
        <v>10182</v>
      </c>
      <c r="U987" s="20" t="s">
        <v>5359</v>
      </c>
      <c r="V987" s="16" t="s">
        <v>891</v>
      </c>
      <c r="W987" s="20" t="s">
        <v>14432</v>
      </c>
      <c r="X987" s="174">
        <v>32.549999999999997</v>
      </c>
      <c r="Y987" s="174">
        <v>42.84</v>
      </c>
    </row>
    <row r="988" spans="1:25" ht="15" customHeight="1" x14ac:dyDescent="0.25">
      <c r="A988" s="20" t="s">
        <v>3840</v>
      </c>
      <c r="B988" s="14" t="s">
        <v>3841</v>
      </c>
      <c r="C988" s="71" t="str">
        <f t="shared" si="15"/>
        <v>Product Info</v>
      </c>
      <c r="D988" s="37" t="s">
        <v>274</v>
      </c>
      <c r="E988" s="143">
        <v>3</v>
      </c>
      <c r="F988" s="12" t="s">
        <v>2170</v>
      </c>
      <c r="G988" s="38">
        <v>132.72999999999999</v>
      </c>
      <c r="H988" s="38">
        <v>112.82</v>
      </c>
      <c r="I988" s="38">
        <v>92.91</v>
      </c>
      <c r="J988" s="39"/>
      <c r="K988" s="143"/>
      <c r="L988" s="22">
        <v>0</v>
      </c>
      <c r="M988" s="22">
        <v>0</v>
      </c>
      <c r="N988" s="20" t="s">
        <v>14489</v>
      </c>
      <c r="O988" s="16">
        <v>0</v>
      </c>
      <c r="P988" s="143">
        <v>760</v>
      </c>
      <c r="Q988" s="121" t="s">
        <v>14285</v>
      </c>
      <c r="R988" s="16" t="s">
        <v>8904</v>
      </c>
      <c r="S988" s="10" t="s">
        <v>1163</v>
      </c>
      <c r="T988" s="28" t="s">
        <v>10183</v>
      </c>
      <c r="U988" s="20" t="s">
        <v>5359</v>
      </c>
      <c r="V988" s="16" t="s">
        <v>3840</v>
      </c>
      <c r="W988" s="20" t="s">
        <v>14432</v>
      </c>
      <c r="X988" s="174">
        <v>85.73</v>
      </c>
      <c r="Y988" s="174">
        <v>112.82</v>
      </c>
    </row>
    <row r="989" spans="1:25" ht="15" customHeight="1" x14ac:dyDescent="0.25">
      <c r="A989" s="20" t="s">
        <v>893</v>
      </c>
      <c r="B989" s="14" t="s">
        <v>894</v>
      </c>
      <c r="C989" s="71" t="str">
        <f t="shared" si="15"/>
        <v>Product Info</v>
      </c>
      <c r="D989" s="37" t="s">
        <v>4710</v>
      </c>
      <c r="E989" s="143">
        <v>3</v>
      </c>
      <c r="F989" s="12" t="s">
        <v>2170</v>
      </c>
      <c r="G989" s="38">
        <v>222.59</v>
      </c>
      <c r="H989" s="38">
        <v>189.2</v>
      </c>
      <c r="I989" s="38">
        <v>155.81</v>
      </c>
      <c r="J989" s="39"/>
      <c r="K989" s="143"/>
      <c r="L989" s="22">
        <v>8.5679999999999996</v>
      </c>
      <c r="M989" s="22" t="s">
        <v>12488</v>
      </c>
      <c r="N989" s="20" t="s">
        <v>9267</v>
      </c>
      <c r="O989" s="16" t="s">
        <v>12608</v>
      </c>
      <c r="P989" s="143">
        <v>760</v>
      </c>
      <c r="Q989" s="122" t="s">
        <v>9227</v>
      </c>
      <c r="R989" s="16" t="s">
        <v>8904</v>
      </c>
      <c r="S989" s="10" t="s">
        <v>1163</v>
      </c>
      <c r="T989" s="28" t="s">
        <v>10184</v>
      </c>
      <c r="U989" s="20" t="s">
        <v>5359</v>
      </c>
      <c r="V989" s="16" t="s">
        <v>893</v>
      </c>
      <c r="W989" s="20" t="s">
        <v>14432</v>
      </c>
      <c r="X989" s="174">
        <v>143.76</v>
      </c>
      <c r="Y989" s="174">
        <v>189.2</v>
      </c>
    </row>
    <row r="990" spans="1:25" ht="15" customHeight="1" x14ac:dyDescent="0.25">
      <c r="A990" s="20" t="s">
        <v>895</v>
      </c>
      <c r="B990" s="14" t="s">
        <v>896</v>
      </c>
      <c r="C990" s="71" t="str">
        <f t="shared" si="15"/>
        <v>Product Info</v>
      </c>
      <c r="D990" s="37" t="s">
        <v>4711</v>
      </c>
      <c r="E990" s="143">
        <v>3</v>
      </c>
      <c r="F990" s="12" t="s">
        <v>2170</v>
      </c>
      <c r="G990" s="38">
        <v>243.49</v>
      </c>
      <c r="H990" s="38">
        <v>206.97</v>
      </c>
      <c r="I990" s="38">
        <v>170.44</v>
      </c>
      <c r="J990" s="39"/>
      <c r="K990" s="143"/>
      <c r="L990" s="22">
        <v>6</v>
      </c>
      <c r="M990" s="22" t="s">
        <v>12488</v>
      </c>
      <c r="N990" s="20" t="s">
        <v>9245</v>
      </c>
      <c r="O990" s="16" t="s">
        <v>12608</v>
      </c>
      <c r="P990" s="143">
        <v>760</v>
      </c>
      <c r="Q990" s="121" t="s">
        <v>14285</v>
      </c>
      <c r="R990" s="16" t="s">
        <v>8904</v>
      </c>
      <c r="S990" s="10" t="s">
        <v>1163</v>
      </c>
      <c r="T990" s="28" t="s">
        <v>10185</v>
      </c>
      <c r="U990" s="20" t="s">
        <v>5359</v>
      </c>
      <c r="V990" s="16" t="s">
        <v>895</v>
      </c>
      <c r="W990" s="20" t="s">
        <v>14432</v>
      </c>
      <c r="X990" s="174">
        <v>157.27000000000001</v>
      </c>
      <c r="Y990" s="174">
        <v>206.97</v>
      </c>
    </row>
    <row r="991" spans="1:25" ht="15" customHeight="1" x14ac:dyDescent="0.25">
      <c r="A991" s="20" t="s">
        <v>8032</v>
      </c>
      <c r="B991" s="14" t="s">
        <v>8033</v>
      </c>
      <c r="C991" s="71" t="str">
        <f t="shared" si="15"/>
        <v>Product Info</v>
      </c>
      <c r="D991" s="37" t="s">
        <v>8681</v>
      </c>
      <c r="E991" s="143">
        <v>3</v>
      </c>
      <c r="F991" s="12" t="s">
        <v>4992</v>
      </c>
      <c r="G991" s="38">
        <v>137.56</v>
      </c>
      <c r="H991" s="38">
        <v>116.93</v>
      </c>
      <c r="I991" s="38">
        <v>96.29</v>
      </c>
      <c r="J991" s="39"/>
      <c r="K991" s="143"/>
      <c r="L991" s="22">
        <v>9.5</v>
      </c>
      <c r="M991" s="22" t="s">
        <v>12488</v>
      </c>
      <c r="N991" s="20" t="s">
        <v>8817</v>
      </c>
      <c r="O991" s="16" t="s">
        <v>12608</v>
      </c>
      <c r="P991" s="143">
        <v>760</v>
      </c>
      <c r="Q991" s="122" t="s">
        <v>9227</v>
      </c>
      <c r="R991" s="16" t="s">
        <v>8904</v>
      </c>
      <c r="S991" s="10" t="s">
        <v>1163</v>
      </c>
      <c r="T991" s="28" t="s">
        <v>10186</v>
      </c>
      <c r="U991" s="20" t="s">
        <v>5359</v>
      </c>
      <c r="V991" s="16" t="s">
        <v>8032</v>
      </c>
      <c r="W991" s="20" t="s">
        <v>14432</v>
      </c>
      <c r="X991" s="174">
        <v>88.85</v>
      </c>
      <c r="Y991" s="174">
        <v>116.93</v>
      </c>
    </row>
    <row r="992" spans="1:25" ht="15" customHeight="1" x14ac:dyDescent="0.25">
      <c r="A992" s="20" t="s">
        <v>897</v>
      </c>
      <c r="B992" s="14" t="s">
        <v>898</v>
      </c>
      <c r="C992" s="71" t="str">
        <f t="shared" si="15"/>
        <v>Product Info</v>
      </c>
      <c r="D992" s="37" t="s">
        <v>4712</v>
      </c>
      <c r="E992" s="143">
        <v>3</v>
      </c>
      <c r="F992" s="12" t="s">
        <v>2170</v>
      </c>
      <c r="G992" s="38">
        <v>134.84</v>
      </c>
      <c r="H992" s="38">
        <v>114.62</v>
      </c>
      <c r="I992" s="38">
        <v>94.39</v>
      </c>
      <c r="J992" s="39"/>
      <c r="K992" s="143"/>
      <c r="L992" s="22">
        <v>9.5</v>
      </c>
      <c r="M992" s="22" t="s">
        <v>12488</v>
      </c>
      <c r="N992" s="20" t="s">
        <v>8817</v>
      </c>
      <c r="O992" s="16" t="s">
        <v>12608</v>
      </c>
      <c r="P992" s="143">
        <v>760</v>
      </c>
      <c r="Q992" s="122" t="s">
        <v>12421</v>
      </c>
      <c r="R992" s="16" t="s">
        <v>8904</v>
      </c>
      <c r="S992" s="10" t="s">
        <v>1163</v>
      </c>
      <c r="T992" s="28" t="s">
        <v>10187</v>
      </c>
      <c r="U992" s="20" t="s">
        <v>5359</v>
      </c>
      <c r="V992" s="16" t="s">
        <v>897</v>
      </c>
      <c r="W992" s="20" t="s">
        <v>14432</v>
      </c>
      <c r="X992" s="174">
        <v>87.1</v>
      </c>
      <c r="Y992" s="174">
        <v>114.62</v>
      </c>
    </row>
    <row r="993" spans="1:25" ht="15" customHeight="1" x14ac:dyDescent="0.25">
      <c r="A993" s="20" t="s">
        <v>2232</v>
      </c>
      <c r="B993" s="14" t="s">
        <v>2233</v>
      </c>
      <c r="C993" s="71" t="str">
        <f t="shared" si="15"/>
        <v>Product Info</v>
      </c>
      <c r="D993" s="37" t="s">
        <v>4713</v>
      </c>
      <c r="E993" s="143">
        <v>12</v>
      </c>
      <c r="F993" s="12" t="s">
        <v>2170</v>
      </c>
      <c r="G993" s="38">
        <v>70.19</v>
      </c>
      <c r="H993" s="38">
        <v>59.66</v>
      </c>
      <c r="I993" s="38">
        <v>49.13</v>
      </c>
      <c r="J993" s="39"/>
      <c r="K993" s="143"/>
      <c r="L993" s="22">
        <v>24</v>
      </c>
      <c r="M993" s="22" t="s">
        <v>12488</v>
      </c>
      <c r="N993" s="20" t="s">
        <v>8817</v>
      </c>
      <c r="O993" s="16" t="s">
        <v>12608</v>
      </c>
      <c r="P993" s="143">
        <v>760</v>
      </c>
      <c r="Q993" s="121" t="s">
        <v>14285</v>
      </c>
      <c r="R993" s="16" t="s">
        <v>8904</v>
      </c>
      <c r="S993" s="10" t="s">
        <v>1163</v>
      </c>
      <c r="T993" s="28" t="s">
        <v>10188</v>
      </c>
      <c r="U993" s="20" t="s">
        <v>5359</v>
      </c>
      <c r="V993" s="16" t="s">
        <v>2232</v>
      </c>
      <c r="W993" s="20" t="s">
        <v>14432</v>
      </c>
      <c r="X993" s="174">
        <v>45.34</v>
      </c>
      <c r="Y993" s="174">
        <v>59.66</v>
      </c>
    </row>
    <row r="994" spans="1:25" ht="15" customHeight="1" x14ac:dyDescent="0.25">
      <c r="A994" s="20" t="s">
        <v>3243</v>
      </c>
      <c r="B994" s="14" t="s">
        <v>4798</v>
      </c>
      <c r="C994" s="71" t="str">
        <f t="shared" si="15"/>
        <v>Product Info</v>
      </c>
      <c r="D994" s="37" t="s">
        <v>4714</v>
      </c>
      <c r="E994" s="143">
        <v>3</v>
      </c>
      <c r="F994" s="12" t="s">
        <v>2170</v>
      </c>
      <c r="G994" s="38">
        <v>138.41</v>
      </c>
      <c r="H994" s="38">
        <v>117.66</v>
      </c>
      <c r="I994" s="38">
        <v>96.89</v>
      </c>
      <c r="J994" s="39"/>
      <c r="K994" s="143"/>
      <c r="L994" s="22">
        <v>6</v>
      </c>
      <c r="M994" s="22" t="s">
        <v>12488</v>
      </c>
      <c r="N994" s="20" t="s">
        <v>9242</v>
      </c>
      <c r="O994" s="16" t="s">
        <v>12608</v>
      </c>
      <c r="P994" s="143">
        <v>760</v>
      </c>
      <c r="Q994" s="121" t="s">
        <v>14285</v>
      </c>
      <c r="R994" s="16" t="s">
        <v>8904</v>
      </c>
      <c r="S994" s="10" t="s">
        <v>1163</v>
      </c>
      <c r="T994" s="28" t="s">
        <v>10189</v>
      </c>
      <c r="U994" s="20" t="s">
        <v>5359</v>
      </c>
      <c r="V994" s="16" t="s">
        <v>3243</v>
      </c>
      <c r="W994" s="20" t="s">
        <v>14432</v>
      </c>
      <c r="X994" s="174">
        <v>89.4</v>
      </c>
      <c r="Y994" s="174">
        <v>117.66</v>
      </c>
    </row>
    <row r="995" spans="1:25" ht="15" customHeight="1" x14ac:dyDescent="0.25">
      <c r="A995" s="20" t="s">
        <v>4799</v>
      </c>
      <c r="B995" s="14" t="s">
        <v>4800</v>
      </c>
      <c r="C995" s="71" t="str">
        <f t="shared" si="15"/>
        <v>Product Info</v>
      </c>
      <c r="D995" s="37" t="s">
        <v>4715</v>
      </c>
      <c r="E995" s="143">
        <v>3</v>
      </c>
      <c r="F995" s="12" t="s">
        <v>2170</v>
      </c>
      <c r="G995" s="38">
        <v>132.83000000000001</v>
      </c>
      <c r="H995" s="38">
        <v>112.91</v>
      </c>
      <c r="I995" s="38">
        <v>92.98</v>
      </c>
      <c r="J995" s="39"/>
      <c r="K995" s="143"/>
      <c r="L995" s="22">
        <v>9.75</v>
      </c>
      <c r="M995" s="22" t="s">
        <v>12488</v>
      </c>
      <c r="N995" s="20" t="s">
        <v>9245</v>
      </c>
      <c r="O995" s="16" t="s">
        <v>12608</v>
      </c>
      <c r="P995" s="143">
        <v>760</v>
      </c>
      <c r="Q995" s="122" t="s">
        <v>9227</v>
      </c>
      <c r="R995" s="16" t="s">
        <v>8904</v>
      </c>
      <c r="S995" s="10" t="s">
        <v>1163</v>
      </c>
      <c r="T995" s="28" t="s">
        <v>10190</v>
      </c>
      <c r="U995" s="20" t="s">
        <v>5359</v>
      </c>
      <c r="V995" s="16" t="s">
        <v>4799</v>
      </c>
      <c r="W995" s="20" t="s">
        <v>14432</v>
      </c>
      <c r="X995" s="174">
        <v>85.8</v>
      </c>
      <c r="Y995" s="174">
        <v>112.91</v>
      </c>
    </row>
    <row r="996" spans="1:25" ht="15" customHeight="1" x14ac:dyDescent="0.25">
      <c r="A996" s="20" t="s">
        <v>4801</v>
      </c>
      <c r="B996" s="14" t="s">
        <v>4802</v>
      </c>
      <c r="C996" s="71" t="str">
        <f t="shared" si="15"/>
        <v>Product Info</v>
      </c>
      <c r="D996" s="37" t="s">
        <v>4716</v>
      </c>
      <c r="E996" s="143">
        <v>3</v>
      </c>
      <c r="F996" s="12" t="s">
        <v>2170</v>
      </c>
      <c r="G996" s="38">
        <v>134.6</v>
      </c>
      <c r="H996" s="38">
        <v>114.41</v>
      </c>
      <c r="I996" s="38">
        <v>94.22</v>
      </c>
      <c r="J996" s="39"/>
      <c r="K996" s="143"/>
      <c r="L996" s="22">
        <v>9</v>
      </c>
      <c r="M996" s="22" t="s">
        <v>12488</v>
      </c>
      <c r="N996" s="20" t="s">
        <v>9268</v>
      </c>
      <c r="O996" s="16" t="s">
        <v>12608</v>
      </c>
      <c r="P996" s="143">
        <v>760</v>
      </c>
      <c r="Q996" s="122" t="s">
        <v>9227</v>
      </c>
      <c r="R996" s="16" t="s">
        <v>8904</v>
      </c>
      <c r="S996" s="10" t="s">
        <v>1163</v>
      </c>
      <c r="T996" s="28" t="s">
        <v>10191</v>
      </c>
      <c r="U996" s="20" t="s">
        <v>5359</v>
      </c>
      <c r="V996" s="16" t="s">
        <v>4801</v>
      </c>
      <c r="W996" s="20" t="s">
        <v>14432</v>
      </c>
      <c r="X996" s="174">
        <v>86.94</v>
      </c>
      <c r="Y996" s="174">
        <v>114.41</v>
      </c>
    </row>
    <row r="997" spans="1:25" ht="15" customHeight="1" x14ac:dyDescent="0.25">
      <c r="A997" s="20" t="s">
        <v>4803</v>
      </c>
      <c r="B997" s="14" t="s">
        <v>4804</v>
      </c>
      <c r="C997" s="71" t="str">
        <f t="shared" si="15"/>
        <v>Product Info</v>
      </c>
      <c r="D997" s="37" t="s">
        <v>4717</v>
      </c>
      <c r="E997" s="143">
        <v>3</v>
      </c>
      <c r="F997" s="12" t="s">
        <v>2170</v>
      </c>
      <c r="G997" s="38">
        <v>120.54</v>
      </c>
      <c r="H997" s="38">
        <v>102.47</v>
      </c>
      <c r="I997" s="38">
        <v>84.38</v>
      </c>
      <c r="J997" s="39"/>
      <c r="K997" s="143"/>
      <c r="L997" s="22">
        <v>4</v>
      </c>
      <c r="M997" s="22" t="s">
        <v>12488</v>
      </c>
      <c r="N997" s="20" t="s">
        <v>9241</v>
      </c>
      <c r="O997" s="16" t="s">
        <v>12608</v>
      </c>
      <c r="P997" s="143">
        <v>760</v>
      </c>
      <c r="Q997" s="121" t="s">
        <v>14285</v>
      </c>
      <c r="R997" s="16" t="s">
        <v>8904</v>
      </c>
      <c r="S997" s="10" t="s">
        <v>1163</v>
      </c>
      <c r="T997" s="28" t="s">
        <v>10192</v>
      </c>
      <c r="U997" s="20" t="s">
        <v>5359</v>
      </c>
      <c r="V997" s="16" t="s">
        <v>4803</v>
      </c>
      <c r="W997" s="20" t="s">
        <v>14432</v>
      </c>
      <c r="X997" s="174">
        <v>77.87</v>
      </c>
      <c r="Y997" s="174">
        <v>102.47</v>
      </c>
    </row>
    <row r="998" spans="1:25" ht="15" customHeight="1" x14ac:dyDescent="0.25">
      <c r="A998" s="20" t="s">
        <v>4805</v>
      </c>
      <c r="B998" s="14" t="s">
        <v>4806</v>
      </c>
      <c r="C998" s="71" t="str">
        <f t="shared" si="15"/>
        <v>Product Info</v>
      </c>
      <c r="D998" s="37" t="s">
        <v>4718</v>
      </c>
      <c r="E998" s="143">
        <v>3</v>
      </c>
      <c r="F998" s="12" t="s">
        <v>2170</v>
      </c>
      <c r="G998" s="38">
        <v>115.93</v>
      </c>
      <c r="H998" s="38">
        <v>98.54</v>
      </c>
      <c r="I998" s="38">
        <v>81.150000000000006</v>
      </c>
      <c r="J998" s="39"/>
      <c r="K998" s="143"/>
      <c r="L998" s="22">
        <v>1.425</v>
      </c>
      <c r="M998" s="22" t="s">
        <v>12488</v>
      </c>
      <c r="N998" s="20" t="s">
        <v>9269</v>
      </c>
      <c r="O998" s="16" t="s">
        <v>12608</v>
      </c>
      <c r="P998" s="143">
        <v>760</v>
      </c>
      <c r="Q998" s="121" t="s">
        <v>14285</v>
      </c>
      <c r="R998" s="16" t="s">
        <v>8904</v>
      </c>
      <c r="S998" s="10" t="s">
        <v>1163</v>
      </c>
      <c r="T998" s="28" t="s">
        <v>10193</v>
      </c>
      <c r="U998" s="20" t="s">
        <v>5359</v>
      </c>
      <c r="V998" s="16" t="s">
        <v>4805</v>
      </c>
      <c r="W998" s="20" t="s">
        <v>14432</v>
      </c>
      <c r="X998" s="174">
        <v>74.88</v>
      </c>
      <c r="Y998" s="174">
        <v>98.54</v>
      </c>
    </row>
    <row r="999" spans="1:25" ht="15" customHeight="1" x14ac:dyDescent="0.25">
      <c r="A999" s="20" t="s">
        <v>4807</v>
      </c>
      <c r="B999" s="14" t="s">
        <v>4808</v>
      </c>
      <c r="C999" s="71" t="str">
        <f t="shared" si="15"/>
        <v>Product Info</v>
      </c>
      <c r="D999" s="37" t="s">
        <v>4719</v>
      </c>
      <c r="E999" s="143">
        <v>3</v>
      </c>
      <c r="F999" s="12" t="s">
        <v>2170</v>
      </c>
      <c r="G999" s="38">
        <v>231.83</v>
      </c>
      <c r="H999" s="38">
        <v>197.06</v>
      </c>
      <c r="I999" s="38">
        <v>162.28</v>
      </c>
      <c r="J999" s="39"/>
      <c r="K999" s="143"/>
      <c r="L999" s="22">
        <v>8</v>
      </c>
      <c r="M999" s="22" t="s">
        <v>12488</v>
      </c>
      <c r="N999" s="20" t="s">
        <v>9270</v>
      </c>
      <c r="O999" s="16" t="s">
        <v>12608</v>
      </c>
      <c r="P999" s="143">
        <v>760</v>
      </c>
      <c r="Q999" s="121" t="s">
        <v>14285</v>
      </c>
      <c r="R999" s="16" t="s">
        <v>8904</v>
      </c>
      <c r="S999" s="10" t="s">
        <v>1163</v>
      </c>
      <c r="T999" s="28" t="s">
        <v>10194</v>
      </c>
      <c r="U999" s="20" t="s">
        <v>5359</v>
      </c>
      <c r="V999" s="16" t="s">
        <v>4807</v>
      </c>
      <c r="W999" s="20" t="s">
        <v>14432</v>
      </c>
      <c r="X999" s="174">
        <v>149.74</v>
      </c>
      <c r="Y999" s="174">
        <v>197.06</v>
      </c>
    </row>
    <row r="1000" spans="1:25" ht="15" customHeight="1" x14ac:dyDescent="0.25">
      <c r="A1000" s="20" t="s">
        <v>9046</v>
      </c>
      <c r="B1000" s="14" t="s">
        <v>9047</v>
      </c>
      <c r="C1000" s="71" t="str">
        <f t="shared" si="15"/>
        <v>Product Info</v>
      </c>
      <c r="D1000" s="37" t="s">
        <v>9048</v>
      </c>
      <c r="E1000" s="143">
        <v>10</v>
      </c>
      <c r="F1000" s="12" t="s">
        <v>4992</v>
      </c>
      <c r="G1000" s="38">
        <v>37.200000000000003</v>
      </c>
      <c r="H1000" s="38">
        <v>31.62</v>
      </c>
      <c r="I1000" s="38">
        <v>26.04</v>
      </c>
      <c r="J1000" s="39"/>
      <c r="K1000" s="143"/>
      <c r="L1000" s="22">
        <v>3</v>
      </c>
      <c r="M1000" s="22" t="s">
        <v>12487</v>
      </c>
      <c r="N1000" s="20" t="s">
        <v>9271</v>
      </c>
      <c r="O1000" s="16" t="s">
        <v>13912</v>
      </c>
      <c r="P1000" s="143">
        <v>760</v>
      </c>
      <c r="Q1000" s="121" t="s">
        <v>14285</v>
      </c>
      <c r="R1000" s="16" t="s">
        <v>8904</v>
      </c>
      <c r="S1000" s="10" t="s">
        <v>1163</v>
      </c>
      <c r="T1000" s="28" t="s">
        <v>12417</v>
      </c>
      <c r="U1000" s="20" t="s">
        <v>5359</v>
      </c>
      <c r="V1000" s="16" t="s">
        <v>9046</v>
      </c>
      <c r="W1000" s="20" t="s">
        <v>14432</v>
      </c>
      <c r="X1000" s="174">
        <v>24.03</v>
      </c>
      <c r="Y1000" s="174">
        <v>31.62</v>
      </c>
    </row>
    <row r="1001" spans="1:25" ht="15" customHeight="1" x14ac:dyDescent="0.25">
      <c r="A1001" s="20" t="s">
        <v>12666</v>
      </c>
      <c r="B1001" s="16" t="s">
        <v>12667</v>
      </c>
      <c r="C1001" s="71" t="str">
        <f t="shared" si="15"/>
        <v>Product Info</v>
      </c>
      <c r="D1001" s="37" t="s">
        <v>13086</v>
      </c>
      <c r="E1001" s="143">
        <v>6</v>
      </c>
      <c r="F1001" s="12" t="s">
        <v>4992</v>
      </c>
      <c r="G1001" s="38">
        <v>146.94</v>
      </c>
      <c r="H1001" s="38">
        <v>124.91</v>
      </c>
      <c r="I1001" s="38">
        <v>102.86</v>
      </c>
      <c r="J1001" s="39"/>
      <c r="K1001" s="143"/>
      <c r="L1001" s="22">
        <v>18</v>
      </c>
      <c r="M1001" s="22" t="s">
        <v>12488</v>
      </c>
      <c r="N1001" s="20" t="s">
        <v>13074</v>
      </c>
      <c r="O1001" s="16" t="s">
        <v>13912</v>
      </c>
      <c r="P1001" s="143">
        <v>760</v>
      </c>
      <c r="Q1001" s="121" t="s">
        <v>14285</v>
      </c>
      <c r="R1001" s="16" t="s">
        <v>8904</v>
      </c>
      <c r="S1001" s="10" t="s">
        <v>1163</v>
      </c>
      <c r="T1001" s="28" t="s">
        <v>12974</v>
      </c>
      <c r="U1001" s="20" t="s">
        <v>5359</v>
      </c>
      <c r="V1001" s="16" t="s">
        <v>12666</v>
      </c>
      <c r="W1001" s="20" t="s">
        <v>14432</v>
      </c>
      <c r="X1001" s="174">
        <v>94.91</v>
      </c>
      <c r="Y1001" s="174">
        <v>124.91</v>
      </c>
    </row>
    <row r="1002" spans="1:25" ht="15" customHeight="1" x14ac:dyDescent="0.25">
      <c r="A1002" s="20" t="s">
        <v>2604</v>
      </c>
      <c r="B1002" s="14" t="s">
        <v>2605</v>
      </c>
      <c r="C1002" s="71" t="str">
        <f t="shared" si="15"/>
        <v>Product Info</v>
      </c>
      <c r="D1002" s="37" t="s">
        <v>4720</v>
      </c>
      <c r="E1002" s="143">
        <v>1</v>
      </c>
      <c r="F1002" s="12" t="s">
        <v>2170</v>
      </c>
      <c r="G1002" s="38">
        <v>370.96</v>
      </c>
      <c r="H1002" s="38">
        <v>315.32</v>
      </c>
      <c r="I1002" s="38">
        <v>259.67</v>
      </c>
      <c r="J1002" s="39"/>
      <c r="K1002" s="143"/>
      <c r="L1002" s="22">
        <v>18</v>
      </c>
      <c r="M1002" s="22" t="s">
        <v>12488</v>
      </c>
      <c r="N1002" s="20" t="s">
        <v>9272</v>
      </c>
      <c r="O1002" s="16" t="s">
        <v>12608</v>
      </c>
      <c r="P1002" s="143">
        <v>760</v>
      </c>
      <c r="Q1002" s="121" t="s">
        <v>14285</v>
      </c>
      <c r="R1002" s="16" t="s">
        <v>8904</v>
      </c>
      <c r="S1002" s="10" t="s">
        <v>1163</v>
      </c>
      <c r="T1002" s="28" t="s">
        <v>10195</v>
      </c>
      <c r="U1002" s="20" t="s">
        <v>5359</v>
      </c>
      <c r="V1002" s="16" t="s">
        <v>2604</v>
      </c>
      <c r="W1002" s="20" t="s">
        <v>14432</v>
      </c>
      <c r="X1002" s="174">
        <v>239.61</v>
      </c>
      <c r="Y1002" s="174">
        <v>315.32</v>
      </c>
    </row>
    <row r="1003" spans="1:25" ht="15" customHeight="1" x14ac:dyDescent="0.25">
      <c r="A1003" s="20" t="s">
        <v>1190</v>
      </c>
      <c r="B1003" s="14" t="s">
        <v>1191</v>
      </c>
      <c r="C1003" s="71" t="str">
        <f t="shared" si="15"/>
        <v>Product Info</v>
      </c>
      <c r="D1003" s="37" t="s">
        <v>1192</v>
      </c>
      <c r="E1003" s="143">
        <v>3</v>
      </c>
      <c r="F1003" s="12" t="s">
        <v>4992</v>
      </c>
      <c r="G1003" s="38">
        <v>92.11</v>
      </c>
      <c r="H1003" s="38">
        <v>78.3</v>
      </c>
      <c r="I1003" s="38">
        <v>64.48</v>
      </c>
      <c r="J1003" s="39"/>
      <c r="K1003" s="143"/>
      <c r="L1003" s="22">
        <v>0</v>
      </c>
      <c r="M1003" s="22">
        <v>0</v>
      </c>
      <c r="N1003" s="20" t="s">
        <v>14489</v>
      </c>
      <c r="O1003" s="16">
        <v>0</v>
      </c>
      <c r="P1003" s="143">
        <v>760</v>
      </c>
      <c r="Q1003" s="121" t="s">
        <v>14285</v>
      </c>
      <c r="R1003" s="16" t="s">
        <v>8904</v>
      </c>
      <c r="S1003" s="10" t="s">
        <v>1163</v>
      </c>
      <c r="T1003" s="28" t="s">
        <v>10196</v>
      </c>
      <c r="U1003" s="20" t="s">
        <v>5359</v>
      </c>
      <c r="V1003" s="16" t="s">
        <v>1190</v>
      </c>
      <c r="W1003" s="20" t="s">
        <v>14432</v>
      </c>
      <c r="X1003" s="174">
        <v>59.5</v>
      </c>
      <c r="Y1003" s="174">
        <v>78.3</v>
      </c>
    </row>
    <row r="1004" spans="1:25" ht="15" customHeight="1" x14ac:dyDescent="0.25">
      <c r="A1004" s="20" t="s">
        <v>1193</v>
      </c>
      <c r="B1004" s="14" t="s">
        <v>1194</v>
      </c>
      <c r="C1004" s="71" t="str">
        <f t="shared" si="15"/>
        <v>Product Info</v>
      </c>
      <c r="D1004" s="37" t="s">
        <v>1195</v>
      </c>
      <c r="E1004" s="143">
        <v>3</v>
      </c>
      <c r="F1004" s="12" t="s">
        <v>4992</v>
      </c>
      <c r="G1004" s="38">
        <v>215.77</v>
      </c>
      <c r="H1004" s="38">
        <v>183.41</v>
      </c>
      <c r="I1004" s="38">
        <v>151.04</v>
      </c>
      <c r="J1004" s="39"/>
      <c r="K1004" s="143"/>
      <c r="L1004" s="22">
        <v>13.5</v>
      </c>
      <c r="M1004" s="22" t="s">
        <v>12488</v>
      </c>
      <c r="N1004" s="20" t="s">
        <v>8814</v>
      </c>
      <c r="O1004" s="16" t="s">
        <v>12608</v>
      </c>
      <c r="P1004" s="143">
        <v>760</v>
      </c>
      <c r="Q1004" s="121" t="s">
        <v>14285</v>
      </c>
      <c r="R1004" s="16" t="s">
        <v>8904</v>
      </c>
      <c r="S1004" s="10" t="s">
        <v>1163</v>
      </c>
      <c r="T1004" s="28" t="s">
        <v>10197</v>
      </c>
      <c r="U1004" s="20" t="s">
        <v>5359</v>
      </c>
      <c r="V1004" s="16" t="s">
        <v>1193</v>
      </c>
      <c r="W1004" s="20" t="s">
        <v>14432</v>
      </c>
      <c r="X1004" s="174">
        <v>139.37</v>
      </c>
      <c r="Y1004" s="174">
        <v>183.41</v>
      </c>
    </row>
    <row r="1005" spans="1:25" ht="15" customHeight="1" x14ac:dyDescent="0.25">
      <c r="A1005" s="20" t="s">
        <v>1196</v>
      </c>
      <c r="B1005" s="14" t="s">
        <v>1197</v>
      </c>
      <c r="C1005" s="71" t="str">
        <f t="shared" si="15"/>
        <v>Product Info</v>
      </c>
      <c r="D1005" s="37" t="s">
        <v>1198</v>
      </c>
      <c r="E1005" s="143">
        <v>3</v>
      </c>
      <c r="F1005" s="12" t="s">
        <v>4992</v>
      </c>
      <c r="G1005" s="38">
        <v>253.31</v>
      </c>
      <c r="H1005" s="38">
        <v>215.32</v>
      </c>
      <c r="I1005" s="38">
        <v>177.32</v>
      </c>
      <c r="J1005" s="39"/>
      <c r="K1005" s="143"/>
      <c r="L1005" s="22">
        <v>0</v>
      </c>
      <c r="M1005" s="22">
        <v>0</v>
      </c>
      <c r="N1005" s="20" t="s">
        <v>14489</v>
      </c>
      <c r="O1005" s="16" t="s">
        <v>12608</v>
      </c>
      <c r="P1005" s="143">
        <v>760</v>
      </c>
      <c r="Q1005" s="121" t="s">
        <v>14285</v>
      </c>
      <c r="R1005" s="16" t="s">
        <v>8904</v>
      </c>
      <c r="S1005" s="10" t="s">
        <v>1163</v>
      </c>
      <c r="T1005" s="28" t="s">
        <v>10198</v>
      </c>
      <c r="U1005" s="20" t="s">
        <v>5359</v>
      </c>
      <c r="V1005" s="16" t="s">
        <v>1196</v>
      </c>
      <c r="W1005" s="20" t="s">
        <v>14432</v>
      </c>
      <c r="X1005" s="174">
        <v>163.61000000000001</v>
      </c>
      <c r="Y1005" s="174">
        <v>215.32</v>
      </c>
    </row>
    <row r="1006" spans="1:25" ht="15" customHeight="1" x14ac:dyDescent="0.25">
      <c r="A1006" s="20" t="s">
        <v>1199</v>
      </c>
      <c r="B1006" s="14" t="s">
        <v>1200</v>
      </c>
      <c r="C1006" s="71" t="str">
        <f t="shared" si="15"/>
        <v>Product Info</v>
      </c>
      <c r="D1006" s="37" t="s">
        <v>1201</v>
      </c>
      <c r="E1006" s="143">
        <v>3</v>
      </c>
      <c r="F1006" s="12" t="s">
        <v>4992</v>
      </c>
      <c r="G1006" s="38">
        <v>152.30000000000001</v>
      </c>
      <c r="H1006" s="38">
        <v>129.46</v>
      </c>
      <c r="I1006" s="38">
        <v>106.61</v>
      </c>
      <c r="J1006" s="39"/>
      <c r="K1006" s="143"/>
      <c r="L1006" s="22">
        <v>0</v>
      </c>
      <c r="M1006" s="22">
        <v>0</v>
      </c>
      <c r="N1006" s="20" t="s">
        <v>14489</v>
      </c>
      <c r="O1006" s="16">
        <v>0</v>
      </c>
      <c r="P1006" s="143">
        <v>760</v>
      </c>
      <c r="Q1006" s="121" t="s">
        <v>14285</v>
      </c>
      <c r="R1006" s="16" t="s">
        <v>8904</v>
      </c>
      <c r="S1006" s="10" t="s">
        <v>1163</v>
      </c>
      <c r="T1006" s="28" t="s">
        <v>10199</v>
      </c>
      <c r="U1006" s="20" t="s">
        <v>5359</v>
      </c>
      <c r="V1006" s="16" t="s">
        <v>1199</v>
      </c>
      <c r="W1006" s="20" t="s">
        <v>14432</v>
      </c>
      <c r="X1006" s="174">
        <v>98.37</v>
      </c>
      <c r="Y1006" s="174">
        <v>129.46</v>
      </c>
    </row>
    <row r="1007" spans="1:25" ht="15" customHeight="1" x14ac:dyDescent="0.25">
      <c r="A1007" s="20" t="s">
        <v>2606</v>
      </c>
      <c r="B1007" s="14" t="s">
        <v>2607</v>
      </c>
      <c r="C1007" s="71" t="str">
        <f t="shared" si="15"/>
        <v>Product Info</v>
      </c>
      <c r="D1007" s="37" t="s">
        <v>4721</v>
      </c>
      <c r="E1007" s="143">
        <v>3</v>
      </c>
      <c r="F1007" s="12" t="s">
        <v>4992</v>
      </c>
      <c r="G1007" s="38">
        <v>247.39</v>
      </c>
      <c r="H1007" s="38">
        <v>210.29</v>
      </c>
      <c r="I1007" s="38">
        <v>173.17</v>
      </c>
      <c r="J1007" s="39"/>
      <c r="K1007" s="143"/>
      <c r="L1007" s="22">
        <v>0</v>
      </c>
      <c r="M1007" s="22">
        <v>0</v>
      </c>
      <c r="N1007" s="20" t="s">
        <v>14489</v>
      </c>
      <c r="O1007" s="16">
        <v>0</v>
      </c>
      <c r="P1007" s="143">
        <v>760</v>
      </c>
      <c r="Q1007" s="122" t="s">
        <v>9227</v>
      </c>
      <c r="R1007" s="16" t="s">
        <v>8904</v>
      </c>
      <c r="S1007" s="10" t="s">
        <v>1163</v>
      </c>
      <c r="T1007" s="28" t="s">
        <v>10200</v>
      </c>
      <c r="U1007" s="20" t="s">
        <v>5359</v>
      </c>
      <c r="V1007" s="16" t="s">
        <v>2606</v>
      </c>
      <c r="W1007" s="20" t="s">
        <v>14432</v>
      </c>
      <c r="X1007" s="174">
        <v>159.78</v>
      </c>
      <c r="Y1007" s="174">
        <v>210.29</v>
      </c>
    </row>
    <row r="1008" spans="1:25" ht="15" customHeight="1" x14ac:dyDescent="0.25">
      <c r="A1008" s="20" t="s">
        <v>1202</v>
      </c>
      <c r="B1008" s="14" t="s">
        <v>1203</v>
      </c>
      <c r="C1008" s="71" t="str">
        <f t="shared" si="15"/>
        <v>Product Info</v>
      </c>
      <c r="D1008" s="37" t="s">
        <v>1204</v>
      </c>
      <c r="E1008" s="143">
        <v>3</v>
      </c>
      <c r="F1008" s="12" t="s">
        <v>4992</v>
      </c>
      <c r="G1008" s="38">
        <v>122.59</v>
      </c>
      <c r="H1008" s="38">
        <v>104.2</v>
      </c>
      <c r="I1008" s="38">
        <v>85.81</v>
      </c>
      <c r="J1008" s="39"/>
      <c r="K1008" s="143"/>
      <c r="L1008" s="22">
        <v>3.9</v>
      </c>
      <c r="M1008" s="22" t="s">
        <v>12488</v>
      </c>
      <c r="N1008" s="20" t="s">
        <v>8818</v>
      </c>
      <c r="O1008" s="16" t="s">
        <v>12608</v>
      </c>
      <c r="P1008" s="143">
        <v>760</v>
      </c>
      <c r="Q1008" s="121" t="s">
        <v>14285</v>
      </c>
      <c r="R1008" s="16" t="s">
        <v>8904</v>
      </c>
      <c r="S1008" s="10" t="s">
        <v>1163</v>
      </c>
      <c r="T1008" s="28" t="s">
        <v>10201</v>
      </c>
      <c r="U1008" s="20" t="s">
        <v>5359</v>
      </c>
      <c r="V1008" s="16" t="s">
        <v>1202</v>
      </c>
      <c r="W1008" s="20" t="s">
        <v>14432</v>
      </c>
      <c r="X1008" s="174">
        <v>79.180000000000007</v>
      </c>
      <c r="Y1008" s="174">
        <v>104.2</v>
      </c>
    </row>
    <row r="1009" spans="1:25" ht="15" customHeight="1" x14ac:dyDescent="0.25">
      <c r="A1009" s="20" t="s">
        <v>1205</v>
      </c>
      <c r="B1009" s="14" t="s">
        <v>1206</v>
      </c>
      <c r="C1009" s="71" t="str">
        <f t="shared" si="15"/>
        <v>Product Info</v>
      </c>
      <c r="D1009" s="37" t="s">
        <v>1207</v>
      </c>
      <c r="E1009" s="143">
        <v>3</v>
      </c>
      <c r="F1009" s="12" t="s">
        <v>4992</v>
      </c>
      <c r="G1009" s="38">
        <v>46.7</v>
      </c>
      <c r="H1009" s="38">
        <v>39.700000000000003</v>
      </c>
      <c r="I1009" s="38">
        <v>32.69</v>
      </c>
      <c r="J1009" s="39"/>
      <c r="K1009" s="143"/>
      <c r="L1009" s="22">
        <v>0</v>
      </c>
      <c r="M1009" s="22">
        <v>0</v>
      </c>
      <c r="N1009" s="20" t="s">
        <v>14489</v>
      </c>
      <c r="O1009" s="16">
        <v>0</v>
      </c>
      <c r="P1009" s="143">
        <v>760</v>
      </c>
      <c r="Q1009" s="121" t="s">
        <v>14285</v>
      </c>
      <c r="R1009" s="16" t="s">
        <v>8904</v>
      </c>
      <c r="S1009" s="10" t="s">
        <v>1163</v>
      </c>
      <c r="T1009" s="28" t="s">
        <v>10202</v>
      </c>
      <c r="U1009" s="20" t="s">
        <v>5359</v>
      </c>
      <c r="V1009" s="16" t="s">
        <v>1205</v>
      </c>
      <c r="W1009" s="20" t="s">
        <v>14432</v>
      </c>
      <c r="X1009" s="174">
        <v>30.16</v>
      </c>
      <c r="Y1009" s="174">
        <v>39.700000000000003</v>
      </c>
    </row>
    <row r="1010" spans="1:25" ht="15" customHeight="1" x14ac:dyDescent="0.25">
      <c r="A1010" s="20" t="s">
        <v>2608</v>
      </c>
      <c r="B1010" s="14" t="s">
        <v>275</v>
      </c>
      <c r="C1010" s="71" t="str">
        <f t="shared" si="15"/>
        <v>Product Info</v>
      </c>
      <c r="D1010" s="37" t="s">
        <v>8018</v>
      </c>
      <c r="E1010" s="143">
        <v>3</v>
      </c>
      <c r="F1010" s="12" t="s">
        <v>4992</v>
      </c>
      <c r="G1010" s="38">
        <v>117</v>
      </c>
      <c r="H1010" s="38">
        <v>99.45</v>
      </c>
      <c r="I1010" s="38">
        <v>81.900000000000006</v>
      </c>
      <c r="J1010" s="39"/>
      <c r="K1010" s="143"/>
      <c r="L1010" s="22">
        <v>0</v>
      </c>
      <c r="M1010" s="22">
        <v>0</v>
      </c>
      <c r="N1010" s="20" t="s">
        <v>14489</v>
      </c>
      <c r="O1010" s="16">
        <v>0</v>
      </c>
      <c r="P1010" s="143">
        <v>760</v>
      </c>
      <c r="Q1010" s="122" t="s">
        <v>12421</v>
      </c>
      <c r="R1010" s="16" t="s">
        <v>8904</v>
      </c>
      <c r="S1010" s="10" t="s">
        <v>1163</v>
      </c>
      <c r="T1010" s="28" t="s">
        <v>10203</v>
      </c>
      <c r="U1010" s="20" t="s">
        <v>5359</v>
      </c>
      <c r="V1010" s="16" t="s">
        <v>2608</v>
      </c>
      <c r="W1010" s="20" t="s">
        <v>14432</v>
      </c>
      <c r="X1010" s="174">
        <v>75.569999999999993</v>
      </c>
      <c r="Y1010" s="174">
        <v>99.45</v>
      </c>
    </row>
    <row r="1011" spans="1:25" ht="15" customHeight="1" x14ac:dyDescent="0.25">
      <c r="A1011" s="20" t="s">
        <v>1208</v>
      </c>
      <c r="B1011" s="14" t="s">
        <v>1209</v>
      </c>
      <c r="C1011" s="71" t="str">
        <f t="shared" si="15"/>
        <v>Product Info</v>
      </c>
      <c r="D1011" s="37" t="s">
        <v>1210</v>
      </c>
      <c r="E1011" s="143">
        <v>3</v>
      </c>
      <c r="F1011" s="12" t="s">
        <v>4992</v>
      </c>
      <c r="G1011" s="38">
        <v>71.61</v>
      </c>
      <c r="H1011" s="38">
        <v>60.87</v>
      </c>
      <c r="I1011" s="38">
        <v>50.13</v>
      </c>
      <c r="J1011" s="39"/>
      <c r="K1011" s="143"/>
      <c r="L1011" s="22">
        <v>0</v>
      </c>
      <c r="M1011" s="22">
        <v>0</v>
      </c>
      <c r="N1011" s="20" t="s">
        <v>14489</v>
      </c>
      <c r="O1011" s="16">
        <v>0</v>
      </c>
      <c r="P1011" s="143">
        <v>760</v>
      </c>
      <c r="Q1011" s="121" t="s">
        <v>14285</v>
      </c>
      <c r="R1011" s="16" t="s">
        <v>8904</v>
      </c>
      <c r="S1011" s="10" t="s">
        <v>1163</v>
      </c>
      <c r="T1011" s="28" t="s">
        <v>10204</v>
      </c>
      <c r="U1011" s="20" t="s">
        <v>5359</v>
      </c>
      <c r="V1011" s="16" t="s">
        <v>1208</v>
      </c>
      <c r="W1011" s="20" t="s">
        <v>14432</v>
      </c>
      <c r="X1011" s="174">
        <v>46.26</v>
      </c>
      <c r="Y1011" s="174">
        <v>60.87</v>
      </c>
    </row>
    <row r="1012" spans="1:25" ht="15" customHeight="1" x14ac:dyDescent="0.25">
      <c r="A1012" s="20" t="s">
        <v>1211</v>
      </c>
      <c r="B1012" s="14" t="s">
        <v>1212</v>
      </c>
      <c r="C1012" s="71" t="str">
        <f t="shared" si="15"/>
        <v>Product Info</v>
      </c>
      <c r="D1012" s="37" t="s">
        <v>1213</v>
      </c>
      <c r="E1012" s="143">
        <v>3</v>
      </c>
      <c r="F1012" s="12" t="s">
        <v>4992</v>
      </c>
      <c r="G1012" s="38">
        <v>118.69</v>
      </c>
      <c r="H1012" s="38">
        <v>100.89</v>
      </c>
      <c r="I1012" s="38">
        <v>83.08</v>
      </c>
      <c r="J1012" s="39"/>
      <c r="K1012" s="143"/>
      <c r="L1012" s="22">
        <v>0</v>
      </c>
      <c r="M1012" s="22">
        <v>0</v>
      </c>
      <c r="N1012" s="20" t="s">
        <v>14489</v>
      </c>
      <c r="O1012" s="16" t="s">
        <v>12608</v>
      </c>
      <c r="P1012" s="143">
        <v>760</v>
      </c>
      <c r="Q1012" s="121" t="s">
        <v>14285</v>
      </c>
      <c r="R1012" s="16" t="s">
        <v>8904</v>
      </c>
      <c r="S1012" s="10" t="s">
        <v>1163</v>
      </c>
      <c r="T1012" s="28" t="s">
        <v>10205</v>
      </c>
      <c r="U1012" s="20" t="s">
        <v>5359</v>
      </c>
      <c r="V1012" s="16" t="s">
        <v>1211</v>
      </c>
      <c r="W1012" s="20" t="s">
        <v>14432</v>
      </c>
      <c r="X1012" s="174">
        <v>76.66</v>
      </c>
      <c r="Y1012" s="174">
        <v>100.89</v>
      </c>
    </row>
    <row r="1013" spans="1:25" ht="15" customHeight="1" x14ac:dyDescent="0.25">
      <c r="A1013" s="20" t="s">
        <v>1214</v>
      </c>
      <c r="B1013" s="14" t="s">
        <v>1215</v>
      </c>
      <c r="C1013" s="71" t="str">
        <f t="shared" si="15"/>
        <v>Product Info</v>
      </c>
      <c r="D1013" s="37" t="s">
        <v>1216</v>
      </c>
      <c r="E1013" s="143">
        <v>3</v>
      </c>
      <c r="F1013" s="12" t="s">
        <v>4992</v>
      </c>
      <c r="G1013" s="38">
        <v>50.4</v>
      </c>
      <c r="H1013" s="38">
        <v>42.84</v>
      </c>
      <c r="I1013" s="38">
        <v>35.28</v>
      </c>
      <c r="J1013" s="39"/>
      <c r="K1013" s="143"/>
      <c r="L1013" s="22">
        <v>0</v>
      </c>
      <c r="M1013" s="22">
        <v>0</v>
      </c>
      <c r="N1013" s="20" t="s">
        <v>14489</v>
      </c>
      <c r="O1013" s="16">
        <v>0</v>
      </c>
      <c r="P1013" s="143">
        <v>760</v>
      </c>
      <c r="Q1013" s="121" t="s">
        <v>14285</v>
      </c>
      <c r="R1013" s="16" t="s">
        <v>8904</v>
      </c>
      <c r="S1013" s="10" t="s">
        <v>1163</v>
      </c>
      <c r="T1013" s="28" t="s">
        <v>10206</v>
      </c>
      <c r="U1013" s="20" t="s">
        <v>5359</v>
      </c>
      <c r="V1013" s="16" t="s">
        <v>1214</v>
      </c>
      <c r="W1013" s="20" t="s">
        <v>14432</v>
      </c>
      <c r="X1013" s="174">
        <v>32.549999999999997</v>
      </c>
      <c r="Y1013" s="174">
        <v>42.84</v>
      </c>
    </row>
    <row r="1014" spans="1:25" ht="15" customHeight="1" x14ac:dyDescent="0.25">
      <c r="A1014" s="20" t="s">
        <v>2609</v>
      </c>
      <c r="B1014" s="14" t="s">
        <v>2610</v>
      </c>
      <c r="C1014" s="71" t="str">
        <f t="shared" si="15"/>
        <v>Product Info</v>
      </c>
      <c r="D1014" s="37" t="s">
        <v>4722</v>
      </c>
      <c r="E1014" s="143">
        <v>3</v>
      </c>
      <c r="F1014" s="12" t="s">
        <v>4992</v>
      </c>
      <c r="G1014" s="38">
        <v>222.59</v>
      </c>
      <c r="H1014" s="38">
        <v>189.2</v>
      </c>
      <c r="I1014" s="38">
        <v>155.81</v>
      </c>
      <c r="J1014" s="39"/>
      <c r="K1014" s="143"/>
      <c r="L1014" s="22">
        <v>0</v>
      </c>
      <c r="M1014" s="22">
        <v>0</v>
      </c>
      <c r="N1014" s="20" t="s">
        <v>14489</v>
      </c>
      <c r="O1014" s="16">
        <v>0</v>
      </c>
      <c r="P1014" s="143">
        <v>760</v>
      </c>
      <c r="Q1014" s="121" t="s">
        <v>14285</v>
      </c>
      <c r="R1014" s="16" t="s">
        <v>8904</v>
      </c>
      <c r="S1014" s="10" t="s">
        <v>1163</v>
      </c>
      <c r="T1014" s="28" t="s">
        <v>10207</v>
      </c>
      <c r="U1014" s="20" t="s">
        <v>5359</v>
      </c>
      <c r="V1014" s="16" t="s">
        <v>2609</v>
      </c>
      <c r="W1014" s="20" t="s">
        <v>14432</v>
      </c>
      <c r="X1014" s="174">
        <v>143.76</v>
      </c>
      <c r="Y1014" s="174">
        <v>189.2</v>
      </c>
    </row>
    <row r="1015" spans="1:25" ht="15" customHeight="1" x14ac:dyDescent="0.25">
      <c r="A1015" s="20" t="s">
        <v>1217</v>
      </c>
      <c r="B1015" s="14" t="s">
        <v>1218</v>
      </c>
      <c r="C1015" s="71" t="str">
        <f t="shared" si="15"/>
        <v>Product Info</v>
      </c>
      <c r="D1015" s="37" t="s">
        <v>1219</v>
      </c>
      <c r="E1015" s="143">
        <v>3</v>
      </c>
      <c r="F1015" s="12" t="s">
        <v>4992</v>
      </c>
      <c r="G1015" s="38">
        <v>134.84</v>
      </c>
      <c r="H1015" s="38">
        <v>114.62</v>
      </c>
      <c r="I1015" s="38">
        <v>94.39</v>
      </c>
      <c r="J1015" s="39"/>
      <c r="K1015" s="143"/>
      <c r="L1015" s="22">
        <v>0</v>
      </c>
      <c r="M1015" s="22">
        <v>0</v>
      </c>
      <c r="N1015" s="20" t="s">
        <v>14489</v>
      </c>
      <c r="O1015" s="16">
        <v>0</v>
      </c>
      <c r="P1015" s="143">
        <v>760</v>
      </c>
      <c r="Q1015" s="122" t="s">
        <v>9227</v>
      </c>
      <c r="R1015" s="16" t="s">
        <v>8904</v>
      </c>
      <c r="S1015" s="10" t="s">
        <v>1163</v>
      </c>
      <c r="T1015" s="28" t="s">
        <v>10208</v>
      </c>
      <c r="U1015" s="20" t="s">
        <v>5359</v>
      </c>
      <c r="V1015" s="16" t="s">
        <v>1217</v>
      </c>
      <c r="W1015" s="20" t="s">
        <v>14432</v>
      </c>
      <c r="X1015" s="174">
        <v>87.1</v>
      </c>
      <c r="Y1015" s="174">
        <v>114.62</v>
      </c>
    </row>
    <row r="1016" spans="1:25" ht="15" customHeight="1" x14ac:dyDescent="0.25">
      <c r="A1016" s="20" t="s">
        <v>1220</v>
      </c>
      <c r="B1016" s="14" t="s">
        <v>1221</v>
      </c>
      <c r="C1016" s="71" t="str">
        <f t="shared" si="15"/>
        <v>Product Info</v>
      </c>
      <c r="D1016" s="37" t="s">
        <v>1222</v>
      </c>
      <c r="E1016" s="143">
        <v>12</v>
      </c>
      <c r="F1016" s="12" t="s">
        <v>4992</v>
      </c>
      <c r="G1016" s="38">
        <v>70.19</v>
      </c>
      <c r="H1016" s="38">
        <v>59.66</v>
      </c>
      <c r="I1016" s="38">
        <v>49.13</v>
      </c>
      <c r="J1016" s="39"/>
      <c r="K1016" s="143"/>
      <c r="L1016" s="22">
        <v>0</v>
      </c>
      <c r="M1016" s="22">
        <v>0</v>
      </c>
      <c r="N1016" s="20" t="s">
        <v>14489</v>
      </c>
      <c r="O1016" s="16">
        <v>0</v>
      </c>
      <c r="P1016" s="143">
        <v>760</v>
      </c>
      <c r="Q1016" s="121" t="s">
        <v>14285</v>
      </c>
      <c r="R1016" s="16" t="s">
        <v>8904</v>
      </c>
      <c r="S1016" s="10" t="s">
        <v>1163</v>
      </c>
      <c r="T1016" s="28" t="s">
        <v>10209</v>
      </c>
      <c r="U1016" s="20" t="s">
        <v>5359</v>
      </c>
      <c r="V1016" s="16" t="s">
        <v>1220</v>
      </c>
      <c r="W1016" s="20" t="s">
        <v>14432</v>
      </c>
      <c r="X1016" s="174">
        <v>45.34</v>
      </c>
      <c r="Y1016" s="174">
        <v>59.66</v>
      </c>
    </row>
    <row r="1017" spans="1:25" ht="15" customHeight="1" x14ac:dyDescent="0.25">
      <c r="A1017" s="20" t="s">
        <v>2611</v>
      </c>
      <c r="B1017" s="14" t="s">
        <v>2612</v>
      </c>
      <c r="C1017" s="71" t="str">
        <f t="shared" si="15"/>
        <v>Product Info</v>
      </c>
      <c r="D1017" s="37" t="s">
        <v>4723</v>
      </c>
      <c r="E1017" s="143">
        <v>3</v>
      </c>
      <c r="F1017" s="12" t="s">
        <v>4992</v>
      </c>
      <c r="G1017" s="38">
        <v>134.47</v>
      </c>
      <c r="H1017" s="38">
        <v>114.3</v>
      </c>
      <c r="I1017" s="38">
        <v>94.13</v>
      </c>
      <c r="J1017" s="39"/>
      <c r="K1017" s="143"/>
      <c r="L1017" s="22">
        <v>0</v>
      </c>
      <c r="M1017" s="22">
        <v>0</v>
      </c>
      <c r="N1017" s="20" t="s">
        <v>14489</v>
      </c>
      <c r="O1017" s="16">
        <v>0</v>
      </c>
      <c r="P1017" s="143">
        <v>760</v>
      </c>
      <c r="Q1017" s="122" t="s">
        <v>12421</v>
      </c>
      <c r="R1017" s="16" t="s">
        <v>8904</v>
      </c>
      <c r="S1017" s="10" t="s">
        <v>1163</v>
      </c>
      <c r="T1017" s="28" t="s">
        <v>10210</v>
      </c>
      <c r="U1017" s="20" t="s">
        <v>5359</v>
      </c>
      <c r="V1017" s="16" t="s">
        <v>2611</v>
      </c>
      <c r="W1017" s="20" t="s">
        <v>14432</v>
      </c>
      <c r="X1017" s="174">
        <v>86.85</v>
      </c>
      <c r="Y1017" s="174">
        <v>114.3</v>
      </c>
    </row>
    <row r="1018" spans="1:25" ht="15" customHeight="1" x14ac:dyDescent="0.25">
      <c r="A1018" s="20" t="s">
        <v>1223</v>
      </c>
      <c r="B1018" s="14" t="s">
        <v>1224</v>
      </c>
      <c r="C1018" s="71" t="str">
        <f t="shared" si="15"/>
        <v>Product Info</v>
      </c>
      <c r="D1018" s="37" t="s">
        <v>1225</v>
      </c>
      <c r="E1018" s="143">
        <v>3</v>
      </c>
      <c r="F1018" s="12" t="s">
        <v>4992</v>
      </c>
      <c r="G1018" s="38">
        <v>134.6</v>
      </c>
      <c r="H1018" s="38">
        <v>114.41</v>
      </c>
      <c r="I1018" s="38">
        <v>94.22</v>
      </c>
      <c r="J1018" s="39"/>
      <c r="K1018" s="143"/>
      <c r="L1018" s="22">
        <v>0</v>
      </c>
      <c r="M1018" s="22">
        <v>0</v>
      </c>
      <c r="N1018" s="20" t="s">
        <v>14489</v>
      </c>
      <c r="O1018" s="16">
        <v>0</v>
      </c>
      <c r="P1018" s="143">
        <v>760</v>
      </c>
      <c r="Q1018" s="121" t="s">
        <v>14285</v>
      </c>
      <c r="R1018" s="16" t="s">
        <v>8904</v>
      </c>
      <c r="S1018" s="10" t="s">
        <v>1163</v>
      </c>
      <c r="T1018" s="28" t="s">
        <v>10211</v>
      </c>
      <c r="U1018" s="20" t="s">
        <v>5359</v>
      </c>
      <c r="V1018" s="16" t="s">
        <v>1223</v>
      </c>
      <c r="W1018" s="20" t="s">
        <v>14432</v>
      </c>
      <c r="X1018" s="174">
        <v>86.94</v>
      </c>
      <c r="Y1018" s="174">
        <v>114.41</v>
      </c>
    </row>
    <row r="1019" spans="1:25" ht="15" customHeight="1" x14ac:dyDescent="0.25">
      <c r="A1019" s="20" t="s">
        <v>2613</v>
      </c>
      <c r="B1019" s="14" t="s">
        <v>2138</v>
      </c>
      <c r="C1019" s="71" t="str">
        <f t="shared" si="15"/>
        <v>Product Info</v>
      </c>
      <c r="D1019" s="37" t="s">
        <v>4724</v>
      </c>
      <c r="E1019" s="143">
        <v>12</v>
      </c>
      <c r="F1019" s="12" t="s">
        <v>4992</v>
      </c>
      <c r="G1019" s="38">
        <v>31.16</v>
      </c>
      <c r="H1019" s="38">
        <v>26.48</v>
      </c>
      <c r="I1019" s="38">
        <v>21.81</v>
      </c>
      <c r="J1019" s="39"/>
      <c r="K1019" s="143"/>
      <c r="L1019" s="22">
        <v>15.6</v>
      </c>
      <c r="M1019" s="22" t="s">
        <v>12488</v>
      </c>
      <c r="N1019" s="20" t="s">
        <v>9257</v>
      </c>
      <c r="O1019" s="16" t="s">
        <v>12608</v>
      </c>
      <c r="P1019" s="143">
        <v>760</v>
      </c>
      <c r="Q1019" s="122" t="s">
        <v>9227</v>
      </c>
      <c r="R1019" s="16" t="s">
        <v>8904</v>
      </c>
      <c r="S1019" s="10" t="s">
        <v>1163</v>
      </c>
      <c r="T1019" s="28" t="s">
        <v>10212</v>
      </c>
      <c r="U1019" s="20" t="s">
        <v>5359</v>
      </c>
      <c r="V1019" s="16" t="s">
        <v>2613</v>
      </c>
      <c r="W1019" s="20" t="s">
        <v>14432</v>
      </c>
      <c r="X1019" s="174">
        <v>20.12</v>
      </c>
      <c r="Y1019" s="174">
        <v>26.48</v>
      </c>
    </row>
    <row r="1020" spans="1:25" ht="15" customHeight="1" x14ac:dyDescent="0.25">
      <c r="A1020" s="20" t="s">
        <v>2139</v>
      </c>
      <c r="B1020" s="14" t="s">
        <v>2140</v>
      </c>
      <c r="C1020" s="71" t="str">
        <f t="shared" si="15"/>
        <v>Product Info</v>
      </c>
      <c r="D1020" s="37" t="s">
        <v>4725</v>
      </c>
      <c r="E1020" s="143">
        <v>12</v>
      </c>
      <c r="F1020" s="12" t="s">
        <v>4992</v>
      </c>
      <c r="G1020" s="38">
        <v>52.91</v>
      </c>
      <c r="H1020" s="38">
        <v>44.98</v>
      </c>
      <c r="I1020" s="38">
        <v>37.04</v>
      </c>
      <c r="J1020" s="39"/>
      <c r="K1020" s="143"/>
      <c r="L1020" s="22">
        <v>25</v>
      </c>
      <c r="M1020" s="22" t="s">
        <v>12488</v>
      </c>
      <c r="N1020" s="20" t="s">
        <v>9273</v>
      </c>
      <c r="O1020" s="16" t="s">
        <v>12608</v>
      </c>
      <c r="P1020" s="143">
        <v>760</v>
      </c>
      <c r="Q1020" s="121" t="s">
        <v>14285</v>
      </c>
      <c r="R1020" s="16" t="s">
        <v>8904</v>
      </c>
      <c r="S1020" s="10" t="s">
        <v>1163</v>
      </c>
      <c r="T1020" s="28" t="s">
        <v>10213</v>
      </c>
      <c r="U1020" s="20" t="s">
        <v>5359</v>
      </c>
      <c r="V1020" s="16" t="s">
        <v>2139</v>
      </c>
      <c r="W1020" s="20" t="s">
        <v>14432</v>
      </c>
      <c r="X1020" s="174">
        <v>34.18</v>
      </c>
      <c r="Y1020" s="174">
        <v>44.98</v>
      </c>
    </row>
    <row r="1021" spans="1:25" ht="15" customHeight="1" x14ac:dyDescent="0.25">
      <c r="A1021" s="20" t="s">
        <v>5841</v>
      </c>
      <c r="B1021" s="14" t="s">
        <v>276</v>
      </c>
      <c r="C1021" s="71" t="str">
        <f t="shared" si="15"/>
        <v>Product Info</v>
      </c>
      <c r="D1021" s="37" t="s">
        <v>5842</v>
      </c>
      <c r="E1021" s="143">
        <v>3</v>
      </c>
      <c r="F1021" s="12" t="s">
        <v>4992</v>
      </c>
      <c r="G1021" s="38">
        <v>153.1</v>
      </c>
      <c r="H1021" s="38">
        <v>130.13999999999999</v>
      </c>
      <c r="I1021" s="38">
        <v>107.17</v>
      </c>
      <c r="J1021" s="39"/>
      <c r="K1021" s="143"/>
      <c r="L1021" s="22">
        <v>0</v>
      </c>
      <c r="M1021" s="22" t="s">
        <v>12488</v>
      </c>
      <c r="N1021" s="20" t="s">
        <v>14489</v>
      </c>
      <c r="O1021" s="16" t="s">
        <v>12608</v>
      </c>
      <c r="P1021" s="143">
        <v>760</v>
      </c>
      <c r="Q1021" s="122" t="s">
        <v>9227</v>
      </c>
      <c r="R1021" s="16" t="s">
        <v>8904</v>
      </c>
      <c r="S1021" s="10" t="s">
        <v>1163</v>
      </c>
      <c r="T1021" s="28" t="s">
        <v>10214</v>
      </c>
      <c r="U1021" s="20" t="s">
        <v>5359</v>
      </c>
      <c r="V1021" s="16" t="s">
        <v>5841</v>
      </c>
      <c r="W1021" s="20" t="s">
        <v>14432</v>
      </c>
      <c r="X1021" s="174">
        <v>98.89</v>
      </c>
      <c r="Y1021" s="174">
        <v>130.13999999999999</v>
      </c>
    </row>
    <row r="1022" spans="1:25" ht="15" customHeight="1" x14ac:dyDescent="0.25">
      <c r="A1022" s="20" t="s">
        <v>6218</v>
      </c>
      <c r="B1022" s="14" t="s">
        <v>6219</v>
      </c>
      <c r="C1022" s="71" t="str">
        <f t="shared" si="15"/>
        <v>Product Info</v>
      </c>
      <c r="D1022" s="37" t="s">
        <v>1485</v>
      </c>
      <c r="E1022" s="143">
        <v>6</v>
      </c>
      <c r="F1022" s="12" t="s">
        <v>4992</v>
      </c>
      <c r="G1022" s="38">
        <v>120.23</v>
      </c>
      <c r="H1022" s="38">
        <v>102.2</v>
      </c>
      <c r="I1022" s="38">
        <v>84.16</v>
      </c>
      <c r="J1022" s="39"/>
      <c r="K1022" s="143"/>
      <c r="L1022" s="22">
        <v>0</v>
      </c>
      <c r="M1022" s="22">
        <v>0</v>
      </c>
      <c r="N1022" s="20" t="s">
        <v>14489</v>
      </c>
      <c r="O1022" s="16">
        <v>0</v>
      </c>
      <c r="P1022" s="143">
        <v>760</v>
      </c>
      <c r="Q1022" s="122" t="s">
        <v>12421</v>
      </c>
      <c r="R1022" s="16" t="s">
        <v>8904</v>
      </c>
      <c r="S1022" s="10" t="s">
        <v>1163</v>
      </c>
      <c r="T1022" s="28" t="s">
        <v>10215</v>
      </c>
      <c r="U1022" s="20" t="s">
        <v>5359</v>
      </c>
      <c r="V1022" s="16" t="s">
        <v>6218</v>
      </c>
      <c r="W1022" s="20" t="s">
        <v>14432</v>
      </c>
      <c r="X1022" s="174">
        <v>77.650000000000006</v>
      </c>
      <c r="Y1022" s="174">
        <v>102.2</v>
      </c>
    </row>
    <row r="1023" spans="1:25" ht="15" customHeight="1" x14ac:dyDescent="0.25">
      <c r="A1023" s="20" t="s">
        <v>2141</v>
      </c>
      <c r="B1023" s="14" t="s">
        <v>2142</v>
      </c>
      <c r="C1023" s="71" t="str">
        <f t="shared" si="15"/>
        <v>Product Info</v>
      </c>
      <c r="D1023" s="37" t="s">
        <v>7727</v>
      </c>
      <c r="E1023" s="143">
        <v>6</v>
      </c>
      <c r="F1023" s="12" t="s">
        <v>4992</v>
      </c>
      <c r="G1023" s="38">
        <v>233.27</v>
      </c>
      <c r="H1023" s="38">
        <v>198.29</v>
      </c>
      <c r="I1023" s="38">
        <v>163.29</v>
      </c>
      <c r="J1023" s="39"/>
      <c r="K1023" s="143"/>
      <c r="L1023" s="22">
        <v>0</v>
      </c>
      <c r="M1023" s="22">
        <v>0</v>
      </c>
      <c r="N1023" s="20" t="s">
        <v>14489</v>
      </c>
      <c r="O1023" s="16">
        <v>0</v>
      </c>
      <c r="P1023" s="143">
        <v>760</v>
      </c>
      <c r="Q1023" s="121" t="s">
        <v>14285</v>
      </c>
      <c r="R1023" s="16" t="s">
        <v>8904</v>
      </c>
      <c r="S1023" s="10" t="s">
        <v>1163</v>
      </c>
      <c r="T1023" s="28" t="s">
        <v>10216</v>
      </c>
      <c r="U1023" s="20" t="s">
        <v>5359</v>
      </c>
      <c r="V1023" s="16" t="s">
        <v>2141</v>
      </c>
      <c r="W1023" s="20" t="s">
        <v>14432</v>
      </c>
      <c r="X1023" s="174">
        <v>150.66999999999999</v>
      </c>
      <c r="Y1023" s="174">
        <v>198.29</v>
      </c>
    </row>
    <row r="1024" spans="1:25" ht="15" customHeight="1" x14ac:dyDescent="0.25">
      <c r="A1024" s="20" t="s">
        <v>2143</v>
      </c>
      <c r="B1024" s="14" t="s">
        <v>1084</v>
      </c>
      <c r="C1024" s="71" t="str">
        <f t="shared" si="15"/>
        <v>Product Info</v>
      </c>
      <c r="D1024" s="37" t="s">
        <v>4726</v>
      </c>
      <c r="E1024" s="143">
        <v>6</v>
      </c>
      <c r="F1024" s="12" t="s">
        <v>4992</v>
      </c>
      <c r="G1024" s="38">
        <v>163.03</v>
      </c>
      <c r="H1024" s="38">
        <v>138.58000000000001</v>
      </c>
      <c r="I1024" s="38">
        <v>114.12</v>
      </c>
      <c r="J1024" s="39"/>
      <c r="K1024" s="143"/>
      <c r="L1024" s="22">
        <v>18</v>
      </c>
      <c r="M1024" s="22" t="s">
        <v>12488</v>
      </c>
      <c r="N1024" s="20" t="s">
        <v>9274</v>
      </c>
      <c r="O1024" s="16" t="s">
        <v>12608</v>
      </c>
      <c r="P1024" s="143">
        <v>760</v>
      </c>
      <c r="Q1024" s="122" t="s">
        <v>12421</v>
      </c>
      <c r="R1024" s="16" t="s">
        <v>8904</v>
      </c>
      <c r="S1024" s="10" t="s">
        <v>1163</v>
      </c>
      <c r="T1024" s="28" t="s">
        <v>10217</v>
      </c>
      <c r="U1024" s="20" t="s">
        <v>5359</v>
      </c>
      <c r="V1024" s="16" t="s">
        <v>2143</v>
      </c>
      <c r="W1024" s="20" t="s">
        <v>14432</v>
      </c>
      <c r="X1024" s="174">
        <v>105.3</v>
      </c>
      <c r="Y1024" s="174">
        <v>138.58000000000001</v>
      </c>
    </row>
    <row r="1025" spans="1:25" ht="15" customHeight="1" x14ac:dyDescent="0.25">
      <c r="A1025" s="20" t="s">
        <v>4030</v>
      </c>
      <c r="B1025" s="14" t="s">
        <v>4031</v>
      </c>
      <c r="C1025" s="71" t="str">
        <f t="shared" si="15"/>
        <v>Product Info</v>
      </c>
      <c r="D1025" s="37" t="s">
        <v>4727</v>
      </c>
      <c r="E1025" s="143">
        <v>3</v>
      </c>
      <c r="F1025" s="12" t="s">
        <v>4992</v>
      </c>
      <c r="G1025" s="38">
        <v>230.43</v>
      </c>
      <c r="H1025" s="38">
        <v>195.87</v>
      </c>
      <c r="I1025" s="38">
        <v>161.30000000000001</v>
      </c>
      <c r="J1025" s="39"/>
      <c r="K1025" s="143"/>
      <c r="L1025" s="22">
        <v>0</v>
      </c>
      <c r="M1025" s="22">
        <v>0</v>
      </c>
      <c r="N1025" s="20" t="s">
        <v>14489</v>
      </c>
      <c r="O1025" s="16">
        <v>0</v>
      </c>
      <c r="P1025" s="143">
        <v>760</v>
      </c>
      <c r="Q1025" s="121" t="s">
        <v>14285</v>
      </c>
      <c r="R1025" s="16" t="s">
        <v>8904</v>
      </c>
      <c r="S1025" s="10" t="s">
        <v>1163</v>
      </c>
      <c r="T1025" s="28" t="s">
        <v>10218</v>
      </c>
      <c r="U1025" s="20" t="s">
        <v>5359</v>
      </c>
      <c r="V1025" s="16" t="s">
        <v>4030</v>
      </c>
      <c r="W1025" s="20" t="s">
        <v>14432</v>
      </c>
      <c r="X1025" s="174">
        <v>148.84</v>
      </c>
      <c r="Y1025" s="174">
        <v>195.87</v>
      </c>
    </row>
    <row r="1026" spans="1:25" ht="15" customHeight="1" x14ac:dyDescent="0.25">
      <c r="A1026" s="20" t="s">
        <v>6220</v>
      </c>
      <c r="B1026" s="14" t="s">
        <v>6221</v>
      </c>
      <c r="C1026" s="71" t="str">
        <f t="shared" si="15"/>
        <v>Product Info</v>
      </c>
      <c r="D1026" s="37" t="s">
        <v>1486</v>
      </c>
      <c r="E1026" s="143">
        <v>6</v>
      </c>
      <c r="F1026" s="12" t="s">
        <v>4992</v>
      </c>
      <c r="G1026" s="38">
        <v>140.27000000000001</v>
      </c>
      <c r="H1026" s="38">
        <v>119.23</v>
      </c>
      <c r="I1026" s="38">
        <v>98.19</v>
      </c>
      <c r="J1026" s="39"/>
      <c r="K1026" s="143"/>
      <c r="L1026" s="22">
        <v>0</v>
      </c>
      <c r="M1026" s="22">
        <v>0</v>
      </c>
      <c r="N1026" s="20" t="s">
        <v>14489</v>
      </c>
      <c r="O1026" s="16">
        <v>0</v>
      </c>
      <c r="P1026" s="143">
        <v>760</v>
      </c>
      <c r="Q1026" s="121" t="s">
        <v>14285</v>
      </c>
      <c r="R1026" s="16" t="s">
        <v>8904</v>
      </c>
      <c r="S1026" s="10" t="s">
        <v>1163</v>
      </c>
      <c r="T1026" s="28" t="s">
        <v>10219</v>
      </c>
      <c r="U1026" s="20" t="s">
        <v>5359</v>
      </c>
      <c r="V1026" s="16" t="s">
        <v>6220</v>
      </c>
      <c r="W1026" s="20" t="s">
        <v>14432</v>
      </c>
      <c r="X1026" s="174">
        <v>90.6</v>
      </c>
      <c r="Y1026" s="174">
        <v>119.23</v>
      </c>
    </row>
    <row r="1027" spans="1:25" ht="15" customHeight="1" x14ac:dyDescent="0.25">
      <c r="A1027" s="20" t="s">
        <v>6967</v>
      </c>
      <c r="B1027" s="14" t="s">
        <v>6968</v>
      </c>
      <c r="C1027" s="71" t="str">
        <f t="shared" si="15"/>
        <v>Product Info</v>
      </c>
      <c r="D1027" s="37" t="s">
        <v>1487</v>
      </c>
      <c r="E1027" s="143">
        <v>3</v>
      </c>
      <c r="F1027" s="12" t="s">
        <v>4992</v>
      </c>
      <c r="G1027" s="38">
        <v>199.37</v>
      </c>
      <c r="H1027" s="38">
        <v>169.47</v>
      </c>
      <c r="I1027" s="38">
        <v>139.56</v>
      </c>
      <c r="J1027" s="39"/>
      <c r="K1027" s="143"/>
      <c r="L1027" s="22">
        <v>0</v>
      </c>
      <c r="M1027" s="22">
        <v>0</v>
      </c>
      <c r="N1027" s="20" t="s">
        <v>14489</v>
      </c>
      <c r="O1027" s="16">
        <v>0</v>
      </c>
      <c r="P1027" s="143">
        <v>760</v>
      </c>
      <c r="Q1027" s="121" t="s">
        <v>14285</v>
      </c>
      <c r="R1027" s="16" t="s">
        <v>8904</v>
      </c>
      <c r="S1027" s="10" t="s">
        <v>1163</v>
      </c>
      <c r="T1027" s="28" t="s">
        <v>10220</v>
      </c>
      <c r="U1027" s="20" t="s">
        <v>5359</v>
      </c>
      <c r="V1027" s="16" t="s">
        <v>6967</v>
      </c>
      <c r="W1027" s="20" t="s">
        <v>14432</v>
      </c>
      <c r="X1027" s="174">
        <v>128.77000000000001</v>
      </c>
      <c r="Y1027" s="174">
        <v>169.47</v>
      </c>
    </row>
    <row r="1028" spans="1:25" ht="15" customHeight="1" x14ac:dyDescent="0.25">
      <c r="A1028" s="20" t="s">
        <v>4032</v>
      </c>
      <c r="B1028" s="14" t="s">
        <v>4033</v>
      </c>
      <c r="C1028" s="71" t="str">
        <f t="shared" si="15"/>
        <v>Product Info</v>
      </c>
      <c r="D1028" s="37" t="s">
        <v>6541</v>
      </c>
      <c r="E1028" s="143">
        <v>6</v>
      </c>
      <c r="F1028" s="12" t="s">
        <v>4992</v>
      </c>
      <c r="G1028" s="38">
        <v>141.37</v>
      </c>
      <c r="H1028" s="38">
        <v>120.17</v>
      </c>
      <c r="I1028" s="38">
        <v>98.96</v>
      </c>
      <c r="J1028" s="39"/>
      <c r="K1028" s="143"/>
      <c r="L1028" s="22">
        <v>15</v>
      </c>
      <c r="M1028" s="22" t="s">
        <v>12488</v>
      </c>
      <c r="N1028" s="20" t="s">
        <v>9274</v>
      </c>
      <c r="O1028" s="16" t="s">
        <v>12608</v>
      </c>
      <c r="P1028" s="143">
        <v>760</v>
      </c>
      <c r="Q1028" s="122" t="s">
        <v>12421</v>
      </c>
      <c r="R1028" s="16" t="s">
        <v>8904</v>
      </c>
      <c r="S1028" s="10" t="s">
        <v>1163</v>
      </c>
      <c r="T1028" s="28" t="s">
        <v>10221</v>
      </c>
      <c r="U1028" s="20" t="s">
        <v>5359</v>
      </c>
      <c r="V1028" s="16" t="s">
        <v>4032</v>
      </c>
      <c r="W1028" s="20" t="s">
        <v>14432</v>
      </c>
      <c r="X1028" s="174">
        <v>91.32</v>
      </c>
      <c r="Y1028" s="174">
        <v>120.17</v>
      </c>
    </row>
    <row r="1029" spans="1:25" ht="15" customHeight="1" x14ac:dyDescent="0.25">
      <c r="A1029" s="20" t="s">
        <v>6294</v>
      </c>
      <c r="B1029" s="14" t="s">
        <v>277</v>
      </c>
      <c r="C1029" s="71" t="str">
        <f t="shared" si="15"/>
        <v>Product Info</v>
      </c>
      <c r="D1029" s="37" t="s">
        <v>278</v>
      </c>
      <c r="E1029" s="143">
        <v>3</v>
      </c>
      <c r="F1029" s="12" t="s">
        <v>4992</v>
      </c>
      <c r="G1029" s="38">
        <v>243.39</v>
      </c>
      <c r="H1029" s="38">
        <v>206.89</v>
      </c>
      <c r="I1029" s="38">
        <v>170.37</v>
      </c>
      <c r="J1029" s="39"/>
      <c r="K1029" s="143"/>
      <c r="L1029" s="22">
        <v>0</v>
      </c>
      <c r="M1029" s="22">
        <v>0</v>
      </c>
      <c r="N1029" s="20" t="s">
        <v>14489</v>
      </c>
      <c r="O1029" s="16">
        <v>0</v>
      </c>
      <c r="P1029" s="143">
        <v>760</v>
      </c>
      <c r="Q1029" s="121" t="s">
        <v>14285</v>
      </c>
      <c r="R1029" s="16" t="s">
        <v>8904</v>
      </c>
      <c r="S1029" s="10" t="s">
        <v>1163</v>
      </c>
      <c r="T1029" s="28" t="s">
        <v>10222</v>
      </c>
      <c r="U1029" s="20" t="s">
        <v>5359</v>
      </c>
      <c r="V1029" s="16" t="s">
        <v>6294</v>
      </c>
      <c r="W1029" s="20" t="s">
        <v>14432</v>
      </c>
      <c r="X1029" s="174">
        <v>157.19999999999999</v>
      </c>
      <c r="Y1029" s="174">
        <v>206.89</v>
      </c>
    </row>
    <row r="1030" spans="1:25" ht="15" customHeight="1" x14ac:dyDescent="0.25">
      <c r="A1030" s="20" t="s">
        <v>3577</v>
      </c>
      <c r="B1030" s="14" t="s">
        <v>279</v>
      </c>
      <c r="C1030" s="71" t="str">
        <f t="shared" ref="C1030:C1093" si="16">HYPERLINK(T1030,U1030)</f>
        <v>Product Info</v>
      </c>
      <c r="D1030" s="37" t="s">
        <v>3578</v>
      </c>
      <c r="E1030" s="143">
        <v>6</v>
      </c>
      <c r="F1030" s="12" t="s">
        <v>4992</v>
      </c>
      <c r="G1030" s="38">
        <v>171.34</v>
      </c>
      <c r="H1030" s="38">
        <v>145.65</v>
      </c>
      <c r="I1030" s="38">
        <v>119.94</v>
      </c>
      <c r="J1030" s="39"/>
      <c r="K1030" s="143"/>
      <c r="L1030" s="22">
        <v>0</v>
      </c>
      <c r="M1030" s="22">
        <v>0</v>
      </c>
      <c r="N1030" s="20" t="s">
        <v>14489</v>
      </c>
      <c r="O1030" s="16">
        <v>0</v>
      </c>
      <c r="P1030" s="143">
        <v>760</v>
      </c>
      <c r="Q1030" s="121" t="s">
        <v>14285</v>
      </c>
      <c r="R1030" s="16" t="s">
        <v>8904</v>
      </c>
      <c r="S1030" s="10" t="s">
        <v>1163</v>
      </c>
      <c r="T1030" s="28" t="s">
        <v>10223</v>
      </c>
      <c r="U1030" s="20" t="s">
        <v>5359</v>
      </c>
      <c r="V1030" s="16" t="s">
        <v>3577</v>
      </c>
      <c r="W1030" s="20" t="s">
        <v>14432</v>
      </c>
      <c r="X1030" s="174">
        <v>110.67</v>
      </c>
      <c r="Y1030" s="174">
        <v>145.65</v>
      </c>
    </row>
    <row r="1031" spans="1:25" ht="15" customHeight="1" x14ac:dyDescent="0.25">
      <c r="A1031" s="20" t="s">
        <v>8034</v>
      </c>
      <c r="B1031" s="14" t="s">
        <v>8035</v>
      </c>
      <c r="C1031" s="71" t="str">
        <f t="shared" si="16"/>
        <v>Product Info</v>
      </c>
      <c r="D1031" s="37" t="s">
        <v>8682</v>
      </c>
      <c r="E1031" s="143">
        <v>6</v>
      </c>
      <c r="F1031" s="12" t="s">
        <v>4992</v>
      </c>
      <c r="G1031" s="38">
        <v>118.83</v>
      </c>
      <c r="H1031" s="38">
        <v>101.01</v>
      </c>
      <c r="I1031" s="38">
        <v>83.18</v>
      </c>
      <c r="J1031" s="39"/>
      <c r="K1031" s="143"/>
      <c r="L1031" s="22">
        <v>0</v>
      </c>
      <c r="M1031" s="22">
        <v>0</v>
      </c>
      <c r="N1031" s="20" t="s">
        <v>14489</v>
      </c>
      <c r="O1031" s="16">
        <v>0</v>
      </c>
      <c r="P1031" s="143">
        <v>760</v>
      </c>
      <c r="Q1031" s="121" t="s">
        <v>14285</v>
      </c>
      <c r="R1031" s="16" t="s">
        <v>8904</v>
      </c>
      <c r="S1031" s="10" t="s">
        <v>1163</v>
      </c>
      <c r="T1031" s="28" t="s">
        <v>10224</v>
      </c>
      <c r="U1031" s="20" t="s">
        <v>5359</v>
      </c>
      <c r="V1031" s="16" t="s">
        <v>8034</v>
      </c>
      <c r="W1031" s="20" t="s">
        <v>14432</v>
      </c>
      <c r="X1031" s="174">
        <v>76.75</v>
      </c>
      <c r="Y1031" s="174">
        <v>101.01</v>
      </c>
    </row>
    <row r="1032" spans="1:25" ht="15" customHeight="1" x14ac:dyDescent="0.25">
      <c r="A1032" s="20" t="s">
        <v>4034</v>
      </c>
      <c r="B1032" s="14" t="s">
        <v>4049</v>
      </c>
      <c r="C1032" s="71" t="str">
        <f t="shared" si="16"/>
        <v>Product Info</v>
      </c>
      <c r="D1032" s="37" t="s">
        <v>6542</v>
      </c>
      <c r="E1032" s="143">
        <v>6</v>
      </c>
      <c r="F1032" s="12" t="s">
        <v>4992</v>
      </c>
      <c r="G1032" s="38">
        <v>147.47</v>
      </c>
      <c r="H1032" s="38">
        <v>125.36</v>
      </c>
      <c r="I1032" s="38">
        <v>103.23</v>
      </c>
      <c r="J1032" s="39"/>
      <c r="K1032" s="143"/>
      <c r="L1032" s="22">
        <v>18</v>
      </c>
      <c r="M1032" s="22" t="s">
        <v>12488</v>
      </c>
      <c r="N1032" s="20" t="s">
        <v>9275</v>
      </c>
      <c r="O1032" s="16" t="s">
        <v>12608</v>
      </c>
      <c r="P1032" s="143">
        <v>760</v>
      </c>
      <c r="Q1032" s="121" t="s">
        <v>14285</v>
      </c>
      <c r="R1032" s="16" t="s">
        <v>8904</v>
      </c>
      <c r="S1032" s="10" t="s">
        <v>1163</v>
      </c>
      <c r="T1032" s="28" t="s">
        <v>10225</v>
      </c>
      <c r="U1032" s="20" t="s">
        <v>5359</v>
      </c>
      <c r="V1032" s="16" t="s">
        <v>4034</v>
      </c>
      <c r="W1032" s="20" t="s">
        <v>14432</v>
      </c>
      <c r="X1032" s="174">
        <v>95.26</v>
      </c>
      <c r="Y1032" s="174">
        <v>125.36</v>
      </c>
    </row>
    <row r="1033" spans="1:25" ht="15" customHeight="1" x14ac:dyDescent="0.25">
      <c r="A1033" s="20" t="s">
        <v>7548</v>
      </c>
      <c r="B1033" s="14" t="s">
        <v>7549</v>
      </c>
      <c r="C1033" s="71" t="str">
        <f t="shared" si="16"/>
        <v>Product Info</v>
      </c>
      <c r="D1033" s="37" t="s">
        <v>6543</v>
      </c>
      <c r="E1033" s="143">
        <v>6</v>
      </c>
      <c r="F1033" s="12" t="s">
        <v>4992</v>
      </c>
      <c r="G1033" s="38">
        <v>98.54</v>
      </c>
      <c r="H1033" s="38">
        <v>83.76</v>
      </c>
      <c r="I1033" s="38">
        <v>68.98</v>
      </c>
      <c r="J1033" s="39"/>
      <c r="K1033" s="143"/>
      <c r="L1033" s="22">
        <v>18</v>
      </c>
      <c r="M1033" s="22" t="s">
        <v>12488</v>
      </c>
      <c r="N1033" s="20" t="s">
        <v>9276</v>
      </c>
      <c r="O1033" s="16" t="s">
        <v>12608</v>
      </c>
      <c r="P1033" s="143">
        <v>760</v>
      </c>
      <c r="Q1033" s="122" t="s">
        <v>9227</v>
      </c>
      <c r="R1033" s="16" t="s">
        <v>8904</v>
      </c>
      <c r="S1033" s="10" t="s">
        <v>1163</v>
      </c>
      <c r="T1033" s="28" t="s">
        <v>10226</v>
      </c>
      <c r="U1033" s="20" t="s">
        <v>5359</v>
      </c>
      <c r="V1033" s="16" t="s">
        <v>7548</v>
      </c>
      <c r="W1033" s="20" t="s">
        <v>14432</v>
      </c>
      <c r="X1033" s="174">
        <v>63.65</v>
      </c>
      <c r="Y1033" s="174">
        <v>83.76</v>
      </c>
    </row>
    <row r="1034" spans="1:25" ht="15" customHeight="1" x14ac:dyDescent="0.25">
      <c r="A1034" s="20" t="s">
        <v>7550</v>
      </c>
      <c r="B1034" s="14" t="s">
        <v>7551</v>
      </c>
      <c r="C1034" s="71" t="str">
        <f t="shared" si="16"/>
        <v>Product Info</v>
      </c>
      <c r="D1034" s="37" t="s">
        <v>6544</v>
      </c>
      <c r="E1034" s="143">
        <v>6</v>
      </c>
      <c r="F1034" s="12" t="s">
        <v>4992</v>
      </c>
      <c r="G1034" s="38">
        <v>162.04</v>
      </c>
      <c r="H1034" s="38">
        <v>137.74</v>
      </c>
      <c r="I1034" s="38">
        <v>113.43</v>
      </c>
      <c r="J1034" s="39"/>
      <c r="K1034" s="143"/>
      <c r="L1034" s="22">
        <v>0</v>
      </c>
      <c r="M1034" s="22">
        <v>0</v>
      </c>
      <c r="N1034" s="20" t="s">
        <v>14489</v>
      </c>
      <c r="O1034" s="16">
        <v>0</v>
      </c>
      <c r="P1034" s="143">
        <v>760</v>
      </c>
      <c r="Q1034" s="121" t="s">
        <v>14285</v>
      </c>
      <c r="R1034" s="16" t="s">
        <v>8904</v>
      </c>
      <c r="S1034" s="10" t="s">
        <v>1163</v>
      </c>
      <c r="T1034" s="28" t="s">
        <v>10227</v>
      </c>
      <c r="U1034" s="20" t="s">
        <v>5359</v>
      </c>
      <c r="V1034" s="16" t="s">
        <v>7550</v>
      </c>
      <c r="W1034" s="20" t="s">
        <v>14432</v>
      </c>
      <c r="X1034" s="174">
        <v>104.67</v>
      </c>
      <c r="Y1034" s="174">
        <v>137.74</v>
      </c>
    </row>
    <row r="1035" spans="1:25" ht="15" customHeight="1" x14ac:dyDescent="0.25">
      <c r="A1035" s="20" t="s">
        <v>7552</v>
      </c>
      <c r="B1035" s="14" t="s">
        <v>7553</v>
      </c>
      <c r="C1035" s="71" t="str">
        <f t="shared" si="16"/>
        <v>Product Info</v>
      </c>
      <c r="D1035" s="37" t="s">
        <v>6545</v>
      </c>
      <c r="E1035" s="143">
        <v>6</v>
      </c>
      <c r="F1035" s="12" t="s">
        <v>4992</v>
      </c>
      <c r="G1035" s="38">
        <v>134.9</v>
      </c>
      <c r="H1035" s="38">
        <v>114.67</v>
      </c>
      <c r="I1035" s="38">
        <v>94.43</v>
      </c>
      <c r="J1035" s="39"/>
      <c r="K1035" s="143"/>
      <c r="L1035" s="22">
        <v>15</v>
      </c>
      <c r="M1035" s="22" t="s">
        <v>12488</v>
      </c>
      <c r="N1035" s="20" t="s">
        <v>9277</v>
      </c>
      <c r="O1035" s="16" t="s">
        <v>12608</v>
      </c>
      <c r="P1035" s="143">
        <v>760</v>
      </c>
      <c r="Q1035" s="122" t="s">
        <v>14461</v>
      </c>
      <c r="R1035" s="16" t="s">
        <v>8904</v>
      </c>
      <c r="S1035" s="10" t="s">
        <v>1163</v>
      </c>
      <c r="T1035" s="28" t="s">
        <v>10228</v>
      </c>
      <c r="U1035" s="20" t="s">
        <v>5359</v>
      </c>
      <c r="V1035" s="16" t="s">
        <v>7552</v>
      </c>
      <c r="W1035" s="20" t="s">
        <v>14432</v>
      </c>
      <c r="X1035" s="174">
        <v>87.13</v>
      </c>
      <c r="Y1035" s="174">
        <v>114.67</v>
      </c>
    </row>
    <row r="1036" spans="1:25" ht="15" customHeight="1" x14ac:dyDescent="0.25">
      <c r="A1036" s="20" t="s">
        <v>7554</v>
      </c>
      <c r="B1036" s="14" t="s">
        <v>7555</v>
      </c>
      <c r="C1036" s="71" t="str">
        <f t="shared" si="16"/>
        <v>Product Info</v>
      </c>
      <c r="D1036" s="37" t="s">
        <v>6546</v>
      </c>
      <c r="E1036" s="143">
        <v>3</v>
      </c>
      <c r="F1036" s="12" t="s">
        <v>4992</v>
      </c>
      <c r="G1036" s="38">
        <v>185.5</v>
      </c>
      <c r="H1036" s="38">
        <v>157.68</v>
      </c>
      <c r="I1036" s="38">
        <v>129.85</v>
      </c>
      <c r="J1036" s="39"/>
      <c r="K1036" s="143"/>
      <c r="L1036" s="22">
        <v>0</v>
      </c>
      <c r="M1036" s="22">
        <v>0</v>
      </c>
      <c r="N1036" s="20" t="s">
        <v>14489</v>
      </c>
      <c r="O1036" s="16">
        <v>0</v>
      </c>
      <c r="P1036" s="143">
        <v>760</v>
      </c>
      <c r="Q1036" s="121" t="s">
        <v>14285</v>
      </c>
      <c r="R1036" s="16" t="s">
        <v>8904</v>
      </c>
      <c r="S1036" s="10" t="s">
        <v>1163</v>
      </c>
      <c r="T1036" s="28" t="s">
        <v>10229</v>
      </c>
      <c r="U1036" s="20" t="s">
        <v>5359</v>
      </c>
      <c r="V1036" s="16" t="s">
        <v>7554</v>
      </c>
      <c r="W1036" s="20" t="s">
        <v>14432</v>
      </c>
      <c r="X1036" s="174">
        <v>119.81</v>
      </c>
      <c r="Y1036" s="174">
        <v>157.68</v>
      </c>
    </row>
    <row r="1037" spans="1:25" ht="15" customHeight="1" x14ac:dyDescent="0.25">
      <c r="A1037" s="20" t="s">
        <v>7556</v>
      </c>
      <c r="B1037" s="14" t="s">
        <v>7557</v>
      </c>
      <c r="C1037" s="71" t="str">
        <f t="shared" si="16"/>
        <v>Product Info</v>
      </c>
      <c r="D1037" s="37" t="s">
        <v>6547</v>
      </c>
      <c r="E1037" s="143">
        <v>6</v>
      </c>
      <c r="F1037" s="12" t="s">
        <v>4992</v>
      </c>
      <c r="G1037" s="38">
        <v>194.43</v>
      </c>
      <c r="H1037" s="38">
        <v>165.27</v>
      </c>
      <c r="I1037" s="38">
        <v>136.1</v>
      </c>
      <c r="J1037" s="39"/>
      <c r="K1037" s="143"/>
      <c r="L1037" s="22">
        <v>0</v>
      </c>
      <c r="M1037" s="22">
        <v>0</v>
      </c>
      <c r="N1037" s="20" t="s">
        <v>14489</v>
      </c>
      <c r="O1037" s="16">
        <v>0</v>
      </c>
      <c r="P1037" s="143">
        <v>760</v>
      </c>
      <c r="Q1037" s="121" t="s">
        <v>14285</v>
      </c>
      <c r="R1037" s="16" t="s">
        <v>8904</v>
      </c>
      <c r="S1037" s="10" t="s">
        <v>1163</v>
      </c>
      <c r="T1037" s="28" t="s">
        <v>10230</v>
      </c>
      <c r="U1037" s="20" t="s">
        <v>5359</v>
      </c>
      <c r="V1037" s="16" t="s">
        <v>7556</v>
      </c>
      <c r="W1037" s="20" t="s">
        <v>14432</v>
      </c>
      <c r="X1037" s="174">
        <v>125.58</v>
      </c>
      <c r="Y1037" s="174">
        <v>165.27</v>
      </c>
    </row>
    <row r="1038" spans="1:25" ht="15" customHeight="1" x14ac:dyDescent="0.25">
      <c r="A1038" s="20" t="s">
        <v>5422</v>
      </c>
      <c r="B1038" s="14" t="s">
        <v>5423</v>
      </c>
      <c r="C1038" s="71" t="str">
        <f t="shared" si="16"/>
        <v>Product Info</v>
      </c>
      <c r="D1038" s="37" t="s">
        <v>280</v>
      </c>
      <c r="E1038" s="143">
        <v>6</v>
      </c>
      <c r="F1038" s="12" t="s">
        <v>4992</v>
      </c>
      <c r="G1038" s="38">
        <v>105.44</v>
      </c>
      <c r="H1038" s="38">
        <v>89.63</v>
      </c>
      <c r="I1038" s="38">
        <v>73.81</v>
      </c>
      <c r="J1038" s="39"/>
      <c r="K1038" s="143"/>
      <c r="L1038" s="22">
        <v>0</v>
      </c>
      <c r="M1038" s="22">
        <v>0</v>
      </c>
      <c r="N1038" s="20" t="s">
        <v>14489</v>
      </c>
      <c r="O1038" s="16">
        <v>0</v>
      </c>
      <c r="P1038" s="143">
        <v>760</v>
      </c>
      <c r="Q1038" s="122" t="s">
        <v>9227</v>
      </c>
      <c r="R1038" s="16" t="s">
        <v>8904</v>
      </c>
      <c r="S1038" s="10" t="s">
        <v>1163</v>
      </c>
      <c r="T1038" s="28" t="s">
        <v>10231</v>
      </c>
      <c r="U1038" s="20" t="s">
        <v>5359</v>
      </c>
      <c r="V1038" s="16" t="s">
        <v>5422</v>
      </c>
      <c r="W1038" s="20" t="s">
        <v>14432</v>
      </c>
      <c r="X1038" s="174">
        <v>68.099999999999994</v>
      </c>
      <c r="Y1038" s="174">
        <v>89.63</v>
      </c>
    </row>
    <row r="1039" spans="1:25" ht="15" customHeight="1" x14ac:dyDescent="0.25">
      <c r="A1039" s="20" t="s">
        <v>2906</v>
      </c>
      <c r="B1039" s="14" t="s">
        <v>281</v>
      </c>
      <c r="C1039" s="71" t="str">
        <f t="shared" si="16"/>
        <v>Product Info</v>
      </c>
      <c r="D1039" s="37" t="s">
        <v>2451</v>
      </c>
      <c r="E1039" s="143">
        <v>6</v>
      </c>
      <c r="F1039" s="12" t="s">
        <v>4992</v>
      </c>
      <c r="G1039" s="38">
        <v>105.43</v>
      </c>
      <c r="H1039" s="38">
        <v>89.62</v>
      </c>
      <c r="I1039" s="38">
        <v>73.8</v>
      </c>
      <c r="J1039" s="39"/>
      <c r="K1039" s="143"/>
      <c r="L1039" s="22">
        <v>0</v>
      </c>
      <c r="M1039" s="22">
        <v>0</v>
      </c>
      <c r="N1039" s="20" t="s">
        <v>14489</v>
      </c>
      <c r="O1039" s="16">
        <v>0</v>
      </c>
      <c r="P1039" s="143">
        <v>760</v>
      </c>
      <c r="Q1039" s="122" t="s">
        <v>9227</v>
      </c>
      <c r="R1039" s="16" t="s">
        <v>8904</v>
      </c>
      <c r="S1039" s="10" t="s">
        <v>1163</v>
      </c>
      <c r="T1039" s="28" t="s">
        <v>10232</v>
      </c>
      <c r="U1039" s="20" t="s">
        <v>5359</v>
      </c>
      <c r="V1039" s="16" t="s">
        <v>2906</v>
      </c>
      <c r="W1039" s="20" t="s">
        <v>14432</v>
      </c>
      <c r="X1039" s="174">
        <v>68.09</v>
      </c>
      <c r="Y1039" s="174">
        <v>89.62</v>
      </c>
    </row>
    <row r="1040" spans="1:25" ht="15" customHeight="1" x14ac:dyDescent="0.25">
      <c r="A1040" s="20" t="s">
        <v>7558</v>
      </c>
      <c r="B1040" s="14" t="s">
        <v>7559</v>
      </c>
      <c r="C1040" s="71" t="str">
        <f t="shared" si="16"/>
        <v>Product Info</v>
      </c>
      <c r="D1040" s="37" t="s">
        <v>6548</v>
      </c>
      <c r="E1040" s="143">
        <v>6</v>
      </c>
      <c r="F1040" s="12" t="s">
        <v>4992</v>
      </c>
      <c r="G1040" s="38">
        <v>221.17</v>
      </c>
      <c r="H1040" s="38">
        <v>188</v>
      </c>
      <c r="I1040" s="38">
        <v>154.82</v>
      </c>
      <c r="J1040" s="39"/>
      <c r="K1040" s="143"/>
      <c r="L1040" s="22">
        <v>0</v>
      </c>
      <c r="M1040" s="22">
        <v>0</v>
      </c>
      <c r="N1040" s="20" t="s">
        <v>14489</v>
      </c>
      <c r="O1040" s="16" t="s">
        <v>6692</v>
      </c>
      <c r="P1040" s="143">
        <v>760</v>
      </c>
      <c r="Q1040" s="121" t="s">
        <v>14285</v>
      </c>
      <c r="R1040" s="16" t="s">
        <v>8904</v>
      </c>
      <c r="S1040" s="10" t="s">
        <v>1163</v>
      </c>
      <c r="T1040" s="28" t="s">
        <v>10233</v>
      </c>
      <c r="U1040" s="20" t="s">
        <v>5359</v>
      </c>
      <c r="V1040" s="16" t="s">
        <v>7558</v>
      </c>
      <c r="W1040" s="20" t="s">
        <v>14432</v>
      </c>
      <c r="X1040" s="174">
        <v>142.85</v>
      </c>
      <c r="Y1040" s="174">
        <v>188</v>
      </c>
    </row>
    <row r="1041" spans="1:25" ht="15" customHeight="1" x14ac:dyDescent="0.25">
      <c r="A1041" s="20" t="s">
        <v>1366</v>
      </c>
      <c r="B1041" s="14" t="s">
        <v>282</v>
      </c>
      <c r="C1041" s="71" t="str">
        <f t="shared" si="16"/>
        <v>Product Info</v>
      </c>
      <c r="D1041" s="37" t="s">
        <v>1367</v>
      </c>
      <c r="E1041" s="143">
        <v>3</v>
      </c>
      <c r="F1041" s="12" t="s">
        <v>4992</v>
      </c>
      <c r="G1041" s="38">
        <v>86.86</v>
      </c>
      <c r="H1041" s="38">
        <v>73.83</v>
      </c>
      <c r="I1041" s="38">
        <v>60.8</v>
      </c>
      <c r="J1041" s="39"/>
      <c r="K1041" s="143"/>
      <c r="L1041" s="22">
        <v>0</v>
      </c>
      <c r="M1041" s="22">
        <v>0</v>
      </c>
      <c r="N1041" s="20" t="s">
        <v>14489</v>
      </c>
      <c r="O1041" s="16" t="s">
        <v>12608</v>
      </c>
      <c r="P1041" s="143">
        <v>760</v>
      </c>
      <c r="Q1041" s="121" t="s">
        <v>14285</v>
      </c>
      <c r="R1041" s="16" t="s">
        <v>8904</v>
      </c>
      <c r="S1041" s="10" t="s">
        <v>1163</v>
      </c>
      <c r="T1041" s="28" t="s">
        <v>10234</v>
      </c>
      <c r="U1041" s="20" t="s">
        <v>5359</v>
      </c>
      <c r="V1041" s="16" t="s">
        <v>1366</v>
      </c>
      <c r="W1041" s="20" t="s">
        <v>14432</v>
      </c>
      <c r="X1041" s="174">
        <v>56.1</v>
      </c>
      <c r="Y1041" s="174">
        <v>73.83</v>
      </c>
    </row>
    <row r="1042" spans="1:25" ht="15" customHeight="1" x14ac:dyDescent="0.25">
      <c r="A1042" s="20" t="s">
        <v>6222</v>
      </c>
      <c r="B1042" s="14" t="s">
        <v>6223</v>
      </c>
      <c r="C1042" s="71" t="str">
        <f t="shared" si="16"/>
        <v>Product Info</v>
      </c>
      <c r="D1042" s="37" t="s">
        <v>1488</v>
      </c>
      <c r="E1042" s="143">
        <v>6</v>
      </c>
      <c r="F1042" s="12" t="s">
        <v>4992</v>
      </c>
      <c r="G1042" s="38">
        <v>118.83</v>
      </c>
      <c r="H1042" s="38">
        <v>101.01</v>
      </c>
      <c r="I1042" s="38">
        <v>83.18</v>
      </c>
      <c r="J1042" s="39"/>
      <c r="K1042" s="143"/>
      <c r="L1042" s="22">
        <v>0</v>
      </c>
      <c r="M1042" s="22">
        <v>0</v>
      </c>
      <c r="N1042" s="20" t="s">
        <v>14489</v>
      </c>
      <c r="O1042" s="16">
        <v>0</v>
      </c>
      <c r="P1042" s="143">
        <v>760</v>
      </c>
      <c r="Q1042" s="122" t="s">
        <v>9227</v>
      </c>
      <c r="R1042" s="16" t="s">
        <v>8904</v>
      </c>
      <c r="S1042" s="10" t="s">
        <v>1163</v>
      </c>
      <c r="T1042" s="28" t="s">
        <v>10235</v>
      </c>
      <c r="U1042" s="20" t="s">
        <v>5359</v>
      </c>
      <c r="V1042" s="16" t="s">
        <v>6222</v>
      </c>
      <c r="W1042" s="20" t="s">
        <v>14432</v>
      </c>
      <c r="X1042" s="174">
        <v>76.75</v>
      </c>
      <c r="Y1042" s="174">
        <v>101.01</v>
      </c>
    </row>
    <row r="1043" spans="1:25" ht="15" customHeight="1" x14ac:dyDescent="0.25">
      <c r="A1043" s="20" t="s">
        <v>2911</v>
      </c>
      <c r="B1043" s="14" t="s">
        <v>2912</v>
      </c>
      <c r="C1043" s="71" t="str">
        <f t="shared" si="16"/>
        <v>Product Info</v>
      </c>
      <c r="D1043" s="37" t="s">
        <v>7410</v>
      </c>
      <c r="E1043" s="143">
        <v>3</v>
      </c>
      <c r="F1043" s="12" t="s">
        <v>4992</v>
      </c>
      <c r="G1043" s="38">
        <v>187.44</v>
      </c>
      <c r="H1043" s="38">
        <v>159.33000000000001</v>
      </c>
      <c r="I1043" s="38">
        <v>131.21</v>
      </c>
      <c r="J1043" s="39"/>
      <c r="K1043" s="143"/>
      <c r="L1043" s="22">
        <v>0</v>
      </c>
      <c r="M1043" s="22">
        <v>0</v>
      </c>
      <c r="N1043" s="20" t="s">
        <v>14489</v>
      </c>
      <c r="O1043" s="16">
        <v>0</v>
      </c>
      <c r="P1043" s="143">
        <v>760</v>
      </c>
      <c r="Q1043" s="122" t="s">
        <v>12421</v>
      </c>
      <c r="R1043" s="16" t="s">
        <v>8904</v>
      </c>
      <c r="S1043" s="10" t="s">
        <v>1163</v>
      </c>
      <c r="T1043" s="28" t="s">
        <v>10236</v>
      </c>
      <c r="U1043" s="20" t="s">
        <v>5359</v>
      </c>
      <c r="V1043" s="16" t="s">
        <v>2911</v>
      </c>
      <c r="W1043" s="20" t="s">
        <v>14432</v>
      </c>
      <c r="X1043" s="174">
        <v>121.08</v>
      </c>
      <c r="Y1043" s="174">
        <v>159.33000000000001</v>
      </c>
    </row>
    <row r="1044" spans="1:25" ht="15" customHeight="1" x14ac:dyDescent="0.25">
      <c r="A1044" s="20" t="s">
        <v>12832</v>
      </c>
      <c r="B1044" s="16" t="s">
        <v>12819</v>
      </c>
      <c r="C1044" s="71" t="str">
        <f t="shared" si="16"/>
        <v>Product Info</v>
      </c>
      <c r="D1044" s="37" t="s">
        <v>12823</v>
      </c>
      <c r="E1044" s="143">
        <v>6</v>
      </c>
      <c r="F1044" s="12" t="s">
        <v>4992</v>
      </c>
      <c r="G1044" s="38">
        <v>118.94</v>
      </c>
      <c r="H1044" s="38">
        <v>101.11</v>
      </c>
      <c r="I1044" s="38">
        <v>83.26</v>
      </c>
      <c r="J1044" s="39"/>
      <c r="K1044" s="143"/>
      <c r="L1044" s="22">
        <v>18</v>
      </c>
      <c r="M1044" s="22" t="s">
        <v>12488</v>
      </c>
      <c r="N1044" s="20" t="s">
        <v>13075</v>
      </c>
      <c r="O1044" s="16" t="s">
        <v>13912</v>
      </c>
      <c r="P1044" s="143">
        <v>760</v>
      </c>
      <c r="Q1044" s="122" t="s">
        <v>9227</v>
      </c>
      <c r="R1044" s="16" t="s">
        <v>8904</v>
      </c>
      <c r="S1044" s="10" t="s">
        <v>1163</v>
      </c>
      <c r="T1044" s="28" t="s">
        <v>12816</v>
      </c>
      <c r="U1044" s="20" t="s">
        <v>5359</v>
      </c>
      <c r="V1044" s="16" t="s">
        <v>12832</v>
      </c>
      <c r="W1044" s="20" t="s">
        <v>14432</v>
      </c>
      <c r="X1044" s="174">
        <v>76.83</v>
      </c>
      <c r="Y1044" s="174">
        <v>101.11</v>
      </c>
    </row>
    <row r="1045" spans="1:25" ht="15" customHeight="1" x14ac:dyDescent="0.25">
      <c r="A1045" s="20" t="s">
        <v>12844</v>
      </c>
      <c r="B1045" s="16" t="s">
        <v>12821</v>
      </c>
      <c r="C1045" s="71" t="str">
        <f t="shared" si="16"/>
        <v>Product Info</v>
      </c>
      <c r="D1045" s="37" t="s">
        <v>12825</v>
      </c>
      <c r="E1045" s="143">
        <v>6</v>
      </c>
      <c r="F1045" s="12" t="s">
        <v>4992</v>
      </c>
      <c r="G1045" s="38">
        <v>80.33</v>
      </c>
      <c r="H1045" s="38">
        <v>68.28</v>
      </c>
      <c r="I1045" s="38">
        <v>56.23</v>
      </c>
      <c r="J1045" s="39"/>
      <c r="K1045" s="143"/>
      <c r="L1045" s="22">
        <v>15</v>
      </c>
      <c r="M1045" s="22" t="s">
        <v>12488</v>
      </c>
      <c r="N1045" s="20" t="s">
        <v>13075</v>
      </c>
      <c r="O1045" s="16" t="s">
        <v>13912</v>
      </c>
      <c r="P1045" s="143">
        <v>760</v>
      </c>
      <c r="Q1045" s="122" t="s">
        <v>12421</v>
      </c>
      <c r="R1045" s="16" t="s">
        <v>8904</v>
      </c>
      <c r="S1045" s="10" t="s">
        <v>1163</v>
      </c>
      <c r="T1045" s="28" t="s">
        <v>12818</v>
      </c>
      <c r="U1045" s="20" t="s">
        <v>5359</v>
      </c>
      <c r="V1045" s="16" t="s">
        <v>12844</v>
      </c>
      <c r="W1045" s="20" t="s">
        <v>14432</v>
      </c>
      <c r="X1045" s="174">
        <v>51.89</v>
      </c>
      <c r="Y1045" s="174">
        <v>68.28</v>
      </c>
    </row>
    <row r="1046" spans="1:25" ht="15" customHeight="1" x14ac:dyDescent="0.25">
      <c r="A1046" s="20" t="s">
        <v>12833</v>
      </c>
      <c r="B1046" s="16" t="s">
        <v>12820</v>
      </c>
      <c r="C1046" s="71" t="str">
        <f t="shared" si="16"/>
        <v>Product Info</v>
      </c>
      <c r="D1046" s="37" t="s">
        <v>12824</v>
      </c>
      <c r="E1046" s="143">
        <v>6</v>
      </c>
      <c r="F1046" s="12" t="s">
        <v>4992</v>
      </c>
      <c r="G1046" s="38">
        <v>80.33</v>
      </c>
      <c r="H1046" s="38">
        <v>68.28</v>
      </c>
      <c r="I1046" s="38">
        <v>56.23</v>
      </c>
      <c r="J1046" s="39"/>
      <c r="K1046" s="143"/>
      <c r="L1046" s="22">
        <v>15</v>
      </c>
      <c r="M1046" s="22" t="s">
        <v>12488</v>
      </c>
      <c r="N1046" s="20" t="s">
        <v>13075</v>
      </c>
      <c r="O1046" s="16" t="s">
        <v>13912</v>
      </c>
      <c r="P1046" s="143">
        <v>760</v>
      </c>
      <c r="Q1046" s="122" t="s">
        <v>12421</v>
      </c>
      <c r="R1046" s="16" t="s">
        <v>8904</v>
      </c>
      <c r="S1046" s="10" t="s">
        <v>1163</v>
      </c>
      <c r="T1046" s="28" t="s">
        <v>12817</v>
      </c>
      <c r="U1046" s="20" t="s">
        <v>5359</v>
      </c>
      <c r="V1046" s="16" t="s">
        <v>12833</v>
      </c>
      <c r="W1046" s="20" t="s">
        <v>14432</v>
      </c>
      <c r="X1046" s="174">
        <v>51.89</v>
      </c>
      <c r="Y1046" s="174">
        <v>68.28</v>
      </c>
    </row>
    <row r="1047" spans="1:25" ht="15" customHeight="1" x14ac:dyDescent="0.25">
      <c r="A1047" s="20" t="s">
        <v>14125</v>
      </c>
      <c r="B1047" s="37" t="s">
        <v>14126</v>
      </c>
      <c r="C1047" s="71" t="str">
        <f t="shared" si="16"/>
        <v>Product Info</v>
      </c>
      <c r="D1047" s="37" t="s">
        <v>14430</v>
      </c>
      <c r="E1047" s="143">
        <v>6</v>
      </c>
      <c r="F1047" s="143" t="s">
        <v>4992</v>
      </c>
      <c r="G1047" s="38">
        <v>183.6</v>
      </c>
      <c r="H1047" s="38">
        <v>156.07</v>
      </c>
      <c r="I1047" s="38">
        <v>128.52000000000001</v>
      </c>
      <c r="J1047" s="39"/>
      <c r="K1047" s="143"/>
      <c r="L1047" s="22">
        <v>10</v>
      </c>
      <c r="M1047" s="22" t="s">
        <v>12488</v>
      </c>
      <c r="N1047" s="20" t="s">
        <v>14490</v>
      </c>
      <c r="O1047" s="16" t="s">
        <v>13912</v>
      </c>
      <c r="P1047" s="143">
        <v>760</v>
      </c>
      <c r="Q1047" s="122" t="s">
        <v>9227</v>
      </c>
      <c r="R1047" s="16" t="s">
        <v>8904</v>
      </c>
      <c r="S1047" s="10" t="s">
        <v>1163</v>
      </c>
      <c r="T1047" s="15" t="s">
        <v>14425</v>
      </c>
      <c r="U1047" s="20" t="s">
        <v>5359</v>
      </c>
      <c r="V1047" s="20" t="s">
        <v>14125</v>
      </c>
      <c r="W1047" s="20" t="s">
        <v>14432</v>
      </c>
      <c r="X1047" s="174">
        <v>118.24</v>
      </c>
      <c r="Y1047" s="174">
        <v>156.07</v>
      </c>
    </row>
    <row r="1048" spans="1:25" ht="15" customHeight="1" x14ac:dyDescent="0.25">
      <c r="A1048" s="20" t="s">
        <v>12654</v>
      </c>
      <c r="B1048" s="10" t="s">
        <v>12655</v>
      </c>
      <c r="C1048" s="71" t="str">
        <f t="shared" si="16"/>
        <v>Product Info</v>
      </c>
      <c r="D1048" s="37" t="s">
        <v>12812</v>
      </c>
      <c r="E1048" s="143">
        <v>3</v>
      </c>
      <c r="F1048" s="12" t="s">
        <v>4992</v>
      </c>
      <c r="G1048" s="38">
        <v>135.49</v>
      </c>
      <c r="H1048" s="38">
        <v>115.17</v>
      </c>
      <c r="I1048" s="38">
        <v>94.84</v>
      </c>
      <c r="J1048" s="39"/>
      <c r="K1048" s="143"/>
      <c r="L1048" s="22">
        <v>7.6</v>
      </c>
      <c r="M1048" s="22" t="s">
        <v>12488</v>
      </c>
      <c r="N1048" s="20" t="s">
        <v>9278</v>
      </c>
      <c r="O1048" s="16" t="s">
        <v>12608</v>
      </c>
      <c r="P1048" s="143">
        <v>760</v>
      </c>
      <c r="Q1048" s="121" t="s">
        <v>14285</v>
      </c>
      <c r="R1048" s="16" t="s">
        <v>8904</v>
      </c>
      <c r="S1048" s="10" t="s">
        <v>1163</v>
      </c>
      <c r="T1048" s="28" t="s">
        <v>12813</v>
      </c>
      <c r="U1048" s="20" t="s">
        <v>5359</v>
      </c>
      <c r="V1048" s="16" t="s">
        <v>12654</v>
      </c>
      <c r="W1048" s="20" t="s">
        <v>14432</v>
      </c>
      <c r="X1048" s="174">
        <v>87.51</v>
      </c>
      <c r="Y1048" s="174">
        <v>115.17</v>
      </c>
    </row>
    <row r="1049" spans="1:25" ht="15" customHeight="1" x14ac:dyDescent="0.25">
      <c r="A1049" s="20" t="s">
        <v>2913</v>
      </c>
      <c r="B1049" s="14" t="s">
        <v>2914</v>
      </c>
      <c r="C1049" s="71" t="str">
        <f t="shared" si="16"/>
        <v>Product Info</v>
      </c>
      <c r="D1049" s="37" t="s">
        <v>4195</v>
      </c>
      <c r="E1049" s="143">
        <v>3</v>
      </c>
      <c r="F1049" s="12" t="s">
        <v>2170</v>
      </c>
      <c r="G1049" s="38">
        <v>208.64</v>
      </c>
      <c r="H1049" s="38">
        <v>177.35</v>
      </c>
      <c r="I1049" s="38">
        <v>146.05000000000001</v>
      </c>
      <c r="J1049" s="39"/>
      <c r="K1049" s="143"/>
      <c r="L1049" s="22">
        <v>7.5</v>
      </c>
      <c r="M1049" s="22" t="s">
        <v>12488</v>
      </c>
      <c r="N1049" s="20" t="s">
        <v>9268</v>
      </c>
      <c r="O1049" s="16" t="s">
        <v>12608</v>
      </c>
      <c r="P1049" s="143">
        <v>760</v>
      </c>
      <c r="Q1049" s="121" t="s">
        <v>14285</v>
      </c>
      <c r="R1049" s="16" t="s">
        <v>8904</v>
      </c>
      <c r="S1049" s="10" t="s">
        <v>1163</v>
      </c>
      <c r="T1049" s="28" t="s">
        <v>10237</v>
      </c>
      <c r="U1049" s="20" t="s">
        <v>5359</v>
      </c>
      <c r="V1049" s="16" t="s">
        <v>2913</v>
      </c>
      <c r="W1049" s="20" t="s">
        <v>14432</v>
      </c>
      <c r="X1049" s="174">
        <v>134.76</v>
      </c>
      <c r="Y1049" s="174">
        <v>177.35</v>
      </c>
    </row>
    <row r="1050" spans="1:25" ht="15" customHeight="1" x14ac:dyDescent="0.25">
      <c r="A1050" s="20" t="s">
        <v>283</v>
      </c>
      <c r="B1050" s="14" t="s">
        <v>284</v>
      </c>
      <c r="C1050" s="71" t="str">
        <f t="shared" si="16"/>
        <v>Product Info</v>
      </c>
      <c r="D1050" s="37" t="s">
        <v>285</v>
      </c>
      <c r="E1050" s="143">
        <v>250</v>
      </c>
      <c r="F1050" s="12" t="s">
        <v>2170</v>
      </c>
      <c r="G1050" s="38">
        <v>0.61</v>
      </c>
      <c r="H1050" s="38">
        <v>0.52</v>
      </c>
      <c r="I1050" s="38">
        <v>0.43</v>
      </c>
      <c r="J1050" s="39"/>
      <c r="K1050" s="143"/>
      <c r="L1050" s="22">
        <v>2.4E-2</v>
      </c>
      <c r="M1050" s="22" t="s">
        <v>12488</v>
      </c>
      <c r="N1050" s="20" t="s">
        <v>8835</v>
      </c>
      <c r="O1050" s="16" t="s">
        <v>12608</v>
      </c>
      <c r="P1050" s="143">
        <v>760</v>
      </c>
      <c r="Q1050" s="122" t="s">
        <v>12421</v>
      </c>
      <c r="R1050" s="16" t="s">
        <v>8904</v>
      </c>
      <c r="S1050" s="10" t="s">
        <v>1163</v>
      </c>
      <c r="T1050" s="28" t="s">
        <v>10238</v>
      </c>
      <c r="U1050" s="20" t="s">
        <v>5359</v>
      </c>
      <c r="V1050" s="16" t="s">
        <v>283</v>
      </c>
      <c r="W1050" s="20" t="s">
        <v>14432</v>
      </c>
      <c r="X1050" s="174">
        <v>0.39</v>
      </c>
      <c r="Y1050" s="174">
        <v>0.52</v>
      </c>
    </row>
    <row r="1051" spans="1:25" ht="15" customHeight="1" x14ac:dyDescent="0.25">
      <c r="A1051" s="20" t="s">
        <v>4350</v>
      </c>
      <c r="B1051" s="14" t="s">
        <v>286</v>
      </c>
      <c r="C1051" s="71" t="str">
        <f t="shared" si="16"/>
        <v>Product Info</v>
      </c>
      <c r="D1051" s="37" t="s">
        <v>8019</v>
      </c>
      <c r="E1051" s="143">
        <v>6</v>
      </c>
      <c r="F1051" s="12" t="s">
        <v>4992</v>
      </c>
      <c r="G1051" s="38">
        <v>103.9</v>
      </c>
      <c r="H1051" s="38">
        <v>88.32</v>
      </c>
      <c r="I1051" s="38">
        <v>72.73</v>
      </c>
      <c r="J1051" s="39"/>
      <c r="K1051" s="143"/>
      <c r="L1051" s="22">
        <v>0</v>
      </c>
      <c r="M1051" s="22">
        <v>0</v>
      </c>
      <c r="N1051" s="20" t="s">
        <v>14489</v>
      </c>
      <c r="O1051" s="16">
        <v>0</v>
      </c>
      <c r="P1051" s="143">
        <v>760</v>
      </c>
      <c r="Q1051" s="122" t="s">
        <v>12421</v>
      </c>
      <c r="R1051" s="16" t="s">
        <v>8904</v>
      </c>
      <c r="S1051" s="10" t="s">
        <v>1163</v>
      </c>
      <c r="T1051" s="28" t="s">
        <v>10239</v>
      </c>
      <c r="U1051" s="20" t="s">
        <v>5359</v>
      </c>
      <c r="V1051" s="16" t="s">
        <v>4350</v>
      </c>
      <c r="W1051" s="20" t="s">
        <v>14432</v>
      </c>
      <c r="X1051" s="174">
        <v>67.099999999999994</v>
      </c>
      <c r="Y1051" s="174">
        <v>88.32</v>
      </c>
    </row>
    <row r="1052" spans="1:25" ht="15" customHeight="1" x14ac:dyDescent="0.25">
      <c r="A1052" s="20" t="s">
        <v>4351</v>
      </c>
      <c r="B1052" s="14" t="s">
        <v>4352</v>
      </c>
      <c r="C1052" s="71" t="str">
        <f t="shared" si="16"/>
        <v>Product Info</v>
      </c>
      <c r="D1052" s="37" t="s">
        <v>7839</v>
      </c>
      <c r="E1052" s="143">
        <v>6</v>
      </c>
      <c r="F1052" s="12" t="s">
        <v>4992</v>
      </c>
      <c r="G1052" s="38">
        <v>105.43</v>
      </c>
      <c r="H1052" s="38">
        <v>89.62</v>
      </c>
      <c r="I1052" s="38">
        <v>73.8</v>
      </c>
      <c r="J1052" s="39"/>
      <c r="K1052" s="143"/>
      <c r="L1052" s="22">
        <v>0.66600000000000004</v>
      </c>
      <c r="M1052" s="22" t="s">
        <v>14396</v>
      </c>
      <c r="N1052" s="20" t="s">
        <v>9240</v>
      </c>
      <c r="O1052" s="16" t="s">
        <v>13914</v>
      </c>
      <c r="P1052" s="143">
        <v>760</v>
      </c>
      <c r="Q1052" s="122" t="s">
        <v>12421</v>
      </c>
      <c r="R1052" s="16" t="s">
        <v>8904</v>
      </c>
      <c r="S1052" s="10" t="s">
        <v>1163</v>
      </c>
      <c r="T1052" s="28" t="s">
        <v>10240</v>
      </c>
      <c r="U1052" s="20" t="s">
        <v>5359</v>
      </c>
      <c r="V1052" s="16" t="s">
        <v>4351</v>
      </c>
      <c r="W1052" s="20" t="s">
        <v>14432</v>
      </c>
      <c r="X1052" s="174">
        <v>68.09</v>
      </c>
      <c r="Y1052" s="174">
        <v>89.62</v>
      </c>
    </row>
    <row r="1053" spans="1:25" ht="15" customHeight="1" x14ac:dyDescent="0.25">
      <c r="A1053" s="20" t="s">
        <v>6224</v>
      </c>
      <c r="B1053" s="14" t="s">
        <v>6225</v>
      </c>
      <c r="C1053" s="71" t="str">
        <f t="shared" si="16"/>
        <v>Product Info</v>
      </c>
      <c r="D1053" s="37" t="s">
        <v>1489</v>
      </c>
      <c r="E1053" s="143">
        <v>50</v>
      </c>
      <c r="F1053" s="12" t="s">
        <v>4992</v>
      </c>
      <c r="G1053" s="38">
        <v>5.73</v>
      </c>
      <c r="H1053" s="38">
        <v>4.87</v>
      </c>
      <c r="I1053" s="38">
        <v>4.01</v>
      </c>
      <c r="J1053" s="39"/>
      <c r="K1053" s="143"/>
      <c r="L1053" s="22">
        <v>0</v>
      </c>
      <c r="M1053" s="22">
        <v>0</v>
      </c>
      <c r="N1053" s="20" t="s">
        <v>14489</v>
      </c>
      <c r="O1053" s="16">
        <v>0</v>
      </c>
      <c r="P1053" s="143">
        <v>760</v>
      </c>
      <c r="Q1053" s="121" t="s">
        <v>14285</v>
      </c>
      <c r="R1053" s="16" t="s">
        <v>8904</v>
      </c>
      <c r="S1053" s="10" t="s">
        <v>1163</v>
      </c>
      <c r="T1053" s="28" t="s">
        <v>10241</v>
      </c>
      <c r="U1053" s="20" t="s">
        <v>5359</v>
      </c>
      <c r="V1053" s="16" t="s">
        <v>6224</v>
      </c>
      <c r="W1053" s="20" t="s">
        <v>14432</v>
      </c>
      <c r="X1053" s="174">
        <v>3.7</v>
      </c>
      <c r="Y1053" s="174">
        <v>4.87</v>
      </c>
    </row>
    <row r="1054" spans="1:25" ht="15" customHeight="1" x14ac:dyDescent="0.25">
      <c r="A1054" s="20" t="s">
        <v>7547</v>
      </c>
      <c r="B1054" s="14" t="s">
        <v>2458</v>
      </c>
      <c r="C1054" s="71" t="str">
        <f t="shared" si="16"/>
        <v>Product Info</v>
      </c>
      <c r="D1054" s="37" t="s">
        <v>3842</v>
      </c>
      <c r="E1054" s="143">
        <v>1</v>
      </c>
      <c r="F1054" s="12" t="s">
        <v>4992</v>
      </c>
      <c r="G1054" s="38">
        <v>5.83</v>
      </c>
      <c r="H1054" s="38">
        <v>4.95</v>
      </c>
      <c r="I1054" s="38">
        <v>4.08</v>
      </c>
      <c r="J1054" s="39"/>
      <c r="K1054" s="143"/>
      <c r="L1054" s="22">
        <v>0</v>
      </c>
      <c r="M1054" s="22">
        <v>0</v>
      </c>
      <c r="N1054" s="20" t="s">
        <v>14489</v>
      </c>
      <c r="O1054" s="16">
        <v>0</v>
      </c>
      <c r="P1054" s="143">
        <v>760</v>
      </c>
      <c r="Q1054" s="121" t="s">
        <v>14285</v>
      </c>
      <c r="R1054" s="16" t="s">
        <v>8904</v>
      </c>
      <c r="S1054" s="10" t="s">
        <v>1163</v>
      </c>
      <c r="T1054" s="28" t="s">
        <v>10242</v>
      </c>
      <c r="U1054" s="20" t="s">
        <v>5359</v>
      </c>
      <c r="V1054" s="16" t="s">
        <v>7547</v>
      </c>
      <c r="W1054" s="20" t="s">
        <v>14432</v>
      </c>
      <c r="X1054" s="174">
        <v>3.76</v>
      </c>
      <c r="Y1054" s="174">
        <v>4.95</v>
      </c>
    </row>
    <row r="1055" spans="1:25" ht="15" customHeight="1" x14ac:dyDescent="0.25">
      <c r="A1055" s="20" t="s">
        <v>4835</v>
      </c>
      <c r="B1055" s="14" t="s">
        <v>4836</v>
      </c>
      <c r="C1055" s="71" t="str">
        <f t="shared" si="16"/>
        <v>Product Info</v>
      </c>
      <c r="D1055" s="37" t="s">
        <v>4196</v>
      </c>
      <c r="E1055" s="143">
        <v>3</v>
      </c>
      <c r="F1055" s="12" t="s">
        <v>2170</v>
      </c>
      <c r="G1055" s="38">
        <v>83.87</v>
      </c>
      <c r="H1055" s="38">
        <v>71.290000000000006</v>
      </c>
      <c r="I1055" s="38">
        <v>58.71</v>
      </c>
      <c r="J1055" s="39"/>
      <c r="K1055" s="143"/>
      <c r="L1055" s="22">
        <v>6</v>
      </c>
      <c r="M1055" s="22" t="s">
        <v>12488</v>
      </c>
      <c r="N1055" s="20" t="s">
        <v>9263</v>
      </c>
      <c r="O1055" s="16" t="s">
        <v>12608</v>
      </c>
      <c r="P1055" s="143">
        <v>760</v>
      </c>
      <c r="Q1055" s="121" t="s">
        <v>14285</v>
      </c>
      <c r="R1055" s="16" t="s">
        <v>8904</v>
      </c>
      <c r="S1055" s="10" t="s">
        <v>1163</v>
      </c>
      <c r="T1055" s="28" t="s">
        <v>10243</v>
      </c>
      <c r="U1055" s="20" t="s">
        <v>5359</v>
      </c>
      <c r="V1055" s="16" t="s">
        <v>4835</v>
      </c>
      <c r="W1055" s="20" t="s">
        <v>14432</v>
      </c>
      <c r="X1055" s="174">
        <v>54.17</v>
      </c>
      <c r="Y1055" s="174">
        <v>71.290000000000006</v>
      </c>
    </row>
    <row r="1056" spans="1:25" ht="15" customHeight="1" x14ac:dyDescent="0.25">
      <c r="A1056" s="20" t="s">
        <v>6352</v>
      </c>
      <c r="B1056" s="14" t="s">
        <v>6353</v>
      </c>
      <c r="C1056" s="71" t="str">
        <f t="shared" si="16"/>
        <v>Product Info</v>
      </c>
      <c r="D1056" s="37" t="s">
        <v>4197</v>
      </c>
      <c r="E1056" s="143">
        <v>3</v>
      </c>
      <c r="F1056" s="12" t="s">
        <v>2170</v>
      </c>
      <c r="G1056" s="38">
        <v>86.86</v>
      </c>
      <c r="H1056" s="38">
        <v>73.83</v>
      </c>
      <c r="I1056" s="38">
        <v>60.8</v>
      </c>
      <c r="J1056" s="39"/>
      <c r="K1056" s="143"/>
      <c r="L1056" s="22">
        <v>2.35</v>
      </c>
      <c r="M1056" s="22" t="s">
        <v>12488</v>
      </c>
      <c r="N1056" s="20" t="s">
        <v>9241</v>
      </c>
      <c r="O1056" s="16" t="s">
        <v>12608</v>
      </c>
      <c r="P1056" s="143">
        <v>760</v>
      </c>
      <c r="Q1056" s="122" t="s">
        <v>9227</v>
      </c>
      <c r="R1056" s="16" t="s">
        <v>8904</v>
      </c>
      <c r="S1056" s="10" t="s">
        <v>1163</v>
      </c>
      <c r="T1056" s="28" t="s">
        <v>10244</v>
      </c>
      <c r="U1056" s="20" t="s">
        <v>5359</v>
      </c>
      <c r="V1056" s="16" t="s">
        <v>6352</v>
      </c>
      <c r="W1056" s="20" t="s">
        <v>14432</v>
      </c>
      <c r="X1056" s="174">
        <v>56.1</v>
      </c>
      <c r="Y1056" s="174">
        <v>73.83</v>
      </c>
    </row>
    <row r="1057" spans="1:25" ht="15" customHeight="1" x14ac:dyDescent="0.25">
      <c r="A1057" s="20" t="s">
        <v>6354</v>
      </c>
      <c r="B1057" s="14" t="s">
        <v>6355</v>
      </c>
      <c r="C1057" s="71" t="str">
        <f t="shared" si="16"/>
        <v>Product Info</v>
      </c>
      <c r="D1057" s="37" t="s">
        <v>4198</v>
      </c>
      <c r="E1057" s="143">
        <v>3</v>
      </c>
      <c r="F1057" s="12" t="s">
        <v>2170</v>
      </c>
      <c r="G1057" s="38">
        <v>87.6</v>
      </c>
      <c r="H1057" s="38">
        <v>74.459999999999994</v>
      </c>
      <c r="I1057" s="38">
        <v>61.32</v>
      </c>
      <c r="J1057" s="39"/>
      <c r="K1057" s="143"/>
      <c r="L1057" s="22">
        <v>0</v>
      </c>
      <c r="M1057" s="22">
        <v>0</v>
      </c>
      <c r="N1057" s="20" t="s">
        <v>14489</v>
      </c>
      <c r="O1057" s="16">
        <v>0</v>
      </c>
      <c r="P1057" s="143">
        <v>760</v>
      </c>
      <c r="Q1057" s="121" t="s">
        <v>14285</v>
      </c>
      <c r="R1057" s="16" t="s">
        <v>8904</v>
      </c>
      <c r="S1057" s="10" t="s">
        <v>1163</v>
      </c>
      <c r="T1057" s="28" t="s">
        <v>10245</v>
      </c>
      <c r="U1057" s="20" t="s">
        <v>5359</v>
      </c>
      <c r="V1057" s="16" t="s">
        <v>6354</v>
      </c>
      <c r="W1057" s="20" t="s">
        <v>14432</v>
      </c>
      <c r="X1057" s="174">
        <v>56.58</v>
      </c>
      <c r="Y1057" s="174">
        <v>74.459999999999994</v>
      </c>
    </row>
    <row r="1058" spans="1:25" ht="15" customHeight="1" x14ac:dyDescent="0.25">
      <c r="A1058" s="20" t="s">
        <v>5526</v>
      </c>
      <c r="B1058" s="14" t="s">
        <v>5527</v>
      </c>
      <c r="C1058" s="71" t="str">
        <f t="shared" si="16"/>
        <v>Product Info</v>
      </c>
      <c r="D1058" s="37" t="s">
        <v>5713</v>
      </c>
      <c r="E1058" s="143">
        <v>12</v>
      </c>
      <c r="F1058" s="12" t="s">
        <v>4992</v>
      </c>
      <c r="G1058" s="38">
        <v>196.24</v>
      </c>
      <c r="H1058" s="38">
        <v>166.81</v>
      </c>
      <c r="I1058" s="38">
        <v>137.37</v>
      </c>
      <c r="J1058" s="39"/>
      <c r="K1058" s="143"/>
      <c r="L1058" s="22">
        <v>0</v>
      </c>
      <c r="M1058" s="22">
        <v>0</v>
      </c>
      <c r="N1058" s="20" t="s">
        <v>14489</v>
      </c>
      <c r="O1058" s="16">
        <v>0</v>
      </c>
      <c r="P1058" s="143">
        <v>760</v>
      </c>
      <c r="Q1058" s="122" t="s">
        <v>12421</v>
      </c>
      <c r="R1058" s="16" t="s">
        <v>8904</v>
      </c>
      <c r="S1058" s="10" t="s">
        <v>1163</v>
      </c>
      <c r="T1058" s="28" t="s">
        <v>10246</v>
      </c>
      <c r="U1058" s="20" t="s">
        <v>5359</v>
      </c>
      <c r="V1058" s="16" t="s">
        <v>5526</v>
      </c>
      <c r="W1058" s="20" t="s">
        <v>14432</v>
      </c>
      <c r="X1058" s="174">
        <v>126.76</v>
      </c>
      <c r="Y1058" s="174">
        <v>166.81</v>
      </c>
    </row>
    <row r="1059" spans="1:25" ht="15" customHeight="1" x14ac:dyDescent="0.25">
      <c r="A1059" s="20" t="s">
        <v>6356</v>
      </c>
      <c r="B1059" s="14" t="s">
        <v>6357</v>
      </c>
      <c r="C1059" s="71" t="str">
        <f t="shared" si="16"/>
        <v>Product Info</v>
      </c>
      <c r="D1059" s="37" t="s">
        <v>4199</v>
      </c>
      <c r="E1059" s="143">
        <v>3</v>
      </c>
      <c r="F1059" s="12" t="s">
        <v>2170</v>
      </c>
      <c r="G1059" s="38">
        <v>196.24</v>
      </c>
      <c r="H1059" s="38">
        <v>166.81</v>
      </c>
      <c r="I1059" s="38">
        <v>137.37</v>
      </c>
      <c r="J1059" s="39"/>
      <c r="K1059" s="143"/>
      <c r="L1059" s="22">
        <v>5</v>
      </c>
      <c r="M1059" s="22" t="s">
        <v>12488</v>
      </c>
      <c r="N1059" s="20" t="s">
        <v>9279</v>
      </c>
      <c r="O1059" s="16" t="s">
        <v>12488</v>
      </c>
      <c r="P1059" s="143">
        <v>760</v>
      </c>
      <c r="Q1059" s="121" t="s">
        <v>14285</v>
      </c>
      <c r="R1059" s="16" t="s">
        <v>8904</v>
      </c>
      <c r="S1059" s="10" t="s">
        <v>1163</v>
      </c>
      <c r="T1059" s="28" t="s">
        <v>10247</v>
      </c>
      <c r="U1059" s="20" t="s">
        <v>5359</v>
      </c>
      <c r="V1059" s="16" t="s">
        <v>6356</v>
      </c>
      <c r="W1059" s="20" t="s">
        <v>14432</v>
      </c>
      <c r="X1059" s="174">
        <v>126.76</v>
      </c>
      <c r="Y1059" s="174">
        <v>166.81</v>
      </c>
    </row>
    <row r="1060" spans="1:25" ht="15" customHeight="1" x14ac:dyDescent="0.25">
      <c r="A1060" s="20" t="s">
        <v>6358</v>
      </c>
      <c r="B1060" s="14" t="s">
        <v>5741</v>
      </c>
      <c r="C1060" s="71" t="str">
        <f t="shared" si="16"/>
        <v>Product Info</v>
      </c>
      <c r="D1060" s="37" t="s">
        <v>4200</v>
      </c>
      <c r="E1060" s="143">
        <v>3</v>
      </c>
      <c r="F1060" s="12" t="s">
        <v>2170</v>
      </c>
      <c r="G1060" s="38">
        <v>135.49</v>
      </c>
      <c r="H1060" s="38">
        <v>115.17</v>
      </c>
      <c r="I1060" s="38">
        <v>94.84</v>
      </c>
      <c r="J1060" s="39"/>
      <c r="K1060" s="143"/>
      <c r="L1060" s="22">
        <v>2.391</v>
      </c>
      <c r="M1060" s="22" t="s">
        <v>12488</v>
      </c>
      <c r="N1060" s="20" t="s">
        <v>9280</v>
      </c>
      <c r="O1060" s="16" t="s">
        <v>12608</v>
      </c>
      <c r="P1060" s="143">
        <v>760</v>
      </c>
      <c r="Q1060" s="122" t="s">
        <v>12421</v>
      </c>
      <c r="R1060" s="16" t="s">
        <v>8904</v>
      </c>
      <c r="S1060" s="10" t="s">
        <v>1163</v>
      </c>
      <c r="T1060" s="28" t="s">
        <v>10248</v>
      </c>
      <c r="U1060" s="20" t="s">
        <v>5359</v>
      </c>
      <c r="V1060" s="16" t="s">
        <v>6358</v>
      </c>
      <c r="W1060" s="20" t="s">
        <v>14432</v>
      </c>
      <c r="X1060" s="174">
        <v>87.51</v>
      </c>
      <c r="Y1060" s="174">
        <v>115.17</v>
      </c>
    </row>
    <row r="1061" spans="1:25" ht="15" customHeight="1" x14ac:dyDescent="0.25">
      <c r="A1061" s="20" t="s">
        <v>5742</v>
      </c>
      <c r="B1061" s="14" t="s">
        <v>5743</v>
      </c>
      <c r="C1061" s="71" t="str">
        <f t="shared" si="16"/>
        <v>Product Info</v>
      </c>
      <c r="D1061" s="37" t="s">
        <v>4201</v>
      </c>
      <c r="E1061" s="143">
        <v>3</v>
      </c>
      <c r="F1061" s="12" t="s">
        <v>2170</v>
      </c>
      <c r="G1061" s="38">
        <v>135.49</v>
      </c>
      <c r="H1061" s="38">
        <v>115.17</v>
      </c>
      <c r="I1061" s="38">
        <v>94.84</v>
      </c>
      <c r="J1061" s="39"/>
      <c r="K1061" s="143"/>
      <c r="L1061" s="22">
        <v>2</v>
      </c>
      <c r="M1061" s="22" t="s">
        <v>12488</v>
      </c>
      <c r="N1061" s="20" t="s">
        <v>9281</v>
      </c>
      <c r="O1061" s="16" t="s">
        <v>12608</v>
      </c>
      <c r="P1061" s="143">
        <v>760</v>
      </c>
      <c r="Q1061" s="122" t="s">
        <v>12421</v>
      </c>
      <c r="R1061" s="16" t="s">
        <v>8904</v>
      </c>
      <c r="S1061" s="10" t="s">
        <v>1163</v>
      </c>
      <c r="T1061" s="28" t="s">
        <v>10249</v>
      </c>
      <c r="U1061" s="20" t="s">
        <v>5359</v>
      </c>
      <c r="V1061" s="16" t="s">
        <v>5742</v>
      </c>
      <c r="W1061" s="20" t="s">
        <v>14432</v>
      </c>
      <c r="X1061" s="174">
        <v>87.51</v>
      </c>
      <c r="Y1061" s="174">
        <v>115.17</v>
      </c>
    </row>
    <row r="1062" spans="1:25" ht="15" customHeight="1" x14ac:dyDescent="0.25">
      <c r="A1062" s="20" t="s">
        <v>5744</v>
      </c>
      <c r="B1062" s="14" t="s">
        <v>5745</v>
      </c>
      <c r="C1062" s="71" t="str">
        <f t="shared" si="16"/>
        <v>Product Info</v>
      </c>
      <c r="D1062" s="37" t="s">
        <v>4202</v>
      </c>
      <c r="E1062" s="143">
        <v>33</v>
      </c>
      <c r="F1062" s="12" t="s">
        <v>6692</v>
      </c>
      <c r="G1062" s="38">
        <v>41.54</v>
      </c>
      <c r="H1062" s="38">
        <v>35.31</v>
      </c>
      <c r="I1062" s="38">
        <v>29.08</v>
      </c>
      <c r="J1062" s="39"/>
      <c r="K1062" s="143"/>
      <c r="L1062" s="22">
        <v>0.90900000000000003</v>
      </c>
      <c r="M1062" s="22" t="s">
        <v>12488</v>
      </c>
      <c r="N1062" s="20" t="s">
        <v>9282</v>
      </c>
      <c r="O1062" s="16" t="s">
        <v>12608</v>
      </c>
      <c r="P1062" s="143">
        <v>760</v>
      </c>
      <c r="Q1062" s="121" t="s">
        <v>14285</v>
      </c>
      <c r="R1062" s="16" t="s">
        <v>8904</v>
      </c>
      <c r="S1062" s="10" t="s">
        <v>1163</v>
      </c>
      <c r="T1062" s="28" t="s">
        <v>10250</v>
      </c>
      <c r="U1062" s="20" t="s">
        <v>5359</v>
      </c>
      <c r="V1062" s="16" t="s">
        <v>5744</v>
      </c>
      <c r="W1062" s="20" t="s">
        <v>14432</v>
      </c>
      <c r="X1062" s="174">
        <v>26.83</v>
      </c>
      <c r="Y1062" s="174">
        <v>35.31</v>
      </c>
    </row>
    <row r="1063" spans="1:25" ht="15" customHeight="1" x14ac:dyDescent="0.25">
      <c r="A1063" s="20" t="s">
        <v>5062</v>
      </c>
      <c r="B1063" s="14" t="s">
        <v>4026</v>
      </c>
      <c r="C1063" s="71" t="str">
        <f t="shared" si="16"/>
        <v>Product Info</v>
      </c>
      <c r="D1063" s="37" t="s">
        <v>5064</v>
      </c>
      <c r="E1063" s="143">
        <v>10</v>
      </c>
      <c r="F1063" s="12" t="s">
        <v>2170</v>
      </c>
      <c r="G1063" s="38">
        <v>116.13</v>
      </c>
      <c r="H1063" s="38">
        <v>98.71</v>
      </c>
      <c r="I1063" s="38">
        <v>81.290000000000006</v>
      </c>
      <c r="J1063" s="39"/>
      <c r="K1063" s="143"/>
      <c r="L1063" s="22">
        <v>2.5</v>
      </c>
      <c r="M1063" s="22" t="s">
        <v>12488</v>
      </c>
      <c r="N1063" s="20" t="s">
        <v>14489</v>
      </c>
      <c r="O1063" s="16" t="s">
        <v>12608</v>
      </c>
      <c r="P1063" s="143">
        <v>760</v>
      </c>
      <c r="Q1063" s="122" t="s">
        <v>9227</v>
      </c>
      <c r="R1063" s="16" t="s">
        <v>8904</v>
      </c>
      <c r="S1063" s="10" t="s">
        <v>1163</v>
      </c>
      <c r="T1063" s="28" t="s">
        <v>10251</v>
      </c>
      <c r="U1063" s="20" t="s">
        <v>5359</v>
      </c>
      <c r="V1063" s="16" t="s">
        <v>5062</v>
      </c>
      <c r="W1063" s="20" t="s">
        <v>14432</v>
      </c>
      <c r="X1063" s="174">
        <v>75.010000000000005</v>
      </c>
      <c r="Y1063" s="174">
        <v>98.71</v>
      </c>
    </row>
    <row r="1064" spans="1:25" ht="15" customHeight="1" x14ac:dyDescent="0.25">
      <c r="A1064" s="20" t="s">
        <v>7487</v>
      </c>
      <c r="B1064" s="14" t="s">
        <v>7488</v>
      </c>
      <c r="C1064" s="71" t="str">
        <f t="shared" si="16"/>
        <v>Product Info</v>
      </c>
      <c r="D1064" s="37" t="s">
        <v>6628</v>
      </c>
      <c r="E1064" s="143">
        <v>10</v>
      </c>
      <c r="F1064" s="12" t="s">
        <v>2170</v>
      </c>
      <c r="G1064" s="38">
        <v>121.09</v>
      </c>
      <c r="H1064" s="38">
        <v>102.93</v>
      </c>
      <c r="I1064" s="38">
        <v>84.76</v>
      </c>
      <c r="J1064" s="39"/>
      <c r="K1064" s="143"/>
      <c r="L1064" s="22">
        <v>1.6795</v>
      </c>
      <c r="M1064" s="22" t="s">
        <v>12488</v>
      </c>
      <c r="N1064" s="20" t="s">
        <v>8819</v>
      </c>
      <c r="O1064" s="16" t="s">
        <v>12608</v>
      </c>
      <c r="P1064" s="143">
        <v>760</v>
      </c>
      <c r="Q1064" s="122" t="s">
        <v>9227</v>
      </c>
      <c r="R1064" s="16" t="s">
        <v>8904</v>
      </c>
      <c r="S1064" s="10" t="s">
        <v>1163</v>
      </c>
      <c r="T1064" s="28" t="s">
        <v>10252</v>
      </c>
      <c r="U1064" s="20" t="s">
        <v>5359</v>
      </c>
      <c r="V1064" s="16" t="s">
        <v>7487</v>
      </c>
      <c r="W1064" s="20" t="s">
        <v>14432</v>
      </c>
      <c r="X1064" s="174">
        <v>78.209999999999994</v>
      </c>
      <c r="Y1064" s="174">
        <v>102.93</v>
      </c>
    </row>
    <row r="1065" spans="1:25" ht="15" customHeight="1" x14ac:dyDescent="0.25">
      <c r="A1065" s="20" t="s">
        <v>7489</v>
      </c>
      <c r="B1065" s="14" t="s">
        <v>7490</v>
      </c>
      <c r="C1065" s="71" t="str">
        <f t="shared" si="16"/>
        <v>Product Info</v>
      </c>
      <c r="D1065" s="37" t="s">
        <v>6629</v>
      </c>
      <c r="E1065" s="143">
        <v>10</v>
      </c>
      <c r="F1065" s="12" t="s">
        <v>2170</v>
      </c>
      <c r="G1065" s="38">
        <v>124.39</v>
      </c>
      <c r="H1065" s="38">
        <v>105.73</v>
      </c>
      <c r="I1065" s="38">
        <v>87.07</v>
      </c>
      <c r="J1065" s="39"/>
      <c r="K1065" s="143"/>
      <c r="L1065" s="22">
        <v>1.78</v>
      </c>
      <c r="M1065" s="22" t="s">
        <v>12488</v>
      </c>
      <c r="N1065" s="20" t="s">
        <v>8820</v>
      </c>
      <c r="O1065" s="16" t="s">
        <v>12608</v>
      </c>
      <c r="P1065" s="143">
        <v>760</v>
      </c>
      <c r="Q1065" s="122" t="s">
        <v>9227</v>
      </c>
      <c r="R1065" s="16" t="s">
        <v>8904</v>
      </c>
      <c r="S1065" s="10" t="s">
        <v>1163</v>
      </c>
      <c r="T1065" s="28" t="s">
        <v>10253</v>
      </c>
      <c r="U1065" s="20" t="s">
        <v>5359</v>
      </c>
      <c r="V1065" s="16" t="s">
        <v>7489</v>
      </c>
      <c r="W1065" s="20" t="s">
        <v>14432</v>
      </c>
      <c r="X1065" s="174">
        <v>80.34</v>
      </c>
      <c r="Y1065" s="174">
        <v>105.73</v>
      </c>
    </row>
    <row r="1066" spans="1:25" ht="15" customHeight="1" x14ac:dyDescent="0.25">
      <c r="A1066" s="20" t="s">
        <v>5061</v>
      </c>
      <c r="B1066" s="14" t="s">
        <v>4025</v>
      </c>
      <c r="C1066" s="71" t="str">
        <f t="shared" si="16"/>
        <v>Product Info</v>
      </c>
      <c r="D1066" s="37" t="s">
        <v>5063</v>
      </c>
      <c r="E1066" s="143">
        <v>10</v>
      </c>
      <c r="F1066" s="12" t="s">
        <v>4992</v>
      </c>
      <c r="G1066" s="38">
        <v>116.13</v>
      </c>
      <c r="H1066" s="38">
        <v>98.71</v>
      </c>
      <c r="I1066" s="38">
        <v>81.290000000000006</v>
      </c>
      <c r="J1066" s="39"/>
      <c r="K1066" s="143"/>
      <c r="L1066" s="22">
        <v>22.5</v>
      </c>
      <c r="M1066" s="22" t="s">
        <v>14396</v>
      </c>
      <c r="N1066" s="20" t="s">
        <v>14489</v>
      </c>
      <c r="O1066" s="16" t="s">
        <v>13914</v>
      </c>
      <c r="P1066" s="143">
        <v>760</v>
      </c>
      <c r="Q1066" s="122" t="s">
        <v>9227</v>
      </c>
      <c r="R1066" s="16" t="s">
        <v>8904</v>
      </c>
      <c r="S1066" s="10" t="s">
        <v>1163</v>
      </c>
      <c r="T1066" s="28" t="s">
        <v>10254</v>
      </c>
      <c r="U1066" s="20" t="s">
        <v>5359</v>
      </c>
      <c r="V1066" s="16" t="s">
        <v>5061</v>
      </c>
      <c r="W1066" s="20" t="s">
        <v>14432</v>
      </c>
      <c r="X1066" s="174">
        <v>75.010000000000005</v>
      </c>
      <c r="Y1066" s="174">
        <v>98.71</v>
      </c>
    </row>
    <row r="1067" spans="1:25" ht="15" customHeight="1" x14ac:dyDescent="0.25">
      <c r="A1067" s="20" t="s">
        <v>7491</v>
      </c>
      <c r="B1067" s="14" t="s">
        <v>7492</v>
      </c>
      <c r="C1067" s="71" t="str">
        <f t="shared" si="16"/>
        <v>Product Info</v>
      </c>
      <c r="D1067" s="37" t="s">
        <v>6630</v>
      </c>
      <c r="E1067" s="143">
        <v>10</v>
      </c>
      <c r="F1067" s="12" t="s">
        <v>4992</v>
      </c>
      <c r="G1067" s="38">
        <v>121.09</v>
      </c>
      <c r="H1067" s="38">
        <v>102.93</v>
      </c>
      <c r="I1067" s="38">
        <v>84.76</v>
      </c>
      <c r="J1067" s="39"/>
      <c r="K1067" s="143"/>
      <c r="L1067" s="22">
        <v>26.8</v>
      </c>
      <c r="M1067" s="22" t="s">
        <v>12488</v>
      </c>
      <c r="N1067" s="20" t="s">
        <v>8820</v>
      </c>
      <c r="O1067" s="16" t="s">
        <v>12608</v>
      </c>
      <c r="P1067" s="143">
        <v>760</v>
      </c>
      <c r="Q1067" s="122" t="s">
        <v>9227</v>
      </c>
      <c r="R1067" s="16" t="s">
        <v>8904</v>
      </c>
      <c r="S1067" s="10" t="s">
        <v>1163</v>
      </c>
      <c r="T1067" s="28" t="s">
        <v>10255</v>
      </c>
      <c r="U1067" s="20" t="s">
        <v>5359</v>
      </c>
      <c r="V1067" s="16" t="s">
        <v>7491</v>
      </c>
      <c r="W1067" s="20" t="s">
        <v>14432</v>
      </c>
      <c r="X1067" s="174">
        <v>78.209999999999994</v>
      </c>
      <c r="Y1067" s="174">
        <v>102.93</v>
      </c>
    </row>
    <row r="1068" spans="1:25" ht="15" customHeight="1" x14ac:dyDescent="0.25">
      <c r="A1068" s="20" t="s">
        <v>7493</v>
      </c>
      <c r="B1068" s="14" t="s">
        <v>7494</v>
      </c>
      <c r="C1068" s="71" t="str">
        <f t="shared" si="16"/>
        <v>Product Info</v>
      </c>
      <c r="D1068" s="37" t="s">
        <v>6631</v>
      </c>
      <c r="E1068" s="143">
        <v>10</v>
      </c>
      <c r="F1068" s="12" t="s">
        <v>4992</v>
      </c>
      <c r="G1068" s="38">
        <v>124.39</v>
      </c>
      <c r="H1068" s="38">
        <v>105.73</v>
      </c>
      <c r="I1068" s="38">
        <v>87.07</v>
      </c>
      <c r="J1068" s="39"/>
      <c r="K1068" s="143"/>
      <c r="L1068" s="22">
        <v>27</v>
      </c>
      <c r="M1068" s="22" t="s">
        <v>12488</v>
      </c>
      <c r="N1068" s="20" t="s">
        <v>8820</v>
      </c>
      <c r="O1068" s="16" t="s">
        <v>12608</v>
      </c>
      <c r="P1068" s="143">
        <v>760</v>
      </c>
      <c r="Q1068" s="122" t="s">
        <v>9227</v>
      </c>
      <c r="R1068" s="16" t="s">
        <v>8904</v>
      </c>
      <c r="S1068" s="10" t="s">
        <v>1163</v>
      </c>
      <c r="T1068" s="28" t="s">
        <v>10256</v>
      </c>
      <c r="U1068" s="20" t="s">
        <v>5359</v>
      </c>
      <c r="V1068" s="16" t="s">
        <v>7493</v>
      </c>
      <c r="W1068" s="20" t="s">
        <v>14432</v>
      </c>
      <c r="X1068" s="174">
        <v>80.34</v>
      </c>
      <c r="Y1068" s="174">
        <v>105.73</v>
      </c>
    </row>
    <row r="1069" spans="1:25" ht="15" customHeight="1" x14ac:dyDescent="0.25">
      <c r="A1069" s="20" t="s">
        <v>4098</v>
      </c>
      <c r="B1069" s="14" t="s">
        <v>4099</v>
      </c>
      <c r="C1069" s="71" t="str">
        <f t="shared" si="16"/>
        <v>Product Info</v>
      </c>
      <c r="D1069" s="37" t="s">
        <v>6632</v>
      </c>
      <c r="E1069" s="143">
        <v>3</v>
      </c>
      <c r="F1069" s="12" t="s">
        <v>2170</v>
      </c>
      <c r="G1069" s="38">
        <v>35.36</v>
      </c>
      <c r="H1069" s="38">
        <v>30.05</v>
      </c>
      <c r="I1069" s="38">
        <v>24.75</v>
      </c>
      <c r="J1069" s="39"/>
      <c r="K1069" s="143"/>
      <c r="L1069" s="22">
        <v>1</v>
      </c>
      <c r="M1069" s="22" t="s">
        <v>12488</v>
      </c>
      <c r="N1069" s="20" t="s">
        <v>9283</v>
      </c>
      <c r="O1069" s="16" t="s">
        <v>12608</v>
      </c>
      <c r="P1069" s="143">
        <v>760</v>
      </c>
      <c r="Q1069" s="121" t="s">
        <v>14285</v>
      </c>
      <c r="R1069" s="16" t="s">
        <v>8904</v>
      </c>
      <c r="S1069" s="10" t="s">
        <v>1163</v>
      </c>
      <c r="T1069" s="28" t="s">
        <v>10257</v>
      </c>
      <c r="U1069" s="20" t="s">
        <v>5359</v>
      </c>
      <c r="V1069" s="16" t="s">
        <v>4098</v>
      </c>
      <c r="W1069" s="20" t="s">
        <v>14432</v>
      </c>
      <c r="X1069" s="174">
        <v>22.83</v>
      </c>
      <c r="Y1069" s="174">
        <v>30.05</v>
      </c>
    </row>
    <row r="1070" spans="1:25" ht="15" customHeight="1" x14ac:dyDescent="0.25">
      <c r="A1070" s="20" t="s">
        <v>4100</v>
      </c>
      <c r="B1070" s="14" t="s">
        <v>4101</v>
      </c>
      <c r="C1070" s="71" t="str">
        <f t="shared" si="16"/>
        <v>Product Info</v>
      </c>
      <c r="D1070" s="37" t="s">
        <v>6633</v>
      </c>
      <c r="E1070" s="143">
        <v>50</v>
      </c>
      <c r="F1070" s="12" t="s">
        <v>6692</v>
      </c>
      <c r="G1070" s="38">
        <v>15.9</v>
      </c>
      <c r="H1070" s="38">
        <v>13.52</v>
      </c>
      <c r="I1070" s="38">
        <v>11.13</v>
      </c>
      <c r="J1070" s="39"/>
      <c r="K1070" s="12" t="s">
        <v>8905</v>
      </c>
      <c r="L1070" s="22">
        <v>0.32</v>
      </c>
      <c r="M1070" s="22" t="s">
        <v>12488</v>
      </c>
      <c r="N1070" s="20" t="s">
        <v>9284</v>
      </c>
      <c r="O1070" s="16" t="s">
        <v>12608</v>
      </c>
      <c r="P1070" s="143">
        <v>760</v>
      </c>
      <c r="Q1070" s="122" t="s">
        <v>14461</v>
      </c>
      <c r="R1070" s="16" t="s">
        <v>8904</v>
      </c>
      <c r="S1070" s="10" t="s">
        <v>1163</v>
      </c>
      <c r="T1070" s="28" t="s">
        <v>10258</v>
      </c>
      <c r="U1070" s="20" t="s">
        <v>5359</v>
      </c>
      <c r="V1070" s="16" t="s">
        <v>4100</v>
      </c>
      <c r="W1070" s="20" t="s">
        <v>14432</v>
      </c>
      <c r="X1070" s="174">
        <v>10.27</v>
      </c>
      <c r="Y1070" s="174">
        <v>13.52</v>
      </c>
    </row>
    <row r="1071" spans="1:25" ht="15" customHeight="1" x14ac:dyDescent="0.25">
      <c r="A1071" s="20" t="s">
        <v>4102</v>
      </c>
      <c r="B1071" s="14" t="s">
        <v>4103</v>
      </c>
      <c r="C1071" s="71" t="str">
        <f t="shared" si="16"/>
        <v>Product Info</v>
      </c>
      <c r="D1071" s="37" t="s">
        <v>6634</v>
      </c>
      <c r="E1071" s="143">
        <v>50</v>
      </c>
      <c r="F1071" s="12" t="s">
        <v>6692</v>
      </c>
      <c r="G1071" s="38">
        <v>22.71</v>
      </c>
      <c r="H1071" s="38">
        <v>19.309999999999999</v>
      </c>
      <c r="I1071" s="38">
        <v>15.9</v>
      </c>
      <c r="J1071" s="39"/>
      <c r="K1071" s="12" t="s">
        <v>8905</v>
      </c>
      <c r="L1071" s="22">
        <v>0.46400000000000002</v>
      </c>
      <c r="M1071" s="22" t="s">
        <v>12488</v>
      </c>
      <c r="N1071" s="20" t="s">
        <v>9285</v>
      </c>
      <c r="O1071" s="16" t="s">
        <v>12608</v>
      </c>
      <c r="P1071" s="143">
        <v>760</v>
      </c>
      <c r="Q1071" s="122" t="s">
        <v>14461</v>
      </c>
      <c r="R1071" s="16" t="s">
        <v>8904</v>
      </c>
      <c r="S1071" s="10" t="s">
        <v>1163</v>
      </c>
      <c r="T1071" s="28" t="s">
        <v>10259</v>
      </c>
      <c r="U1071" s="20" t="s">
        <v>5359</v>
      </c>
      <c r="V1071" s="16" t="s">
        <v>4102</v>
      </c>
      <c r="W1071" s="20" t="s">
        <v>14432</v>
      </c>
      <c r="X1071" s="174">
        <v>14.67</v>
      </c>
      <c r="Y1071" s="174">
        <v>19.309999999999999</v>
      </c>
    </row>
    <row r="1072" spans="1:25" ht="15" customHeight="1" x14ac:dyDescent="0.25">
      <c r="A1072" s="20" t="s">
        <v>4104</v>
      </c>
      <c r="B1072" s="14" t="s">
        <v>4105</v>
      </c>
      <c r="C1072" s="71" t="str">
        <f t="shared" si="16"/>
        <v>Product Info</v>
      </c>
      <c r="D1072" s="37" t="s">
        <v>6635</v>
      </c>
      <c r="E1072" s="143">
        <v>50</v>
      </c>
      <c r="F1072" s="12" t="s">
        <v>6692</v>
      </c>
      <c r="G1072" s="38">
        <v>6.76</v>
      </c>
      <c r="H1072" s="38">
        <v>5.74</v>
      </c>
      <c r="I1072" s="38">
        <v>4.7300000000000004</v>
      </c>
      <c r="J1072" s="39"/>
      <c r="K1072" s="12" t="s">
        <v>8905</v>
      </c>
      <c r="L1072" s="22">
        <v>0.22</v>
      </c>
      <c r="M1072" s="22" t="s">
        <v>12488</v>
      </c>
      <c r="N1072" s="20" t="s">
        <v>9286</v>
      </c>
      <c r="O1072" s="16" t="s">
        <v>12608</v>
      </c>
      <c r="P1072" s="143">
        <v>760</v>
      </c>
      <c r="Q1072" s="122" t="s">
        <v>14461</v>
      </c>
      <c r="R1072" s="16" t="s">
        <v>8904</v>
      </c>
      <c r="S1072" s="10" t="s">
        <v>1163</v>
      </c>
      <c r="T1072" s="28" t="s">
        <v>10260</v>
      </c>
      <c r="U1072" s="20" t="s">
        <v>5359</v>
      </c>
      <c r="V1072" s="16" t="s">
        <v>4104</v>
      </c>
      <c r="W1072" s="20" t="s">
        <v>14432</v>
      </c>
      <c r="X1072" s="174">
        <v>4.37</v>
      </c>
      <c r="Y1072" s="174">
        <v>5.74</v>
      </c>
    </row>
    <row r="1073" spans="1:25" ht="15" customHeight="1" x14ac:dyDescent="0.25">
      <c r="A1073" s="20" t="s">
        <v>4106</v>
      </c>
      <c r="B1073" s="14" t="s">
        <v>4107</v>
      </c>
      <c r="C1073" s="71" t="str">
        <f t="shared" si="16"/>
        <v>Product Info</v>
      </c>
      <c r="D1073" s="37" t="s">
        <v>6636</v>
      </c>
      <c r="E1073" s="143">
        <v>50</v>
      </c>
      <c r="F1073" s="12" t="s">
        <v>6692</v>
      </c>
      <c r="G1073" s="38">
        <v>30.46</v>
      </c>
      <c r="H1073" s="38">
        <v>25.89</v>
      </c>
      <c r="I1073" s="38">
        <v>21.32</v>
      </c>
      <c r="J1073" s="39"/>
      <c r="K1073" s="12" t="s">
        <v>8905</v>
      </c>
      <c r="L1073" s="22">
        <v>0.61470000000000002</v>
      </c>
      <c r="M1073" s="22" t="s">
        <v>12488</v>
      </c>
      <c r="N1073" s="20" t="s">
        <v>9287</v>
      </c>
      <c r="O1073" s="16" t="s">
        <v>12608</v>
      </c>
      <c r="P1073" s="143">
        <v>760</v>
      </c>
      <c r="Q1073" s="122" t="s">
        <v>14461</v>
      </c>
      <c r="R1073" s="16" t="s">
        <v>8904</v>
      </c>
      <c r="S1073" s="10" t="s">
        <v>1163</v>
      </c>
      <c r="T1073" s="28" t="s">
        <v>10261</v>
      </c>
      <c r="U1073" s="20" t="s">
        <v>5359</v>
      </c>
      <c r="V1073" s="16" t="s">
        <v>4106</v>
      </c>
      <c r="W1073" s="20" t="s">
        <v>14432</v>
      </c>
      <c r="X1073" s="174">
        <v>19.670000000000002</v>
      </c>
      <c r="Y1073" s="174">
        <v>25.89</v>
      </c>
    </row>
    <row r="1074" spans="1:25" ht="15" customHeight="1" x14ac:dyDescent="0.25">
      <c r="A1074" s="20" t="s">
        <v>4108</v>
      </c>
      <c r="B1074" s="14" t="s">
        <v>4109</v>
      </c>
      <c r="C1074" s="71" t="str">
        <f t="shared" si="16"/>
        <v>Product Info</v>
      </c>
      <c r="D1074" s="37" t="s">
        <v>6637</v>
      </c>
      <c r="E1074" s="143">
        <v>50</v>
      </c>
      <c r="F1074" s="12" t="s">
        <v>6692</v>
      </c>
      <c r="G1074" s="38">
        <v>46.57</v>
      </c>
      <c r="H1074" s="38">
        <v>39.590000000000003</v>
      </c>
      <c r="I1074" s="38">
        <v>32.6</v>
      </c>
      <c r="J1074" s="39"/>
      <c r="K1074" s="143"/>
      <c r="L1074" s="22">
        <v>1.5</v>
      </c>
      <c r="M1074" s="22" t="s">
        <v>12488</v>
      </c>
      <c r="N1074" s="20" t="s">
        <v>9270</v>
      </c>
      <c r="O1074" s="16" t="s">
        <v>12608</v>
      </c>
      <c r="P1074" s="143">
        <v>760</v>
      </c>
      <c r="Q1074" s="121" t="s">
        <v>14285</v>
      </c>
      <c r="R1074" s="16" t="s">
        <v>8904</v>
      </c>
      <c r="S1074" s="10" t="s">
        <v>1163</v>
      </c>
      <c r="T1074" s="28" t="s">
        <v>10262</v>
      </c>
      <c r="U1074" s="20" t="s">
        <v>5359</v>
      </c>
      <c r="V1074" s="16" t="s">
        <v>4108</v>
      </c>
      <c r="W1074" s="20" t="s">
        <v>14432</v>
      </c>
      <c r="X1074" s="174">
        <v>30.08</v>
      </c>
      <c r="Y1074" s="174">
        <v>39.590000000000003</v>
      </c>
    </row>
    <row r="1075" spans="1:25" ht="15" customHeight="1" x14ac:dyDescent="0.25">
      <c r="A1075" s="20" t="s">
        <v>13723</v>
      </c>
      <c r="B1075" s="37" t="s">
        <v>13724</v>
      </c>
      <c r="C1075" s="71" t="str">
        <f t="shared" si="16"/>
        <v>Product Info</v>
      </c>
      <c r="D1075" s="37" t="s">
        <v>13725</v>
      </c>
      <c r="E1075" s="143">
        <v>132</v>
      </c>
      <c r="F1075" s="143" t="s">
        <v>6692</v>
      </c>
      <c r="G1075" s="38">
        <v>90.27</v>
      </c>
      <c r="H1075" s="38">
        <v>76.73</v>
      </c>
      <c r="I1075" s="38">
        <v>63.19</v>
      </c>
      <c r="J1075" s="39"/>
      <c r="K1075" s="143"/>
      <c r="L1075" s="22">
        <v>2</v>
      </c>
      <c r="M1075" s="22" t="s">
        <v>12487</v>
      </c>
      <c r="N1075" s="20" t="s">
        <v>13726</v>
      </c>
      <c r="O1075" s="16" t="s">
        <v>12608</v>
      </c>
      <c r="P1075" s="143">
        <v>760</v>
      </c>
      <c r="Q1075" s="121" t="s">
        <v>14285</v>
      </c>
      <c r="R1075" s="16" t="s">
        <v>8904</v>
      </c>
      <c r="S1075" s="10" t="s">
        <v>1163</v>
      </c>
      <c r="T1075" s="15" t="s">
        <v>14427</v>
      </c>
      <c r="U1075" s="20" t="s">
        <v>5359</v>
      </c>
      <c r="V1075" s="20" t="s">
        <v>13723</v>
      </c>
      <c r="W1075" s="20" t="s">
        <v>14432</v>
      </c>
      <c r="X1075" s="174">
        <v>56.87</v>
      </c>
      <c r="Y1075" s="174">
        <v>76.73</v>
      </c>
    </row>
    <row r="1076" spans="1:25" ht="15" customHeight="1" x14ac:dyDescent="0.25">
      <c r="A1076" s="20" t="s">
        <v>4110</v>
      </c>
      <c r="B1076" s="14" t="s">
        <v>4111</v>
      </c>
      <c r="C1076" s="71" t="str">
        <f t="shared" si="16"/>
        <v>Product Info</v>
      </c>
      <c r="D1076" s="37" t="s">
        <v>4217</v>
      </c>
      <c r="E1076" s="143">
        <v>50</v>
      </c>
      <c r="F1076" s="12" t="s">
        <v>6692</v>
      </c>
      <c r="G1076" s="38">
        <v>7.33</v>
      </c>
      <c r="H1076" s="38">
        <v>6.23</v>
      </c>
      <c r="I1076" s="38">
        <v>5.13</v>
      </c>
      <c r="J1076" s="39"/>
      <c r="K1076" s="12" t="s">
        <v>8905</v>
      </c>
      <c r="L1076" s="22">
        <v>0.12189999999999999</v>
      </c>
      <c r="M1076" s="22" t="s">
        <v>12488</v>
      </c>
      <c r="N1076" s="20" t="s">
        <v>9286</v>
      </c>
      <c r="O1076" s="16" t="s">
        <v>12608</v>
      </c>
      <c r="P1076" s="143">
        <v>760</v>
      </c>
      <c r="Q1076" s="122" t="s">
        <v>14461</v>
      </c>
      <c r="R1076" s="16" t="s">
        <v>8904</v>
      </c>
      <c r="S1076" s="10" t="s">
        <v>1163</v>
      </c>
      <c r="T1076" s="28" t="s">
        <v>10263</v>
      </c>
      <c r="U1076" s="20" t="s">
        <v>5359</v>
      </c>
      <c r="V1076" s="16" t="s">
        <v>4110</v>
      </c>
      <c r="W1076" s="20" t="s">
        <v>14432</v>
      </c>
      <c r="X1076" s="174">
        <v>4.7300000000000004</v>
      </c>
      <c r="Y1076" s="174">
        <v>6.23</v>
      </c>
    </row>
    <row r="1077" spans="1:25" ht="15" customHeight="1" x14ac:dyDescent="0.25">
      <c r="A1077" s="20" t="s">
        <v>2411</v>
      </c>
      <c r="B1077" s="14" t="s">
        <v>2412</v>
      </c>
      <c r="C1077" s="71" t="str">
        <f t="shared" si="16"/>
        <v>Product Info</v>
      </c>
      <c r="D1077" s="37" t="s">
        <v>4218</v>
      </c>
      <c r="E1077" s="143">
        <v>50</v>
      </c>
      <c r="F1077" s="12" t="s">
        <v>6692</v>
      </c>
      <c r="G1077" s="38">
        <v>9.76</v>
      </c>
      <c r="H1077" s="38">
        <v>8.2899999999999991</v>
      </c>
      <c r="I1077" s="38">
        <v>6.83</v>
      </c>
      <c r="J1077" s="39"/>
      <c r="K1077" s="12" t="s">
        <v>8905</v>
      </c>
      <c r="L1077" s="22">
        <v>0.18</v>
      </c>
      <c r="M1077" s="22" t="s">
        <v>12488</v>
      </c>
      <c r="N1077" s="20" t="s">
        <v>9240</v>
      </c>
      <c r="O1077" s="16" t="s">
        <v>13914</v>
      </c>
      <c r="P1077" s="143">
        <v>760</v>
      </c>
      <c r="Q1077" s="122" t="s">
        <v>14461</v>
      </c>
      <c r="R1077" s="16" t="s">
        <v>8904</v>
      </c>
      <c r="S1077" s="10" t="s">
        <v>1163</v>
      </c>
      <c r="T1077" s="28" t="s">
        <v>10264</v>
      </c>
      <c r="U1077" s="20" t="s">
        <v>5359</v>
      </c>
      <c r="V1077" s="16" t="s">
        <v>2411</v>
      </c>
      <c r="W1077" s="20" t="s">
        <v>14432</v>
      </c>
      <c r="X1077" s="174">
        <v>6.31</v>
      </c>
      <c r="Y1077" s="174">
        <v>8.2899999999999991</v>
      </c>
    </row>
    <row r="1078" spans="1:25" ht="15" customHeight="1" x14ac:dyDescent="0.25">
      <c r="A1078" s="20" t="s">
        <v>2413</v>
      </c>
      <c r="B1078" s="14" t="s">
        <v>1249</v>
      </c>
      <c r="C1078" s="71" t="str">
        <f t="shared" si="16"/>
        <v>Product Info</v>
      </c>
      <c r="D1078" s="37" t="s">
        <v>4219</v>
      </c>
      <c r="E1078" s="143">
        <v>50</v>
      </c>
      <c r="F1078" s="12" t="s">
        <v>6692</v>
      </c>
      <c r="G1078" s="38">
        <v>11.4</v>
      </c>
      <c r="H1078" s="38">
        <v>9.69</v>
      </c>
      <c r="I1078" s="38">
        <v>7.98</v>
      </c>
      <c r="J1078" s="39"/>
      <c r="K1078" s="12" t="s">
        <v>8905</v>
      </c>
      <c r="L1078" s="22">
        <v>0.255</v>
      </c>
      <c r="M1078" s="22" t="s">
        <v>12488</v>
      </c>
      <c r="N1078" s="20" t="s">
        <v>9288</v>
      </c>
      <c r="O1078" s="16" t="s">
        <v>12608</v>
      </c>
      <c r="P1078" s="143">
        <v>760</v>
      </c>
      <c r="Q1078" s="122" t="s">
        <v>14461</v>
      </c>
      <c r="R1078" s="16" t="s">
        <v>8904</v>
      </c>
      <c r="S1078" s="10" t="s">
        <v>1163</v>
      </c>
      <c r="T1078" s="28" t="s">
        <v>10265</v>
      </c>
      <c r="U1078" s="20" t="s">
        <v>5359</v>
      </c>
      <c r="V1078" s="16" t="s">
        <v>2413</v>
      </c>
      <c r="W1078" s="20" t="s">
        <v>14432</v>
      </c>
      <c r="X1078" s="174">
        <v>7.36</v>
      </c>
      <c r="Y1078" s="174">
        <v>9.69</v>
      </c>
    </row>
    <row r="1079" spans="1:25" ht="15" customHeight="1" x14ac:dyDescent="0.25">
      <c r="A1079" s="20" t="s">
        <v>1250</v>
      </c>
      <c r="B1079" s="14" t="s">
        <v>1251</v>
      </c>
      <c r="C1079" s="71" t="str">
        <f t="shared" si="16"/>
        <v>Product Info</v>
      </c>
      <c r="D1079" s="37" t="s">
        <v>4220</v>
      </c>
      <c r="E1079" s="143">
        <v>1</v>
      </c>
      <c r="F1079" s="12" t="s">
        <v>2170</v>
      </c>
      <c r="G1079" s="38">
        <v>34.9</v>
      </c>
      <c r="H1079" s="38">
        <v>29.67</v>
      </c>
      <c r="I1079" s="38">
        <v>24.43</v>
      </c>
      <c r="J1079" s="39"/>
      <c r="K1079" s="143"/>
      <c r="L1079" s="22">
        <v>1.5</v>
      </c>
      <c r="M1079" s="22" t="s">
        <v>12488</v>
      </c>
      <c r="N1079" s="20" t="s">
        <v>9289</v>
      </c>
      <c r="O1079" s="16" t="s">
        <v>12608</v>
      </c>
      <c r="P1079" s="143">
        <v>753</v>
      </c>
      <c r="Q1079" s="122" t="s">
        <v>9227</v>
      </c>
      <c r="R1079" s="16" t="s">
        <v>8904</v>
      </c>
      <c r="S1079" s="10" t="s">
        <v>1163</v>
      </c>
      <c r="T1079" s="28" t="s">
        <v>10266</v>
      </c>
      <c r="U1079" s="20" t="s">
        <v>5359</v>
      </c>
      <c r="V1079" s="16" t="s">
        <v>1250</v>
      </c>
      <c r="W1079" s="11" t="s">
        <v>14283</v>
      </c>
      <c r="X1079" s="174">
        <v>22.11</v>
      </c>
      <c r="Y1079" s="174">
        <v>29.67</v>
      </c>
    </row>
    <row r="1080" spans="1:25" ht="15" customHeight="1" x14ac:dyDescent="0.25">
      <c r="A1080" s="20" t="s">
        <v>12674</v>
      </c>
      <c r="B1080" s="16" t="s">
        <v>12675</v>
      </c>
      <c r="C1080" s="71" t="str">
        <f t="shared" si="16"/>
        <v>Product Info</v>
      </c>
      <c r="D1080" s="37" t="s">
        <v>13089</v>
      </c>
      <c r="E1080" s="143">
        <v>1</v>
      </c>
      <c r="F1080" s="12" t="s">
        <v>4992</v>
      </c>
      <c r="G1080" s="38">
        <v>37.93</v>
      </c>
      <c r="H1080" s="38">
        <v>32.24</v>
      </c>
      <c r="I1080" s="38">
        <v>26.55</v>
      </c>
      <c r="J1080" s="39"/>
      <c r="K1080" s="143"/>
      <c r="L1080" s="22">
        <v>1.5</v>
      </c>
      <c r="M1080" s="22" t="s">
        <v>12488</v>
      </c>
      <c r="N1080" s="20" t="s">
        <v>9261</v>
      </c>
      <c r="O1080" s="16" t="s">
        <v>13912</v>
      </c>
      <c r="P1080" s="143">
        <v>753</v>
      </c>
      <c r="Q1080" s="121" t="s">
        <v>14285</v>
      </c>
      <c r="R1080" s="16" t="s">
        <v>8904</v>
      </c>
      <c r="S1080" s="10" t="s">
        <v>1163</v>
      </c>
      <c r="T1080" s="28" t="s">
        <v>12971</v>
      </c>
      <c r="U1080" s="20" t="s">
        <v>5359</v>
      </c>
      <c r="V1080" s="16" t="s">
        <v>12674</v>
      </c>
      <c r="W1080" s="11" t="s">
        <v>14283</v>
      </c>
      <c r="X1080" s="174">
        <v>24.03</v>
      </c>
      <c r="Y1080" s="174">
        <v>32.24</v>
      </c>
    </row>
    <row r="1081" spans="1:25" ht="15" customHeight="1" x14ac:dyDescent="0.25">
      <c r="A1081" s="20" t="s">
        <v>12672</v>
      </c>
      <c r="B1081" s="16" t="s">
        <v>12673</v>
      </c>
      <c r="C1081" s="71" t="str">
        <f t="shared" si="16"/>
        <v>Product Info</v>
      </c>
      <c r="D1081" s="37" t="s">
        <v>13088</v>
      </c>
      <c r="E1081" s="143">
        <v>1</v>
      </c>
      <c r="F1081" s="12" t="s">
        <v>4992</v>
      </c>
      <c r="G1081" s="38">
        <v>40.01</v>
      </c>
      <c r="H1081" s="38">
        <v>34.01</v>
      </c>
      <c r="I1081" s="38">
        <v>28.01</v>
      </c>
      <c r="J1081" s="39"/>
      <c r="K1081" s="143"/>
      <c r="L1081" s="22">
        <v>1.5</v>
      </c>
      <c r="M1081" s="22" t="s">
        <v>12488</v>
      </c>
      <c r="N1081" s="20" t="s">
        <v>9292</v>
      </c>
      <c r="O1081" s="16" t="s">
        <v>13912</v>
      </c>
      <c r="P1081" s="143">
        <v>753</v>
      </c>
      <c r="Q1081" s="121" t="s">
        <v>14285</v>
      </c>
      <c r="R1081" s="16" t="s">
        <v>8904</v>
      </c>
      <c r="S1081" s="10" t="s">
        <v>1163</v>
      </c>
      <c r="T1081" s="28" t="s">
        <v>12972</v>
      </c>
      <c r="U1081" s="20" t="s">
        <v>5359</v>
      </c>
      <c r="V1081" s="16" t="s">
        <v>12672</v>
      </c>
      <c r="W1081" s="11" t="s">
        <v>14283</v>
      </c>
      <c r="X1081" s="174">
        <v>25.34</v>
      </c>
      <c r="Y1081" s="174">
        <v>34.01</v>
      </c>
    </row>
    <row r="1082" spans="1:25" ht="15" customHeight="1" x14ac:dyDescent="0.25">
      <c r="A1082" s="20" t="s">
        <v>4332</v>
      </c>
      <c r="B1082" s="14" t="s">
        <v>4333</v>
      </c>
      <c r="C1082" s="71" t="str">
        <f t="shared" si="16"/>
        <v>Product Info</v>
      </c>
      <c r="D1082" s="37" t="s">
        <v>4221</v>
      </c>
      <c r="E1082" s="143">
        <v>1</v>
      </c>
      <c r="F1082" s="12" t="s">
        <v>2170</v>
      </c>
      <c r="G1082" s="38">
        <v>42.1</v>
      </c>
      <c r="H1082" s="38">
        <v>35.79</v>
      </c>
      <c r="I1082" s="38">
        <v>29.47</v>
      </c>
      <c r="J1082" s="39"/>
      <c r="K1082" s="143"/>
      <c r="L1082" s="22">
        <v>0.98460000000000003</v>
      </c>
      <c r="M1082" s="22" t="s">
        <v>12488</v>
      </c>
      <c r="N1082" s="20" t="s">
        <v>9291</v>
      </c>
      <c r="O1082" s="16" t="s">
        <v>12608</v>
      </c>
      <c r="P1082" s="143">
        <v>753</v>
      </c>
      <c r="Q1082" s="122" t="s">
        <v>9227</v>
      </c>
      <c r="R1082" s="16" t="s">
        <v>8904</v>
      </c>
      <c r="S1082" s="10" t="s">
        <v>1163</v>
      </c>
      <c r="T1082" s="28" t="s">
        <v>10267</v>
      </c>
      <c r="U1082" s="20" t="s">
        <v>5359</v>
      </c>
      <c r="V1082" s="16" t="s">
        <v>4332</v>
      </c>
      <c r="W1082" s="11" t="s">
        <v>14283</v>
      </c>
      <c r="X1082" s="174">
        <v>26.67</v>
      </c>
      <c r="Y1082" s="174">
        <v>35.79</v>
      </c>
    </row>
    <row r="1083" spans="1:25" ht="15" customHeight="1" x14ac:dyDescent="0.25">
      <c r="A1083" s="20" t="s">
        <v>12670</v>
      </c>
      <c r="B1083" s="16" t="s">
        <v>12671</v>
      </c>
      <c r="C1083" s="71" t="str">
        <f t="shared" si="16"/>
        <v>Product Info</v>
      </c>
      <c r="D1083" s="37" t="s">
        <v>13087</v>
      </c>
      <c r="E1083" s="143">
        <v>1</v>
      </c>
      <c r="F1083" s="12" t="s">
        <v>4992</v>
      </c>
      <c r="G1083" s="38">
        <v>45.13</v>
      </c>
      <c r="H1083" s="38">
        <v>38.36</v>
      </c>
      <c r="I1083" s="38">
        <v>31.59</v>
      </c>
      <c r="J1083" s="39"/>
      <c r="K1083" s="143"/>
      <c r="L1083" s="22">
        <v>1.5</v>
      </c>
      <c r="M1083" s="22" t="s">
        <v>12488</v>
      </c>
      <c r="N1083" s="20" t="s">
        <v>9292</v>
      </c>
      <c r="O1083" s="16" t="s">
        <v>13912</v>
      </c>
      <c r="P1083" s="143">
        <v>753</v>
      </c>
      <c r="Q1083" s="121" t="s">
        <v>14285</v>
      </c>
      <c r="R1083" s="16" t="s">
        <v>8904</v>
      </c>
      <c r="S1083" s="10" t="s">
        <v>1163</v>
      </c>
      <c r="T1083" s="28" t="s">
        <v>12973</v>
      </c>
      <c r="U1083" s="20" t="s">
        <v>5359</v>
      </c>
      <c r="V1083" s="16" t="s">
        <v>12670</v>
      </c>
      <c r="W1083" s="11" t="s">
        <v>14283</v>
      </c>
      <c r="X1083" s="174">
        <v>28.59</v>
      </c>
      <c r="Y1083" s="174">
        <v>38.36</v>
      </c>
    </row>
    <row r="1084" spans="1:25" ht="15" customHeight="1" x14ac:dyDescent="0.25">
      <c r="A1084" s="20" t="s">
        <v>4334</v>
      </c>
      <c r="B1084" s="14" t="s">
        <v>4335</v>
      </c>
      <c r="C1084" s="71" t="str">
        <f t="shared" si="16"/>
        <v>Product Info</v>
      </c>
      <c r="D1084" s="37" t="s">
        <v>4222</v>
      </c>
      <c r="E1084" s="143">
        <v>1</v>
      </c>
      <c r="F1084" s="12" t="s">
        <v>2170</v>
      </c>
      <c r="G1084" s="38">
        <v>52.49</v>
      </c>
      <c r="H1084" s="38">
        <v>44.61</v>
      </c>
      <c r="I1084" s="38">
        <v>36.74</v>
      </c>
      <c r="J1084" s="39"/>
      <c r="K1084" s="143"/>
      <c r="L1084" s="22">
        <v>0.184</v>
      </c>
      <c r="M1084" s="22" t="s">
        <v>12487</v>
      </c>
      <c r="N1084" s="20" t="s">
        <v>9292</v>
      </c>
      <c r="O1084" s="16" t="s">
        <v>12608</v>
      </c>
      <c r="P1084" s="143">
        <v>753</v>
      </c>
      <c r="Q1084" s="122" t="s">
        <v>9227</v>
      </c>
      <c r="R1084" s="16" t="s">
        <v>8904</v>
      </c>
      <c r="S1084" s="10" t="s">
        <v>1163</v>
      </c>
      <c r="T1084" s="28" t="s">
        <v>10268</v>
      </c>
      <c r="U1084" s="20" t="s">
        <v>5359</v>
      </c>
      <c r="V1084" s="16" t="s">
        <v>4334</v>
      </c>
      <c r="W1084" s="11" t="s">
        <v>14283</v>
      </c>
      <c r="X1084" s="174">
        <v>33.24</v>
      </c>
      <c r="Y1084" s="174">
        <v>44.61</v>
      </c>
    </row>
    <row r="1085" spans="1:25" ht="15" customHeight="1" x14ac:dyDescent="0.25">
      <c r="A1085" s="20" t="s">
        <v>12491</v>
      </c>
      <c r="B1085" s="16" t="s">
        <v>12492</v>
      </c>
      <c r="C1085" s="71" t="str">
        <f t="shared" si="16"/>
        <v>Product Info</v>
      </c>
      <c r="D1085" s="37" t="s">
        <v>13085</v>
      </c>
      <c r="E1085" s="143">
        <v>1</v>
      </c>
      <c r="F1085" s="12" t="s">
        <v>4992</v>
      </c>
      <c r="G1085" s="38">
        <v>55.1</v>
      </c>
      <c r="H1085" s="38">
        <v>46.84</v>
      </c>
      <c r="I1085" s="38">
        <v>38.57</v>
      </c>
      <c r="J1085" s="39"/>
      <c r="K1085" s="143"/>
      <c r="L1085" s="22">
        <v>0</v>
      </c>
      <c r="M1085" s="22">
        <v>0</v>
      </c>
      <c r="N1085" s="20" t="s">
        <v>14489</v>
      </c>
      <c r="O1085" s="16">
        <v>0</v>
      </c>
      <c r="P1085" s="143">
        <v>753</v>
      </c>
      <c r="Q1085" s="121" t="s">
        <v>14285</v>
      </c>
      <c r="R1085" s="16" t="s">
        <v>8904</v>
      </c>
      <c r="S1085" s="10" t="s">
        <v>1163</v>
      </c>
      <c r="T1085" s="28" t="s">
        <v>14437</v>
      </c>
      <c r="U1085" s="20" t="s">
        <v>5359</v>
      </c>
      <c r="V1085" s="16" t="s">
        <v>12491</v>
      </c>
      <c r="W1085" s="11" t="s">
        <v>14283</v>
      </c>
      <c r="X1085" s="174">
        <v>34.909999999999997</v>
      </c>
      <c r="Y1085" s="174">
        <v>46.84</v>
      </c>
    </row>
    <row r="1086" spans="1:25" ht="15" customHeight="1" x14ac:dyDescent="0.25">
      <c r="A1086" s="20" t="s">
        <v>2547</v>
      </c>
      <c r="B1086" s="14" t="s">
        <v>2548</v>
      </c>
      <c r="C1086" s="71" t="str">
        <f t="shared" si="16"/>
        <v>Product Info</v>
      </c>
      <c r="D1086" s="37" t="s">
        <v>2564</v>
      </c>
      <c r="E1086" s="143">
        <v>1</v>
      </c>
      <c r="F1086" s="12" t="s">
        <v>4992</v>
      </c>
      <c r="G1086" s="38">
        <v>137.22999999999999</v>
      </c>
      <c r="H1086" s="38">
        <v>116.65</v>
      </c>
      <c r="I1086" s="38">
        <v>96.06</v>
      </c>
      <c r="J1086" s="39"/>
      <c r="K1086" s="143"/>
      <c r="L1086" s="22">
        <v>0.25600000000000001</v>
      </c>
      <c r="M1086" s="22" t="s">
        <v>12487</v>
      </c>
      <c r="N1086" s="20" t="s">
        <v>14489</v>
      </c>
      <c r="O1086" s="16">
        <v>0</v>
      </c>
      <c r="P1086" s="143">
        <v>814</v>
      </c>
      <c r="Q1086" s="122" t="s">
        <v>9227</v>
      </c>
      <c r="R1086" s="16" t="s">
        <v>8904</v>
      </c>
      <c r="S1086" s="10" t="s">
        <v>1163</v>
      </c>
      <c r="T1086" s="28" t="s">
        <v>10269</v>
      </c>
      <c r="U1086" s="20" t="s">
        <v>5359</v>
      </c>
      <c r="V1086" s="16" t="s">
        <v>8566</v>
      </c>
      <c r="W1086" s="11" t="s">
        <v>13938</v>
      </c>
      <c r="X1086" s="174">
        <v>88.64</v>
      </c>
      <c r="Y1086" s="174">
        <v>116.65</v>
      </c>
    </row>
    <row r="1087" spans="1:25" ht="15" customHeight="1" x14ac:dyDescent="0.25">
      <c r="A1087" s="20" t="s">
        <v>2546</v>
      </c>
      <c r="B1087" s="14" t="s">
        <v>2549</v>
      </c>
      <c r="C1087" s="71" t="str">
        <f t="shared" si="16"/>
        <v>Product Info</v>
      </c>
      <c r="D1087" s="37" t="s">
        <v>2563</v>
      </c>
      <c r="E1087" s="143">
        <v>1</v>
      </c>
      <c r="F1087" s="12" t="s">
        <v>4992</v>
      </c>
      <c r="G1087" s="38">
        <v>137.34</v>
      </c>
      <c r="H1087" s="38">
        <v>116.74</v>
      </c>
      <c r="I1087" s="38">
        <v>96.14</v>
      </c>
      <c r="J1087" s="39"/>
      <c r="K1087" s="143"/>
      <c r="L1087" s="22">
        <v>0.90900000000000003</v>
      </c>
      <c r="M1087" s="22" t="s">
        <v>12487</v>
      </c>
      <c r="N1087" s="20" t="s">
        <v>14489</v>
      </c>
      <c r="O1087" s="16">
        <v>0</v>
      </c>
      <c r="P1087" s="143">
        <v>814</v>
      </c>
      <c r="Q1087" s="121" t="s">
        <v>14285</v>
      </c>
      <c r="R1087" s="16" t="s">
        <v>8904</v>
      </c>
      <c r="S1087" s="10" t="s">
        <v>1163</v>
      </c>
      <c r="T1087" s="28" t="s">
        <v>10270</v>
      </c>
      <c r="U1087" s="20" t="s">
        <v>5359</v>
      </c>
      <c r="V1087" s="16" t="s">
        <v>8567</v>
      </c>
      <c r="W1087" s="11" t="s">
        <v>13938</v>
      </c>
      <c r="X1087" s="174">
        <v>88.7</v>
      </c>
      <c r="Y1087" s="174">
        <v>116.74</v>
      </c>
    </row>
    <row r="1088" spans="1:25" ht="15" customHeight="1" x14ac:dyDescent="0.25">
      <c r="A1088" s="20" t="s">
        <v>12499</v>
      </c>
      <c r="B1088" s="16" t="s">
        <v>13213</v>
      </c>
      <c r="C1088" s="71" t="str">
        <f t="shared" si="16"/>
        <v>Product Info</v>
      </c>
      <c r="D1088" s="37" t="s">
        <v>13217</v>
      </c>
      <c r="E1088" s="143">
        <v>1</v>
      </c>
      <c r="F1088" s="12" t="s">
        <v>4992</v>
      </c>
      <c r="G1088" s="38">
        <v>3125.2</v>
      </c>
      <c r="H1088" s="38">
        <v>2656.51</v>
      </c>
      <c r="I1088" s="38">
        <v>2187.64</v>
      </c>
      <c r="J1088" s="39">
        <v>10</v>
      </c>
      <c r="K1088" s="143"/>
      <c r="L1088" s="22">
        <v>10</v>
      </c>
      <c r="M1088" s="22" t="s">
        <v>12488</v>
      </c>
      <c r="N1088" s="20" t="s">
        <v>9414</v>
      </c>
      <c r="O1088" s="16" t="s">
        <v>12608</v>
      </c>
      <c r="P1088" s="143">
        <v>750</v>
      </c>
      <c r="Q1088" s="121" t="s">
        <v>14285</v>
      </c>
      <c r="R1088" s="16" t="s">
        <v>8904</v>
      </c>
      <c r="S1088" s="10" t="s">
        <v>1163</v>
      </c>
      <c r="T1088" s="28" t="s">
        <v>13214</v>
      </c>
      <c r="U1088" s="20" t="s">
        <v>5359</v>
      </c>
      <c r="V1088" s="29" t="s">
        <v>12499</v>
      </c>
      <c r="W1088" s="11" t="s">
        <v>14284</v>
      </c>
      <c r="X1088" s="174">
        <v>2100.13</v>
      </c>
      <c r="Y1088" s="174">
        <v>2656.51</v>
      </c>
    </row>
    <row r="1089" spans="1:25" ht="15" customHeight="1" x14ac:dyDescent="0.25">
      <c r="A1089" s="20" t="s">
        <v>12502</v>
      </c>
      <c r="B1089" s="29" t="s">
        <v>12503</v>
      </c>
      <c r="C1089" s="71" t="str">
        <f t="shared" si="16"/>
        <v>Product Info</v>
      </c>
      <c r="D1089" s="37" t="s">
        <v>13218</v>
      </c>
      <c r="E1089" s="143">
        <v>1</v>
      </c>
      <c r="F1089" s="12" t="s">
        <v>4992</v>
      </c>
      <c r="G1089" s="38">
        <v>3205.89</v>
      </c>
      <c r="H1089" s="38">
        <v>2725.1</v>
      </c>
      <c r="I1089" s="38">
        <v>2244.12</v>
      </c>
      <c r="J1089" s="39">
        <v>10</v>
      </c>
      <c r="K1089" s="143"/>
      <c r="L1089" s="22">
        <v>10.5</v>
      </c>
      <c r="M1089" s="22" t="s">
        <v>12488</v>
      </c>
      <c r="N1089" s="20" t="s">
        <v>9414</v>
      </c>
      <c r="O1089" s="16" t="s">
        <v>12608</v>
      </c>
      <c r="P1089" s="143">
        <v>750</v>
      </c>
      <c r="Q1089" s="121" t="s">
        <v>14285</v>
      </c>
      <c r="R1089" s="16" t="s">
        <v>8904</v>
      </c>
      <c r="S1089" s="10" t="s">
        <v>1163</v>
      </c>
      <c r="T1089" s="28" t="s">
        <v>13215</v>
      </c>
      <c r="U1089" s="20" t="s">
        <v>5359</v>
      </c>
      <c r="V1089" s="29" t="s">
        <v>12502</v>
      </c>
      <c r="W1089" s="11" t="s">
        <v>14284</v>
      </c>
      <c r="X1089" s="174">
        <v>2154.36</v>
      </c>
      <c r="Y1089" s="174">
        <v>2725.1</v>
      </c>
    </row>
    <row r="1090" spans="1:25" ht="15" customHeight="1" x14ac:dyDescent="0.25">
      <c r="A1090" s="20" t="s">
        <v>12656</v>
      </c>
      <c r="B1090" s="29" t="s">
        <v>12657</v>
      </c>
      <c r="C1090" s="71" t="str">
        <f t="shared" si="16"/>
        <v>Product Info</v>
      </c>
      <c r="D1090" s="37" t="s">
        <v>13219</v>
      </c>
      <c r="E1090" s="143">
        <v>1</v>
      </c>
      <c r="F1090" s="12" t="s">
        <v>4992</v>
      </c>
      <c r="G1090" s="38">
        <v>3930.39</v>
      </c>
      <c r="H1090" s="38">
        <v>3340.95</v>
      </c>
      <c r="I1090" s="38">
        <v>2751.27</v>
      </c>
      <c r="J1090" s="39">
        <v>10</v>
      </c>
      <c r="K1090" s="143"/>
      <c r="L1090" s="22">
        <v>10</v>
      </c>
      <c r="M1090" s="22" t="s">
        <v>12488</v>
      </c>
      <c r="N1090" s="20" t="s">
        <v>14255</v>
      </c>
      <c r="O1090" s="16" t="s">
        <v>12608</v>
      </c>
      <c r="P1090" s="143">
        <v>750</v>
      </c>
      <c r="Q1090" s="121" t="s">
        <v>14285</v>
      </c>
      <c r="R1090" s="16" t="s">
        <v>8904</v>
      </c>
      <c r="S1090" s="10" t="s">
        <v>1163</v>
      </c>
      <c r="T1090" s="28" t="s">
        <v>13216</v>
      </c>
      <c r="U1090" s="20" t="s">
        <v>5359</v>
      </c>
      <c r="V1090" s="29" t="s">
        <v>12656</v>
      </c>
      <c r="W1090" s="11" t="s">
        <v>14284</v>
      </c>
      <c r="X1090" s="174">
        <v>2641.22</v>
      </c>
      <c r="Y1090" s="174">
        <v>3340.95</v>
      </c>
    </row>
    <row r="1091" spans="1:25" ht="15" customHeight="1" x14ac:dyDescent="0.25">
      <c r="A1091" s="20" t="s">
        <v>4336</v>
      </c>
      <c r="B1091" s="14" t="s">
        <v>4337</v>
      </c>
      <c r="C1091" s="71" t="str">
        <f t="shared" si="16"/>
        <v>Product Info</v>
      </c>
      <c r="D1091" s="37" t="s">
        <v>7742</v>
      </c>
      <c r="E1091" s="143">
        <v>3</v>
      </c>
      <c r="F1091" s="12" t="s">
        <v>2170</v>
      </c>
      <c r="G1091" s="38">
        <v>22.91</v>
      </c>
      <c r="H1091" s="38">
        <f t="shared" ref="H1091:H1117" si="17">I1091</f>
        <v>16.04</v>
      </c>
      <c r="I1091" s="38">
        <v>16.04</v>
      </c>
      <c r="J1091" s="39"/>
      <c r="K1091" s="12" t="s">
        <v>8905</v>
      </c>
      <c r="L1091" s="22">
        <v>3</v>
      </c>
      <c r="M1091" s="22" t="s">
        <v>12488</v>
      </c>
      <c r="N1091" s="20" t="s">
        <v>9283</v>
      </c>
      <c r="O1091" s="16" t="s">
        <v>12608</v>
      </c>
      <c r="P1091" s="143">
        <v>755</v>
      </c>
      <c r="Q1091" s="122" t="s">
        <v>12421</v>
      </c>
      <c r="R1091" s="16" t="s">
        <v>8904</v>
      </c>
      <c r="S1091" s="10" t="s">
        <v>194</v>
      </c>
      <c r="T1091" s="28" t="s">
        <v>10271</v>
      </c>
      <c r="U1091" s="20" t="s">
        <v>5359</v>
      </c>
      <c r="V1091" s="16" t="s">
        <v>4336</v>
      </c>
      <c r="W1091" s="11" t="s">
        <v>14433</v>
      </c>
      <c r="X1091" s="174">
        <v>12.58</v>
      </c>
      <c r="Y1091" s="174">
        <v>16.04</v>
      </c>
    </row>
    <row r="1092" spans="1:25" ht="15" customHeight="1" x14ac:dyDescent="0.25">
      <c r="A1092" s="20" t="s">
        <v>8036</v>
      </c>
      <c r="B1092" s="14" t="s">
        <v>8037</v>
      </c>
      <c r="C1092" s="71" t="str">
        <f t="shared" si="16"/>
        <v>Product Info</v>
      </c>
      <c r="D1092" s="37" t="s">
        <v>8683</v>
      </c>
      <c r="E1092" s="143">
        <v>280</v>
      </c>
      <c r="F1092" s="12" t="s">
        <v>4992</v>
      </c>
      <c r="G1092" s="38">
        <v>16.21</v>
      </c>
      <c r="H1092" s="38">
        <f t="shared" si="17"/>
        <v>11.35</v>
      </c>
      <c r="I1092" s="38">
        <v>11.35</v>
      </c>
      <c r="J1092" s="39"/>
      <c r="K1092" s="143"/>
      <c r="L1092" s="22">
        <v>0</v>
      </c>
      <c r="M1092" s="22">
        <v>0</v>
      </c>
      <c r="N1092" s="20" t="s">
        <v>14489</v>
      </c>
      <c r="O1092" s="16">
        <v>0</v>
      </c>
      <c r="P1092" s="143">
        <v>755</v>
      </c>
      <c r="Q1092" s="122" t="s">
        <v>12421</v>
      </c>
      <c r="R1092" s="16" t="s">
        <v>8904</v>
      </c>
      <c r="S1092" s="10" t="s">
        <v>194</v>
      </c>
      <c r="T1092" s="28" t="s">
        <v>10272</v>
      </c>
      <c r="U1092" s="20" t="s">
        <v>5359</v>
      </c>
      <c r="V1092" s="16" t="s">
        <v>8036</v>
      </c>
      <c r="W1092" s="11" t="s">
        <v>14433</v>
      </c>
      <c r="X1092" s="174">
        <v>8.9</v>
      </c>
      <c r="Y1092" s="174">
        <v>11.35</v>
      </c>
    </row>
    <row r="1093" spans="1:25" ht="15" customHeight="1" x14ac:dyDescent="0.25">
      <c r="A1093" s="20" t="s">
        <v>7876</v>
      </c>
      <c r="B1093" s="14" t="s">
        <v>7877</v>
      </c>
      <c r="C1093" s="71" t="str">
        <f t="shared" si="16"/>
        <v>Product Info</v>
      </c>
      <c r="D1093" s="37" t="s">
        <v>7743</v>
      </c>
      <c r="E1093" s="143">
        <v>3</v>
      </c>
      <c r="F1093" s="12" t="s">
        <v>2170</v>
      </c>
      <c r="G1093" s="38">
        <v>24.54</v>
      </c>
      <c r="H1093" s="38">
        <f t="shared" si="17"/>
        <v>17.18</v>
      </c>
      <c r="I1093" s="38">
        <v>17.18</v>
      </c>
      <c r="J1093" s="39"/>
      <c r="K1093" s="12" t="s">
        <v>8905</v>
      </c>
      <c r="L1093" s="22">
        <v>3</v>
      </c>
      <c r="M1093" s="22" t="s">
        <v>12488</v>
      </c>
      <c r="N1093" s="20" t="s">
        <v>9283</v>
      </c>
      <c r="O1093" s="16" t="s">
        <v>12608</v>
      </c>
      <c r="P1093" s="143">
        <v>755</v>
      </c>
      <c r="Q1093" s="122" t="s">
        <v>14461</v>
      </c>
      <c r="R1093" s="16" t="s">
        <v>8904</v>
      </c>
      <c r="S1093" s="10" t="s">
        <v>194</v>
      </c>
      <c r="T1093" s="28" t="s">
        <v>10273</v>
      </c>
      <c r="U1093" s="20" t="s">
        <v>5359</v>
      </c>
      <c r="V1093" s="16" t="s">
        <v>7876</v>
      </c>
      <c r="W1093" s="11" t="s">
        <v>14433</v>
      </c>
      <c r="X1093" s="174">
        <v>13.47</v>
      </c>
      <c r="Y1093" s="174">
        <v>17.18</v>
      </c>
    </row>
    <row r="1094" spans="1:25" ht="15" customHeight="1" x14ac:dyDescent="0.25">
      <c r="A1094" s="20" t="s">
        <v>8038</v>
      </c>
      <c r="B1094" s="14" t="s">
        <v>8039</v>
      </c>
      <c r="C1094" s="71" t="str">
        <f t="shared" ref="C1094:C1157" si="18">HYPERLINK(T1094,U1094)</f>
        <v>Product Info</v>
      </c>
      <c r="D1094" s="37" t="s">
        <v>8684</v>
      </c>
      <c r="E1094" s="143">
        <v>160</v>
      </c>
      <c r="F1094" s="12" t="s">
        <v>4992</v>
      </c>
      <c r="G1094" s="38">
        <v>19.690000000000001</v>
      </c>
      <c r="H1094" s="38">
        <f t="shared" si="17"/>
        <v>13.78</v>
      </c>
      <c r="I1094" s="38">
        <v>13.78</v>
      </c>
      <c r="J1094" s="39"/>
      <c r="K1094" s="143"/>
      <c r="L1094" s="22">
        <v>0</v>
      </c>
      <c r="M1094" s="22">
        <v>0</v>
      </c>
      <c r="N1094" s="20" t="s">
        <v>14489</v>
      </c>
      <c r="O1094" s="16">
        <v>0</v>
      </c>
      <c r="P1094" s="143">
        <v>755</v>
      </c>
      <c r="Q1094" s="122" t="s">
        <v>12421</v>
      </c>
      <c r="R1094" s="16" t="s">
        <v>8904</v>
      </c>
      <c r="S1094" s="10" t="s">
        <v>194</v>
      </c>
      <c r="T1094" s="28" t="s">
        <v>10274</v>
      </c>
      <c r="U1094" s="20" t="s">
        <v>5359</v>
      </c>
      <c r="V1094" s="16" t="s">
        <v>8038</v>
      </c>
      <c r="W1094" s="11" t="s">
        <v>14433</v>
      </c>
      <c r="X1094" s="174">
        <v>10.8</v>
      </c>
      <c r="Y1094" s="174">
        <v>13.78</v>
      </c>
    </row>
    <row r="1095" spans="1:25" ht="15" customHeight="1" x14ac:dyDescent="0.25">
      <c r="A1095" s="20" t="s">
        <v>7878</v>
      </c>
      <c r="B1095" s="14" t="s">
        <v>7879</v>
      </c>
      <c r="C1095" s="71" t="str">
        <f t="shared" si="18"/>
        <v>Product Info</v>
      </c>
      <c r="D1095" s="37" t="s">
        <v>7744</v>
      </c>
      <c r="E1095" s="143">
        <v>3</v>
      </c>
      <c r="F1095" s="12" t="s">
        <v>2170</v>
      </c>
      <c r="G1095" s="38">
        <v>30.64</v>
      </c>
      <c r="H1095" s="38">
        <f t="shared" si="17"/>
        <v>21.45</v>
      </c>
      <c r="I1095" s="38">
        <v>21.45</v>
      </c>
      <c r="J1095" s="39"/>
      <c r="K1095" s="143"/>
      <c r="L1095" s="22">
        <v>3</v>
      </c>
      <c r="M1095" s="22" t="s">
        <v>12488</v>
      </c>
      <c r="N1095" s="20" t="s">
        <v>9293</v>
      </c>
      <c r="O1095" s="16" t="s">
        <v>12608</v>
      </c>
      <c r="P1095" s="143">
        <v>755</v>
      </c>
      <c r="Q1095" s="122" t="s">
        <v>12421</v>
      </c>
      <c r="R1095" s="16" t="s">
        <v>8904</v>
      </c>
      <c r="S1095" s="10" t="s">
        <v>194</v>
      </c>
      <c r="T1095" s="28" t="s">
        <v>10275</v>
      </c>
      <c r="U1095" s="20" t="s">
        <v>5359</v>
      </c>
      <c r="V1095" s="16" t="s">
        <v>7878</v>
      </c>
      <c r="W1095" s="11" t="s">
        <v>14433</v>
      </c>
      <c r="X1095" s="174">
        <v>16.82</v>
      </c>
      <c r="Y1095" s="174">
        <v>21.45</v>
      </c>
    </row>
    <row r="1096" spans="1:25" ht="15" customHeight="1" x14ac:dyDescent="0.25">
      <c r="A1096" s="20" t="s">
        <v>8040</v>
      </c>
      <c r="B1096" s="14" t="s">
        <v>8041</v>
      </c>
      <c r="C1096" s="71" t="str">
        <f t="shared" si="18"/>
        <v>Product Info</v>
      </c>
      <c r="D1096" s="37" t="s">
        <v>8685</v>
      </c>
      <c r="E1096" s="143">
        <v>40</v>
      </c>
      <c r="F1096" s="12" t="s">
        <v>4992</v>
      </c>
      <c r="G1096" s="38">
        <v>27.59</v>
      </c>
      <c r="H1096" s="38">
        <f t="shared" si="17"/>
        <v>19.309999999999999</v>
      </c>
      <c r="I1096" s="38">
        <v>19.309999999999999</v>
      </c>
      <c r="J1096" s="39"/>
      <c r="K1096" s="143"/>
      <c r="L1096" s="22">
        <v>0</v>
      </c>
      <c r="M1096" s="22">
        <v>0</v>
      </c>
      <c r="N1096" s="20" t="s">
        <v>14489</v>
      </c>
      <c r="O1096" s="16">
        <v>0</v>
      </c>
      <c r="P1096" s="143">
        <v>755</v>
      </c>
      <c r="Q1096" s="122" t="s">
        <v>12421</v>
      </c>
      <c r="R1096" s="16" t="s">
        <v>8904</v>
      </c>
      <c r="S1096" s="10" t="s">
        <v>194</v>
      </c>
      <c r="T1096" s="28" t="s">
        <v>10276</v>
      </c>
      <c r="U1096" s="20" t="s">
        <v>5359</v>
      </c>
      <c r="V1096" s="16" t="s">
        <v>8040</v>
      </c>
      <c r="W1096" s="11" t="s">
        <v>14433</v>
      </c>
      <c r="X1096" s="174">
        <v>15.14</v>
      </c>
      <c r="Y1096" s="174">
        <v>19.309999999999999</v>
      </c>
    </row>
    <row r="1097" spans="1:25" ht="15" customHeight="1" x14ac:dyDescent="0.25">
      <c r="A1097" s="20" t="s">
        <v>5746</v>
      </c>
      <c r="B1097" s="14" t="s">
        <v>5747</v>
      </c>
      <c r="C1097" s="71" t="str">
        <f t="shared" si="18"/>
        <v>Product Info</v>
      </c>
      <c r="D1097" s="37" t="s">
        <v>7745</v>
      </c>
      <c r="E1097" s="143">
        <v>3</v>
      </c>
      <c r="F1097" s="12" t="s">
        <v>2170</v>
      </c>
      <c r="G1097" s="38">
        <v>34.659999999999997</v>
      </c>
      <c r="H1097" s="38">
        <f t="shared" si="17"/>
        <v>24.26</v>
      </c>
      <c r="I1097" s="38">
        <v>24.26</v>
      </c>
      <c r="J1097" s="39"/>
      <c r="K1097" s="12" t="s">
        <v>8905</v>
      </c>
      <c r="L1097" s="22">
        <v>0.38500000000000001</v>
      </c>
      <c r="M1097" s="22" t="s">
        <v>12488</v>
      </c>
      <c r="N1097" s="20" t="s">
        <v>8835</v>
      </c>
      <c r="O1097" s="16" t="s">
        <v>12608</v>
      </c>
      <c r="P1097" s="143">
        <v>755</v>
      </c>
      <c r="Q1097" s="122" t="s">
        <v>14461</v>
      </c>
      <c r="R1097" s="16" t="s">
        <v>8904</v>
      </c>
      <c r="S1097" s="10" t="s">
        <v>194</v>
      </c>
      <c r="T1097" s="28" t="s">
        <v>10277</v>
      </c>
      <c r="U1097" s="20" t="s">
        <v>5359</v>
      </c>
      <c r="V1097" s="16" t="s">
        <v>5746</v>
      </c>
      <c r="W1097" s="11" t="s">
        <v>14433</v>
      </c>
      <c r="X1097" s="174">
        <v>19.02</v>
      </c>
      <c r="Y1097" s="174">
        <v>24.26</v>
      </c>
    </row>
    <row r="1098" spans="1:25" ht="15" customHeight="1" x14ac:dyDescent="0.25">
      <c r="A1098" s="20" t="s">
        <v>8042</v>
      </c>
      <c r="B1098" s="14" t="s">
        <v>8043</v>
      </c>
      <c r="C1098" s="71" t="str">
        <f t="shared" si="18"/>
        <v>Product Info</v>
      </c>
      <c r="D1098" s="37" t="s">
        <v>8686</v>
      </c>
      <c r="E1098" s="143">
        <v>100</v>
      </c>
      <c r="F1098" s="12" t="s">
        <v>4992</v>
      </c>
      <c r="G1098" s="38">
        <v>25.17</v>
      </c>
      <c r="H1098" s="38">
        <f t="shared" si="17"/>
        <v>17.62</v>
      </c>
      <c r="I1098" s="38">
        <v>17.62</v>
      </c>
      <c r="J1098" s="39"/>
      <c r="K1098" s="12" t="s">
        <v>8905</v>
      </c>
      <c r="L1098" s="22">
        <v>0</v>
      </c>
      <c r="M1098" s="22">
        <v>0</v>
      </c>
      <c r="N1098" s="20" t="s">
        <v>14489</v>
      </c>
      <c r="O1098" s="16">
        <v>0</v>
      </c>
      <c r="P1098" s="143">
        <v>755</v>
      </c>
      <c r="Q1098" s="122" t="s">
        <v>12421</v>
      </c>
      <c r="R1098" s="16" t="s">
        <v>8904</v>
      </c>
      <c r="S1098" s="10" t="s">
        <v>194</v>
      </c>
      <c r="T1098" s="28" t="s">
        <v>10278</v>
      </c>
      <c r="U1098" s="20" t="s">
        <v>5359</v>
      </c>
      <c r="V1098" s="16" t="s">
        <v>8042</v>
      </c>
      <c r="W1098" s="11" t="s">
        <v>14433</v>
      </c>
      <c r="X1098" s="174">
        <v>13.82</v>
      </c>
      <c r="Y1098" s="174">
        <v>17.62</v>
      </c>
    </row>
    <row r="1099" spans="1:25" ht="15" customHeight="1" x14ac:dyDescent="0.25">
      <c r="A1099" s="20" t="s">
        <v>5748</v>
      </c>
      <c r="B1099" s="14" t="s">
        <v>5749</v>
      </c>
      <c r="C1099" s="71" t="str">
        <f t="shared" si="18"/>
        <v>Product Info</v>
      </c>
      <c r="D1099" s="37" t="s">
        <v>7746</v>
      </c>
      <c r="E1099" s="143">
        <v>3</v>
      </c>
      <c r="F1099" s="12" t="s">
        <v>2170</v>
      </c>
      <c r="G1099" s="38">
        <v>50.84</v>
      </c>
      <c r="H1099" s="38">
        <f t="shared" si="17"/>
        <v>35.590000000000003</v>
      </c>
      <c r="I1099" s="38">
        <v>35.590000000000003</v>
      </c>
      <c r="J1099" s="39"/>
      <c r="K1099" s="12" t="s">
        <v>8905</v>
      </c>
      <c r="L1099" s="22">
        <v>0.35</v>
      </c>
      <c r="M1099" s="22" t="s">
        <v>12488</v>
      </c>
      <c r="N1099" s="20" t="s">
        <v>9294</v>
      </c>
      <c r="O1099" s="16" t="s">
        <v>12608</v>
      </c>
      <c r="P1099" s="143">
        <v>755</v>
      </c>
      <c r="Q1099" s="122" t="s">
        <v>14461</v>
      </c>
      <c r="R1099" s="16" t="s">
        <v>8904</v>
      </c>
      <c r="S1099" s="10" t="s">
        <v>194</v>
      </c>
      <c r="T1099" s="28" t="s">
        <v>10279</v>
      </c>
      <c r="U1099" s="20" t="s">
        <v>5359</v>
      </c>
      <c r="V1099" s="16" t="s">
        <v>5748</v>
      </c>
      <c r="W1099" s="11" t="s">
        <v>14433</v>
      </c>
      <c r="X1099" s="174">
        <v>27.91</v>
      </c>
      <c r="Y1099" s="174">
        <v>35.590000000000003</v>
      </c>
    </row>
    <row r="1100" spans="1:25" ht="15" customHeight="1" x14ac:dyDescent="0.25">
      <c r="A1100" s="20" t="s">
        <v>8044</v>
      </c>
      <c r="B1100" s="14" t="s">
        <v>8045</v>
      </c>
      <c r="C1100" s="71" t="str">
        <f t="shared" si="18"/>
        <v>Product Info</v>
      </c>
      <c r="D1100" s="37" t="s">
        <v>8687</v>
      </c>
      <c r="E1100" s="143">
        <v>100</v>
      </c>
      <c r="F1100" s="12" t="s">
        <v>4992</v>
      </c>
      <c r="G1100" s="38">
        <v>40.909999999999997</v>
      </c>
      <c r="H1100" s="38">
        <f t="shared" si="17"/>
        <v>28.64</v>
      </c>
      <c r="I1100" s="38">
        <v>28.64</v>
      </c>
      <c r="J1100" s="39"/>
      <c r="K1100" s="12" t="s">
        <v>8905</v>
      </c>
      <c r="L1100" s="22">
        <v>0</v>
      </c>
      <c r="M1100" s="22">
        <v>0</v>
      </c>
      <c r="N1100" s="20" t="s">
        <v>14489</v>
      </c>
      <c r="O1100" s="16">
        <v>0</v>
      </c>
      <c r="P1100" s="143">
        <v>755</v>
      </c>
      <c r="Q1100" s="121" t="s">
        <v>14285</v>
      </c>
      <c r="R1100" s="16" t="s">
        <v>8904</v>
      </c>
      <c r="S1100" s="10" t="s">
        <v>194</v>
      </c>
      <c r="T1100" s="28" t="s">
        <v>10280</v>
      </c>
      <c r="U1100" s="20" t="s">
        <v>5359</v>
      </c>
      <c r="V1100" s="16" t="s">
        <v>8044</v>
      </c>
      <c r="W1100" s="11" t="s">
        <v>14433</v>
      </c>
      <c r="X1100" s="174">
        <v>22.46</v>
      </c>
      <c r="Y1100" s="174">
        <v>28.64</v>
      </c>
    </row>
    <row r="1101" spans="1:25" ht="15" customHeight="1" x14ac:dyDescent="0.25">
      <c r="A1101" s="20" t="s">
        <v>5750</v>
      </c>
      <c r="B1101" s="14" t="s">
        <v>5751</v>
      </c>
      <c r="C1101" s="71" t="str">
        <f t="shared" si="18"/>
        <v>Product Info</v>
      </c>
      <c r="D1101" s="37" t="s">
        <v>7747</v>
      </c>
      <c r="E1101" s="143">
        <v>3</v>
      </c>
      <c r="F1101" s="12" t="s">
        <v>2170</v>
      </c>
      <c r="G1101" s="38">
        <v>56.29</v>
      </c>
      <c r="H1101" s="38">
        <f t="shared" si="17"/>
        <v>39.4</v>
      </c>
      <c r="I1101" s="38">
        <v>39.4</v>
      </c>
      <c r="J1101" s="39"/>
      <c r="K1101" s="12"/>
      <c r="L1101" s="22">
        <v>0.43</v>
      </c>
      <c r="M1101" s="22" t="s">
        <v>12488</v>
      </c>
      <c r="N1101" s="20" t="s">
        <v>9295</v>
      </c>
      <c r="O1101" s="16" t="s">
        <v>13914</v>
      </c>
      <c r="P1101" s="143">
        <v>755</v>
      </c>
      <c r="Q1101" s="122" t="s">
        <v>14461</v>
      </c>
      <c r="R1101" s="16" t="s">
        <v>8904</v>
      </c>
      <c r="S1101" s="10" t="s">
        <v>194</v>
      </c>
      <c r="T1101" s="28" t="s">
        <v>10281</v>
      </c>
      <c r="U1101" s="20" t="s">
        <v>5359</v>
      </c>
      <c r="V1101" s="16" t="s">
        <v>5750</v>
      </c>
      <c r="W1101" s="11" t="s">
        <v>14433</v>
      </c>
      <c r="X1101" s="174">
        <v>30.9</v>
      </c>
      <c r="Y1101" s="174">
        <v>39.4</v>
      </c>
    </row>
    <row r="1102" spans="1:25" ht="15" customHeight="1" x14ac:dyDescent="0.25">
      <c r="A1102" s="20" t="s">
        <v>8046</v>
      </c>
      <c r="B1102" s="14" t="s">
        <v>8047</v>
      </c>
      <c r="C1102" s="71" t="str">
        <f t="shared" si="18"/>
        <v>Product Info</v>
      </c>
      <c r="D1102" s="37" t="s">
        <v>8688</v>
      </c>
      <c r="E1102" s="143">
        <v>50</v>
      </c>
      <c r="F1102" s="12" t="s">
        <v>4992</v>
      </c>
      <c r="G1102" s="38">
        <v>50.94</v>
      </c>
      <c r="H1102" s="38">
        <f t="shared" si="17"/>
        <v>35.659999999999997</v>
      </c>
      <c r="I1102" s="38">
        <v>35.659999999999997</v>
      </c>
      <c r="J1102" s="39"/>
      <c r="K1102" s="12" t="s">
        <v>8905</v>
      </c>
      <c r="L1102" s="22">
        <v>0</v>
      </c>
      <c r="M1102" s="22">
        <v>0</v>
      </c>
      <c r="N1102" s="20" t="s">
        <v>14489</v>
      </c>
      <c r="O1102" s="16">
        <v>0</v>
      </c>
      <c r="P1102" s="143">
        <v>755</v>
      </c>
      <c r="Q1102" s="122" t="s">
        <v>12421</v>
      </c>
      <c r="R1102" s="16" t="s">
        <v>8904</v>
      </c>
      <c r="S1102" s="10" t="s">
        <v>194</v>
      </c>
      <c r="T1102" s="28" t="s">
        <v>10282</v>
      </c>
      <c r="U1102" s="20" t="s">
        <v>5359</v>
      </c>
      <c r="V1102" s="16" t="s">
        <v>8046</v>
      </c>
      <c r="W1102" s="11" t="s">
        <v>14433</v>
      </c>
      <c r="X1102" s="174">
        <v>27.97</v>
      </c>
      <c r="Y1102" s="174">
        <v>35.659999999999997</v>
      </c>
    </row>
    <row r="1103" spans="1:25" ht="15" customHeight="1" x14ac:dyDescent="0.25">
      <c r="A1103" s="20" t="s">
        <v>5752</v>
      </c>
      <c r="B1103" s="14" t="s">
        <v>7748</v>
      </c>
      <c r="C1103" s="71" t="str">
        <f t="shared" si="18"/>
        <v>Product Info</v>
      </c>
      <c r="D1103" s="37" t="s">
        <v>7749</v>
      </c>
      <c r="E1103" s="143">
        <v>3</v>
      </c>
      <c r="F1103" s="12" t="s">
        <v>2170</v>
      </c>
      <c r="G1103" s="38">
        <v>89.17</v>
      </c>
      <c r="H1103" s="38">
        <f t="shared" si="17"/>
        <v>62.42</v>
      </c>
      <c r="I1103" s="38">
        <v>62.42</v>
      </c>
      <c r="J1103" s="39"/>
      <c r="K1103" s="12" t="s">
        <v>8905</v>
      </c>
      <c r="L1103" s="22">
        <v>0.98499999999999999</v>
      </c>
      <c r="M1103" s="22" t="s">
        <v>12488</v>
      </c>
      <c r="N1103" s="20" t="s">
        <v>9296</v>
      </c>
      <c r="O1103" s="16" t="s">
        <v>13914</v>
      </c>
      <c r="P1103" s="143">
        <v>755</v>
      </c>
      <c r="Q1103" s="122" t="s">
        <v>14461</v>
      </c>
      <c r="R1103" s="16" t="s">
        <v>8904</v>
      </c>
      <c r="S1103" s="10" t="s">
        <v>194</v>
      </c>
      <c r="T1103" s="28" t="s">
        <v>10283</v>
      </c>
      <c r="U1103" s="20" t="s">
        <v>5359</v>
      </c>
      <c r="V1103" s="16" t="s">
        <v>5752</v>
      </c>
      <c r="W1103" s="11" t="s">
        <v>14433</v>
      </c>
      <c r="X1103" s="174">
        <v>48.95</v>
      </c>
      <c r="Y1103" s="174">
        <v>62.42</v>
      </c>
    </row>
    <row r="1104" spans="1:25" ht="15" customHeight="1" x14ac:dyDescent="0.25">
      <c r="A1104" s="20" t="s">
        <v>8048</v>
      </c>
      <c r="B1104" s="14" t="s">
        <v>8049</v>
      </c>
      <c r="C1104" s="71" t="str">
        <f t="shared" si="18"/>
        <v>Product Info</v>
      </c>
      <c r="D1104" s="37" t="s">
        <v>8689</v>
      </c>
      <c r="E1104" s="143">
        <v>15</v>
      </c>
      <c r="F1104" s="12" t="s">
        <v>4992</v>
      </c>
      <c r="G1104" s="38">
        <v>71.239999999999995</v>
      </c>
      <c r="H1104" s="38">
        <f t="shared" si="17"/>
        <v>49.87</v>
      </c>
      <c r="I1104" s="38">
        <v>49.87</v>
      </c>
      <c r="J1104" s="39"/>
      <c r="K1104" s="12" t="s">
        <v>8905</v>
      </c>
      <c r="L1104" s="22">
        <v>0</v>
      </c>
      <c r="M1104" s="22">
        <v>0</v>
      </c>
      <c r="N1104" s="20" t="s">
        <v>14489</v>
      </c>
      <c r="O1104" s="16">
        <v>0</v>
      </c>
      <c r="P1104" s="143">
        <v>755</v>
      </c>
      <c r="Q1104" s="122" t="s">
        <v>12421</v>
      </c>
      <c r="R1104" s="16" t="s">
        <v>8904</v>
      </c>
      <c r="S1104" s="10" t="s">
        <v>194</v>
      </c>
      <c r="T1104" s="28" t="s">
        <v>10284</v>
      </c>
      <c r="U1104" s="20" t="s">
        <v>5359</v>
      </c>
      <c r="V1104" s="16" t="s">
        <v>8048</v>
      </c>
      <c r="W1104" s="11" t="s">
        <v>14433</v>
      </c>
      <c r="X1104" s="174">
        <v>39.11</v>
      </c>
      <c r="Y1104" s="174">
        <v>49.87</v>
      </c>
    </row>
    <row r="1105" spans="1:26" ht="15" customHeight="1" x14ac:dyDescent="0.25">
      <c r="A1105" s="20" t="s">
        <v>5753</v>
      </c>
      <c r="B1105" s="14" t="s">
        <v>5754</v>
      </c>
      <c r="C1105" s="71" t="str">
        <f t="shared" si="18"/>
        <v>Product Info</v>
      </c>
      <c r="D1105" s="37" t="s">
        <v>7750</v>
      </c>
      <c r="E1105" s="143">
        <v>3</v>
      </c>
      <c r="F1105" s="12" t="s">
        <v>2170</v>
      </c>
      <c r="G1105" s="38">
        <v>33.47</v>
      </c>
      <c r="H1105" s="38">
        <f t="shared" si="17"/>
        <v>23.43</v>
      </c>
      <c r="I1105" s="38">
        <v>23.43</v>
      </c>
      <c r="J1105" s="39"/>
      <c r="K1105" s="143" t="s">
        <v>8905</v>
      </c>
      <c r="L1105" s="22">
        <v>3</v>
      </c>
      <c r="M1105" s="22" t="s">
        <v>12488</v>
      </c>
      <c r="N1105" s="20" t="s">
        <v>9283</v>
      </c>
      <c r="O1105" s="16" t="s">
        <v>12608</v>
      </c>
      <c r="P1105" s="143">
        <v>755</v>
      </c>
      <c r="Q1105" s="122" t="s">
        <v>14461</v>
      </c>
      <c r="R1105" s="16" t="s">
        <v>8904</v>
      </c>
      <c r="S1105" s="10" t="s">
        <v>194</v>
      </c>
      <c r="T1105" s="28" t="s">
        <v>10285</v>
      </c>
      <c r="U1105" s="20" t="s">
        <v>5359</v>
      </c>
      <c r="V1105" s="16" t="s">
        <v>5753</v>
      </c>
      <c r="W1105" s="11" t="s">
        <v>14433</v>
      </c>
      <c r="X1105" s="174">
        <v>18.38</v>
      </c>
      <c r="Y1105" s="174">
        <v>23.43</v>
      </c>
    </row>
    <row r="1106" spans="1:26" ht="15" customHeight="1" x14ac:dyDescent="0.25">
      <c r="A1106" s="20" t="s">
        <v>8050</v>
      </c>
      <c r="B1106" s="14" t="s">
        <v>8051</v>
      </c>
      <c r="C1106" s="71" t="str">
        <f t="shared" si="18"/>
        <v>Product Info</v>
      </c>
      <c r="D1106" s="37" t="s">
        <v>8690</v>
      </c>
      <c r="E1106" s="143">
        <v>120</v>
      </c>
      <c r="F1106" s="12" t="s">
        <v>4992</v>
      </c>
      <c r="G1106" s="38">
        <v>25.39</v>
      </c>
      <c r="H1106" s="38">
        <f t="shared" si="17"/>
        <v>17.77</v>
      </c>
      <c r="I1106" s="38">
        <v>17.77</v>
      </c>
      <c r="J1106" s="39"/>
      <c r="K1106" s="143"/>
      <c r="L1106" s="22">
        <v>0</v>
      </c>
      <c r="M1106" s="22">
        <v>0</v>
      </c>
      <c r="N1106" s="20" t="s">
        <v>14489</v>
      </c>
      <c r="O1106" s="16">
        <v>0</v>
      </c>
      <c r="P1106" s="143">
        <v>755</v>
      </c>
      <c r="Q1106" s="121" t="s">
        <v>14285</v>
      </c>
      <c r="R1106" s="16" t="s">
        <v>8904</v>
      </c>
      <c r="S1106" s="10" t="s">
        <v>194</v>
      </c>
      <c r="T1106" s="28" t="s">
        <v>10286</v>
      </c>
      <c r="U1106" s="20" t="s">
        <v>5359</v>
      </c>
      <c r="V1106" s="16" t="s">
        <v>8050</v>
      </c>
      <c r="W1106" s="11" t="s">
        <v>14433</v>
      </c>
      <c r="X1106" s="174">
        <v>13.94</v>
      </c>
      <c r="Y1106" s="174">
        <v>17.77</v>
      </c>
    </row>
    <row r="1107" spans="1:26" ht="15" customHeight="1" x14ac:dyDescent="0.25">
      <c r="A1107" s="20" t="s">
        <v>5755</v>
      </c>
      <c r="B1107" s="14" t="s">
        <v>5756</v>
      </c>
      <c r="C1107" s="71" t="str">
        <f t="shared" si="18"/>
        <v>Product Info</v>
      </c>
      <c r="D1107" s="37" t="s">
        <v>7751</v>
      </c>
      <c r="E1107" s="143">
        <v>3</v>
      </c>
      <c r="F1107" s="12" t="s">
        <v>2170</v>
      </c>
      <c r="G1107" s="38">
        <v>56.91</v>
      </c>
      <c r="H1107" s="38">
        <f t="shared" si="17"/>
        <v>39.840000000000003</v>
      </c>
      <c r="I1107" s="38">
        <v>39.840000000000003</v>
      </c>
      <c r="J1107" s="39"/>
      <c r="K1107" s="12" t="s">
        <v>8905</v>
      </c>
      <c r="L1107" s="22">
        <v>1.31</v>
      </c>
      <c r="M1107" s="22" t="s">
        <v>12488</v>
      </c>
      <c r="N1107" s="20" t="s">
        <v>9297</v>
      </c>
      <c r="O1107" s="16" t="s">
        <v>12608</v>
      </c>
      <c r="P1107" s="143">
        <v>755</v>
      </c>
      <c r="Q1107" s="122" t="s">
        <v>14461</v>
      </c>
      <c r="R1107" s="16" t="s">
        <v>8904</v>
      </c>
      <c r="S1107" s="10" t="s">
        <v>194</v>
      </c>
      <c r="T1107" s="28" t="s">
        <v>10287</v>
      </c>
      <c r="U1107" s="20" t="s">
        <v>5359</v>
      </c>
      <c r="V1107" s="16" t="s">
        <v>5755</v>
      </c>
      <c r="W1107" s="11" t="s">
        <v>14433</v>
      </c>
      <c r="X1107" s="174">
        <v>31.25</v>
      </c>
      <c r="Y1107" s="174">
        <v>39.840000000000003</v>
      </c>
    </row>
    <row r="1108" spans="1:26" ht="15" customHeight="1" x14ac:dyDescent="0.25">
      <c r="A1108" s="20" t="s">
        <v>8052</v>
      </c>
      <c r="B1108" s="14" t="s">
        <v>8053</v>
      </c>
      <c r="C1108" s="71" t="str">
        <f t="shared" si="18"/>
        <v>Product Info</v>
      </c>
      <c r="D1108" s="37" t="s">
        <v>8691</v>
      </c>
      <c r="E1108" s="143">
        <v>65</v>
      </c>
      <c r="F1108" s="12" t="s">
        <v>4992</v>
      </c>
      <c r="G1108" s="38">
        <v>46.61</v>
      </c>
      <c r="H1108" s="38">
        <f t="shared" si="17"/>
        <v>32.630000000000003</v>
      </c>
      <c r="I1108" s="38">
        <v>32.630000000000003</v>
      </c>
      <c r="J1108" s="39"/>
      <c r="K1108" s="143"/>
      <c r="L1108" s="22">
        <v>0</v>
      </c>
      <c r="M1108" s="22">
        <v>0</v>
      </c>
      <c r="N1108" s="20" t="s">
        <v>14489</v>
      </c>
      <c r="O1108" s="16">
        <v>0</v>
      </c>
      <c r="P1108" s="143">
        <v>755</v>
      </c>
      <c r="Q1108" s="122" t="s">
        <v>12421</v>
      </c>
      <c r="R1108" s="16" t="s">
        <v>8904</v>
      </c>
      <c r="S1108" s="10" t="s">
        <v>194</v>
      </c>
      <c r="T1108" s="28" t="s">
        <v>10288</v>
      </c>
      <c r="U1108" s="20" t="s">
        <v>5359</v>
      </c>
      <c r="V1108" s="16" t="s">
        <v>8052</v>
      </c>
      <c r="W1108" s="11" t="s">
        <v>14433</v>
      </c>
      <c r="X1108" s="174">
        <v>25.59</v>
      </c>
      <c r="Y1108" s="174">
        <v>32.630000000000003</v>
      </c>
    </row>
    <row r="1109" spans="1:26" ht="15" customHeight="1" x14ac:dyDescent="0.25">
      <c r="A1109" s="20" t="s">
        <v>5757</v>
      </c>
      <c r="B1109" s="14" t="s">
        <v>5758</v>
      </c>
      <c r="C1109" s="71" t="str">
        <f t="shared" si="18"/>
        <v>Product Info</v>
      </c>
      <c r="D1109" s="37" t="s">
        <v>7752</v>
      </c>
      <c r="E1109" s="143">
        <v>3</v>
      </c>
      <c r="F1109" s="12" t="s">
        <v>2170</v>
      </c>
      <c r="G1109" s="38">
        <v>75.63</v>
      </c>
      <c r="H1109" s="38">
        <f t="shared" si="17"/>
        <v>52.94</v>
      </c>
      <c r="I1109" s="38">
        <v>52.94</v>
      </c>
      <c r="J1109" s="39"/>
      <c r="K1109" s="12" t="s">
        <v>8905</v>
      </c>
      <c r="L1109" s="22">
        <v>0.53500000000000003</v>
      </c>
      <c r="M1109" s="22" t="s">
        <v>12488</v>
      </c>
      <c r="N1109" s="20" t="s">
        <v>9266</v>
      </c>
      <c r="O1109" s="16" t="s">
        <v>12608</v>
      </c>
      <c r="P1109" s="143">
        <v>755</v>
      </c>
      <c r="Q1109" s="122" t="s">
        <v>14461</v>
      </c>
      <c r="R1109" s="16" t="s">
        <v>8904</v>
      </c>
      <c r="S1109" s="10" t="s">
        <v>194</v>
      </c>
      <c r="T1109" s="28" t="s">
        <v>10289</v>
      </c>
      <c r="U1109" s="20" t="s">
        <v>5359</v>
      </c>
      <c r="V1109" s="16" t="s">
        <v>5757</v>
      </c>
      <c r="W1109" s="11" t="s">
        <v>14433</v>
      </c>
      <c r="X1109" s="174">
        <v>41.52</v>
      </c>
      <c r="Y1109" s="174">
        <v>52.94</v>
      </c>
    </row>
    <row r="1110" spans="1:26" ht="15" customHeight="1" x14ac:dyDescent="0.25">
      <c r="A1110" s="20" t="s">
        <v>8054</v>
      </c>
      <c r="B1110" s="14" t="s">
        <v>8055</v>
      </c>
      <c r="C1110" s="71" t="str">
        <f t="shared" si="18"/>
        <v>Product Info</v>
      </c>
      <c r="D1110" s="37" t="s">
        <v>8692</v>
      </c>
      <c r="E1110" s="143">
        <v>40</v>
      </c>
      <c r="F1110" s="12" t="s">
        <v>4992</v>
      </c>
      <c r="G1110" s="38">
        <v>67.13</v>
      </c>
      <c r="H1110" s="38">
        <f t="shared" si="17"/>
        <v>46.99</v>
      </c>
      <c r="I1110" s="38">
        <v>46.99</v>
      </c>
      <c r="J1110" s="39"/>
      <c r="K1110" s="143"/>
      <c r="L1110" s="22">
        <v>0</v>
      </c>
      <c r="M1110" s="22">
        <v>0</v>
      </c>
      <c r="N1110" s="20" t="s">
        <v>14489</v>
      </c>
      <c r="O1110" s="16">
        <v>0</v>
      </c>
      <c r="P1110" s="143">
        <v>755</v>
      </c>
      <c r="Q1110" s="122" t="s">
        <v>12421</v>
      </c>
      <c r="R1110" s="16" t="s">
        <v>8904</v>
      </c>
      <c r="S1110" s="10" t="s">
        <v>194</v>
      </c>
      <c r="T1110" s="28" t="s">
        <v>10290</v>
      </c>
      <c r="U1110" s="20" t="s">
        <v>5359</v>
      </c>
      <c r="V1110" s="16" t="s">
        <v>8054</v>
      </c>
      <c r="W1110" s="11" t="s">
        <v>14433</v>
      </c>
      <c r="X1110" s="174">
        <v>36.85</v>
      </c>
      <c r="Y1110" s="174">
        <v>46.99</v>
      </c>
    </row>
    <row r="1111" spans="1:26" ht="15" customHeight="1" x14ac:dyDescent="0.25">
      <c r="A1111" s="20" t="s">
        <v>5759</v>
      </c>
      <c r="B1111" s="14" t="s">
        <v>5760</v>
      </c>
      <c r="C1111" s="71" t="str">
        <f t="shared" si="18"/>
        <v>Product Info</v>
      </c>
      <c r="D1111" s="37" t="s">
        <v>7753</v>
      </c>
      <c r="E1111" s="143">
        <v>3</v>
      </c>
      <c r="F1111" s="12" t="s">
        <v>2170</v>
      </c>
      <c r="G1111" s="38">
        <v>94.37</v>
      </c>
      <c r="H1111" s="38">
        <f t="shared" si="17"/>
        <v>66.06</v>
      </c>
      <c r="I1111" s="38">
        <v>66.06</v>
      </c>
      <c r="J1111" s="39"/>
      <c r="K1111" s="12" t="s">
        <v>8905</v>
      </c>
      <c r="L1111" s="22">
        <v>1.0660000000000001</v>
      </c>
      <c r="M1111" s="22" t="s">
        <v>12488</v>
      </c>
      <c r="N1111" s="20" t="s">
        <v>8826</v>
      </c>
      <c r="O1111" s="16" t="s">
        <v>12608</v>
      </c>
      <c r="P1111" s="143">
        <v>755</v>
      </c>
      <c r="Q1111" s="122" t="s">
        <v>14461</v>
      </c>
      <c r="R1111" s="16" t="s">
        <v>8904</v>
      </c>
      <c r="S1111" s="10" t="s">
        <v>194</v>
      </c>
      <c r="T1111" s="28" t="s">
        <v>10291</v>
      </c>
      <c r="U1111" s="20" t="s">
        <v>5359</v>
      </c>
      <c r="V1111" s="16" t="s">
        <v>5759</v>
      </c>
      <c r="W1111" s="11" t="s">
        <v>14433</v>
      </c>
      <c r="X1111" s="174">
        <v>51.81</v>
      </c>
      <c r="Y1111" s="174">
        <v>66.06</v>
      </c>
    </row>
    <row r="1112" spans="1:26" ht="15" customHeight="1" x14ac:dyDescent="0.25">
      <c r="A1112" s="20" t="s">
        <v>8056</v>
      </c>
      <c r="B1112" s="14" t="s">
        <v>8057</v>
      </c>
      <c r="C1112" s="71" t="str">
        <f t="shared" si="18"/>
        <v>Product Info</v>
      </c>
      <c r="D1112" s="37" t="s">
        <v>8693</v>
      </c>
      <c r="E1112" s="143">
        <v>15</v>
      </c>
      <c r="F1112" s="12" t="s">
        <v>4992</v>
      </c>
      <c r="G1112" s="38">
        <v>85.44</v>
      </c>
      <c r="H1112" s="38">
        <f t="shared" si="17"/>
        <v>59.81</v>
      </c>
      <c r="I1112" s="38">
        <v>59.81</v>
      </c>
      <c r="J1112" s="39"/>
      <c r="K1112" s="143"/>
      <c r="L1112" s="22">
        <v>0</v>
      </c>
      <c r="M1112" s="22">
        <v>0</v>
      </c>
      <c r="N1112" s="20" t="s">
        <v>14489</v>
      </c>
      <c r="O1112" s="16">
        <v>0</v>
      </c>
      <c r="P1112" s="143">
        <v>755</v>
      </c>
      <c r="Q1112" s="121" t="s">
        <v>14285</v>
      </c>
      <c r="R1112" s="16" t="s">
        <v>8904</v>
      </c>
      <c r="S1112" s="10" t="s">
        <v>194</v>
      </c>
      <c r="T1112" s="28" t="s">
        <v>10292</v>
      </c>
      <c r="U1112" s="20" t="s">
        <v>5359</v>
      </c>
      <c r="V1112" s="16" t="s">
        <v>8056</v>
      </c>
      <c r="W1112" s="11" t="s">
        <v>14433</v>
      </c>
      <c r="X1112" s="174">
        <v>46.9</v>
      </c>
      <c r="Y1112" s="174">
        <v>59.81</v>
      </c>
    </row>
    <row r="1113" spans="1:26" ht="15" customHeight="1" x14ac:dyDescent="0.25">
      <c r="A1113" s="20" t="s">
        <v>5761</v>
      </c>
      <c r="B1113" s="14" t="s">
        <v>5762</v>
      </c>
      <c r="C1113" s="71" t="str">
        <f t="shared" si="18"/>
        <v>Product Info</v>
      </c>
      <c r="D1113" s="37" t="s">
        <v>7754</v>
      </c>
      <c r="E1113" s="143">
        <v>3</v>
      </c>
      <c r="F1113" s="12" t="s">
        <v>2170</v>
      </c>
      <c r="G1113" s="38">
        <v>133.51</v>
      </c>
      <c r="H1113" s="38">
        <f t="shared" si="17"/>
        <v>93.46</v>
      </c>
      <c r="I1113" s="38">
        <v>93.46</v>
      </c>
      <c r="J1113" s="39"/>
      <c r="K1113" s="12" t="s">
        <v>8905</v>
      </c>
      <c r="L1113" s="22">
        <v>0.621</v>
      </c>
      <c r="M1113" s="22" t="s">
        <v>12488</v>
      </c>
      <c r="N1113" s="20" t="s">
        <v>9266</v>
      </c>
      <c r="O1113" s="16" t="s">
        <v>12608</v>
      </c>
      <c r="P1113" s="143">
        <v>755</v>
      </c>
      <c r="Q1113" s="122" t="s">
        <v>14461</v>
      </c>
      <c r="R1113" s="16" t="s">
        <v>8904</v>
      </c>
      <c r="S1113" s="10" t="s">
        <v>194</v>
      </c>
      <c r="T1113" s="28" t="s">
        <v>10293</v>
      </c>
      <c r="U1113" s="20" t="s">
        <v>5359</v>
      </c>
      <c r="V1113" s="16" t="s">
        <v>5761</v>
      </c>
      <c r="W1113" s="11" t="s">
        <v>14433</v>
      </c>
      <c r="X1113" s="174">
        <v>73.290000000000006</v>
      </c>
      <c r="Y1113" s="174">
        <v>93.46</v>
      </c>
    </row>
    <row r="1114" spans="1:26" ht="15" customHeight="1" x14ac:dyDescent="0.25">
      <c r="A1114" s="20" t="s">
        <v>8058</v>
      </c>
      <c r="B1114" s="14" t="s">
        <v>8059</v>
      </c>
      <c r="C1114" s="71" t="str">
        <f t="shared" si="18"/>
        <v>Product Info</v>
      </c>
      <c r="D1114" s="37" t="s">
        <v>8694</v>
      </c>
      <c r="E1114" s="143">
        <v>30</v>
      </c>
      <c r="F1114" s="12" t="s">
        <v>4992</v>
      </c>
      <c r="G1114" s="38">
        <v>120.5</v>
      </c>
      <c r="H1114" s="38">
        <f t="shared" si="17"/>
        <v>84.35</v>
      </c>
      <c r="I1114" s="38">
        <v>84.35</v>
      </c>
      <c r="J1114" s="39"/>
      <c r="K1114" s="143"/>
      <c r="L1114" s="22">
        <v>0</v>
      </c>
      <c r="M1114" s="22">
        <v>0</v>
      </c>
      <c r="N1114" s="20" t="s">
        <v>14489</v>
      </c>
      <c r="O1114" s="16">
        <v>0</v>
      </c>
      <c r="P1114" s="143">
        <v>755</v>
      </c>
      <c r="Q1114" s="121" t="s">
        <v>14285</v>
      </c>
      <c r="R1114" s="16" t="s">
        <v>8904</v>
      </c>
      <c r="S1114" s="10" t="s">
        <v>194</v>
      </c>
      <c r="T1114" s="28" t="s">
        <v>10294</v>
      </c>
      <c r="U1114" s="20" t="s">
        <v>5359</v>
      </c>
      <c r="V1114" s="16" t="s">
        <v>8058</v>
      </c>
      <c r="W1114" s="11" t="s">
        <v>14433</v>
      </c>
      <c r="X1114" s="174">
        <v>66.14</v>
      </c>
      <c r="Y1114" s="174">
        <v>84.35</v>
      </c>
    </row>
    <row r="1115" spans="1:26" ht="15" customHeight="1" x14ac:dyDescent="0.25">
      <c r="A1115" s="20" t="s">
        <v>5763</v>
      </c>
      <c r="B1115" s="14" t="s">
        <v>5764</v>
      </c>
      <c r="C1115" s="71" t="str">
        <f t="shared" si="18"/>
        <v>Product Info</v>
      </c>
      <c r="D1115" s="37" t="s">
        <v>7755</v>
      </c>
      <c r="E1115" s="143">
        <v>3</v>
      </c>
      <c r="F1115" s="12" t="s">
        <v>2170</v>
      </c>
      <c r="G1115" s="38">
        <v>191.34</v>
      </c>
      <c r="H1115" s="38">
        <f t="shared" si="17"/>
        <v>133.94</v>
      </c>
      <c r="I1115" s="38">
        <v>133.94</v>
      </c>
      <c r="J1115" s="39"/>
      <c r="K1115" s="143"/>
      <c r="L1115" s="22">
        <v>3</v>
      </c>
      <c r="M1115" s="22" t="s">
        <v>12488</v>
      </c>
      <c r="N1115" s="20" t="s">
        <v>8826</v>
      </c>
      <c r="O1115" s="16" t="s">
        <v>12608</v>
      </c>
      <c r="P1115" s="143">
        <v>755</v>
      </c>
      <c r="Q1115" s="122" t="s">
        <v>9227</v>
      </c>
      <c r="R1115" s="16" t="s">
        <v>8904</v>
      </c>
      <c r="S1115" s="10" t="s">
        <v>194</v>
      </c>
      <c r="T1115" s="28" t="s">
        <v>10295</v>
      </c>
      <c r="U1115" s="20" t="s">
        <v>5359</v>
      </c>
      <c r="V1115" s="16" t="s">
        <v>5763</v>
      </c>
      <c r="W1115" s="11" t="s">
        <v>14433</v>
      </c>
      <c r="X1115" s="174">
        <v>105.04</v>
      </c>
      <c r="Y1115" s="174">
        <v>133.94</v>
      </c>
    </row>
    <row r="1116" spans="1:26" ht="15" customHeight="1" x14ac:dyDescent="0.25">
      <c r="A1116" s="20" t="s">
        <v>8060</v>
      </c>
      <c r="B1116" s="14" t="s">
        <v>8061</v>
      </c>
      <c r="C1116" s="71" t="str">
        <f t="shared" si="18"/>
        <v>Product Info</v>
      </c>
      <c r="D1116" s="37" t="s">
        <v>8695</v>
      </c>
      <c r="E1116" s="143">
        <v>15</v>
      </c>
      <c r="F1116" s="12" t="s">
        <v>4992</v>
      </c>
      <c r="G1116" s="38">
        <v>172.73</v>
      </c>
      <c r="H1116" s="38">
        <f t="shared" si="17"/>
        <v>120.91</v>
      </c>
      <c r="I1116" s="38">
        <v>120.91</v>
      </c>
      <c r="J1116" s="39"/>
      <c r="K1116" s="143"/>
      <c r="L1116" s="22">
        <v>0</v>
      </c>
      <c r="M1116" s="22">
        <v>0</v>
      </c>
      <c r="N1116" s="20" t="s">
        <v>14489</v>
      </c>
      <c r="O1116" s="16">
        <v>0</v>
      </c>
      <c r="P1116" s="143">
        <v>755</v>
      </c>
      <c r="Q1116" s="122" t="s">
        <v>12421</v>
      </c>
      <c r="R1116" s="16" t="s">
        <v>8904</v>
      </c>
      <c r="S1116" s="10" t="s">
        <v>194</v>
      </c>
      <c r="T1116" s="28" t="s">
        <v>10296</v>
      </c>
      <c r="U1116" s="20" t="s">
        <v>5359</v>
      </c>
      <c r="V1116" s="16" t="s">
        <v>8060</v>
      </c>
      <c r="W1116" s="11" t="s">
        <v>14433</v>
      </c>
      <c r="X1116" s="174">
        <v>94.82</v>
      </c>
      <c r="Y1116" s="174">
        <v>120.91</v>
      </c>
    </row>
    <row r="1117" spans="1:26" ht="15" customHeight="1" x14ac:dyDescent="0.25">
      <c r="A1117" s="20" t="s">
        <v>5765</v>
      </c>
      <c r="B1117" s="14" t="s">
        <v>5766</v>
      </c>
      <c r="C1117" s="71" t="str">
        <f t="shared" si="18"/>
        <v>Product Info</v>
      </c>
      <c r="D1117" s="37" t="s">
        <v>7756</v>
      </c>
      <c r="E1117" s="143">
        <v>6</v>
      </c>
      <c r="F1117" s="12" t="s">
        <v>2170</v>
      </c>
      <c r="G1117" s="38">
        <v>7.54</v>
      </c>
      <c r="H1117" s="38">
        <f t="shared" si="17"/>
        <v>5.28</v>
      </c>
      <c r="I1117" s="38">
        <v>5.28</v>
      </c>
      <c r="J1117" s="39"/>
      <c r="K1117" s="12" t="s">
        <v>8905</v>
      </c>
      <c r="L1117" s="22">
        <v>3.5000000000000003E-2</v>
      </c>
      <c r="M1117" s="22" t="s">
        <v>12488</v>
      </c>
      <c r="N1117" s="20" t="s">
        <v>9298</v>
      </c>
      <c r="O1117" s="16" t="s">
        <v>12608</v>
      </c>
      <c r="P1117" s="143">
        <v>755</v>
      </c>
      <c r="Q1117" s="122" t="s">
        <v>14461</v>
      </c>
      <c r="R1117" s="16" t="s">
        <v>8904</v>
      </c>
      <c r="S1117" s="10" t="s">
        <v>194</v>
      </c>
      <c r="T1117" s="28" t="s">
        <v>10297</v>
      </c>
      <c r="U1117" s="20" t="s">
        <v>5359</v>
      </c>
      <c r="V1117" s="16" t="s">
        <v>5765</v>
      </c>
      <c r="W1117" s="11" t="s">
        <v>14433</v>
      </c>
      <c r="X1117" s="174">
        <v>4.1399999999999997</v>
      </c>
      <c r="Y1117" s="174">
        <v>5.28</v>
      </c>
    </row>
    <row r="1118" spans="1:26" ht="15" customHeight="1" x14ac:dyDescent="0.25">
      <c r="A1118" s="20" t="s">
        <v>9049</v>
      </c>
      <c r="B1118" s="14" t="s">
        <v>9050</v>
      </c>
      <c r="C1118" s="71" t="str">
        <f t="shared" si="18"/>
        <v>Product Info</v>
      </c>
      <c r="D1118" s="37" t="s">
        <v>9051</v>
      </c>
      <c r="E1118" s="143">
        <v>1</v>
      </c>
      <c r="F1118" s="12" t="s">
        <v>4992</v>
      </c>
      <c r="G1118" s="38">
        <v>54.41</v>
      </c>
      <c r="H1118" s="38">
        <v>46.25</v>
      </c>
      <c r="I1118" s="38">
        <v>38.090000000000003</v>
      </c>
      <c r="J1118" s="39"/>
      <c r="K1118" s="143"/>
      <c r="L1118" s="22">
        <v>0.45300000000000001</v>
      </c>
      <c r="M1118" s="22" t="s">
        <v>12487</v>
      </c>
      <c r="N1118" s="20" t="s">
        <v>14489</v>
      </c>
      <c r="O1118" s="16" t="s">
        <v>13912</v>
      </c>
      <c r="P1118" s="143" t="s">
        <v>12629</v>
      </c>
      <c r="Q1118" s="121" t="s">
        <v>14285</v>
      </c>
      <c r="R1118" s="16" t="s">
        <v>8904</v>
      </c>
      <c r="S1118" s="10" t="s">
        <v>1163</v>
      </c>
      <c r="T1118" s="28" t="s">
        <v>12392</v>
      </c>
      <c r="U1118" s="20" t="s">
        <v>5359</v>
      </c>
      <c r="V1118" s="16" t="s">
        <v>9049</v>
      </c>
      <c r="W1118" s="11" t="s">
        <v>14433</v>
      </c>
      <c r="X1118" s="174">
        <v>34.799999999999997</v>
      </c>
      <c r="Y1118" s="174">
        <v>43.9375</v>
      </c>
    </row>
    <row r="1119" spans="1:26" ht="15" customHeight="1" x14ac:dyDescent="0.25">
      <c r="A1119" s="20" t="s">
        <v>9052</v>
      </c>
      <c r="B1119" s="14" t="s">
        <v>9053</v>
      </c>
      <c r="C1119" s="71" t="str">
        <f t="shared" si="18"/>
        <v>Product Info</v>
      </c>
      <c r="D1119" s="37" t="s">
        <v>9054</v>
      </c>
      <c r="E1119" s="143">
        <v>1</v>
      </c>
      <c r="F1119" s="12" t="s">
        <v>4992</v>
      </c>
      <c r="G1119" s="38">
        <v>55.07</v>
      </c>
      <c r="H1119" s="38">
        <v>46.81</v>
      </c>
      <c r="I1119" s="38">
        <v>38.549999999999997</v>
      </c>
      <c r="J1119" s="39"/>
      <c r="K1119" s="143"/>
      <c r="L1119" s="22">
        <v>0.53</v>
      </c>
      <c r="M1119" s="22" t="s">
        <v>12487</v>
      </c>
      <c r="N1119" s="20" t="s">
        <v>14489</v>
      </c>
      <c r="O1119" s="16" t="s">
        <v>13912</v>
      </c>
      <c r="P1119" s="143" t="s">
        <v>12629</v>
      </c>
      <c r="Q1119" s="122" t="s">
        <v>9227</v>
      </c>
      <c r="R1119" s="16" t="s">
        <v>8904</v>
      </c>
      <c r="S1119" s="10" t="s">
        <v>1163</v>
      </c>
      <c r="T1119" s="28" t="s">
        <v>12393</v>
      </c>
      <c r="U1119" s="20" t="s">
        <v>5359</v>
      </c>
      <c r="V1119" s="16" t="s">
        <v>9052</v>
      </c>
      <c r="W1119" s="11" t="s">
        <v>14433</v>
      </c>
      <c r="X1119" s="174">
        <v>35.22</v>
      </c>
      <c r="Y1119" s="174">
        <v>44.469500000000004</v>
      </c>
    </row>
    <row r="1120" spans="1:26" ht="15" customHeight="1" x14ac:dyDescent="0.25">
      <c r="A1120" s="20" t="s">
        <v>9055</v>
      </c>
      <c r="B1120" s="14" t="s">
        <v>9056</v>
      </c>
      <c r="C1120" s="71" t="str">
        <f t="shared" si="18"/>
        <v>Product Info</v>
      </c>
      <c r="D1120" s="37" t="s">
        <v>9057</v>
      </c>
      <c r="E1120" s="143">
        <v>1</v>
      </c>
      <c r="F1120" s="12" t="s">
        <v>4992</v>
      </c>
      <c r="G1120" s="38">
        <v>58.16</v>
      </c>
      <c r="H1120" s="38">
        <v>49.44</v>
      </c>
      <c r="I1120" s="38">
        <v>40.71</v>
      </c>
      <c r="J1120" s="39"/>
      <c r="K1120" s="143"/>
      <c r="L1120" s="22">
        <v>0.71</v>
      </c>
      <c r="M1120" s="22" t="s">
        <v>12487</v>
      </c>
      <c r="N1120" s="20" t="s">
        <v>14489</v>
      </c>
      <c r="O1120" s="16" t="s">
        <v>13912</v>
      </c>
      <c r="P1120" s="143" t="s">
        <v>12629</v>
      </c>
      <c r="Q1120" s="121" t="s">
        <v>14285</v>
      </c>
      <c r="R1120" s="16" t="s">
        <v>8904</v>
      </c>
      <c r="S1120" s="10" t="s">
        <v>1163</v>
      </c>
      <c r="T1120" s="28" t="s">
        <v>12394</v>
      </c>
      <c r="U1120" s="20" t="s">
        <v>5359</v>
      </c>
      <c r="V1120" s="16" t="s">
        <v>9055</v>
      </c>
      <c r="W1120" s="11" t="s">
        <v>14433</v>
      </c>
      <c r="X1120" s="174">
        <v>37.200000000000003</v>
      </c>
      <c r="Y1120" s="174">
        <v>46.967999999999996</v>
      </c>
      <c r="Z1120" s="183"/>
    </row>
    <row r="1121" spans="1:25" ht="15" customHeight="1" x14ac:dyDescent="0.25">
      <c r="A1121" s="20" t="s">
        <v>9058</v>
      </c>
      <c r="B1121" s="14" t="s">
        <v>9059</v>
      </c>
      <c r="C1121" s="71" t="str">
        <f t="shared" si="18"/>
        <v>Product Info</v>
      </c>
      <c r="D1121" s="37" t="s">
        <v>9060</v>
      </c>
      <c r="E1121" s="143">
        <v>1</v>
      </c>
      <c r="F1121" s="12" t="s">
        <v>4992</v>
      </c>
      <c r="G1121" s="38">
        <v>59.56</v>
      </c>
      <c r="H1121" s="38">
        <v>50.63</v>
      </c>
      <c r="I1121" s="38">
        <v>41.69</v>
      </c>
      <c r="J1121" s="39"/>
      <c r="K1121" s="143"/>
      <c r="L1121" s="22">
        <v>0.81</v>
      </c>
      <c r="M1121" s="22" t="s">
        <v>12487</v>
      </c>
      <c r="N1121" s="20" t="s">
        <v>14489</v>
      </c>
      <c r="O1121" s="16" t="s">
        <v>13912</v>
      </c>
      <c r="P1121" s="143" t="s">
        <v>12629</v>
      </c>
      <c r="Q1121" s="122" t="s">
        <v>9227</v>
      </c>
      <c r="R1121" s="16" t="s">
        <v>8904</v>
      </c>
      <c r="S1121" s="10" t="s">
        <v>1163</v>
      </c>
      <c r="T1121" s="28" t="s">
        <v>12395</v>
      </c>
      <c r="U1121" s="20" t="s">
        <v>5359</v>
      </c>
      <c r="V1121" s="16" t="s">
        <v>9058</v>
      </c>
      <c r="W1121" s="11" t="s">
        <v>14433</v>
      </c>
      <c r="X1121" s="174">
        <v>38.090000000000003</v>
      </c>
      <c r="Y1121" s="174">
        <v>48.098500000000001</v>
      </c>
    </row>
    <row r="1122" spans="1:25" ht="15" customHeight="1" x14ac:dyDescent="0.25">
      <c r="A1122" s="20" t="s">
        <v>9061</v>
      </c>
      <c r="B1122" s="14" t="s">
        <v>9062</v>
      </c>
      <c r="C1122" s="71" t="str">
        <f t="shared" si="18"/>
        <v>Product Info</v>
      </c>
      <c r="D1122" s="37" t="s">
        <v>9063</v>
      </c>
      <c r="E1122" s="143">
        <v>1</v>
      </c>
      <c r="F1122" s="12" t="s">
        <v>4992</v>
      </c>
      <c r="G1122" s="38">
        <v>58.87</v>
      </c>
      <c r="H1122" s="38">
        <v>50.04</v>
      </c>
      <c r="I1122" s="38">
        <v>41.21</v>
      </c>
      <c r="J1122" s="39"/>
      <c r="K1122" s="143"/>
      <c r="L1122" s="22">
        <v>0.69599999999999995</v>
      </c>
      <c r="M1122" s="22" t="s">
        <v>12487</v>
      </c>
      <c r="N1122" s="20" t="s">
        <v>14489</v>
      </c>
      <c r="O1122" s="16" t="s">
        <v>13912</v>
      </c>
      <c r="P1122" s="143" t="s">
        <v>12629</v>
      </c>
      <c r="Q1122" s="122" t="s">
        <v>9227</v>
      </c>
      <c r="R1122" s="16" t="s">
        <v>8904</v>
      </c>
      <c r="S1122" s="10" t="s">
        <v>1163</v>
      </c>
      <c r="T1122" s="28" t="s">
        <v>12396</v>
      </c>
      <c r="U1122" s="20" t="s">
        <v>5359</v>
      </c>
      <c r="V1122" s="16" t="s">
        <v>9061</v>
      </c>
      <c r="W1122" s="11" t="s">
        <v>14433</v>
      </c>
      <c r="X1122" s="174">
        <v>37.65</v>
      </c>
      <c r="Y1122" s="174">
        <v>47.537999999999997</v>
      </c>
    </row>
    <row r="1123" spans="1:25" ht="15" customHeight="1" x14ac:dyDescent="0.25">
      <c r="A1123" s="20" t="s">
        <v>9064</v>
      </c>
      <c r="B1123" s="14" t="s">
        <v>9065</v>
      </c>
      <c r="C1123" s="71" t="str">
        <f t="shared" si="18"/>
        <v>Product Info</v>
      </c>
      <c r="D1123" s="37" t="s">
        <v>9066</v>
      </c>
      <c r="E1123" s="143">
        <v>1</v>
      </c>
      <c r="F1123" s="12" t="s">
        <v>4992</v>
      </c>
      <c r="G1123" s="38">
        <v>65.66</v>
      </c>
      <c r="H1123" s="38">
        <v>55.81</v>
      </c>
      <c r="I1123" s="38">
        <v>45.96</v>
      </c>
      <c r="J1123" s="39"/>
      <c r="K1123" s="143"/>
      <c r="L1123" s="22">
        <v>0.3</v>
      </c>
      <c r="M1123" s="22" t="s">
        <v>12487</v>
      </c>
      <c r="N1123" s="20" t="s">
        <v>14489</v>
      </c>
      <c r="O1123" s="16" t="s">
        <v>13912</v>
      </c>
      <c r="P1123" s="143" t="s">
        <v>12629</v>
      </c>
      <c r="Q1123" s="121" t="s">
        <v>14285</v>
      </c>
      <c r="R1123" s="16" t="s">
        <v>8904</v>
      </c>
      <c r="S1123" s="10" t="s">
        <v>1163</v>
      </c>
      <c r="T1123" s="28" t="s">
        <v>12397</v>
      </c>
      <c r="U1123" s="20" t="s">
        <v>5359</v>
      </c>
      <c r="V1123" s="16" t="s">
        <v>9064</v>
      </c>
      <c r="W1123" s="11" t="s">
        <v>14433</v>
      </c>
      <c r="X1123" s="174">
        <v>42</v>
      </c>
      <c r="Y1123" s="174">
        <v>53.019500000000001</v>
      </c>
    </row>
    <row r="1124" spans="1:25" ht="15" customHeight="1" x14ac:dyDescent="0.25">
      <c r="A1124" s="20" t="s">
        <v>9067</v>
      </c>
      <c r="B1124" s="14" t="s">
        <v>9068</v>
      </c>
      <c r="C1124" s="71" t="str">
        <f t="shared" si="18"/>
        <v>Product Info</v>
      </c>
      <c r="D1124" s="37" t="s">
        <v>9069</v>
      </c>
      <c r="E1124" s="143">
        <v>1</v>
      </c>
      <c r="F1124" s="12" t="s">
        <v>4992</v>
      </c>
      <c r="G1124" s="38">
        <v>67.23</v>
      </c>
      <c r="H1124" s="38">
        <v>57.15</v>
      </c>
      <c r="I1124" s="38">
        <v>47.06</v>
      </c>
      <c r="J1124" s="39"/>
      <c r="K1124" s="143"/>
      <c r="L1124" s="22">
        <v>0.82</v>
      </c>
      <c r="M1124" s="22" t="s">
        <v>12487</v>
      </c>
      <c r="N1124" s="20" t="s">
        <v>14489</v>
      </c>
      <c r="O1124" s="16" t="s">
        <v>13912</v>
      </c>
      <c r="P1124" s="143" t="s">
        <v>12629</v>
      </c>
      <c r="Q1124" s="122" t="s">
        <v>9227</v>
      </c>
      <c r="R1124" s="16" t="s">
        <v>8904</v>
      </c>
      <c r="S1124" s="10" t="s">
        <v>1163</v>
      </c>
      <c r="T1124" s="28" t="s">
        <v>12398</v>
      </c>
      <c r="U1124" s="20" t="s">
        <v>5359</v>
      </c>
      <c r="V1124" s="16" t="s">
        <v>9067</v>
      </c>
      <c r="W1124" s="11" t="s">
        <v>14433</v>
      </c>
      <c r="X1124" s="174">
        <v>43.01</v>
      </c>
      <c r="Y1124" s="174">
        <v>54.292499999999997</v>
      </c>
    </row>
    <row r="1125" spans="1:25" ht="15" customHeight="1" x14ac:dyDescent="0.25">
      <c r="A1125" s="20" t="s">
        <v>9070</v>
      </c>
      <c r="B1125" s="14" t="s">
        <v>9071</v>
      </c>
      <c r="C1125" s="71" t="str">
        <f t="shared" si="18"/>
        <v>Product Info</v>
      </c>
      <c r="D1125" s="37" t="s">
        <v>9072</v>
      </c>
      <c r="E1125" s="143">
        <v>1</v>
      </c>
      <c r="F1125" s="12" t="s">
        <v>4992</v>
      </c>
      <c r="G1125" s="38">
        <v>66.459999999999994</v>
      </c>
      <c r="H1125" s="38">
        <v>56.49</v>
      </c>
      <c r="I1125" s="38">
        <v>46.52</v>
      </c>
      <c r="J1125" s="39"/>
      <c r="K1125" s="143"/>
      <c r="L1125" s="22">
        <v>0.97</v>
      </c>
      <c r="M1125" s="22" t="s">
        <v>12487</v>
      </c>
      <c r="N1125" s="20" t="s">
        <v>14489</v>
      </c>
      <c r="O1125" s="16" t="s">
        <v>13912</v>
      </c>
      <c r="P1125" s="143" t="s">
        <v>12629</v>
      </c>
      <c r="Q1125" s="122" t="s">
        <v>9227</v>
      </c>
      <c r="R1125" s="16" t="s">
        <v>8904</v>
      </c>
      <c r="S1125" s="10" t="s">
        <v>1163</v>
      </c>
      <c r="T1125" s="28" t="s">
        <v>12399</v>
      </c>
      <c r="U1125" s="20" t="s">
        <v>5359</v>
      </c>
      <c r="V1125" s="16" t="s">
        <v>9070</v>
      </c>
      <c r="W1125" s="11" t="s">
        <v>14433</v>
      </c>
      <c r="X1125" s="174">
        <v>42.51</v>
      </c>
      <c r="Y1125" s="174">
        <v>53.665500000000002</v>
      </c>
    </row>
    <row r="1126" spans="1:25" ht="15" customHeight="1" x14ac:dyDescent="0.25">
      <c r="A1126" s="20" t="s">
        <v>9073</v>
      </c>
      <c r="B1126" s="14" t="s">
        <v>9074</v>
      </c>
      <c r="C1126" s="71" t="str">
        <f t="shared" si="18"/>
        <v>Product Info</v>
      </c>
      <c r="D1126" s="37" t="s">
        <v>9075</v>
      </c>
      <c r="E1126" s="143">
        <v>1</v>
      </c>
      <c r="F1126" s="12" t="s">
        <v>4992</v>
      </c>
      <c r="G1126" s="38">
        <v>78.8</v>
      </c>
      <c r="H1126" s="38">
        <v>66.98</v>
      </c>
      <c r="I1126" s="38">
        <v>55.16</v>
      </c>
      <c r="J1126" s="39"/>
      <c r="K1126" s="143"/>
      <c r="L1126" s="22">
        <v>0.3</v>
      </c>
      <c r="M1126" s="22" t="s">
        <v>12487</v>
      </c>
      <c r="N1126" s="20" t="s">
        <v>14489</v>
      </c>
      <c r="O1126" s="16" t="s">
        <v>13912</v>
      </c>
      <c r="P1126" s="143" t="s">
        <v>12629</v>
      </c>
      <c r="Q1126" s="122" t="s">
        <v>9227</v>
      </c>
      <c r="R1126" s="16" t="s">
        <v>8904</v>
      </c>
      <c r="S1126" s="10" t="s">
        <v>1163</v>
      </c>
      <c r="T1126" s="28" t="s">
        <v>12400</v>
      </c>
      <c r="U1126" s="20" t="s">
        <v>5359</v>
      </c>
      <c r="V1126" s="16" t="s">
        <v>9073</v>
      </c>
      <c r="W1126" s="11" t="s">
        <v>14433</v>
      </c>
      <c r="X1126" s="174">
        <v>50.4</v>
      </c>
      <c r="Y1126" s="174">
        <v>63.631</v>
      </c>
    </row>
    <row r="1127" spans="1:25" ht="15" customHeight="1" x14ac:dyDescent="0.25">
      <c r="A1127" s="20" t="s">
        <v>9076</v>
      </c>
      <c r="B1127" s="14" t="s">
        <v>9077</v>
      </c>
      <c r="C1127" s="71" t="str">
        <f t="shared" si="18"/>
        <v>Product Info</v>
      </c>
      <c r="D1127" s="37" t="s">
        <v>9078</v>
      </c>
      <c r="E1127" s="143">
        <v>1</v>
      </c>
      <c r="F1127" s="12" t="s">
        <v>4992</v>
      </c>
      <c r="G1127" s="38">
        <v>80.69</v>
      </c>
      <c r="H1127" s="38">
        <v>68.59</v>
      </c>
      <c r="I1127" s="38">
        <v>56.48</v>
      </c>
      <c r="J1127" s="39"/>
      <c r="K1127" s="143"/>
      <c r="L1127" s="22">
        <v>0.3</v>
      </c>
      <c r="M1127" s="22" t="s">
        <v>12487</v>
      </c>
      <c r="N1127" s="20" t="s">
        <v>14489</v>
      </c>
      <c r="O1127" s="16" t="s">
        <v>13912</v>
      </c>
      <c r="P1127" s="143" t="s">
        <v>12629</v>
      </c>
      <c r="Q1127" s="122" t="s">
        <v>9227</v>
      </c>
      <c r="R1127" s="16" t="s">
        <v>8904</v>
      </c>
      <c r="S1127" s="10" t="s">
        <v>1163</v>
      </c>
      <c r="T1127" s="28" t="s">
        <v>12401</v>
      </c>
      <c r="U1127" s="20" t="s">
        <v>5359</v>
      </c>
      <c r="V1127" s="16" t="s">
        <v>9076</v>
      </c>
      <c r="W1127" s="11" t="s">
        <v>14433</v>
      </c>
      <c r="X1127" s="174">
        <v>51.61</v>
      </c>
      <c r="Y1127" s="174">
        <v>65.160499999999999</v>
      </c>
    </row>
    <row r="1128" spans="1:25" ht="15" customHeight="1" x14ac:dyDescent="0.25">
      <c r="A1128" s="20" t="s">
        <v>9079</v>
      </c>
      <c r="B1128" s="14" t="s">
        <v>9080</v>
      </c>
      <c r="C1128" s="71" t="str">
        <f t="shared" si="18"/>
        <v>Product Info</v>
      </c>
      <c r="D1128" s="37" t="s">
        <v>9081</v>
      </c>
      <c r="E1128" s="143">
        <v>1</v>
      </c>
      <c r="F1128" s="12" t="s">
        <v>4992</v>
      </c>
      <c r="G1128" s="38">
        <v>79.73</v>
      </c>
      <c r="H1128" s="38">
        <v>67.77</v>
      </c>
      <c r="I1128" s="38">
        <v>55.81</v>
      </c>
      <c r="J1128" s="39"/>
      <c r="K1128" s="143"/>
      <c r="L1128" s="22">
        <v>0.3</v>
      </c>
      <c r="M1128" s="22" t="s">
        <v>12487</v>
      </c>
      <c r="N1128" s="20" t="s">
        <v>14489</v>
      </c>
      <c r="O1128" s="16" t="s">
        <v>13912</v>
      </c>
      <c r="P1128" s="143" t="s">
        <v>12629</v>
      </c>
      <c r="Q1128" s="121" t="s">
        <v>14285</v>
      </c>
      <c r="R1128" s="16" t="s">
        <v>8904</v>
      </c>
      <c r="S1128" s="10" t="s">
        <v>1163</v>
      </c>
      <c r="T1128" s="28" t="s">
        <v>12402</v>
      </c>
      <c r="U1128" s="20" t="s">
        <v>5359</v>
      </c>
      <c r="V1128" s="16" t="s">
        <v>9079</v>
      </c>
      <c r="W1128" s="11" t="s">
        <v>14433</v>
      </c>
      <c r="X1128" s="174">
        <v>51</v>
      </c>
      <c r="Y1128" s="174">
        <v>64.381499999999988</v>
      </c>
    </row>
    <row r="1129" spans="1:25" ht="15" customHeight="1" x14ac:dyDescent="0.25">
      <c r="A1129" s="20" t="s">
        <v>9082</v>
      </c>
      <c r="B1129" s="14" t="s">
        <v>9083</v>
      </c>
      <c r="C1129" s="71" t="str">
        <f t="shared" si="18"/>
        <v>Product Info</v>
      </c>
      <c r="D1129" s="37" t="s">
        <v>9084</v>
      </c>
      <c r="E1129" s="143">
        <v>1</v>
      </c>
      <c r="F1129" s="12" t="s">
        <v>4992</v>
      </c>
      <c r="G1129" s="38">
        <v>82.54</v>
      </c>
      <c r="H1129" s="38">
        <v>70.16</v>
      </c>
      <c r="I1129" s="38">
        <v>57.78</v>
      </c>
      <c r="J1129" s="39"/>
      <c r="K1129" s="143"/>
      <c r="L1129" s="22">
        <v>0.3</v>
      </c>
      <c r="M1129" s="22" t="s">
        <v>12487</v>
      </c>
      <c r="N1129" s="20" t="s">
        <v>14489</v>
      </c>
      <c r="O1129" s="16" t="s">
        <v>13912</v>
      </c>
      <c r="P1129" s="143" t="s">
        <v>12629</v>
      </c>
      <c r="Q1129" s="122" t="s">
        <v>9227</v>
      </c>
      <c r="R1129" s="16" t="s">
        <v>8904</v>
      </c>
      <c r="S1129" s="10" t="s">
        <v>1163</v>
      </c>
      <c r="T1129" s="28" t="s">
        <v>12403</v>
      </c>
      <c r="U1129" s="20" t="s">
        <v>5359</v>
      </c>
      <c r="V1129" s="16" t="s">
        <v>9082</v>
      </c>
      <c r="W1129" s="11" t="s">
        <v>14433</v>
      </c>
      <c r="X1129" s="174">
        <v>52.8</v>
      </c>
      <c r="Y1129" s="174">
        <v>66.651999999999987</v>
      </c>
    </row>
    <row r="1130" spans="1:25" ht="15" customHeight="1" x14ac:dyDescent="0.25">
      <c r="A1130" s="20" t="s">
        <v>9085</v>
      </c>
      <c r="B1130" s="14" t="s">
        <v>9086</v>
      </c>
      <c r="C1130" s="71" t="str">
        <f t="shared" si="18"/>
        <v>Product Info</v>
      </c>
      <c r="D1130" s="37" t="s">
        <v>9087</v>
      </c>
      <c r="E1130" s="143">
        <v>1</v>
      </c>
      <c r="F1130" s="12" t="s">
        <v>4992</v>
      </c>
      <c r="G1130" s="38">
        <v>83.54</v>
      </c>
      <c r="H1130" s="38">
        <v>71.010000000000005</v>
      </c>
      <c r="I1130" s="38">
        <v>58.48</v>
      </c>
      <c r="J1130" s="39"/>
      <c r="K1130" s="143"/>
      <c r="L1130" s="22">
        <v>0.3</v>
      </c>
      <c r="M1130" s="22" t="s">
        <v>12487</v>
      </c>
      <c r="N1130" s="20" t="s">
        <v>14489</v>
      </c>
      <c r="O1130" s="16" t="s">
        <v>13912</v>
      </c>
      <c r="P1130" s="143" t="s">
        <v>12629</v>
      </c>
      <c r="Q1130" s="121" t="s">
        <v>14285</v>
      </c>
      <c r="R1130" s="16" t="s">
        <v>8904</v>
      </c>
      <c r="S1130" s="10" t="s">
        <v>1163</v>
      </c>
      <c r="T1130" s="28" t="s">
        <v>12404</v>
      </c>
      <c r="U1130" s="20" t="s">
        <v>5359</v>
      </c>
      <c r="V1130" s="16" t="s">
        <v>9085</v>
      </c>
      <c r="W1130" s="11" t="s">
        <v>14433</v>
      </c>
      <c r="X1130" s="174">
        <v>53.43</v>
      </c>
      <c r="Y1130" s="174">
        <v>67.459500000000006</v>
      </c>
    </row>
    <row r="1131" spans="1:25" ht="15" customHeight="1" x14ac:dyDescent="0.25">
      <c r="A1131" s="20" t="s">
        <v>9088</v>
      </c>
      <c r="B1131" s="14" t="s">
        <v>9089</v>
      </c>
      <c r="C1131" s="71" t="str">
        <f t="shared" si="18"/>
        <v>Product Info</v>
      </c>
      <c r="D1131" s="37" t="s">
        <v>9090</v>
      </c>
      <c r="E1131" s="143">
        <v>1</v>
      </c>
      <c r="F1131" s="12" t="s">
        <v>4992</v>
      </c>
      <c r="G1131" s="38">
        <v>101.31</v>
      </c>
      <c r="H1131" s="38">
        <v>86.12</v>
      </c>
      <c r="I1131" s="38">
        <v>70.92</v>
      </c>
      <c r="J1131" s="39"/>
      <c r="K1131" s="143"/>
      <c r="L1131" s="22">
        <v>0.3</v>
      </c>
      <c r="M1131" s="22" t="s">
        <v>12487</v>
      </c>
      <c r="N1131" s="20" t="s">
        <v>14489</v>
      </c>
      <c r="O1131" s="16" t="s">
        <v>13912</v>
      </c>
      <c r="P1131" s="143" t="s">
        <v>12629</v>
      </c>
      <c r="Q1131" s="122" t="s">
        <v>9227</v>
      </c>
      <c r="R1131" s="16" t="s">
        <v>8904</v>
      </c>
      <c r="S1131" s="10" t="s">
        <v>1163</v>
      </c>
      <c r="T1131" s="28" t="s">
        <v>12405</v>
      </c>
      <c r="U1131" s="20" t="s">
        <v>5359</v>
      </c>
      <c r="V1131" s="16" t="s">
        <v>9088</v>
      </c>
      <c r="W1131" s="11" t="s">
        <v>14433</v>
      </c>
      <c r="X1131" s="174">
        <v>64.8</v>
      </c>
      <c r="Y1131" s="174">
        <v>81.814000000000007</v>
      </c>
    </row>
    <row r="1132" spans="1:25" ht="15" customHeight="1" x14ac:dyDescent="0.25">
      <c r="A1132" s="20" t="s">
        <v>9091</v>
      </c>
      <c r="B1132" s="14" t="s">
        <v>9092</v>
      </c>
      <c r="C1132" s="71" t="str">
        <f t="shared" si="18"/>
        <v>Product Info</v>
      </c>
      <c r="D1132" s="37" t="s">
        <v>9093</v>
      </c>
      <c r="E1132" s="143">
        <v>1</v>
      </c>
      <c r="F1132" s="12" t="s">
        <v>4992</v>
      </c>
      <c r="G1132" s="38">
        <v>103.73</v>
      </c>
      <c r="H1132" s="38">
        <v>88.17</v>
      </c>
      <c r="I1132" s="38">
        <v>72.61</v>
      </c>
      <c r="J1132" s="39"/>
      <c r="K1132" s="143"/>
      <c r="L1132" s="22">
        <v>0.3</v>
      </c>
      <c r="M1132" s="22" t="s">
        <v>12487</v>
      </c>
      <c r="N1132" s="20" t="s">
        <v>14489</v>
      </c>
      <c r="O1132" s="16" t="s">
        <v>13912</v>
      </c>
      <c r="P1132" s="143" t="s">
        <v>12629</v>
      </c>
      <c r="Q1132" s="121" t="s">
        <v>14285</v>
      </c>
      <c r="R1132" s="16" t="s">
        <v>8904</v>
      </c>
      <c r="S1132" s="10" t="s">
        <v>1163</v>
      </c>
      <c r="T1132" s="28" t="s">
        <v>12406</v>
      </c>
      <c r="U1132" s="20" t="s">
        <v>5359</v>
      </c>
      <c r="V1132" s="16" t="s">
        <v>9091</v>
      </c>
      <c r="W1132" s="11" t="s">
        <v>14433</v>
      </c>
      <c r="X1132" s="174">
        <v>66.36</v>
      </c>
      <c r="Y1132" s="174">
        <v>83.761499999999998</v>
      </c>
    </row>
    <row r="1133" spans="1:25" ht="15" customHeight="1" x14ac:dyDescent="0.25">
      <c r="A1133" s="20" t="s">
        <v>9097</v>
      </c>
      <c r="B1133" s="14" t="s">
        <v>9095</v>
      </c>
      <c r="C1133" s="71" t="str">
        <f t="shared" si="18"/>
        <v>Product Info</v>
      </c>
      <c r="D1133" s="37" t="s">
        <v>9098</v>
      </c>
      <c r="E1133" s="143">
        <v>1</v>
      </c>
      <c r="F1133" s="12" t="s">
        <v>4992</v>
      </c>
      <c r="G1133" s="38">
        <v>102.53</v>
      </c>
      <c r="H1133" s="38">
        <v>87.15</v>
      </c>
      <c r="I1133" s="38">
        <v>71.77</v>
      </c>
      <c r="J1133" s="39"/>
      <c r="K1133" s="143"/>
      <c r="L1133" s="22">
        <v>0.3</v>
      </c>
      <c r="M1133" s="22" t="s">
        <v>12487</v>
      </c>
      <c r="N1133" s="20" t="s">
        <v>14489</v>
      </c>
      <c r="O1133" s="16" t="s">
        <v>13912</v>
      </c>
      <c r="P1133" s="143" t="s">
        <v>12629</v>
      </c>
      <c r="Q1133" s="122" t="s">
        <v>9227</v>
      </c>
      <c r="R1133" s="16" t="s">
        <v>8904</v>
      </c>
      <c r="S1133" s="10" t="s">
        <v>1163</v>
      </c>
      <c r="T1133" s="28" t="s">
        <v>12408</v>
      </c>
      <c r="U1133" s="20" t="s">
        <v>5359</v>
      </c>
      <c r="V1133" s="16" t="s">
        <v>9097</v>
      </c>
      <c r="W1133" s="11" t="s">
        <v>14433</v>
      </c>
      <c r="X1133" s="174">
        <v>65.58</v>
      </c>
      <c r="Y1133" s="174">
        <v>82.792500000000004</v>
      </c>
    </row>
    <row r="1134" spans="1:25" ht="15" customHeight="1" x14ac:dyDescent="0.25">
      <c r="A1134" s="20" t="s">
        <v>9102</v>
      </c>
      <c r="B1134" s="14" t="s">
        <v>9100</v>
      </c>
      <c r="C1134" s="71" t="str">
        <f t="shared" si="18"/>
        <v>Product Info</v>
      </c>
      <c r="D1134" s="37" t="s">
        <v>9103</v>
      </c>
      <c r="E1134" s="143">
        <v>1</v>
      </c>
      <c r="F1134" s="12" t="s">
        <v>4992</v>
      </c>
      <c r="G1134" s="38">
        <v>127.57</v>
      </c>
      <c r="H1134" s="38">
        <v>108.44</v>
      </c>
      <c r="I1134" s="38">
        <v>89.3</v>
      </c>
      <c r="J1134" s="39"/>
      <c r="K1134" s="143"/>
      <c r="L1134" s="22">
        <v>0.3</v>
      </c>
      <c r="M1134" s="22" t="s">
        <v>12487</v>
      </c>
      <c r="N1134" s="20" t="s">
        <v>14489</v>
      </c>
      <c r="O1134" s="16" t="s">
        <v>13912</v>
      </c>
      <c r="P1134" s="143" t="s">
        <v>12629</v>
      </c>
      <c r="Q1134" s="121" t="s">
        <v>14285</v>
      </c>
      <c r="R1134" s="16" t="s">
        <v>8904</v>
      </c>
      <c r="S1134" s="10" t="s">
        <v>1163</v>
      </c>
      <c r="T1134" s="28" t="s">
        <v>12410</v>
      </c>
      <c r="U1134" s="20" t="s">
        <v>5359</v>
      </c>
      <c r="V1134" s="16" t="s">
        <v>9102</v>
      </c>
      <c r="W1134" s="11" t="s">
        <v>14433</v>
      </c>
      <c r="X1134" s="174">
        <v>81.599999999999994</v>
      </c>
      <c r="Y1134" s="174">
        <v>103.01799999999999</v>
      </c>
    </row>
    <row r="1135" spans="1:25" ht="15" customHeight="1" x14ac:dyDescent="0.25">
      <c r="A1135" s="20" t="s">
        <v>9107</v>
      </c>
      <c r="B1135" s="14" t="s">
        <v>9105</v>
      </c>
      <c r="C1135" s="71" t="str">
        <f t="shared" si="18"/>
        <v>Product Info</v>
      </c>
      <c r="D1135" s="37" t="s">
        <v>9108</v>
      </c>
      <c r="E1135" s="143">
        <v>1</v>
      </c>
      <c r="F1135" s="12" t="s">
        <v>4992</v>
      </c>
      <c r="G1135" s="38">
        <v>130.63</v>
      </c>
      <c r="H1135" s="38">
        <v>111.04</v>
      </c>
      <c r="I1135" s="38">
        <v>91.44</v>
      </c>
      <c r="J1135" s="39"/>
      <c r="K1135" s="143"/>
      <c r="L1135" s="22">
        <v>0.3</v>
      </c>
      <c r="M1135" s="22" t="s">
        <v>12487</v>
      </c>
      <c r="N1135" s="20" t="s">
        <v>14489</v>
      </c>
      <c r="O1135" s="16" t="s">
        <v>13912</v>
      </c>
      <c r="P1135" s="143" t="s">
        <v>12629</v>
      </c>
      <c r="Q1135" s="122" t="s">
        <v>9227</v>
      </c>
      <c r="R1135" s="16" t="s">
        <v>8904</v>
      </c>
      <c r="S1135" s="10" t="s">
        <v>1163</v>
      </c>
      <c r="T1135" s="28" t="s">
        <v>12412</v>
      </c>
      <c r="U1135" s="20" t="s">
        <v>5359</v>
      </c>
      <c r="V1135" s="16" t="s">
        <v>9107</v>
      </c>
      <c r="W1135" s="11" t="s">
        <v>14433</v>
      </c>
      <c r="X1135" s="174">
        <v>83.56</v>
      </c>
      <c r="Y1135" s="174">
        <v>105.488</v>
      </c>
    </row>
    <row r="1136" spans="1:25" ht="15" customHeight="1" x14ac:dyDescent="0.25">
      <c r="A1136" s="20" t="s">
        <v>9112</v>
      </c>
      <c r="B1136" s="14" t="s">
        <v>9110</v>
      </c>
      <c r="C1136" s="71" t="str">
        <f t="shared" si="18"/>
        <v>Product Info</v>
      </c>
      <c r="D1136" s="37" t="s">
        <v>9113</v>
      </c>
      <c r="E1136" s="143">
        <v>1</v>
      </c>
      <c r="F1136" s="12" t="s">
        <v>4992</v>
      </c>
      <c r="G1136" s="38">
        <v>129.1</v>
      </c>
      <c r="H1136" s="38">
        <v>109.74</v>
      </c>
      <c r="I1136" s="38">
        <v>90.37</v>
      </c>
      <c r="J1136" s="39"/>
      <c r="K1136" s="143"/>
      <c r="L1136" s="22">
        <v>0.3</v>
      </c>
      <c r="M1136" s="22" t="s">
        <v>12487</v>
      </c>
      <c r="N1136" s="20" t="s">
        <v>14489</v>
      </c>
      <c r="O1136" s="16" t="s">
        <v>13912</v>
      </c>
      <c r="P1136" s="143" t="s">
        <v>12629</v>
      </c>
      <c r="Q1136" s="121" t="s">
        <v>14285</v>
      </c>
      <c r="R1136" s="16" t="s">
        <v>8904</v>
      </c>
      <c r="S1136" s="10" t="s">
        <v>1163</v>
      </c>
      <c r="T1136" s="28" t="s">
        <v>12414</v>
      </c>
      <c r="U1136" s="20" t="s">
        <v>5359</v>
      </c>
      <c r="V1136" s="16" t="s">
        <v>9112</v>
      </c>
      <c r="W1136" s="11" t="s">
        <v>14433</v>
      </c>
      <c r="X1136" s="174">
        <v>82.58</v>
      </c>
      <c r="Y1136" s="174">
        <v>104.25299999999999</v>
      </c>
    </row>
    <row r="1137" spans="1:25" ht="15" customHeight="1" x14ac:dyDescent="0.25">
      <c r="A1137" s="20" t="s">
        <v>9094</v>
      </c>
      <c r="B1137" s="14" t="s">
        <v>9115</v>
      </c>
      <c r="C1137" s="71" t="str">
        <f t="shared" si="18"/>
        <v>Product Info</v>
      </c>
      <c r="D1137" s="37" t="s">
        <v>9096</v>
      </c>
      <c r="E1137" s="143">
        <v>1</v>
      </c>
      <c r="F1137" s="12" t="s">
        <v>4992</v>
      </c>
      <c r="G1137" s="38">
        <v>55.6</v>
      </c>
      <c r="H1137" s="38">
        <v>47.26</v>
      </c>
      <c r="I1137" s="38">
        <v>38.92</v>
      </c>
      <c r="J1137" s="39"/>
      <c r="K1137" s="143"/>
      <c r="L1137" s="22">
        <v>0.3</v>
      </c>
      <c r="M1137" s="22" t="s">
        <v>12487</v>
      </c>
      <c r="N1137" s="20" t="s">
        <v>14489</v>
      </c>
      <c r="O1137" s="16" t="s">
        <v>13912</v>
      </c>
      <c r="P1137" s="143" t="s">
        <v>12629</v>
      </c>
      <c r="Q1137" s="121" t="s">
        <v>14285</v>
      </c>
      <c r="R1137" s="16" t="s">
        <v>8904</v>
      </c>
      <c r="S1137" s="10" t="s">
        <v>1163</v>
      </c>
      <c r="T1137" s="28" t="s">
        <v>12407</v>
      </c>
      <c r="U1137" s="20" t="s">
        <v>5359</v>
      </c>
      <c r="V1137" s="16" t="s">
        <v>9094</v>
      </c>
      <c r="W1137" s="11" t="s">
        <v>14433</v>
      </c>
      <c r="X1137" s="174">
        <v>35.57</v>
      </c>
      <c r="Y1137" s="174">
        <v>44.896999999999998</v>
      </c>
    </row>
    <row r="1138" spans="1:25" ht="15" customHeight="1" x14ac:dyDescent="0.25">
      <c r="A1138" s="20" t="s">
        <v>9099</v>
      </c>
      <c r="B1138" s="14" t="s">
        <v>9118</v>
      </c>
      <c r="C1138" s="71" t="str">
        <f t="shared" si="18"/>
        <v>Product Info</v>
      </c>
      <c r="D1138" s="37" t="s">
        <v>9101</v>
      </c>
      <c r="E1138" s="143">
        <v>1</v>
      </c>
      <c r="F1138" s="12" t="s">
        <v>4992</v>
      </c>
      <c r="G1138" s="38">
        <v>52.67</v>
      </c>
      <c r="H1138" s="38">
        <v>44.77</v>
      </c>
      <c r="I1138" s="38">
        <v>36.869999999999997</v>
      </c>
      <c r="J1138" s="39"/>
      <c r="K1138" s="143"/>
      <c r="L1138" s="22">
        <v>0.3</v>
      </c>
      <c r="M1138" s="22" t="s">
        <v>12487</v>
      </c>
      <c r="N1138" s="20" t="s">
        <v>14489</v>
      </c>
      <c r="O1138" s="16" t="s">
        <v>13912</v>
      </c>
      <c r="P1138" s="143" t="s">
        <v>12629</v>
      </c>
      <c r="Q1138" s="121" t="s">
        <v>14285</v>
      </c>
      <c r="R1138" s="16" t="s">
        <v>8904</v>
      </c>
      <c r="S1138" s="10" t="s">
        <v>1163</v>
      </c>
      <c r="T1138" s="28" t="s">
        <v>12409</v>
      </c>
      <c r="U1138" s="20" t="s">
        <v>5359</v>
      </c>
      <c r="V1138" s="16" t="s">
        <v>9099</v>
      </c>
      <c r="W1138" s="11" t="s">
        <v>14433</v>
      </c>
      <c r="X1138" s="174">
        <v>33.700000000000003</v>
      </c>
      <c r="Y1138" s="174">
        <v>42.531500000000001</v>
      </c>
    </row>
    <row r="1139" spans="1:25" ht="15" customHeight="1" x14ac:dyDescent="0.25">
      <c r="A1139" s="20" t="s">
        <v>9104</v>
      </c>
      <c r="B1139" s="14" t="s">
        <v>12454</v>
      </c>
      <c r="C1139" s="71" t="str">
        <f t="shared" si="18"/>
        <v>Product Info</v>
      </c>
      <c r="D1139" s="37" t="s">
        <v>9106</v>
      </c>
      <c r="E1139" s="143">
        <v>1</v>
      </c>
      <c r="F1139" s="12" t="s">
        <v>4992</v>
      </c>
      <c r="G1139" s="38">
        <v>70.23</v>
      </c>
      <c r="H1139" s="38">
        <v>59.7</v>
      </c>
      <c r="I1139" s="38">
        <v>49.16</v>
      </c>
      <c r="J1139" s="39"/>
      <c r="K1139" s="143"/>
      <c r="L1139" s="22">
        <v>0.3</v>
      </c>
      <c r="M1139" s="22" t="s">
        <v>12487</v>
      </c>
      <c r="N1139" s="20" t="s">
        <v>14489</v>
      </c>
      <c r="O1139" s="16" t="s">
        <v>13912</v>
      </c>
      <c r="P1139" s="143" t="s">
        <v>12629</v>
      </c>
      <c r="Q1139" s="121" t="s">
        <v>14285</v>
      </c>
      <c r="R1139" s="16" t="s">
        <v>8904</v>
      </c>
      <c r="S1139" s="10" t="s">
        <v>1163</v>
      </c>
      <c r="T1139" s="28" t="s">
        <v>12411</v>
      </c>
      <c r="U1139" s="20" t="s">
        <v>5359</v>
      </c>
      <c r="V1139" s="16" t="s">
        <v>9104</v>
      </c>
      <c r="W1139" s="11" t="s">
        <v>14433</v>
      </c>
      <c r="X1139" s="174">
        <v>44.93</v>
      </c>
      <c r="Y1139" s="174">
        <v>56.715000000000003</v>
      </c>
    </row>
    <row r="1140" spans="1:25" ht="15" customHeight="1" x14ac:dyDescent="0.25">
      <c r="A1140" s="20" t="s">
        <v>9109</v>
      </c>
      <c r="B1140" s="14" t="s">
        <v>12455</v>
      </c>
      <c r="C1140" s="71" t="str">
        <f t="shared" si="18"/>
        <v>Product Info</v>
      </c>
      <c r="D1140" s="37" t="s">
        <v>9111</v>
      </c>
      <c r="E1140" s="143">
        <v>1</v>
      </c>
      <c r="F1140" s="12" t="s">
        <v>4992</v>
      </c>
      <c r="G1140" s="38">
        <v>61.46</v>
      </c>
      <c r="H1140" s="38">
        <v>52.24</v>
      </c>
      <c r="I1140" s="38">
        <v>43.02</v>
      </c>
      <c r="J1140" s="39"/>
      <c r="K1140" s="143"/>
      <c r="L1140" s="22">
        <v>0.3</v>
      </c>
      <c r="M1140" s="22" t="s">
        <v>12487</v>
      </c>
      <c r="N1140" s="20" t="s">
        <v>14489</v>
      </c>
      <c r="O1140" s="16" t="s">
        <v>13912</v>
      </c>
      <c r="P1140" s="143" t="s">
        <v>12629</v>
      </c>
      <c r="Q1140" s="121" t="s">
        <v>14285</v>
      </c>
      <c r="R1140" s="16" t="s">
        <v>8904</v>
      </c>
      <c r="S1140" s="10" t="s">
        <v>1163</v>
      </c>
      <c r="T1140" s="28" t="s">
        <v>12413</v>
      </c>
      <c r="U1140" s="20" t="s">
        <v>5359</v>
      </c>
      <c r="V1140" s="16" t="s">
        <v>9109</v>
      </c>
      <c r="W1140" s="11" t="s">
        <v>14433</v>
      </c>
      <c r="X1140" s="174">
        <v>39.31</v>
      </c>
      <c r="Y1140" s="174">
        <v>49.628</v>
      </c>
    </row>
    <row r="1141" spans="1:25" ht="15" customHeight="1" x14ac:dyDescent="0.25">
      <c r="A1141" s="20" t="s">
        <v>9114</v>
      </c>
      <c r="B1141" s="14" t="s">
        <v>12456</v>
      </c>
      <c r="C1141" s="71" t="str">
        <f t="shared" si="18"/>
        <v>Product Info</v>
      </c>
      <c r="D1141" s="37" t="s">
        <v>9116</v>
      </c>
      <c r="E1141" s="143">
        <v>1</v>
      </c>
      <c r="F1141" s="12" t="s">
        <v>4992</v>
      </c>
      <c r="G1141" s="38">
        <v>73.900000000000006</v>
      </c>
      <c r="H1141" s="38">
        <v>62.82</v>
      </c>
      <c r="I1141" s="38">
        <v>51.73</v>
      </c>
      <c r="J1141" s="39"/>
      <c r="K1141" s="143"/>
      <c r="L1141" s="22">
        <v>0.3</v>
      </c>
      <c r="M1141" s="22" t="s">
        <v>12487</v>
      </c>
      <c r="N1141" s="20" t="s">
        <v>14489</v>
      </c>
      <c r="O1141" s="16" t="s">
        <v>13912</v>
      </c>
      <c r="P1141" s="143" t="s">
        <v>12629</v>
      </c>
      <c r="Q1141" s="121" t="s">
        <v>14285</v>
      </c>
      <c r="R1141" s="16" t="s">
        <v>8904</v>
      </c>
      <c r="S1141" s="10" t="s">
        <v>1163</v>
      </c>
      <c r="T1141" s="28" t="s">
        <v>12415</v>
      </c>
      <c r="U1141" s="20" t="s">
        <v>5359</v>
      </c>
      <c r="V1141" s="16" t="s">
        <v>9114</v>
      </c>
      <c r="W1141" s="11" t="s">
        <v>14433</v>
      </c>
      <c r="X1141" s="174">
        <v>47.27</v>
      </c>
      <c r="Y1141" s="174">
        <v>59.678999999999995</v>
      </c>
    </row>
    <row r="1142" spans="1:25" ht="15" customHeight="1" x14ac:dyDescent="0.25">
      <c r="A1142" s="20" t="s">
        <v>9117</v>
      </c>
      <c r="B1142" s="14" t="s">
        <v>12457</v>
      </c>
      <c r="C1142" s="71" t="str">
        <f t="shared" si="18"/>
        <v>Product Info</v>
      </c>
      <c r="D1142" s="37" t="s">
        <v>9119</v>
      </c>
      <c r="E1142" s="143">
        <v>1</v>
      </c>
      <c r="F1142" s="12" t="s">
        <v>4992</v>
      </c>
      <c r="G1142" s="38">
        <v>68.040000000000006</v>
      </c>
      <c r="H1142" s="38">
        <v>57.84</v>
      </c>
      <c r="I1142" s="38">
        <v>47.63</v>
      </c>
      <c r="J1142" s="39"/>
      <c r="K1142" s="143"/>
      <c r="L1142" s="22">
        <v>0.3</v>
      </c>
      <c r="M1142" s="22" t="s">
        <v>12487</v>
      </c>
      <c r="N1142" s="20" t="s">
        <v>14489</v>
      </c>
      <c r="O1142" s="16" t="s">
        <v>13912</v>
      </c>
      <c r="P1142" s="143" t="s">
        <v>12629</v>
      </c>
      <c r="Q1142" s="121" t="s">
        <v>14285</v>
      </c>
      <c r="R1142" s="16" t="s">
        <v>8904</v>
      </c>
      <c r="S1142" s="10" t="s">
        <v>1163</v>
      </c>
      <c r="T1142" s="28" t="s">
        <v>12416</v>
      </c>
      <c r="U1142" s="20" t="s">
        <v>5359</v>
      </c>
      <c r="V1142" s="16" t="s">
        <v>9117</v>
      </c>
      <c r="W1142" s="11" t="s">
        <v>14433</v>
      </c>
      <c r="X1142" s="174">
        <v>43.53</v>
      </c>
      <c r="Y1142" s="174">
        <v>54.948</v>
      </c>
    </row>
    <row r="1143" spans="1:25" ht="15" customHeight="1" x14ac:dyDescent="0.25">
      <c r="A1143" s="20" t="s">
        <v>8062</v>
      </c>
      <c r="B1143" s="14" t="s">
        <v>8063</v>
      </c>
      <c r="C1143" s="71" t="str">
        <f t="shared" si="18"/>
        <v>Product Info</v>
      </c>
      <c r="D1143" s="37" t="s">
        <v>8696</v>
      </c>
      <c r="E1143" s="143">
        <v>20</v>
      </c>
      <c r="F1143" s="12" t="s">
        <v>4992</v>
      </c>
      <c r="G1143" s="38">
        <v>9.6</v>
      </c>
      <c r="H1143" s="38">
        <f t="shared" ref="H1143:H1157" si="19">I1143</f>
        <v>6.72</v>
      </c>
      <c r="I1143" s="38">
        <v>6.72</v>
      </c>
      <c r="J1143" s="39"/>
      <c r="K1143" s="143"/>
      <c r="L1143" s="22">
        <v>0</v>
      </c>
      <c r="M1143" s="22">
        <v>0</v>
      </c>
      <c r="N1143" s="20" t="s">
        <v>14489</v>
      </c>
      <c r="O1143" s="16" t="s">
        <v>13914</v>
      </c>
      <c r="P1143" s="143">
        <v>755</v>
      </c>
      <c r="Q1143" s="121" t="s">
        <v>14285</v>
      </c>
      <c r="R1143" s="16" t="s">
        <v>8904</v>
      </c>
      <c r="S1143" s="10" t="s">
        <v>194</v>
      </c>
      <c r="T1143" s="28" t="s">
        <v>10298</v>
      </c>
      <c r="U1143" s="20" t="s">
        <v>5359</v>
      </c>
      <c r="V1143" s="16" t="s">
        <v>8062</v>
      </c>
      <c r="W1143" s="11" t="s">
        <v>14433</v>
      </c>
      <c r="X1143" s="174">
        <v>5.26</v>
      </c>
      <c r="Y1143" s="174">
        <v>6.72</v>
      </c>
    </row>
    <row r="1144" spans="1:25" ht="15" customHeight="1" x14ac:dyDescent="0.25">
      <c r="A1144" s="20" t="s">
        <v>8064</v>
      </c>
      <c r="B1144" s="14" t="s">
        <v>8065</v>
      </c>
      <c r="C1144" s="71" t="str">
        <f t="shared" si="18"/>
        <v>Product Info</v>
      </c>
      <c r="D1144" s="37" t="s">
        <v>8697</v>
      </c>
      <c r="E1144" s="143">
        <v>250</v>
      </c>
      <c r="F1144" s="12" t="s">
        <v>4992</v>
      </c>
      <c r="G1144" s="38">
        <v>7.56</v>
      </c>
      <c r="H1144" s="38">
        <f t="shared" si="19"/>
        <v>5.29</v>
      </c>
      <c r="I1144" s="38">
        <v>5.29</v>
      </c>
      <c r="J1144" s="39"/>
      <c r="K1144" s="143"/>
      <c r="L1144" s="22">
        <v>0</v>
      </c>
      <c r="M1144" s="22">
        <v>0</v>
      </c>
      <c r="N1144" s="20" t="s">
        <v>14489</v>
      </c>
      <c r="O1144" s="16" t="s">
        <v>13914</v>
      </c>
      <c r="P1144" s="143">
        <v>755</v>
      </c>
      <c r="Q1144" s="122" t="s">
        <v>12421</v>
      </c>
      <c r="R1144" s="16" t="s">
        <v>8904</v>
      </c>
      <c r="S1144" s="10" t="s">
        <v>194</v>
      </c>
      <c r="T1144" s="28" t="s">
        <v>10299</v>
      </c>
      <c r="U1144" s="20" t="s">
        <v>5359</v>
      </c>
      <c r="V1144" s="16" t="s">
        <v>8064</v>
      </c>
      <c r="W1144" s="11" t="s">
        <v>14433</v>
      </c>
      <c r="X1144" s="174">
        <v>4.1500000000000004</v>
      </c>
      <c r="Y1144" s="174">
        <v>5.29</v>
      </c>
    </row>
    <row r="1145" spans="1:25" ht="15" customHeight="1" x14ac:dyDescent="0.25">
      <c r="A1145" s="20" t="s">
        <v>5767</v>
      </c>
      <c r="B1145" s="14" t="s">
        <v>5768</v>
      </c>
      <c r="C1145" s="71" t="str">
        <f t="shared" si="18"/>
        <v>Product Info</v>
      </c>
      <c r="D1145" s="37" t="s">
        <v>8908</v>
      </c>
      <c r="E1145" s="143">
        <v>5</v>
      </c>
      <c r="F1145" s="12" t="s">
        <v>2170</v>
      </c>
      <c r="G1145" s="38">
        <v>11.19</v>
      </c>
      <c r="H1145" s="38">
        <f t="shared" si="19"/>
        <v>7.83</v>
      </c>
      <c r="I1145" s="38">
        <v>7.83</v>
      </c>
      <c r="J1145" s="39"/>
      <c r="K1145" s="143"/>
      <c r="L1145" s="22">
        <v>0.2</v>
      </c>
      <c r="M1145" s="22" t="s">
        <v>12488</v>
      </c>
      <c r="N1145" s="20" t="s">
        <v>9299</v>
      </c>
      <c r="O1145" s="16" t="s">
        <v>13914</v>
      </c>
      <c r="P1145" s="143">
        <v>755</v>
      </c>
      <c r="Q1145" s="121" t="s">
        <v>14285</v>
      </c>
      <c r="R1145" s="16" t="s">
        <v>8904</v>
      </c>
      <c r="S1145" s="10" t="s">
        <v>194</v>
      </c>
      <c r="T1145" s="28" t="s">
        <v>10300</v>
      </c>
      <c r="U1145" s="20" t="s">
        <v>5359</v>
      </c>
      <c r="V1145" s="16" t="s">
        <v>5767</v>
      </c>
      <c r="W1145" s="11" t="s">
        <v>14433</v>
      </c>
      <c r="X1145" s="174">
        <v>6.14</v>
      </c>
      <c r="Y1145" s="174">
        <v>7.83</v>
      </c>
    </row>
    <row r="1146" spans="1:25" ht="15" customHeight="1" x14ac:dyDescent="0.25">
      <c r="A1146" s="20" t="s">
        <v>8066</v>
      </c>
      <c r="B1146" s="14" t="s">
        <v>8067</v>
      </c>
      <c r="C1146" s="71" t="str">
        <f t="shared" si="18"/>
        <v>Product Info</v>
      </c>
      <c r="D1146" s="37" t="s">
        <v>8698</v>
      </c>
      <c r="E1146" s="143">
        <v>20</v>
      </c>
      <c r="F1146" s="12" t="s">
        <v>4992</v>
      </c>
      <c r="G1146" s="38">
        <v>9.9700000000000006</v>
      </c>
      <c r="H1146" s="38">
        <f t="shared" si="19"/>
        <v>6.98</v>
      </c>
      <c r="I1146" s="38">
        <v>6.98</v>
      </c>
      <c r="J1146" s="39"/>
      <c r="K1146" s="143"/>
      <c r="L1146" s="22">
        <v>0</v>
      </c>
      <c r="M1146" s="22">
        <v>0</v>
      </c>
      <c r="N1146" s="20" t="s">
        <v>14489</v>
      </c>
      <c r="O1146" s="16" t="s">
        <v>13914</v>
      </c>
      <c r="P1146" s="143">
        <v>755</v>
      </c>
      <c r="Q1146" s="121" t="s">
        <v>14285</v>
      </c>
      <c r="R1146" s="16" t="s">
        <v>8904</v>
      </c>
      <c r="S1146" s="10" t="s">
        <v>194</v>
      </c>
      <c r="T1146" s="28" t="s">
        <v>10301</v>
      </c>
      <c r="U1146" s="20" t="s">
        <v>5359</v>
      </c>
      <c r="V1146" s="16" t="s">
        <v>8066</v>
      </c>
      <c r="W1146" s="11" t="s">
        <v>14433</v>
      </c>
      <c r="X1146" s="174">
        <v>5.47</v>
      </c>
      <c r="Y1146" s="174">
        <v>6.98</v>
      </c>
    </row>
    <row r="1147" spans="1:25" ht="15" customHeight="1" x14ac:dyDescent="0.25">
      <c r="A1147" s="20" t="s">
        <v>8068</v>
      </c>
      <c r="B1147" s="14" t="s">
        <v>8069</v>
      </c>
      <c r="C1147" s="71" t="str">
        <f t="shared" si="18"/>
        <v>Product Info</v>
      </c>
      <c r="D1147" s="37" t="s">
        <v>8699</v>
      </c>
      <c r="E1147" s="143">
        <v>250</v>
      </c>
      <c r="F1147" s="12" t="s">
        <v>4992</v>
      </c>
      <c r="G1147" s="38">
        <v>7.87</v>
      </c>
      <c r="H1147" s="38">
        <f t="shared" si="19"/>
        <v>5.51</v>
      </c>
      <c r="I1147" s="38">
        <v>5.51</v>
      </c>
      <c r="J1147" s="39"/>
      <c r="K1147" s="143"/>
      <c r="L1147" s="22">
        <v>0</v>
      </c>
      <c r="M1147" s="22">
        <v>0</v>
      </c>
      <c r="N1147" s="20" t="s">
        <v>14489</v>
      </c>
      <c r="O1147" s="16" t="s">
        <v>13914</v>
      </c>
      <c r="P1147" s="143">
        <v>755</v>
      </c>
      <c r="Q1147" s="122" t="s">
        <v>12421</v>
      </c>
      <c r="R1147" s="16" t="s">
        <v>8904</v>
      </c>
      <c r="S1147" s="10" t="s">
        <v>194</v>
      </c>
      <c r="T1147" s="28" t="s">
        <v>10302</v>
      </c>
      <c r="U1147" s="20" t="s">
        <v>5359</v>
      </c>
      <c r="V1147" s="16" t="s">
        <v>8068</v>
      </c>
      <c r="W1147" s="11" t="s">
        <v>14433</v>
      </c>
      <c r="X1147" s="174">
        <v>4.33</v>
      </c>
      <c r="Y1147" s="174">
        <v>5.51</v>
      </c>
    </row>
    <row r="1148" spans="1:25" ht="15" customHeight="1" x14ac:dyDescent="0.25">
      <c r="A1148" s="20" t="s">
        <v>7639</v>
      </c>
      <c r="B1148" s="14" t="s">
        <v>4687</v>
      </c>
      <c r="C1148" s="71" t="str">
        <f t="shared" si="18"/>
        <v>Product Info</v>
      </c>
      <c r="D1148" s="37" t="s">
        <v>8909</v>
      </c>
      <c r="E1148" s="143">
        <v>5</v>
      </c>
      <c r="F1148" s="12" t="s">
        <v>2170</v>
      </c>
      <c r="G1148" s="38">
        <v>11.61</v>
      </c>
      <c r="H1148" s="38">
        <f t="shared" si="19"/>
        <v>8.1300000000000008</v>
      </c>
      <c r="I1148" s="38">
        <v>8.1300000000000008</v>
      </c>
      <c r="J1148" s="39"/>
      <c r="K1148" s="12" t="s">
        <v>8905</v>
      </c>
      <c r="L1148" s="22">
        <v>2.0449999999999999</v>
      </c>
      <c r="M1148" s="22" t="s">
        <v>12488</v>
      </c>
      <c r="N1148" s="20" t="s">
        <v>9283</v>
      </c>
      <c r="O1148" s="16" t="s">
        <v>12608</v>
      </c>
      <c r="P1148" s="143">
        <v>755</v>
      </c>
      <c r="Q1148" s="122" t="s">
        <v>14461</v>
      </c>
      <c r="R1148" s="16" t="s">
        <v>8904</v>
      </c>
      <c r="S1148" s="10" t="s">
        <v>194</v>
      </c>
      <c r="T1148" s="28" t="s">
        <v>10303</v>
      </c>
      <c r="U1148" s="20" t="s">
        <v>5359</v>
      </c>
      <c r="V1148" s="16" t="s">
        <v>7639</v>
      </c>
      <c r="W1148" s="11" t="s">
        <v>14433</v>
      </c>
      <c r="X1148" s="174">
        <v>6.38</v>
      </c>
      <c r="Y1148" s="174">
        <v>8.1300000000000008</v>
      </c>
    </row>
    <row r="1149" spans="1:25" ht="15" customHeight="1" x14ac:dyDescent="0.25">
      <c r="A1149" s="20" t="s">
        <v>8070</v>
      </c>
      <c r="B1149" s="14" t="s">
        <v>8071</v>
      </c>
      <c r="C1149" s="71" t="str">
        <f t="shared" si="18"/>
        <v>Product Info</v>
      </c>
      <c r="D1149" s="37" t="s">
        <v>8700</v>
      </c>
      <c r="E1149" s="143">
        <v>10</v>
      </c>
      <c r="F1149" s="12" t="s">
        <v>4992</v>
      </c>
      <c r="G1149" s="38">
        <v>16.21</v>
      </c>
      <c r="H1149" s="38">
        <f t="shared" si="19"/>
        <v>11.35</v>
      </c>
      <c r="I1149" s="38">
        <v>11.35</v>
      </c>
      <c r="J1149" s="39"/>
      <c r="K1149" s="143"/>
      <c r="L1149" s="22">
        <v>0</v>
      </c>
      <c r="M1149" s="22">
        <v>0</v>
      </c>
      <c r="N1149" s="20" t="s">
        <v>14489</v>
      </c>
      <c r="O1149" s="16" t="s">
        <v>13914</v>
      </c>
      <c r="P1149" s="143">
        <v>755</v>
      </c>
      <c r="Q1149" s="121" t="s">
        <v>14285</v>
      </c>
      <c r="R1149" s="16" t="s">
        <v>8904</v>
      </c>
      <c r="S1149" s="10" t="s">
        <v>194</v>
      </c>
      <c r="T1149" s="28" t="s">
        <v>10304</v>
      </c>
      <c r="U1149" s="20" t="s">
        <v>5359</v>
      </c>
      <c r="V1149" s="16" t="s">
        <v>8070</v>
      </c>
      <c r="W1149" s="11" t="s">
        <v>14433</v>
      </c>
      <c r="X1149" s="174">
        <v>8.9</v>
      </c>
      <c r="Y1149" s="174">
        <v>11.35</v>
      </c>
    </row>
    <row r="1150" spans="1:25" ht="15" customHeight="1" x14ac:dyDescent="0.25">
      <c r="A1150" s="20" t="s">
        <v>8072</v>
      </c>
      <c r="B1150" s="14" t="s">
        <v>8073</v>
      </c>
      <c r="C1150" s="71" t="str">
        <f t="shared" si="18"/>
        <v>Product Info</v>
      </c>
      <c r="D1150" s="37" t="s">
        <v>8701</v>
      </c>
      <c r="E1150" s="143">
        <v>100</v>
      </c>
      <c r="F1150" s="12" t="s">
        <v>4992</v>
      </c>
      <c r="G1150" s="38">
        <v>12.86</v>
      </c>
      <c r="H1150" s="38">
        <f t="shared" si="19"/>
        <v>9</v>
      </c>
      <c r="I1150" s="38">
        <v>9</v>
      </c>
      <c r="J1150" s="39"/>
      <c r="K1150" s="143"/>
      <c r="L1150" s="22">
        <v>0</v>
      </c>
      <c r="M1150" s="22">
        <v>0</v>
      </c>
      <c r="N1150" s="20" t="s">
        <v>14489</v>
      </c>
      <c r="O1150" s="16" t="s">
        <v>13914</v>
      </c>
      <c r="P1150" s="143">
        <v>755</v>
      </c>
      <c r="Q1150" s="122" t="s">
        <v>12421</v>
      </c>
      <c r="R1150" s="16" t="s">
        <v>8904</v>
      </c>
      <c r="S1150" s="10" t="s">
        <v>194</v>
      </c>
      <c r="T1150" s="28" t="s">
        <v>10305</v>
      </c>
      <c r="U1150" s="20" t="s">
        <v>5359</v>
      </c>
      <c r="V1150" s="16" t="s">
        <v>8072</v>
      </c>
      <c r="W1150" s="11" t="s">
        <v>14433</v>
      </c>
      <c r="X1150" s="174">
        <v>7.06</v>
      </c>
      <c r="Y1150" s="174">
        <v>9</v>
      </c>
    </row>
    <row r="1151" spans="1:25" ht="15" customHeight="1" x14ac:dyDescent="0.25">
      <c r="A1151" s="20" t="s">
        <v>4688</v>
      </c>
      <c r="B1151" s="14" t="s">
        <v>4689</v>
      </c>
      <c r="C1151" s="71" t="str">
        <f t="shared" si="18"/>
        <v>Product Info</v>
      </c>
      <c r="D1151" s="37" t="s">
        <v>8910</v>
      </c>
      <c r="E1151" s="143">
        <v>5</v>
      </c>
      <c r="F1151" s="12" t="s">
        <v>2170</v>
      </c>
      <c r="G1151" s="38">
        <v>17.97</v>
      </c>
      <c r="H1151" s="38">
        <f t="shared" si="19"/>
        <v>12.58</v>
      </c>
      <c r="I1151" s="38">
        <v>12.58</v>
      </c>
      <c r="J1151" s="39"/>
      <c r="K1151" s="12" t="s">
        <v>8905</v>
      </c>
      <c r="L1151" s="22">
        <v>0.2</v>
      </c>
      <c r="M1151" s="22" t="s">
        <v>12488</v>
      </c>
      <c r="N1151" s="20" t="s">
        <v>8899</v>
      </c>
      <c r="O1151" s="16" t="s">
        <v>12608</v>
      </c>
      <c r="P1151" s="143">
        <v>755</v>
      </c>
      <c r="Q1151" s="122" t="s">
        <v>14461</v>
      </c>
      <c r="R1151" s="16" t="s">
        <v>8904</v>
      </c>
      <c r="S1151" s="10" t="s">
        <v>194</v>
      </c>
      <c r="T1151" s="28" t="s">
        <v>10306</v>
      </c>
      <c r="U1151" s="20" t="s">
        <v>5359</v>
      </c>
      <c r="V1151" s="16" t="s">
        <v>4688</v>
      </c>
      <c r="W1151" s="11" t="s">
        <v>14433</v>
      </c>
      <c r="X1151" s="174">
        <v>9.8699999999999992</v>
      </c>
      <c r="Y1151" s="174">
        <v>12.58</v>
      </c>
    </row>
    <row r="1152" spans="1:25" ht="15" customHeight="1" x14ac:dyDescent="0.25">
      <c r="A1152" s="20" t="s">
        <v>8074</v>
      </c>
      <c r="B1152" s="14" t="s">
        <v>8075</v>
      </c>
      <c r="C1152" s="71" t="str">
        <f t="shared" si="18"/>
        <v>Product Info</v>
      </c>
      <c r="D1152" s="37" t="s">
        <v>8702</v>
      </c>
      <c r="E1152" s="143">
        <v>10</v>
      </c>
      <c r="F1152" s="12" t="s">
        <v>4992</v>
      </c>
      <c r="G1152" s="38">
        <v>30.11</v>
      </c>
      <c r="H1152" s="38">
        <f t="shared" si="19"/>
        <v>21.08</v>
      </c>
      <c r="I1152" s="38">
        <v>21.08</v>
      </c>
      <c r="J1152" s="39"/>
      <c r="K1152" s="143"/>
      <c r="L1152" s="22">
        <v>0</v>
      </c>
      <c r="M1152" s="22">
        <v>0</v>
      </c>
      <c r="N1152" s="20" t="s">
        <v>14489</v>
      </c>
      <c r="O1152" s="16" t="s">
        <v>13914</v>
      </c>
      <c r="P1152" s="143">
        <v>755</v>
      </c>
      <c r="Q1152" s="121" t="s">
        <v>14285</v>
      </c>
      <c r="R1152" s="16" t="s">
        <v>8904</v>
      </c>
      <c r="S1152" s="10" t="s">
        <v>194</v>
      </c>
      <c r="T1152" s="28" t="s">
        <v>10307</v>
      </c>
      <c r="U1152" s="20" t="s">
        <v>5359</v>
      </c>
      <c r="V1152" s="16" t="s">
        <v>8074</v>
      </c>
      <c r="W1152" s="11" t="s">
        <v>14433</v>
      </c>
      <c r="X1152" s="174">
        <v>16.53</v>
      </c>
      <c r="Y1152" s="174">
        <v>21.08</v>
      </c>
    </row>
    <row r="1153" spans="1:25" ht="15" customHeight="1" x14ac:dyDescent="0.25">
      <c r="A1153" s="20" t="s">
        <v>4690</v>
      </c>
      <c r="B1153" s="14" t="s">
        <v>4691</v>
      </c>
      <c r="C1153" s="71" t="str">
        <f t="shared" si="18"/>
        <v>Product Info</v>
      </c>
      <c r="D1153" s="37" t="s">
        <v>8911</v>
      </c>
      <c r="E1153" s="143">
        <v>5</v>
      </c>
      <c r="F1153" s="12" t="s">
        <v>2170</v>
      </c>
      <c r="G1153" s="38">
        <v>31.5</v>
      </c>
      <c r="H1153" s="38">
        <f t="shared" si="19"/>
        <v>22.05</v>
      </c>
      <c r="I1153" s="38">
        <v>22.05</v>
      </c>
      <c r="J1153" s="39"/>
      <c r="K1153" s="12" t="s">
        <v>8905</v>
      </c>
      <c r="L1153" s="22">
        <v>0.46700000000000003</v>
      </c>
      <c r="M1153" s="22" t="s">
        <v>12488</v>
      </c>
      <c r="N1153" s="20" t="s">
        <v>9300</v>
      </c>
      <c r="O1153" s="16" t="s">
        <v>12608</v>
      </c>
      <c r="P1153" s="143">
        <v>755</v>
      </c>
      <c r="Q1153" s="122" t="s">
        <v>14461</v>
      </c>
      <c r="R1153" s="16" t="s">
        <v>8904</v>
      </c>
      <c r="S1153" s="10" t="s">
        <v>194</v>
      </c>
      <c r="T1153" s="28" t="s">
        <v>10308</v>
      </c>
      <c r="U1153" s="20" t="s">
        <v>5359</v>
      </c>
      <c r="V1153" s="16" t="s">
        <v>4690</v>
      </c>
      <c r="W1153" s="11" t="s">
        <v>14433</v>
      </c>
      <c r="X1153" s="174">
        <v>17.29</v>
      </c>
      <c r="Y1153" s="174">
        <v>22.05</v>
      </c>
    </row>
    <row r="1154" spans="1:25" ht="15" customHeight="1" x14ac:dyDescent="0.25">
      <c r="A1154" s="20" t="s">
        <v>8076</v>
      </c>
      <c r="B1154" s="14" t="s">
        <v>8077</v>
      </c>
      <c r="C1154" s="71" t="str">
        <f t="shared" si="18"/>
        <v>Product Info</v>
      </c>
      <c r="D1154" s="37" t="s">
        <v>8703</v>
      </c>
      <c r="E1154" s="143">
        <v>50</v>
      </c>
      <c r="F1154" s="12" t="s">
        <v>4992</v>
      </c>
      <c r="G1154" s="38">
        <v>20.84</v>
      </c>
      <c r="H1154" s="38">
        <f t="shared" si="19"/>
        <v>14.59</v>
      </c>
      <c r="I1154" s="38">
        <v>14.59</v>
      </c>
      <c r="J1154" s="39"/>
      <c r="K1154" s="143"/>
      <c r="L1154" s="22">
        <v>0</v>
      </c>
      <c r="M1154" s="22">
        <v>0</v>
      </c>
      <c r="N1154" s="20" t="s">
        <v>14489</v>
      </c>
      <c r="O1154" s="16" t="s">
        <v>13914</v>
      </c>
      <c r="P1154" s="143">
        <v>755</v>
      </c>
      <c r="Q1154" s="122" t="s">
        <v>12421</v>
      </c>
      <c r="R1154" s="16" t="s">
        <v>8904</v>
      </c>
      <c r="S1154" s="10" t="s">
        <v>194</v>
      </c>
      <c r="T1154" s="28" t="s">
        <v>10309</v>
      </c>
      <c r="U1154" s="20" t="s">
        <v>5359</v>
      </c>
      <c r="V1154" s="16" t="s">
        <v>8076</v>
      </c>
      <c r="W1154" s="11" t="s">
        <v>14433</v>
      </c>
      <c r="X1154" s="174">
        <v>11.45</v>
      </c>
      <c r="Y1154" s="174">
        <v>14.59</v>
      </c>
    </row>
    <row r="1155" spans="1:25" ht="15" customHeight="1" x14ac:dyDescent="0.25">
      <c r="A1155" s="20" t="s">
        <v>8078</v>
      </c>
      <c r="B1155" s="14" t="s">
        <v>8079</v>
      </c>
      <c r="C1155" s="71" t="str">
        <f t="shared" si="18"/>
        <v>Product Info</v>
      </c>
      <c r="D1155" s="37" t="s">
        <v>8704</v>
      </c>
      <c r="E1155" s="143">
        <v>10</v>
      </c>
      <c r="F1155" s="12" t="s">
        <v>4992</v>
      </c>
      <c r="G1155" s="38">
        <v>76.290000000000006</v>
      </c>
      <c r="H1155" s="38">
        <f t="shared" si="19"/>
        <v>53.4</v>
      </c>
      <c r="I1155" s="38">
        <v>53.4</v>
      </c>
      <c r="J1155" s="39"/>
      <c r="K1155" s="143"/>
      <c r="L1155" s="22">
        <v>0</v>
      </c>
      <c r="M1155" s="22">
        <v>0</v>
      </c>
      <c r="N1155" s="20" t="s">
        <v>14489</v>
      </c>
      <c r="O1155" s="16" t="s">
        <v>13914</v>
      </c>
      <c r="P1155" s="143">
        <v>755</v>
      </c>
      <c r="Q1155" s="122" t="s">
        <v>12421</v>
      </c>
      <c r="R1155" s="16" t="s">
        <v>8904</v>
      </c>
      <c r="S1155" s="10" t="s">
        <v>194</v>
      </c>
      <c r="T1155" s="28" t="s">
        <v>10310</v>
      </c>
      <c r="U1155" s="20" t="s">
        <v>5359</v>
      </c>
      <c r="V1155" s="16" t="s">
        <v>8078</v>
      </c>
      <c r="W1155" s="11" t="s">
        <v>14433</v>
      </c>
      <c r="X1155" s="174">
        <v>41.88</v>
      </c>
      <c r="Y1155" s="174">
        <v>53.4</v>
      </c>
    </row>
    <row r="1156" spans="1:25" ht="15" customHeight="1" x14ac:dyDescent="0.25">
      <c r="A1156" s="20" t="s">
        <v>8080</v>
      </c>
      <c r="B1156" s="14" t="s">
        <v>8081</v>
      </c>
      <c r="C1156" s="71" t="str">
        <f t="shared" si="18"/>
        <v>Product Info</v>
      </c>
      <c r="D1156" s="37" t="s">
        <v>8705</v>
      </c>
      <c r="E1156" s="143">
        <v>16</v>
      </c>
      <c r="F1156" s="12" t="s">
        <v>4992</v>
      </c>
      <c r="G1156" s="38">
        <v>68.260000000000005</v>
      </c>
      <c r="H1156" s="38">
        <f t="shared" si="19"/>
        <v>47.78</v>
      </c>
      <c r="I1156" s="38">
        <v>47.78</v>
      </c>
      <c r="J1156" s="39"/>
      <c r="K1156" s="143"/>
      <c r="L1156" s="22">
        <v>0</v>
      </c>
      <c r="M1156" s="22">
        <v>0</v>
      </c>
      <c r="N1156" s="20" t="s">
        <v>14489</v>
      </c>
      <c r="O1156" s="16" t="s">
        <v>13914</v>
      </c>
      <c r="P1156" s="143">
        <v>755</v>
      </c>
      <c r="Q1156" s="122" t="s">
        <v>12421</v>
      </c>
      <c r="R1156" s="16" t="s">
        <v>8904</v>
      </c>
      <c r="S1156" s="10" t="s">
        <v>194</v>
      </c>
      <c r="T1156" s="28" t="s">
        <v>10311</v>
      </c>
      <c r="U1156" s="20" t="s">
        <v>5359</v>
      </c>
      <c r="V1156" s="16" t="s">
        <v>8080</v>
      </c>
      <c r="W1156" s="11" t="s">
        <v>14433</v>
      </c>
      <c r="X1156" s="174">
        <v>37.47</v>
      </c>
      <c r="Y1156" s="174">
        <v>47.78</v>
      </c>
    </row>
    <row r="1157" spans="1:25" ht="15" customHeight="1" x14ac:dyDescent="0.25">
      <c r="A1157" s="20" t="s">
        <v>4692</v>
      </c>
      <c r="B1157" s="14" t="s">
        <v>4693</v>
      </c>
      <c r="C1157" s="71" t="str">
        <f t="shared" si="18"/>
        <v>Product Info</v>
      </c>
      <c r="D1157" s="37" t="s">
        <v>7757</v>
      </c>
      <c r="E1157" s="143">
        <v>5</v>
      </c>
      <c r="F1157" s="12" t="s">
        <v>2170</v>
      </c>
      <c r="G1157" s="38">
        <v>90.73</v>
      </c>
      <c r="H1157" s="38">
        <f t="shared" si="19"/>
        <v>63.51</v>
      </c>
      <c r="I1157" s="38">
        <v>63.51</v>
      </c>
      <c r="J1157" s="39"/>
      <c r="K1157" s="12" t="s">
        <v>8905</v>
      </c>
      <c r="L1157" s="22">
        <v>1.0900000000000001</v>
      </c>
      <c r="M1157" s="22" t="s">
        <v>12488</v>
      </c>
      <c r="N1157" s="20" t="s">
        <v>9266</v>
      </c>
      <c r="O1157" s="16" t="s">
        <v>12608</v>
      </c>
      <c r="P1157" s="143">
        <v>755</v>
      </c>
      <c r="Q1157" s="122" t="s">
        <v>14461</v>
      </c>
      <c r="R1157" s="16" t="s">
        <v>8904</v>
      </c>
      <c r="S1157" s="10" t="s">
        <v>194</v>
      </c>
      <c r="T1157" s="28" t="s">
        <v>10312</v>
      </c>
      <c r="U1157" s="20" t="s">
        <v>5359</v>
      </c>
      <c r="V1157" s="16" t="s">
        <v>4692</v>
      </c>
      <c r="W1157" s="11" t="s">
        <v>14433</v>
      </c>
      <c r="X1157" s="174">
        <v>49.81</v>
      </c>
      <c r="Y1157" s="174">
        <v>63.51</v>
      </c>
    </row>
    <row r="1158" spans="1:25" ht="15" customHeight="1" x14ac:dyDescent="0.25">
      <c r="A1158" s="20" t="s">
        <v>2296</v>
      </c>
      <c r="B1158" s="14" t="s">
        <v>2297</v>
      </c>
      <c r="C1158" s="71" t="str">
        <f t="shared" ref="C1158:C1221" si="20">HYPERLINK(T1158,U1158)</f>
        <v>Product Info</v>
      </c>
      <c r="D1158" s="37" t="s">
        <v>2316</v>
      </c>
      <c r="E1158" s="143">
        <v>1</v>
      </c>
      <c r="F1158" s="12" t="s">
        <v>4992</v>
      </c>
      <c r="G1158" s="38">
        <v>960.91</v>
      </c>
      <c r="H1158" s="38">
        <v>816.81</v>
      </c>
      <c r="I1158" s="38">
        <v>672.64</v>
      </c>
      <c r="J1158" s="39"/>
      <c r="K1158" s="143"/>
      <c r="L1158" s="22">
        <v>15.98</v>
      </c>
      <c r="M1158" s="22" t="s">
        <v>12488</v>
      </c>
      <c r="N1158" s="20" t="s">
        <v>9301</v>
      </c>
      <c r="O1158" s="16" t="s">
        <v>12608</v>
      </c>
      <c r="P1158" s="143">
        <v>749</v>
      </c>
      <c r="Q1158" s="121" t="s">
        <v>14285</v>
      </c>
      <c r="R1158" s="16" t="s">
        <v>8904</v>
      </c>
      <c r="S1158" s="10" t="s">
        <v>1163</v>
      </c>
      <c r="T1158" s="28" t="s">
        <v>10313</v>
      </c>
      <c r="U1158" s="20" t="s">
        <v>5359</v>
      </c>
      <c r="V1158" s="16" t="s">
        <v>2296</v>
      </c>
      <c r="W1158" s="11" t="s">
        <v>14433</v>
      </c>
      <c r="X1158" s="174">
        <v>623.71</v>
      </c>
      <c r="Y1158" s="174">
        <v>816.81</v>
      </c>
    </row>
    <row r="1159" spans="1:25" ht="15" customHeight="1" x14ac:dyDescent="0.25">
      <c r="A1159" s="20" t="s">
        <v>2298</v>
      </c>
      <c r="B1159" s="14" t="s">
        <v>2299</v>
      </c>
      <c r="C1159" s="71" t="str">
        <f t="shared" si="20"/>
        <v>Product Info</v>
      </c>
      <c r="D1159" s="37" t="s">
        <v>6778</v>
      </c>
      <c r="E1159" s="143">
        <v>1</v>
      </c>
      <c r="F1159" s="12" t="s">
        <v>4992</v>
      </c>
      <c r="G1159" s="38">
        <v>1136.7</v>
      </c>
      <c r="H1159" s="38">
        <v>966.23</v>
      </c>
      <c r="I1159" s="38">
        <v>795.69</v>
      </c>
      <c r="J1159" s="39"/>
      <c r="K1159" s="143"/>
      <c r="L1159" s="22">
        <v>25.68</v>
      </c>
      <c r="M1159" s="22" t="s">
        <v>12488</v>
      </c>
      <c r="N1159" s="20" t="s">
        <v>9301</v>
      </c>
      <c r="O1159" s="16" t="s">
        <v>12608</v>
      </c>
      <c r="P1159" s="143">
        <v>749</v>
      </c>
      <c r="Q1159" s="121" t="s">
        <v>14285</v>
      </c>
      <c r="R1159" s="16" t="s">
        <v>8904</v>
      </c>
      <c r="S1159" s="10" t="s">
        <v>1163</v>
      </c>
      <c r="T1159" s="28" t="s">
        <v>10314</v>
      </c>
      <c r="U1159" s="20" t="s">
        <v>5359</v>
      </c>
      <c r="V1159" s="16" t="s">
        <v>2298</v>
      </c>
      <c r="W1159" s="11" t="s">
        <v>14433</v>
      </c>
      <c r="X1159" s="174">
        <v>737.82</v>
      </c>
      <c r="Y1159" s="174">
        <v>966.23</v>
      </c>
    </row>
    <row r="1160" spans="1:25" ht="15" customHeight="1" x14ac:dyDescent="0.25">
      <c r="A1160" s="20" t="s">
        <v>12633</v>
      </c>
      <c r="B1160" s="10" t="s">
        <v>12634</v>
      </c>
      <c r="C1160" s="71" t="str">
        <f t="shared" si="20"/>
        <v>Product Info</v>
      </c>
      <c r="D1160" s="37" t="s">
        <v>12700</v>
      </c>
      <c r="E1160" s="143">
        <v>1</v>
      </c>
      <c r="F1160" s="12" t="s">
        <v>4992</v>
      </c>
      <c r="G1160" s="38">
        <v>1468.13</v>
      </c>
      <c r="H1160" s="38">
        <v>1247.95</v>
      </c>
      <c r="I1160" s="38">
        <v>1027.69</v>
      </c>
      <c r="J1160" s="39"/>
      <c r="K1160" s="143"/>
      <c r="L1160" s="22">
        <v>36.090000000000003</v>
      </c>
      <c r="M1160" s="22" t="s">
        <v>12488</v>
      </c>
      <c r="N1160" s="20" t="s">
        <v>9301</v>
      </c>
      <c r="O1160" s="16" t="s">
        <v>12608</v>
      </c>
      <c r="P1160" s="143">
        <v>749</v>
      </c>
      <c r="Q1160" s="121" t="s">
        <v>14285</v>
      </c>
      <c r="R1160" s="16" t="s">
        <v>8904</v>
      </c>
      <c r="S1160" s="10" t="s">
        <v>1163</v>
      </c>
      <c r="T1160" s="28"/>
      <c r="U1160" s="20" t="s">
        <v>5359</v>
      </c>
      <c r="V1160" s="16" t="s">
        <v>12633</v>
      </c>
      <c r="W1160" s="11" t="s">
        <v>14433</v>
      </c>
      <c r="X1160" s="174">
        <v>952.94</v>
      </c>
      <c r="Y1160" s="174">
        <v>1247.95</v>
      </c>
    </row>
    <row r="1161" spans="1:25" ht="15" customHeight="1" x14ac:dyDescent="0.25">
      <c r="A1161" s="20" t="s">
        <v>2300</v>
      </c>
      <c r="B1161" s="14" t="s">
        <v>2301</v>
      </c>
      <c r="C1161" s="71" t="str">
        <f t="shared" si="20"/>
        <v>Product Info</v>
      </c>
      <c r="D1161" s="37" t="s">
        <v>6779</v>
      </c>
      <c r="E1161" s="143">
        <v>1</v>
      </c>
      <c r="F1161" s="12" t="s">
        <v>4992</v>
      </c>
      <c r="G1161" s="38">
        <v>686.57</v>
      </c>
      <c r="H1161" s="38">
        <v>583.61</v>
      </c>
      <c r="I1161" s="38">
        <v>480.6</v>
      </c>
      <c r="J1161" s="39"/>
      <c r="K1161" s="143"/>
      <c r="L1161" s="22">
        <v>11.75</v>
      </c>
      <c r="M1161" s="22" t="s">
        <v>12488</v>
      </c>
      <c r="N1161" s="20" t="s">
        <v>9301</v>
      </c>
      <c r="O1161" s="16" t="s">
        <v>12608</v>
      </c>
      <c r="P1161" s="143">
        <v>749</v>
      </c>
      <c r="Q1161" s="121" t="s">
        <v>14285</v>
      </c>
      <c r="R1161" s="16" t="s">
        <v>8904</v>
      </c>
      <c r="S1161" s="10" t="s">
        <v>1163</v>
      </c>
      <c r="T1161" s="28" t="s">
        <v>10315</v>
      </c>
      <c r="U1161" s="20" t="s">
        <v>5359</v>
      </c>
      <c r="V1161" s="16" t="s">
        <v>2300</v>
      </c>
      <c r="W1161" s="11" t="s">
        <v>14433</v>
      </c>
      <c r="X1161" s="174">
        <v>445.65</v>
      </c>
      <c r="Y1161" s="174">
        <v>583.61</v>
      </c>
    </row>
    <row r="1162" spans="1:25" ht="15" customHeight="1" x14ac:dyDescent="0.25">
      <c r="A1162" s="20" t="s">
        <v>4696</v>
      </c>
      <c r="B1162" s="14" t="s">
        <v>287</v>
      </c>
      <c r="C1162" s="71" t="str">
        <f t="shared" si="20"/>
        <v>Product Info</v>
      </c>
      <c r="D1162" s="37" t="s">
        <v>7840</v>
      </c>
      <c r="E1162" s="143">
        <v>1</v>
      </c>
      <c r="F1162" s="12" t="s">
        <v>4992</v>
      </c>
      <c r="G1162" s="38">
        <v>1146.29</v>
      </c>
      <c r="H1162" s="38">
        <v>974.38</v>
      </c>
      <c r="I1162" s="38">
        <v>802.4</v>
      </c>
      <c r="J1162" s="39"/>
      <c r="K1162" s="143"/>
      <c r="L1162" s="22">
        <v>21.01</v>
      </c>
      <c r="M1162" s="22" t="s">
        <v>12488</v>
      </c>
      <c r="N1162" s="20" t="s">
        <v>9301</v>
      </c>
      <c r="O1162" s="16" t="s">
        <v>12608</v>
      </c>
      <c r="P1162" s="143">
        <v>749</v>
      </c>
      <c r="Q1162" s="121" t="s">
        <v>14285</v>
      </c>
      <c r="R1162" s="16" t="s">
        <v>8904</v>
      </c>
      <c r="S1162" s="10" t="s">
        <v>1163</v>
      </c>
      <c r="T1162" s="28" t="s">
        <v>10316</v>
      </c>
      <c r="U1162" s="20" t="s">
        <v>5359</v>
      </c>
      <c r="V1162" s="16" t="s">
        <v>4696</v>
      </c>
      <c r="W1162" s="11" t="s">
        <v>14433</v>
      </c>
      <c r="X1162" s="174">
        <v>744.04</v>
      </c>
      <c r="Y1162" s="174">
        <v>974.38</v>
      </c>
    </row>
    <row r="1163" spans="1:25" ht="15" customHeight="1" x14ac:dyDescent="0.25">
      <c r="A1163" s="20" t="s">
        <v>4401</v>
      </c>
      <c r="B1163" s="14" t="s">
        <v>288</v>
      </c>
      <c r="C1163" s="71" t="str">
        <f t="shared" si="20"/>
        <v>Product Info</v>
      </c>
      <c r="D1163" s="37" t="s">
        <v>7841</v>
      </c>
      <c r="E1163" s="143">
        <v>1</v>
      </c>
      <c r="F1163" s="12" t="s">
        <v>4992</v>
      </c>
      <c r="G1163" s="38">
        <v>1700.49</v>
      </c>
      <c r="H1163" s="38">
        <v>1445.46</v>
      </c>
      <c r="I1163" s="38">
        <v>1190.3399999999999</v>
      </c>
      <c r="J1163" s="39"/>
      <c r="K1163" s="143"/>
      <c r="L1163" s="22">
        <v>34.06</v>
      </c>
      <c r="M1163" s="22" t="s">
        <v>12488</v>
      </c>
      <c r="N1163" s="20" t="s">
        <v>9301</v>
      </c>
      <c r="O1163" s="16" t="s">
        <v>12608</v>
      </c>
      <c r="P1163" s="143">
        <v>749</v>
      </c>
      <c r="Q1163" s="121" t="s">
        <v>14285</v>
      </c>
      <c r="R1163" s="16" t="s">
        <v>8904</v>
      </c>
      <c r="S1163" s="10" t="s">
        <v>1163</v>
      </c>
      <c r="T1163" s="28" t="s">
        <v>10317</v>
      </c>
      <c r="U1163" s="20" t="s">
        <v>5359</v>
      </c>
      <c r="V1163" s="16" t="s">
        <v>4401</v>
      </c>
      <c r="W1163" s="11" t="s">
        <v>14433</v>
      </c>
      <c r="X1163" s="174">
        <v>1103.76</v>
      </c>
      <c r="Y1163" s="174">
        <v>1445.46</v>
      </c>
    </row>
    <row r="1164" spans="1:25" ht="15" customHeight="1" x14ac:dyDescent="0.25">
      <c r="A1164" s="20" t="s">
        <v>4402</v>
      </c>
      <c r="B1164" s="14" t="s">
        <v>289</v>
      </c>
      <c r="C1164" s="71" t="str">
        <f t="shared" si="20"/>
        <v>Product Info</v>
      </c>
      <c r="D1164" s="37" t="s">
        <v>7842</v>
      </c>
      <c r="E1164" s="143">
        <v>1</v>
      </c>
      <c r="F1164" s="12" t="s">
        <v>4992</v>
      </c>
      <c r="G1164" s="38">
        <v>2035.59</v>
      </c>
      <c r="H1164" s="38">
        <v>1730.31</v>
      </c>
      <c r="I1164" s="38">
        <v>1424.91</v>
      </c>
      <c r="J1164" s="39"/>
      <c r="K1164" s="143"/>
      <c r="L1164" s="22">
        <v>47.82</v>
      </c>
      <c r="M1164" s="22" t="s">
        <v>12488</v>
      </c>
      <c r="N1164" s="20" t="s">
        <v>9301</v>
      </c>
      <c r="O1164" s="16" t="s">
        <v>12608</v>
      </c>
      <c r="P1164" s="143">
        <v>749</v>
      </c>
      <c r="Q1164" s="121" t="s">
        <v>14285</v>
      </c>
      <c r="R1164" s="16" t="s">
        <v>8904</v>
      </c>
      <c r="S1164" s="10" t="s">
        <v>1163</v>
      </c>
      <c r="T1164" s="28" t="s">
        <v>10318</v>
      </c>
      <c r="U1164" s="20" t="s">
        <v>5359</v>
      </c>
      <c r="V1164" s="16" t="s">
        <v>4402</v>
      </c>
      <c r="W1164" s="11" t="s">
        <v>14433</v>
      </c>
      <c r="X1164" s="174">
        <v>1321.28</v>
      </c>
      <c r="Y1164" s="174">
        <v>1730.31</v>
      </c>
    </row>
    <row r="1165" spans="1:25" ht="15" customHeight="1" x14ac:dyDescent="0.25">
      <c r="A1165" s="20" t="s">
        <v>2302</v>
      </c>
      <c r="B1165" s="14" t="s">
        <v>5589</v>
      </c>
      <c r="C1165" s="71" t="str">
        <f t="shared" si="20"/>
        <v>Product Info</v>
      </c>
      <c r="D1165" s="37" t="s">
        <v>6780</v>
      </c>
      <c r="E1165" s="143">
        <v>1</v>
      </c>
      <c r="F1165" s="12" t="s">
        <v>4992</v>
      </c>
      <c r="G1165" s="38">
        <v>2093.5</v>
      </c>
      <c r="H1165" s="38">
        <v>1779.54</v>
      </c>
      <c r="I1165" s="38">
        <v>1465.45</v>
      </c>
      <c r="J1165" s="39"/>
      <c r="K1165" s="143"/>
      <c r="L1165" s="22">
        <v>49.38</v>
      </c>
      <c r="M1165" s="22" t="s">
        <v>12488</v>
      </c>
      <c r="N1165" s="20" t="s">
        <v>9302</v>
      </c>
      <c r="O1165" s="16" t="s">
        <v>12608</v>
      </c>
      <c r="P1165" s="143">
        <v>749</v>
      </c>
      <c r="Q1165" s="121" t="s">
        <v>14285</v>
      </c>
      <c r="R1165" s="16" t="s">
        <v>8904</v>
      </c>
      <c r="S1165" s="10" t="s">
        <v>1163</v>
      </c>
      <c r="T1165" s="28" t="s">
        <v>10319</v>
      </c>
      <c r="U1165" s="20" t="s">
        <v>5359</v>
      </c>
      <c r="V1165" s="16" t="s">
        <v>2302</v>
      </c>
      <c r="W1165" s="11" t="s">
        <v>14433</v>
      </c>
      <c r="X1165" s="174">
        <v>1358.87</v>
      </c>
      <c r="Y1165" s="174">
        <v>1779.54</v>
      </c>
    </row>
    <row r="1166" spans="1:25" ht="15" customHeight="1" x14ac:dyDescent="0.25">
      <c r="A1166" s="20" t="s">
        <v>7758</v>
      </c>
      <c r="B1166" s="14" t="s">
        <v>7759</v>
      </c>
      <c r="C1166" s="71" t="str">
        <f t="shared" si="20"/>
        <v>Product Info</v>
      </c>
      <c r="D1166" s="37" t="s">
        <v>7760</v>
      </c>
      <c r="E1166" s="143">
        <v>5</v>
      </c>
      <c r="F1166" s="12" t="s">
        <v>4992</v>
      </c>
      <c r="G1166" s="38">
        <v>7.19</v>
      </c>
      <c r="H1166" s="38">
        <f t="shared" ref="H1166:H1197" si="21">I1166</f>
        <v>5.03</v>
      </c>
      <c r="I1166" s="38">
        <v>5.03</v>
      </c>
      <c r="J1166" s="39">
        <v>1500</v>
      </c>
      <c r="K1166" s="12" t="s">
        <v>8905</v>
      </c>
      <c r="L1166" s="22">
        <v>0</v>
      </c>
      <c r="M1166" s="22" t="s">
        <v>12488</v>
      </c>
      <c r="N1166" s="20" t="s">
        <v>9303</v>
      </c>
      <c r="O1166" s="16" t="s">
        <v>13917</v>
      </c>
      <c r="P1166" s="143" t="s">
        <v>12556</v>
      </c>
      <c r="Q1166" s="122" t="s">
        <v>14461</v>
      </c>
      <c r="R1166" s="16" t="s">
        <v>14363</v>
      </c>
      <c r="S1166" s="10" t="s">
        <v>194</v>
      </c>
      <c r="T1166" s="28" t="s">
        <v>10320</v>
      </c>
      <c r="U1166" s="20" t="s">
        <v>5359</v>
      </c>
      <c r="V1166" s="16" t="s">
        <v>7758</v>
      </c>
      <c r="W1166" s="11" t="s">
        <v>13938</v>
      </c>
      <c r="X1166" s="174">
        <v>3.96</v>
      </c>
      <c r="Y1166" s="174">
        <v>5.03</v>
      </c>
    </row>
    <row r="1167" spans="1:25" ht="15" customHeight="1" x14ac:dyDescent="0.25">
      <c r="A1167" s="20" t="s">
        <v>7761</v>
      </c>
      <c r="B1167" s="14" t="s">
        <v>7762</v>
      </c>
      <c r="C1167" s="71" t="str">
        <f t="shared" si="20"/>
        <v>Product Info</v>
      </c>
      <c r="D1167" s="37" t="s">
        <v>7763</v>
      </c>
      <c r="E1167" s="143">
        <v>100</v>
      </c>
      <c r="F1167" s="12" t="s">
        <v>4992</v>
      </c>
      <c r="G1167" s="38">
        <v>3.09</v>
      </c>
      <c r="H1167" s="38">
        <f t="shared" si="21"/>
        <v>2.16</v>
      </c>
      <c r="I1167" s="38">
        <v>2.16</v>
      </c>
      <c r="J1167" s="39"/>
      <c r="K1167" s="12" t="s">
        <v>8905</v>
      </c>
      <c r="L1167" s="22">
        <v>6.1550000000000001E-2</v>
      </c>
      <c r="M1167" s="22" t="s">
        <v>12488</v>
      </c>
      <c r="N1167" s="20" t="s">
        <v>8773</v>
      </c>
      <c r="O1167" s="16" t="s">
        <v>13914</v>
      </c>
      <c r="P1167" s="143" t="s">
        <v>12556</v>
      </c>
      <c r="Q1167" s="122" t="s">
        <v>9227</v>
      </c>
      <c r="R1167" s="16" t="s">
        <v>14363</v>
      </c>
      <c r="S1167" s="10" t="s">
        <v>194</v>
      </c>
      <c r="T1167" s="28" t="s">
        <v>10321</v>
      </c>
      <c r="U1167" s="20" t="s">
        <v>5359</v>
      </c>
      <c r="V1167" s="16" t="s">
        <v>7761</v>
      </c>
      <c r="W1167" s="11" t="s">
        <v>13938</v>
      </c>
      <c r="X1167" s="174">
        <v>1.7</v>
      </c>
      <c r="Y1167" s="174">
        <v>2.16</v>
      </c>
    </row>
    <row r="1168" spans="1:25" ht="15" customHeight="1" x14ac:dyDescent="0.25">
      <c r="A1168" s="20" t="s">
        <v>6374</v>
      </c>
      <c r="B1168" s="14" t="s">
        <v>6375</v>
      </c>
      <c r="C1168" s="71" t="str">
        <f t="shared" si="20"/>
        <v>Product Info</v>
      </c>
      <c r="D1168" s="37" t="s">
        <v>6376</v>
      </c>
      <c r="E1168" s="143">
        <v>5</v>
      </c>
      <c r="F1168" s="12" t="s">
        <v>4992</v>
      </c>
      <c r="G1168" s="38">
        <v>8.18</v>
      </c>
      <c r="H1168" s="38">
        <f t="shared" si="21"/>
        <v>5.72</v>
      </c>
      <c r="I1168" s="38">
        <v>5.72</v>
      </c>
      <c r="J1168" s="39">
        <v>1500</v>
      </c>
      <c r="K1168" s="143" t="s">
        <v>8905</v>
      </c>
      <c r="L1168" s="22">
        <v>0</v>
      </c>
      <c r="M1168" s="22" t="s">
        <v>12488</v>
      </c>
      <c r="N1168" s="20" t="s">
        <v>9303</v>
      </c>
      <c r="O1168" s="16" t="s">
        <v>13917</v>
      </c>
      <c r="P1168" s="143" t="s">
        <v>12556</v>
      </c>
      <c r="Q1168" s="122" t="s">
        <v>14461</v>
      </c>
      <c r="R1168" s="16" t="s">
        <v>14363</v>
      </c>
      <c r="S1168" s="10" t="s">
        <v>194</v>
      </c>
      <c r="T1168" s="28" t="s">
        <v>10322</v>
      </c>
      <c r="U1168" s="20" t="s">
        <v>5359</v>
      </c>
      <c r="V1168" s="16" t="s">
        <v>6374</v>
      </c>
      <c r="W1168" s="11" t="s">
        <v>13938</v>
      </c>
      <c r="X1168" s="174">
        <v>4.5199999999999996</v>
      </c>
      <c r="Y1168" s="174">
        <v>5.72</v>
      </c>
    </row>
    <row r="1169" spans="1:25" ht="15" customHeight="1" x14ac:dyDescent="0.25">
      <c r="A1169" s="20" t="s">
        <v>6377</v>
      </c>
      <c r="B1169" s="14" t="s">
        <v>6378</v>
      </c>
      <c r="C1169" s="71" t="str">
        <f t="shared" si="20"/>
        <v>Product Info</v>
      </c>
      <c r="D1169" s="37" t="s">
        <v>6379</v>
      </c>
      <c r="E1169" s="143">
        <v>100</v>
      </c>
      <c r="F1169" s="12" t="s">
        <v>4992</v>
      </c>
      <c r="G1169" s="38">
        <v>8.0299999999999994</v>
      </c>
      <c r="H1169" s="38">
        <f t="shared" si="21"/>
        <v>5.62</v>
      </c>
      <c r="I1169" s="38">
        <v>5.62</v>
      </c>
      <c r="J1169" s="39"/>
      <c r="K1169" s="143"/>
      <c r="L1169" s="22">
        <v>0</v>
      </c>
      <c r="M1169" s="22">
        <v>0</v>
      </c>
      <c r="N1169" s="20" t="s">
        <v>14489</v>
      </c>
      <c r="O1169" s="16">
        <v>0</v>
      </c>
      <c r="P1169" s="143" t="s">
        <v>12556</v>
      </c>
      <c r="Q1169" s="121" t="s">
        <v>14285</v>
      </c>
      <c r="R1169" s="16" t="s">
        <v>14363</v>
      </c>
      <c r="S1169" s="10" t="s">
        <v>194</v>
      </c>
      <c r="T1169" s="28" t="s">
        <v>10323</v>
      </c>
      <c r="U1169" s="20" t="s">
        <v>5359</v>
      </c>
      <c r="V1169" s="16" t="s">
        <v>6377</v>
      </c>
      <c r="W1169" s="11" t="s">
        <v>13938</v>
      </c>
      <c r="X1169" s="174">
        <v>4.43</v>
      </c>
      <c r="Y1169" s="174">
        <v>5.62</v>
      </c>
    </row>
    <row r="1170" spans="1:25" ht="15" customHeight="1" x14ac:dyDescent="0.25">
      <c r="A1170" s="20" t="s">
        <v>6380</v>
      </c>
      <c r="B1170" s="14" t="s">
        <v>1135</v>
      </c>
      <c r="C1170" s="71" t="str">
        <f t="shared" si="20"/>
        <v>Product Info</v>
      </c>
      <c r="D1170" s="37" t="s">
        <v>6381</v>
      </c>
      <c r="E1170" s="143">
        <v>5</v>
      </c>
      <c r="F1170" s="12" t="s">
        <v>4992</v>
      </c>
      <c r="G1170" s="38">
        <v>6.69</v>
      </c>
      <c r="H1170" s="38">
        <f t="shared" si="21"/>
        <v>4.68</v>
      </c>
      <c r="I1170" s="38">
        <v>4.68</v>
      </c>
      <c r="J1170" s="39"/>
      <c r="K1170" s="143"/>
      <c r="L1170" s="22">
        <v>0</v>
      </c>
      <c r="M1170" s="22">
        <v>0</v>
      </c>
      <c r="N1170" s="20" t="s">
        <v>14489</v>
      </c>
      <c r="O1170" s="16" t="s">
        <v>4992</v>
      </c>
      <c r="P1170" s="143" t="s">
        <v>12556</v>
      </c>
      <c r="Q1170" s="121" t="s">
        <v>14285</v>
      </c>
      <c r="R1170" s="16" t="s">
        <v>14363</v>
      </c>
      <c r="S1170" s="10" t="s">
        <v>194</v>
      </c>
      <c r="T1170" s="28" t="s">
        <v>10324</v>
      </c>
      <c r="U1170" s="20" t="s">
        <v>5359</v>
      </c>
      <c r="V1170" s="16" t="s">
        <v>6380</v>
      </c>
      <c r="W1170" s="11" t="s">
        <v>13938</v>
      </c>
      <c r="X1170" s="174">
        <v>3.57</v>
      </c>
      <c r="Y1170" s="174">
        <v>4.68</v>
      </c>
    </row>
    <row r="1171" spans="1:25" ht="15" customHeight="1" x14ac:dyDescent="0.25">
      <c r="A1171" s="20" t="s">
        <v>6382</v>
      </c>
      <c r="B1171" s="14" t="s">
        <v>1136</v>
      </c>
      <c r="C1171" s="71" t="str">
        <f t="shared" si="20"/>
        <v>Product Info</v>
      </c>
      <c r="D1171" s="37" t="s">
        <v>6383</v>
      </c>
      <c r="E1171" s="143">
        <v>5</v>
      </c>
      <c r="F1171" s="12" t="s">
        <v>4992</v>
      </c>
      <c r="G1171" s="38">
        <v>7.82</v>
      </c>
      <c r="H1171" s="38">
        <f t="shared" si="21"/>
        <v>5.47</v>
      </c>
      <c r="I1171" s="38">
        <v>5.47</v>
      </c>
      <c r="J1171" s="39"/>
      <c r="K1171" s="143"/>
      <c r="L1171" s="22">
        <v>0</v>
      </c>
      <c r="M1171" s="22" t="s">
        <v>12488</v>
      </c>
      <c r="N1171" s="20" t="s">
        <v>14489</v>
      </c>
      <c r="O1171" s="16" t="s">
        <v>4992</v>
      </c>
      <c r="P1171" s="143" t="s">
        <v>12556</v>
      </c>
      <c r="Q1171" s="122" t="s">
        <v>9227</v>
      </c>
      <c r="R1171" s="16" t="s">
        <v>14363</v>
      </c>
      <c r="S1171" s="10" t="s">
        <v>194</v>
      </c>
      <c r="T1171" s="28" t="s">
        <v>10325</v>
      </c>
      <c r="U1171" s="20" t="s">
        <v>5359</v>
      </c>
      <c r="V1171" s="16" t="s">
        <v>6382</v>
      </c>
      <c r="W1171" s="11" t="s">
        <v>13938</v>
      </c>
      <c r="X1171" s="174">
        <v>4.17</v>
      </c>
      <c r="Y1171" s="174">
        <v>5.47</v>
      </c>
    </row>
    <row r="1172" spans="1:25" ht="15" customHeight="1" x14ac:dyDescent="0.25">
      <c r="A1172" s="20" t="s">
        <v>6384</v>
      </c>
      <c r="B1172" s="14" t="s">
        <v>6385</v>
      </c>
      <c r="C1172" s="71" t="str">
        <f t="shared" si="20"/>
        <v>Product Info</v>
      </c>
      <c r="D1172" s="37" t="s">
        <v>2343</v>
      </c>
      <c r="E1172" s="143">
        <v>10</v>
      </c>
      <c r="F1172" s="12" t="s">
        <v>4992</v>
      </c>
      <c r="G1172" s="38">
        <v>5.67</v>
      </c>
      <c r="H1172" s="38">
        <f t="shared" si="21"/>
        <v>3.97</v>
      </c>
      <c r="I1172" s="38">
        <v>3.97</v>
      </c>
      <c r="J1172" s="39"/>
      <c r="K1172" s="143"/>
      <c r="L1172" s="22">
        <v>0</v>
      </c>
      <c r="M1172" s="22">
        <v>0</v>
      </c>
      <c r="N1172" s="20" t="s">
        <v>14489</v>
      </c>
      <c r="O1172" s="16">
        <v>0</v>
      </c>
      <c r="P1172" s="143" t="s">
        <v>12556</v>
      </c>
      <c r="Q1172" s="121" t="s">
        <v>14285</v>
      </c>
      <c r="R1172" s="16" t="s">
        <v>14363</v>
      </c>
      <c r="S1172" s="10" t="s">
        <v>194</v>
      </c>
      <c r="T1172" s="28" t="s">
        <v>10326</v>
      </c>
      <c r="U1172" s="20" t="s">
        <v>5359</v>
      </c>
      <c r="V1172" s="16" t="s">
        <v>6384</v>
      </c>
      <c r="W1172" s="11" t="s">
        <v>13938</v>
      </c>
      <c r="X1172" s="174">
        <v>3.02</v>
      </c>
      <c r="Y1172" s="174">
        <v>3.97</v>
      </c>
    </row>
    <row r="1173" spans="1:25" ht="15" customHeight="1" x14ac:dyDescent="0.25">
      <c r="A1173" s="20" t="s">
        <v>7347</v>
      </c>
      <c r="B1173" s="14" t="s">
        <v>7348</v>
      </c>
      <c r="C1173" s="71" t="str">
        <f t="shared" si="20"/>
        <v>Product Info</v>
      </c>
      <c r="D1173" s="37" t="s">
        <v>4466</v>
      </c>
      <c r="E1173" s="143">
        <v>5</v>
      </c>
      <c r="F1173" s="12" t="s">
        <v>4992</v>
      </c>
      <c r="G1173" s="38">
        <v>8.58</v>
      </c>
      <c r="H1173" s="38">
        <f t="shared" si="21"/>
        <v>6.01</v>
      </c>
      <c r="I1173" s="38">
        <v>6.01</v>
      </c>
      <c r="J1173" s="39"/>
      <c r="K1173" s="143"/>
      <c r="L1173" s="22">
        <v>0</v>
      </c>
      <c r="M1173" s="22">
        <v>0</v>
      </c>
      <c r="N1173" s="20" t="s">
        <v>14489</v>
      </c>
      <c r="O1173" s="16">
        <v>0</v>
      </c>
      <c r="P1173" s="143" t="s">
        <v>12556</v>
      </c>
      <c r="Q1173" s="121" t="s">
        <v>14285</v>
      </c>
      <c r="R1173" s="16" t="s">
        <v>14363</v>
      </c>
      <c r="S1173" s="10" t="s">
        <v>194</v>
      </c>
      <c r="T1173" s="28" t="s">
        <v>10327</v>
      </c>
      <c r="U1173" s="20" t="s">
        <v>5359</v>
      </c>
      <c r="V1173" s="16" t="s">
        <v>7347</v>
      </c>
      <c r="W1173" s="11" t="s">
        <v>13938</v>
      </c>
      <c r="X1173" s="174">
        <v>4.58</v>
      </c>
      <c r="Y1173" s="174">
        <v>6.01</v>
      </c>
    </row>
    <row r="1174" spans="1:25" ht="15" customHeight="1" x14ac:dyDescent="0.25">
      <c r="A1174" s="20" t="s">
        <v>4467</v>
      </c>
      <c r="B1174" s="14" t="s">
        <v>4468</v>
      </c>
      <c r="C1174" s="71" t="str">
        <f t="shared" si="20"/>
        <v>Product Info</v>
      </c>
      <c r="D1174" s="37" t="s">
        <v>1137</v>
      </c>
      <c r="E1174" s="143">
        <v>5</v>
      </c>
      <c r="F1174" s="12" t="s">
        <v>4992</v>
      </c>
      <c r="G1174" s="38">
        <v>10.01</v>
      </c>
      <c r="H1174" s="38">
        <f t="shared" si="21"/>
        <v>7</v>
      </c>
      <c r="I1174" s="38">
        <v>7</v>
      </c>
      <c r="J1174" s="39"/>
      <c r="K1174" s="143"/>
      <c r="L1174" s="22">
        <v>0</v>
      </c>
      <c r="M1174" s="22">
        <v>0</v>
      </c>
      <c r="N1174" s="20" t="s">
        <v>14489</v>
      </c>
      <c r="O1174" s="16">
        <v>0</v>
      </c>
      <c r="P1174" s="143" t="s">
        <v>12556</v>
      </c>
      <c r="Q1174" s="122" t="s">
        <v>9227</v>
      </c>
      <c r="R1174" s="16" t="s">
        <v>14363</v>
      </c>
      <c r="S1174" s="10" t="s">
        <v>194</v>
      </c>
      <c r="T1174" s="28" t="s">
        <v>10328</v>
      </c>
      <c r="U1174" s="20" t="s">
        <v>5359</v>
      </c>
      <c r="V1174" s="16" t="s">
        <v>4467</v>
      </c>
      <c r="W1174" s="11" t="s">
        <v>13938</v>
      </c>
      <c r="X1174" s="174">
        <v>5.34</v>
      </c>
      <c r="Y1174" s="174">
        <v>7</v>
      </c>
    </row>
    <row r="1175" spans="1:25" ht="15" customHeight="1" x14ac:dyDescent="0.25">
      <c r="A1175" s="20" t="s">
        <v>4462</v>
      </c>
      <c r="B1175" s="14" t="s">
        <v>1138</v>
      </c>
      <c r="C1175" s="71" t="str">
        <f t="shared" si="20"/>
        <v>Product Info</v>
      </c>
      <c r="D1175" s="37" t="s">
        <v>4463</v>
      </c>
      <c r="E1175" s="143">
        <v>5</v>
      </c>
      <c r="F1175" s="12" t="s">
        <v>4992</v>
      </c>
      <c r="G1175" s="38">
        <v>5.55</v>
      </c>
      <c r="H1175" s="38">
        <f t="shared" si="21"/>
        <v>3.89</v>
      </c>
      <c r="I1175" s="38">
        <v>3.89</v>
      </c>
      <c r="J1175" s="39">
        <v>2000</v>
      </c>
      <c r="K1175" s="143"/>
      <c r="L1175" s="22">
        <v>0</v>
      </c>
      <c r="M1175" s="22">
        <v>0</v>
      </c>
      <c r="N1175" s="20" t="s">
        <v>9305</v>
      </c>
      <c r="O1175" s="16" t="s">
        <v>13917</v>
      </c>
      <c r="P1175" s="143" t="s">
        <v>12556</v>
      </c>
      <c r="Q1175" s="122" t="s">
        <v>14461</v>
      </c>
      <c r="R1175" s="16" t="s">
        <v>14363</v>
      </c>
      <c r="S1175" s="10" t="s">
        <v>194</v>
      </c>
      <c r="T1175" s="28" t="s">
        <v>10329</v>
      </c>
      <c r="U1175" s="20" t="s">
        <v>5359</v>
      </c>
      <c r="V1175" s="16" t="s">
        <v>4462</v>
      </c>
      <c r="W1175" s="11" t="s">
        <v>13938</v>
      </c>
      <c r="X1175" s="174">
        <v>2.96</v>
      </c>
      <c r="Y1175" s="174">
        <v>3.89</v>
      </c>
    </row>
    <row r="1176" spans="1:25" ht="15" customHeight="1" x14ac:dyDescent="0.25">
      <c r="A1176" s="20" t="s">
        <v>4464</v>
      </c>
      <c r="B1176" s="14" t="s">
        <v>1139</v>
      </c>
      <c r="C1176" s="71" t="str">
        <f t="shared" si="20"/>
        <v>Product Info</v>
      </c>
      <c r="D1176" s="37" t="s">
        <v>4465</v>
      </c>
      <c r="E1176" s="143">
        <v>5</v>
      </c>
      <c r="F1176" s="12" t="s">
        <v>4992</v>
      </c>
      <c r="G1176" s="38">
        <v>6.66</v>
      </c>
      <c r="H1176" s="38">
        <f t="shared" si="21"/>
        <v>4.66</v>
      </c>
      <c r="I1176" s="38">
        <v>4.66</v>
      </c>
      <c r="J1176" s="39">
        <v>2000</v>
      </c>
      <c r="K1176" s="143"/>
      <c r="L1176" s="22">
        <v>0</v>
      </c>
      <c r="M1176" s="22">
        <v>0</v>
      </c>
      <c r="N1176" s="20" t="s">
        <v>9305</v>
      </c>
      <c r="O1176" s="16" t="s">
        <v>13917</v>
      </c>
      <c r="P1176" s="143" t="s">
        <v>12556</v>
      </c>
      <c r="Q1176" s="122" t="s">
        <v>14461</v>
      </c>
      <c r="R1176" s="16" t="s">
        <v>14363</v>
      </c>
      <c r="S1176" s="10" t="s">
        <v>194</v>
      </c>
      <c r="T1176" s="28" t="s">
        <v>10330</v>
      </c>
      <c r="U1176" s="20" t="s">
        <v>5359</v>
      </c>
      <c r="V1176" s="16" t="s">
        <v>4464</v>
      </c>
      <c r="W1176" s="11" t="s">
        <v>13938</v>
      </c>
      <c r="X1176" s="174">
        <v>3.55</v>
      </c>
      <c r="Y1176" s="174">
        <v>4.66</v>
      </c>
    </row>
    <row r="1177" spans="1:25" ht="15" customHeight="1" x14ac:dyDescent="0.25">
      <c r="A1177" s="20" t="s">
        <v>3909</v>
      </c>
      <c r="B1177" s="14" t="s">
        <v>1140</v>
      </c>
      <c r="C1177" s="71" t="str">
        <f t="shared" si="20"/>
        <v>Product Info</v>
      </c>
      <c r="D1177" s="37" t="s">
        <v>3910</v>
      </c>
      <c r="E1177" s="143">
        <v>5</v>
      </c>
      <c r="F1177" s="12" t="s">
        <v>4992</v>
      </c>
      <c r="G1177" s="38">
        <v>7.61</v>
      </c>
      <c r="H1177" s="38">
        <f t="shared" si="21"/>
        <v>5.32</v>
      </c>
      <c r="I1177" s="38">
        <v>5.32</v>
      </c>
      <c r="J1177" s="39">
        <v>2000</v>
      </c>
      <c r="K1177" s="143"/>
      <c r="L1177" s="22">
        <v>0</v>
      </c>
      <c r="M1177" s="22">
        <v>0</v>
      </c>
      <c r="N1177" s="20" t="s">
        <v>9305</v>
      </c>
      <c r="O1177" s="16" t="s">
        <v>13917</v>
      </c>
      <c r="P1177" s="143" t="s">
        <v>12556</v>
      </c>
      <c r="Q1177" s="122" t="s">
        <v>14461</v>
      </c>
      <c r="R1177" s="16" t="s">
        <v>14363</v>
      </c>
      <c r="S1177" s="10" t="s">
        <v>194</v>
      </c>
      <c r="T1177" s="28" t="s">
        <v>10331</v>
      </c>
      <c r="U1177" s="20" t="s">
        <v>5359</v>
      </c>
      <c r="V1177" s="16" t="s">
        <v>3909</v>
      </c>
      <c r="W1177" s="11" t="s">
        <v>13938</v>
      </c>
      <c r="X1177" s="174">
        <v>4.0599999999999996</v>
      </c>
      <c r="Y1177" s="174">
        <v>5.32</v>
      </c>
    </row>
    <row r="1178" spans="1:25" ht="15" customHeight="1" x14ac:dyDescent="0.25">
      <c r="A1178" s="20" t="s">
        <v>1997</v>
      </c>
      <c r="B1178" s="14" t="s">
        <v>1998</v>
      </c>
      <c r="C1178" s="71" t="str">
        <f t="shared" si="20"/>
        <v>Product Info</v>
      </c>
      <c r="D1178" s="37" t="s">
        <v>1999</v>
      </c>
      <c r="E1178" s="143">
        <v>10</v>
      </c>
      <c r="F1178" s="12" t="s">
        <v>4992</v>
      </c>
      <c r="G1178" s="38">
        <v>12.12</v>
      </c>
      <c r="H1178" s="38">
        <f t="shared" si="21"/>
        <v>8.48</v>
      </c>
      <c r="I1178" s="38">
        <v>8.48</v>
      </c>
      <c r="J1178" s="39"/>
      <c r="K1178" s="143"/>
      <c r="L1178" s="22">
        <v>0</v>
      </c>
      <c r="M1178" s="22">
        <v>0</v>
      </c>
      <c r="N1178" s="20" t="s">
        <v>14489</v>
      </c>
      <c r="O1178" s="16" t="s">
        <v>12608</v>
      </c>
      <c r="P1178" s="143" t="s">
        <v>12556</v>
      </c>
      <c r="Q1178" s="121" t="s">
        <v>14285</v>
      </c>
      <c r="R1178" s="16" t="s">
        <v>14363</v>
      </c>
      <c r="S1178" s="10" t="s">
        <v>194</v>
      </c>
      <c r="T1178" s="28" t="s">
        <v>10332</v>
      </c>
      <c r="U1178" s="20" t="s">
        <v>5359</v>
      </c>
      <c r="V1178" s="16" t="s">
        <v>1997</v>
      </c>
      <c r="W1178" s="11" t="s">
        <v>13938</v>
      </c>
      <c r="X1178" s="174">
        <v>6.46</v>
      </c>
      <c r="Y1178" s="174">
        <v>8.48</v>
      </c>
    </row>
    <row r="1179" spans="1:25" ht="15" customHeight="1" x14ac:dyDescent="0.25">
      <c r="A1179" s="20" t="s">
        <v>4922</v>
      </c>
      <c r="B1179" s="14" t="s">
        <v>4923</v>
      </c>
      <c r="C1179" s="71" t="str">
        <f t="shared" si="20"/>
        <v>Product Info</v>
      </c>
      <c r="D1179" s="37" t="s">
        <v>4924</v>
      </c>
      <c r="E1179" s="143">
        <v>5</v>
      </c>
      <c r="F1179" s="12" t="s">
        <v>4992</v>
      </c>
      <c r="G1179" s="38">
        <v>4.43</v>
      </c>
      <c r="H1179" s="38">
        <f t="shared" si="21"/>
        <v>3.1</v>
      </c>
      <c r="I1179" s="38">
        <v>3.1</v>
      </c>
      <c r="J1179" s="39"/>
      <c r="K1179" s="143"/>
      <c r="L1179" s="22">
        <v>0</v>
      </c>
      <c r="M1179" s="22">
        <v>0</v>
      </c>
      <c r="N1179" s="20" t="s">
        <v>14489</v>
      </c>
      <c r="O1179" s="16" t="s">
        <v>12608</v>
      </c>
      <c r="P1179" s="143" t="s">
        <v>12556</v>
      </c>
      <c r="Q1179" s="121" t="s">
        <v>14285</v>
      </c>
      <c r="R1179" s="16" t="s">
        <v>14363</v>
      </c>
      <c r="S1179" s="10" t="s">
        <v>194</v>
      </c>
      <c r="T1179" s="28" t="s">
        <v>10333</v>
      </c>
      <c r="U1179" s="20" t="s">
        <v>5359</v>
      </c>
      <c r="V1179" s="16" t="s">
        <v>4922</v>
      </c>
      <c r="W1179" s="11" t="s">
        <v>13938</v>
      </c>
      <c r="X1179" s="174">
        <v>2.36</v>
      </c>
      <c r="Y1179" s="174">
        <v>3.1</v>
      </c>
    </row>
    <row r="1180" spans="1:25" ht="15" customHeight="1" x14ac:dyDescent="0.25">
      <c r="A1180" s="20" t="s">
        <v>5322</v>
      </c>
      <c r="B1180" s="14" t="s">
        <v>5323</v>
      </c>
      <c r="C1180" s="71" t="str">
        <f t="shared" si="20"/>
        <v>Product Info</v>
      </c>
      <c r="D1180" s="37" t="s">
        <v>2121</v>
      </c>
      <c r="E1180" s="143">
        <v>5</v>
      </c>
      <c r="F1180" s="12" t="s">
        <v>4992</v>
      </c>
      <c r="G1180" s="38">
        <v>5.51</v>
      </c>
      <c r="H1180" s="38">
        <f t="shared" si="21"/>
        <v>3.85</v>
      </c>
      <c r="I1180" s="38">
        <v>3.85</v>
      </c>
      <c r="J1180" s="39"/>
      <c r="K1180" s="143"/>
      <c r="L1180" s="22">
        <v>0</v>
      </c>
      <c r="M1180" s="22">
        <v>0</v>
      </c>
      <c r="N1180" s="20" t="s">
        <v>14489</v>
      </c>
      <c r="O1180" s="16" t="s">
        <v>12608</v>
      </c>
      <c r="P1180" s="143" t="s">
        <v>12556</v>
      </c>
      <c r="Q1180" s="121" t="s">
        <v>14285</v>
      </c>
      <c r="R1180" s="16" t="s">
        <v>14363</v>
      </c>
      <c r="S1180" s="10" t="s">
        <v>194</v>
      </c>
      <c r="T1180" s="28" t="s">
        <v>10334</v>
      </c>
      <c r="U1180" s="20" t="s">
        <v>5359</v>
      </c>
      <c r="V1180" s="16" t="s">
        <v>5322</v>
      </c>
      <c r="W1180" s="11" t="s">
        <v>13938</v>
      </c>
      <c r="X1180" s="174">
        <v>2.94</v>
      </c>
      <c r="Y1180" s="174">
        <v>3.85</v>
      </c>
    </row>
    <row r="1181" spans="1:25" ht="15" customHeight="1" x14ac:dyDescent="0.25">
      <c r="A1181" s="20" t="s">
        <v>2122</v>
      </c>
      <c r="B1181" s="14" t="s">
        <v>2123</v>
      </c>
      <c r="C1181" s="71" t="str">
        <f t="shared" si="20"/>
        <v>Product Info</v>
      </c>
      <c r="D1181" s="37" t="s">
        <v>2124</v>
      </c>
      <c r="E1181" s="143">
        <v>5</v>
      </c>
      <c r="F1181" s="12" t="s">
        <v>4992</v>
      </c>
      <c r="G1181" s="38">
        <v>3.38</v>
      </c>
      <c r="H1181" s="38">
        <f t="shared" si="21"/>
        <v>2.36</v>
      </c>
      <c r="I1181" s="38">
        <v>2.36</v>
      </c>
      <c r="J1181" s="39"/>
      <c r="K1181" s="143"/>
      <c r="L1181" s="22">
        <v>0</v>
      </c>
      <c r="M1181" s="22">
        <v>0</v>
      </c>
      <c r="N1181" s="20" t="s">
        <v>14489</v>
      </c>
      <c r="O1181" s="16" t="s">
        <v>12608</v>
      </c>
      <c r="P1181" s="143" t="s">
        <v>12556</v>
      </c>
      <c r="Q1181" s="121" t="s">
        <v>14285</v>
      </c>
      <c r="R1181" s="16" t="s">
        <v>14363</v>
      </c>
      <c r="S1181" s="10" t="s">
        <v>194</v>
      </c>
      <c r="T1181" s="28" t="s">
        <v>10335</v>
      </c>
      <c r="U1181" s="20" t="s">
        <v>5359</v>
      </c>
      <c r="V1181" s="16" t="s">
        <v>2122</v>
      </c>
      <c r="W1181" s="11" t="s">
        <v>13938</v>
      </c>
      <c r="X1181" s="174">
        <v>1.8</v>
      </c>
      <c r="Y1181" s="174">
        <v>2.36</v>
      </c>
    </row>
    <row r="1182" spans="1:25" ht="15" customHeight="1" x14ac:dyDescent="0.25">
      <c r="A1182" s="20" t="s">
        <v>5328</v>
      </c>
      <c r="B1182" s="14" t="s">
        <v>5329</v>
      </c>
      <c r="C1182" s="71" t="str">
        <f t="shared" si="20"/>
        <v>Product Info</v>
      </c>
      <c r="D1182" s="37" t="s">
        <v>5330</v>
      </c>
      <c r="E1182" s="143">
        <v>5</v>
      </c>
      <c r="F1182" s="12" t="s">
        <v>4992</v>
      </c>
      <c r="G1182" s="38">
        <v>3.99</v>
      </c>
      <c r="H1182" s="38">
        <f t="shared" si="21"/>
        <v>2.79</v>
      </c>
      <c r="I1182" s="38">
        <v>2.79</v>
      </c>
      <c r="J1182" s="39"/>
      <c r="K1182" s="143"/>
      <c r="L1182" s="22">
        <v>0</v>
      </c>
      <c r="M1182" s="22">
        <v>0</v>
      </c>
      <c r="N1182" s="20" t="s">
        <v>14489</v>
      </c>
      <c r="O1182" s="16" t="s">
        <v>12608</v>
      </c>
      <c r="P1182" s="143" t="s">
        <v>12556</v>
      </c>
      <c r="Q1182" s="121" t="s">
        <v>14285</v>
      </c>
      <c r="R1182" s="16" t="s">
        <v>14363</v>
      </c>
      <c r="S1182" s="10" t="s">
        <v>194</v>
      </c>
      <c r="T1182" s="28" t="s">
        <v>10336</v>
      </c>
      <c r="U1182" s="20" t="s">
        <v>5359</v>
      </c>
      <c r="V1182" s="16" t="s">
        <v>5328</v>
      </c>
      <c r="W1182" s="11" t="s">
        <v>13938</v>
      </c>
      <c r="X1182" s="174">
        <v>2.13</v>
      </c>
      <c r="Y1182" s="174">
        <v>2.79</v>
      </c>
    </row>
    <row r="1183" spans="1:25" ht="15" customHeight="1" x14ac:dyDescent="0.25">
      <c r="A1183" s="20" t="s">
        <v>5331</v>
      </c>
      <c r="B1183" s="14" t="s">
        <v>5332</v>
      </c>
      <c r="C1183" s="71" t="str">
        <f t="shared" si="20"/>
        <v>Product Info</v>
      </c>
      <c r="D1183" s="37" t="s">
        <v>5333</v>
      </c>
      <c r="E1183" s="143">
        <v>5</v>
      </c>
      <c r="F1183" s="12" t="s">
        <v>4992</v>
      </c>
      <c r="G1183" s="38">
        <v>7.71</v>
      </c>
      <c r="H1183" s="38">
        <f t="shared" si="21"/>
        <v>5.4</v>
      </c>
      <c r="I1183" s="38">
        <v>5.4</v>
      </c>
      <c r="J1183" s="39"/>
      <c r="K1183" s="12" t="s">
        <v>8905</v>
      </c>
      <c r="L1183" s="22">
        <v>0</v>
      </c>
      <c r="M1183" s="22" t="s">
        <v>12488</v>
      </c>
      <c r="N1183" s="20" t="s">
        <v>14489</v>
      </c>
      <c r="O1183" s="16" t="s">
        <v>4992</v>
      </c>
      <c r="P1183" s="143" t="s">
        <v>12556</v>
      </c>
      <c r="Q1183" s="122" t="s">
        <v>9227</v>
      </c>
      <c r="R1183" s="16" t="s">
        <v>14363</v>
      </c>
      <c r="S1183" s="10" t="s">
        <v>194</v>
      </c>
      <c r="T1183" s="28" t="s">
        <v>10337</v>
      </c>
      <c r="U1183" s="20" t="s">
        <v>5359</v>
      </c>
      <c r="V1183" s="16" t="s">
        <v>5331</v>
      </c>
      <c r="W1183" s="11" t="s">
        <v>13938</v>
      </c>
      <c r="X1183" s="174">
        <v>4.2699999999999996</v>
      </c>
      <c r="Y1183" s="174">
        <v>5.4</v>
      </c>
    </row>
    <row r="1184" spans="1:25" ht="15" customHeight="1" x14ac:dyDescent="0.25">
      <c r="A1184" s="20" t="s">
        <v>5334</v>
      </c>
      <c r="B1184" s="14" t="s">
        <v>5335</v>
      </c>
      <c r="C1184" s="71" t="str">
        <f t="shared" si="20"/>
        <v>Product Info</v>
      </c>
      <c r="D1184" s="37" t="s">
        <v>5336</v>
      </c>
      <c r="E1184" s="143">
        <v>100</v>
      </c>
      <c r="F1184" s="12" t="s">
        <v>4992</v>
      </c>
      <c r="G1184" s="38">
        <v>3.59</v>
      </c>
      <c r="H1184" s="38">
        <f t="shared" si="21"/>
        <v>2.5099999999999998</v>
      </c>
      <c r="I1184" s="38">
        <v>2.5099999999999998</v>
      </c>
      <c r="J1184" s="39"/>
      <c r="K1184" s="12" t="s">
        <v>8905</v>
      </c>
      <c r="L1184" s="22">
        <v>6.1550000000000001E-2</v>
      </c>
      <c r="M1184" s="22" t="s">
        <v>12488</v>
      </c>
      <c r="N1184" s="20" t="s">
        <v>8773</v>
      </c>
      <c r="O1184" s="16" t="s">
        <v>12608</v>
      </c>
      <c r="P1184" s="143" t="s">
        <v>12556</v>
      </c>
      <c r="Q1184" s="122" t="s">
        <v>12421</v>
      </c>
      <c r="R1184" s="16" t="s">
        <v>14363</v>
      </c>
      <c r="S1184" s="10" t="s">
        <v>194</v>
      </c>
      <c r="T1184" s="28" t="s">
        <v>10338</v>
      </c>
      <c r="U1184" s="20" t="s">
        <v>5359</v>
      </c>
      <c r="V1184" s="16" t="s">
        <v>5334</v>
      </c>
      <c r="W1184" s="11" t="s">
        <v>13938</v>
      </c>
      <c r="X1184" s="174">
        <v>1.98</v>
      </c>
      <c r="Y1184" s="174">
        <v>2.5099999999999998</v>
      </c>
    </row>
    <row r="1185" spans="1:25" ht="15" customHeight="1" x14ac:dyDescent="0.25">
      <c r="A1185" s="20" t="s">
        <v>5337</v>
      </c>
      <c r="B1185" s="14" t="s">
        <v>5338</v>
      </c>
      <c r="C1185" s="71" t="str">
        <f t="shared" si="20"/>
        <v>Product Info</v>
      </c>
      <c r="D1185" s="37" t="s">
        <v>4244</v>
      </c>
      <c r="E1185" s="143">
        <v>5</v>
      </c>
      <c r="F1185" s="12" t="s">
        <v>4992</v>
      </c>
      <c r="G1185" s="38">
        <v>2.87</v>
      </c>
      <c r="H1185" s="38">
        <f t="shared" si="21"/>
        <v>2.0099999999999998</v>
      </c>
      <c r="I1185" s="38">
        <v>2.0099999999999998</v>
      </c>
      <c r="J1185" s="39">
        <v>3000</v>
      </c>
      <c r="K1185" s="143"/>
      <c r="L1185" s="22">
        <v>0</v>
      </c>
      <c r="M1185" s="22">
        <v>0</v>
      </c>
      <c r="N1185" s="20" t="s">
        <v>9307</v>
      </c>
      <c r="O1185" s="16" t="s">
        <v>13917</v>
      </c>
      <c r="P1185" s="143" t="s">
        <v>12556</v>
      </c>
      <c r="Q1185" s="122" t="s">
        <v>14461</v>
      </c>
      <c r="R1185" s="16" t="s">
        <v>14363</v>
      </c>
      <c r="S1185" s="10" t="s">
        <v>194</v>
      </c>
      <c r="T1185" s="28" t="s">
        <v>10339</v>
      </c>
      <c r="U1185" s="20" t="s">
        <v>5359</v>
      </c>
      <c r="V1185" s="16" t="s">
        <v>5337</v>
      </c>
      <c r="W1185" s="11" t="s">
        <v>13938</v>
      </c>
      <c r="X1185" s="174">
        <v>1.53</v>
      </c>
      <c r="Y1185" s="174">
        <v>2.0099999999999998</v>
      </c>
    </row>
    <row r="1186" spans="1:25" ht="15" customHeight="1" x14ac:dyDescent="0.25">
      <c r="A1186" s="20" t="s">
        <v>5339</v>
      </c>
      <c r="B1186" s="14" t="s">
        <v>5340</v>
      </c>
      <c r="C1186" s="71" t="str">
        <f t="shared" si="20"/>
        <v>Product Info</v>
      </c>
      <c r="D1186" s="37" t="s">
        <v>4245</v>
      </c>
      <c r="E1186" s="143">
        <v>5</v>
      </c>
      <c r="F1186" s="12" t="s">
        <v>4992</v>
      </c>
      <c r="G1186" s="38">
        <v>2.79</v>
      </c>
      <c r="H1186" s="38">
        <f t="shared" si="21"/>
        <v>1.95</v>
      </c>
      <c r="I1186" s="38">
        <v>1.95</v>
      </c>
      <c r="J1186" s="39">
        <v>3000</v>
      </c>
      <c r="K1186" s="143"/>
      <c r="L1186" s="22">
        <v>0</v>
      </c>
      <c r="M1186" s="22">
        <v>0</v>
      </c>
      <c r="N1186" s="20" t="s">
        <v>9307</v>
      </c>
      <c r="O1186" s="16" t="s">
        <v>13917</v>
      </c>
      <c r="P1186" s="143" t="s">
        <v>12556</v>
      </c>
      <c r="Q1186" s="122" t="s">
        <v>14461</v>
      </c>
      <c r="R1186" s="16" t="s">
        <v>14363</v>
      </c>
      <c r="S1186" s="10" t="s">
        <v>194</v>
      </c>
      <c r="T1186" s="28" t="s">
        <v>10340</v>
      </c>
      <c r="U1186" s="20" t="s">
        <v>5359</v>
      </c>
      <c r="V1186" s="16" t="s">
        <v>5339</v>
      </c>
      <c r="W1186" s="11" t="s">
        <v>13938</v>
      </c>
      <c r="X1186" s="174">
        <v>1.49</v>
      </c>
      <c r="Y1186" s="174">
        <v>1.95</v>
      </c>
    </row>
    <row r="1187" spans="1:25" ht="15" customHeight="1" x14ac:dyDescent="0.25">
      <c r="A1187" s="20" t="s">
        <v>5341</v>
      </c>
      <c r="B1187" s="14" t="s">
        <v>5342</v>
      </c>
      <c r="C1187" s="71" t="str">
        <f t="shared" si="20"/>
        <v>Product Info</v>
      </c>
      <c r="D1187" s="37" t="s">
        <v>4246</v>
      </c>
      <c r="E1187" s="143">
        <v>5</v>
      </c>
      <c r="F1187" s="12" t="s">
        <v>4992</v>
      </c>
      <c r="G1187" s="38">
        <v>9.51</v>
      </c>
      <c r="H1187" s="38">
        <f t="shared" si="21"/>
        <v>6.66</v>
      </c>
      <c r="I1187" s="38">
        <v>6.66</v>
      </c>
      <c r="J1187" s="39">
        <v>1440</v>
      </c>
      <c r="K1187" s="143"/>
      <c r="L1187" s="22">
        <v>0</v>
      </c>
      <c r="M1187" s="22">
        <v>0</v>
      </c>
      <c r="N1187" s="20" t="s">
        <v>9308</v>
      </c>
      <c r="O1187" s="16" t="s">
        <v>13917</v>
      </c>
      <c r="P1187" s="143" t="s">
        <v>12556</v>
      </c>
      <c r="Q1187" s="122" t="s">
        <v>14461</v>
      </c>
      <c r="R1187" s="16" t="s">
        <v>14363</v>
      </c>
      <c r="S1187" s="10" t="s">
        <v>194</v>
      </c>
      <c r="T1187" s="28" t="s">
        <v>10341</v>
      </c>
      <c r="U1187" s="20" t="s">
        <v>5359</v>
      </c>
      <c r="V1187" s="16" t="s">
        <v>5341</v>
      </c>
      <c r="W1187" s="11" t="s">
        <v>13938</v>
      </c>
      <c r="X1187" s="174">
        <v>5.07</v>
      </c>
      <c r="Y1187" s="174">
        <v>6.66</v>
      </c>
    </row>
    <row r="1188" spans="1:25" ht="15" customHeight="1" x14ac:dyDescent="0.25">
      <c r="A1188" s="20" t="s">
        <v>5343</v>
      </c>
      <c r="B1188" s="14" t="s">
        <v>5344</v>
      </c>
      <c r="C1188" s="71" t="str">
        <f t="shared" si="20"/>
        <v>Product Info</v>
      </c>
      <c r="D1188" s="37" t="s">
        <v>4247</v>
      </c>
      <c r="E1188" s="143">
        <v>5</v>
      </c>
      <c r="F1188" s="12" t="s">
        <v>4992</v>
      </c>
      <c r="G1188" s="38">
        <v>2.87</v>
      </c>
      <c r="H1188" s="38">
        <f t="shared" si="21"/>
        <v>2.0099999999999998</v>
      </c>
      <c r="I1188" s="38">
        <v>2.0099999999999998</v>
      </c>
      <c r="J1188" s="39">
        <v>3000</v>
      </c>
      <c r="K1188" s="143"/>
      <c r="L1188" s="22">
        <v>0</v>
      </c>
      <c r="M1188" s="22">
        <v>0</v>
      </c>
      <c r="N1188" s="20" t="s">
        <v>9307</v>
      </c>
      <c r="O1188" s="16" t="s">
        <v>13917</v>
      </c>
      <c r="P1188" s="143" t="s">
        <v>12556</v>
      </c>
      <c r="Q1188" s="122" t="s">
        <v>14461</v>
      </c>
      <c r="R1188" s="16" t="s">
        <v>14363</v>
      </c>
      <c r="S1188" s="10" t="s">
        <v>194</v>
      </c>
      <c r="T1188" s="28" t="s">
        <v>10342</v>
      </c>
      <c r="U1188" s="20" t="s">
        <v>5359</v>
      </c>
      <c r="V1188" s="16" t="s">
        <v>5343</v>
      </c>
      <c r="W1188" s="11" t="s">
        <v>13938</v>
      </c>
      <c r="X1188" s="174">
        <v>1.53</v>
      </c>
      <c r="Y1188" s="174">
        <v>2.0099999999999998</v>
      </c>
    </row>
    <row r="1189" spans="1:25" ht="15" customHeight="1" x14ac:dyDescent="0.25">
      <c r="A1189" s="20" t="s">
        <v>2402</v>
      </c>
      <c r="B1189" s="14" t="s">
        <v>5640</v>
      </c>
      <c r="C1189" s="71" t="str">
        <f t="shared" si="20"/>
        <v>Product Info</v>
      </c>
      <c r="D1189" s="37" t="s">
        <v>4248</v>
      </c>
      <c r="E1189" s="143">
        <v>5</v>
      </c>
      <c r="F1189" s="12" t="s">
        <v>4992</v>
      </c>
      <c r="G1189" s="38">
        <v>2.79</v>
      </c>
      <c r="H1189" s="38">
        <f t="shared" si="21"/>
        <v>1.95</v>
      </c>
      <c r="I1189" s="38">
        <v>1.95</v>
      </c>
      <c r="J1189" s="39">
        <v>3000</v>
      </c>
      <c r="K1189" s="143"/>
      <c r="L1189" s="22">
        <v>0</v>
      </c>
      <c r="M1189" s="22">
        <v>0</v>
      </c>
      <c r="N1189" s="20" t="s">
        <v>9307</v>
      </c>
      <c r="O1189" s="16" t="s">
        <v>13917</v>
      </c>
      <c r="P1189" s="143" t="s">
        <v>12556</v>
      </c>
      <c r="Q1189" s="122" t="s">
        <v>14461</v>
      </c>
      <c r="R1189" s="16" t="s">
        <v>14363</v>
      </c>
      <c r="S1189" s="10" t="s">
        <v>194</v>
      </c>
      <c r="T1189" s="28" t="s">
        <v>10343</v>
      </c>
      <c r="U1189" s="20" t="s">
        <v>5359</v>
      </c>
      <c r="V1189" s="16" t="s">
        <v>2402</v>
      </c>
      <c r="W1189" s="11" t="s">
        <v>13938</v>
      </c>
      <c r="X1189" s="174">
        <v>1.49</v>
      </c>
      <c r="Y1189" s="174">
        <v>1.95</v>
      </c>
    </row>
    <row r="1190" spans="1:25" ht="15" customHeight="1" x14ac:dyDescent="0.25">
      <c r="A1190" s="20" t="s">
        <v>5641</v>
      </c>
      <c r="B1190" s="14" t="s">
        <v>2395</v>
      </c>
      <c r="C1190" s="71" t="str">
        <f t="shared" si="20"/>
        <v>Product Info</v>
      </c>
      <c r="D1190" s="37" t="s">
        <v>4249</v>
      </c>
      <c r="E1190" s="143">
        <v>5</v>
      </c>
      <c r="F1190" s="12" t="s">
        <v>4992</v>
      </c>
      <c r="G1190" s="38">
        <v>9.32</v>
      </c>
      <c r="H1190" s="38">
        <f t="shared" si="21"/>
        <v>6.52</v>
      </c>
      <c r="I1190" s="38">
        <v>6.52</v>
      </c>
      <c r="J1190" s="39">
        <v>1440</v>
      </c>
      <c r="K1190" s="143"/>
      <c r="L1190" s="22">
        <v>0</v>
      </c>
      <c r="M1190" s="22">
        <v>0</v>
      </c>
      <c r="N1190" s="20" t="s">
        <v>9308</v>
      </c>
      <c r="O1190" s="16" t="s">
        <v>13917</v>
      </c>
      <c r="P1190" s="143" t="s">
        <v>12556</v>
      </c>
      <c r="Q1190" s="122" t="s">
        <v>14461</v>
      </c>
      <c r="R1190" s="16" t="s">
        <v>14363</v>
      </c>
      <c r="S1190" s="10" t="s">
        <v>194</v>
      </c>
      <c r="T1190" s="28" t="s">
        <v>10344</v>
      </c>
      <c r="U1190" s="20" t="s">
        <v>5359</v>
      </c>
      <c r="V1190" s="16" t="s">
        <v>5641</v>
      </c>
      <c r="W1190" s="11" t="s">
        <v>13938</v>
      </c>
      <c r="X1190" s="174">
        <v>4.97</v>
      </c>
      <c r="Y1190" s="174">
        <v>6.52</v>
      </c>
    </row>
    <row r="1191" spans="1:25" ht="15" customHeight="1" x14ac:dyDescent="0.25">
      <c r="A1191" s="20" t="s">
        <v>2396</v>
      </c>
      <c r="B1191" s="14" t="s">
        <v>2397</v>
      </c>
      <c r="C1191" s="71" t="str">
        <f t="shared" si="20"/>
        <v>Product Info</v>
      </c>
      <c r="D1191" s="37" t="s">
        <v>4250</v>
      </c>
      <c r="E1191" s="143">
        <v>5</v>
      </c>
      <c r="F1191" s="12" t="s">
        <v>4992</v>
      </c>
      <c r="G1191" s="38">
        <v>2.79</v>
      </c>
      <c r="H1191" s="38">
        <f t="shared" si="21"/>
        <v>1.95</v>
      </c>
      <c r="I1191" s="38">
        <v>1.95</v>
      </c>
      <c r="J1191" s="39">
        <v>3000</v>
      </c>
      <c r="K1191" s="143"/>
      <c r="L1191" s="22">
        <v>0</v>
      </c>
      <c r="M1191" s="22">
        <v>0</v>
      </c>
      <c r="N1191" s="20" t="s">
        <v>9307</v>
      </c>
      <c r="O1191" s="16" t="s">
        <v>13917</v>
      </c>
      <c r="P1191" s="143" t="s">
        <v>12556</v>
      </c>
      <c r="Q1191" s="122" t="s">
        <v>14461</v>
      </c>
      <c r="R1191" s="16" t="s">
        <v>14363</v>
      </c>
      <c r="S1191" s="10" t="s">
        <v>194</v>
      </c>
      <c r="T1191" s="28" t="s">
        <v>10345</v>
      </c>
      <c r="U1191" s="20" t="s">
        <v>5359</v>
      </c>
      <c r="V1191" s="16" t="s">
        <v>2396</v>
      </c>
      <c r="W1191" s="11" t="s">
        <v>13938</v>
      </c>
      <c r="X1191" s="174">
        <v>1.49</v>
      </c>
      <c r="Y1191" s="174">
        <v>1.95</v>
      </c>
    </row>
    <row r="1192" spans="1:25" ht="15" customHeight="1" x14ac:dyDescent="0.25">
      <c r="A1192" s="20" t="s">
        <v>2398</v>
      </c>
      <c r="B1192" s="14" t="s">
        <v>2399</v>
      </c>
      <c r="C1192" s="71" t="str">
        <f t="shared" si="20"/>
        <v>Product Info</v>
      </c>
      <c r="D1192" s="37" t="s">
        <v>4251</v>
      </c>
      <c r="E1192" s="143">
        <v>5</v>
      </c>
      <c r="F1192" s="12" t="s">
        <v>4992</v>
      </c>
      <c r="G1192" s="38">
        <v>9.51</v>
      </c>
      <c r="H1192" s="38">
        <f t="shared" si="21"/>
        <v>6.66</v>
      </c>
      <c r="I1192" s="38">
        <v>6.66</v>
      </c>
      <c r="J1192" s="39">
        <v>1440</v>
      </c>
      <c r="K1192" s="143"/>
      <c r="L1192" s="22">
        <v>0</v>
      </c>
      <c r="M1192" s="22">
        <v>0</v>
      </c>
      <c r="N1192" s="20" t="s">
        <v>9308</v>
      </c>
      <c r="O1192" s="16" t="s">
        <v>13917</v>
      </c>
      <c r="P1192" s="143" t="s">
        <v>12556</v>
      </c>
      <c r="Q1192" s="122" t="s">
        <v>14461</v>
      </c>
      <c r="R1192" s="16" t="s">
        <v>14363</v>
      </c>
      <c r="S1192" s="10" t="s">
        <v>194</v>
      </c>
      <c r="T1192" s="28" t="s">
        <v>10346</v>
      </c>
      <c r="U1192" s="20" t="s">
        <v>5359</v>
      </c>
      <c r="V1192" s="16" t="s">
        <v>2398</v>
      </c>
      <c r="W1192" s="11" t="s">
        <v>13938</v>
      </c>
      <c r="X1192" s="174">
        <v>5.07</v>
      </c>
      <c r="Y1192" s="174">
        <v>6.66</v>
      </c>
    </row>
    <row r="1193" spans="1:25" ht="15" customHeight="1" x14ac:dyDescent="0.25">
      <c r="A1193" s="20" t="s">
        <v>2400</v>
      </c>
      <c r="B1193" s="14" t="s">
        <v>2401</v>
      </c>
      <c r="C1193" s="71" t="str">
        <f t="shared" si="20"/>
        <v>Product Info</v>
      </c>
      <c r="D1193" s="37" t="s">
        <v>4252</v>
      </c>
      <c r="E1193" s="143">
        <v>5</v>
      </c>
      <c r="F1193" s="12" t="s">
        <v>4992</v>
      </c>
      <c r="G1193" s="38">
        <v>3.26</v>
      </c>
      <c r="H1193" s="38">
        <f t="shared" si="21"/>
        <v>2.2799999999999998</v>
      </c>
      <c r="I1193" s="38">
        <v>2.2799999999999998</v>
      </c>
      <c r="J1193" s="39">
        <v>3000</v>
      </c>
      <c r="K1193" s="143"/>
      <c r="L1193" s="22">
        <v>0</v>
      </c>
      <c r="M1193" s="22">
        <v>0</v>
      </c>
      <c r="N1193" s="20" t="s">
        <v>9307</v>
      </c>
      <c r="O1193" s="16" t="s">
        <v>13917</v>
      </c>
      <c r="P1193" s="143" t="s">
        <v>12556</v>
      </c>
      <c r="Q1193" s="122" t="s">
        <v>14461</v>
      </c>
      <c r="R1193" s="16" t="s">
        <v>14363</v>
      </c>
      <c r="S1193" s="10" t="s">
        <v>194</v>
      </c>
      <c r="T1193" s="28" t="s">
        <v>10347</v>
      </c>
      <c r="U1193" s="20" t="s">
        <v>5359</v>
      </c>
      <c r="V1193" s="16" t="s">
        <v>2400</v>
      </c>
      <c r="W1193" s="11" t="s">
        <v>13938</v>
      </c>
      <c r="X1193" s="174">
        <v>1.74</v>
      </c>
      <c r="Y1193" s="174">
        <v>2.2799999999999998</v>
      </c>
    </row>
    <row r="1194" spans="1:25" ht="15" customHeight="1" x14ac:dyDescent="0.25">
      <c r="A1194" s="20" t="s">
        <v>2165</v>
      </c>
      <c r="B1194" s="14" t="s">
        <v>2166</v>
      </c>
      <c r="C1194" s="71" t="str">
        <f t="shared" si="20"/>
        <v>Product Info</v>
      </c>
      <c r="D1194" s="37" t="s">
        <v>4253</v>
      </c>
      <c r="E1194" s="143">
        <v>5</v>
      </c>
      <c r="F1194" s="12" t="s">
        <v>4992</v>
      </c>
      <c r="G1194" s="38">
        <v>2.79</v>
      </c>
      <c r="H1194" s="38">
        <f t="shared" si="21"/>
        <v>1.95</v>
      </c>
      <c r="I1194" s="38">
        <v>1.95</v>
      </c>
      <c r="J1194" s="39">
        <v>3000</v>
      </c>
      <c r="K1194" s="143"/>
      <c r="L1194" s="22">
        <v>0</v>
      </c>
      <c r="M1194" s="22">
        <v>0</v>
      </c>
      <c r="N1194" s="20" t="s">
        <v>9307</v>
      </c>
      <c r="O1194" s="16" t="s">
        <v>13917</v>
      </c>
      <c r="P1194" s="143" t="s">
        <v>12556</v>
      </c>
      <c r="Q1194" s="122" t="s">
        <v>14461</v>
      </c>
      <c r="R1194" s="16" t="s">
        <v>14363</v>
      </c>
      <c r="S1194" s="10" t="s">
        <v>194</v>
      </c>
      <c r="T1194" s="28" t="s">
        <v>10348</v>
      </c>
      <c r="U1194" s="20" t="s">
        <v>5359</v>
      </c>
      <c r="V1194" s="16" t="s">
        <v>2165</v>
      </c>
      <c r="W1194" s="11" t="s">
        <v>13938</v>
      </c>
      <c r="X1194" s="174">
        <v>1.49</v>
      </c>
      <c r="Y1194" s="174">
        <v>1.95</v>
      </c>
    </row>
    <row r="1195" spans="1:25" ht="15" customHeight="1" x14ac:dyDescent="0.25">
      <c r="A1195" s="20" t="s">
        <v>2167</v>
      </c>
      <c r="B1195" s="14" t="s">
        <v>2168</v>
      </c>
      <c r="C1195" s="71" t="str">
        <f t="shared" si="20"/>
        <v>Product Info</v>
      </c>
      <c r="D1195" s="37" t="s">
        <v>4254</v>
      </c>
      <c r="E1195" s="143">
        <v>5</v>
      </c>
      <c r="F1195" s="12" t="s">
        <v>4992</v>
      </c>
      <c r="G1195" s="38">
        <v>2.79</v>
      </c>
      <c r="H1195" s="38">
        <f t="shared" si="21"/>
        <v>1.95</v>
      </c>
      <c r="I1195" s="38">
        <v>1.95</v>
      </c>
      <c r="J1195" s="39">
        <v>3000</v>
      </c>
      <c r="K1195" s="143"/>
      <c r="L1195" s="22">
        <v>0</v>
      </c>
      <c r="M1195" s="22">
        <v>0</v>
      </c>
      <c r="N1195" s="20" t="s">
        <v>9307</v>
      </c>
      <c r="O1195" s="16" t="s">
        <v>13917</v>
      </c>
      <c r="P1195" s="143" t="s">
        <v>12556</v>
      </c>
      <c r="Q1195" s="122" t="s">
        <v>14461</v>
      </c>
      <c r="R1195" s="16" t="s">
        <v>14363</v>
      </c>
      <c r="S1195" s="10" t="s">
        <v>194</v>
      </c>
      <c r="T1195" s="28" t="s">
        <v>10349</v>
      </c>
      <c r="U1195" s="20" t="s">
        <v>5359</v>
      </c>
      <c r="V1195" s="16" t="s">
        <v>2167</v>
      </c>
      <c r="W1195" s="11" t="s">
        <v>13938</v>
      </c>
      <c r="X1195" s="174">
        <v>1.49</v>
      </c>
      <c r="Y1195" s="174">
        <v>1.95</v>
      </c>
    </row>
    <row r="1196" spans="1:25" ht="15" customHeight="1" x14ac:dyDescent="0.25">
      <c r="A1196" s="20" t="s">
        <v>2169</v>
      </c>
      <c r="B1196" s="14" t="s">
        <v>2838</v>
      </c>
      <c r="C1196" s="71" t="str">
        <f t="shared" si="20"/>
        <v>Product Info</v>
      </c>
      <c r="D1196" s="37" t="s">
        <v>4255</v>
      </c>
      <c r="E1196" s="143">
        <v>5</v>
      </c>
      <c r="F1196" s="12" t="s">
        <v>4992</v>
      </c>
      <c r="G1196" s="38">
        <v>9.32</v>
      </c>
      <c r="H1196" s="38">
        <f t="shared" si="21"/>
        <v>6.52</v>
      </c>
      <c r="I1196" s="38">
        <v>6.52</v>
      </c>
      <c r="J1196" s="39">
        <v>1440</v>
      </c>
      <c r="K1196" s="143"/>
      <c r="L1196" s="22">
        <v>0</v>
      </c>
      <c r="M1196" s="22">
        <v>0</v>
      </c>
      <c r="N1196" s="20" t="s">
        <v>9308</v>
      </c>
      <c r="O1196" s="16" t="s">
        <v>13917</v>
      </c>
      <c r="P1196" s="143" t="s">
        <v>12556</v>
      </c>
      <c r="Q1196" s="122" t="s">
        <v>14461</v>
      </c>
      <c r="R1196" s="16" t="s">
        <v>14363</v>
      </c>
      <c r="S1196" s="10" t="s">
        <v>194</v>
      </c>
      <c r="T1196" s="28" t="s">
        <v>10350</v>
      </c>
      <c r="U1196" s="20" t="s">
        <v>5359</v>
      </c>
      <c r="V1196" s="16" t="s">
        <v>2169</v>
      </c>
      <c r="W1196" s="11" t="s">
        <v>13938</v>
      </c>
      <c r="X1196" s="174">
        <v>4.97</v>
      </c>
      <c r="Y1196" s="174">
        <v>6.52</v>
      </c>
    </row>
    <row r="1197" spans="1:25" ht="15" customHeight="1" x14ac:dyDescent="0.25">
      <c r="A1197" s="20" t="s">
        <v>2839</v>
      </c>
      <c r="B1197" s="14" t="s">
        <v>2840</v>
      </c>
      <c r="C1197" s="71" t="str">
        <f t="shared" si="20"/>
        <v>Product Info</v>
      </c>
      <c r="D1197" s="37" t="s">
        <v>4256</v>
      </c>
      <c r="E1197" s="143">
        <v>5</v>
      </c>
      <c r="F1197" s="12" t="s">
        <v>4992</v>
      </c>
      <c r="G1197" s="38">
        <v>2.79</v>
      </c>
      <c r="H1197" s="38">
        <f t="shared" si="21"/>
        <v>1.95</v>
      </c>
      <c r="I1197" s="38">
        <v>1.95</v>
      </c>
      <c r="J1197" s="39">
        <v>3000</v>
      </c>
      <c r="K1197" s="143"/>
      <c r="L1197" s="22">
        <v>0</v>
      </c>
      <c r="M1197" s="22">
        <v>0</v>
      </c>
      <c r="N1197" s="20" t="s">
        <v>9307</v>
      </c>
      <c r="O1197" s="16" t="s">
        <v>13917</v>
      </c>
      <c r="P1197" s="143" t="s">
        <v>12556</v>
      </c>
      <c r="Q1197" s="122" t="s">
        <v>14461</v>
      </c>
      <c r="R1197" s="16" t="s">
        <v>14363</v>
      </c>
      <c r="S1197" s="10" t="s">
        <v>194</v>
      </c>
      <c r="T1197" s="28" t="s">
        <v>10351</v>
      </c>
      <c r="U1197" s="20" t="s">
        <v>5359</v>
      </c>
      <c r="V1197" s="16" t="s">
        <v>2839</v>
      </c>
      <c r="W1197" s="11" t="s">
        <v>13938</v>
      </c>
      <c r="X1197" s="174">
        <v>1.49</v>
      </c>
      <c r="Y1197" s="174">
        <v>1.95</v>
      </c>
    </row>
    <row r="1198" spans="1:25" ht="15" customHeight="1" x14ac:dyDescent="0.25">
      <c r="A1198" s="20" t="s">
        <v>2841</v>
      </c>
      <c r="B1198" s="14" t="s">
        <v>2842</v>
      </c>
      <c r="C1198" s="71" t="str">
        <f t="shared" si="20"/>
        <v>Product Info</v>
      </c>
      <c r="D1198" s="37" t="s">
        <v>4257</v>
      </c>
      <c r="E1198" s="143">
        <v>5</v>
      </c>
      <c r="F1198" s="12" t="s">
        <v>4992</v>
      </c>
      <c r="G1198" s="38">
        <v>2.79</v>
      </c>
      <c r="H1198" s="38">
        <f t="shared" ref="H1198:H1229" si="22">I1198</f>
        <v>1.95</v>
      </c>
      <c r="I1198" s="38">
        <v>1.95</v>
      </c>
      <c r="J1198" s="39">
        <v>3000</v>
      </c>
      <c r="K1198" s="143"/>
      <c r="L1198" s="22">
        <v>0</v>
      </c>
      <c r="M1198" s="22">
        <v>0</v>
      </c>
      <c r="N1198" s="20" t="s">
        <v>9307</v>
      </c>
      <c r="O1198" s="16" t="s">
        <v>13917</v>
      </c>
      <c r="P1198" s="143" t="s">
        <v>12556</v>
      </c>
      <c r="Q1198" s="122" t="s">
        <v>14461</v>
      </c>
      <c r="R1198" s="16" t="s">
        <v>14363</v>
      </c>
      <c r="S1198" s="10" t="s">
        <v>194</v>
      </c>
      <c r="T1198" s="28" t="s">
        <v>10352</v>
      </c>
      <c r="U1198" s="20" t="s">
        <v>5359</v>
      </c>
      <c r="V1198" s="16" t="s">
        <v>2841</v>
      </c>
      <c r="W1198" s="11" t="s">
        <v>13938</v>
      </c>
      <c r="X1198" s="174">
        <v>1.49</v>
      </c>
      <c r="Y1198" s="174">
        <v>1.95</v>
      </c>
    </row>
    <row r="1199" spans="1:25" ht="15" customHeight="1" x14ac:dyDescent="0.25">
      <c r="A1199" s="20" t="s">
        <v>1330</v>
      </c>
      <c r="B1199" s="14" t="s">
        <v>1331</v>
      </c>
      <c r="C1199" s="71" t="str">
        <f t="shared" si="20"/>
        <v>Product Info</v>
      </c>
      <c r="D1199" s="37" t="s">
        <v>4258</v>
      </c>
      <c r="E1199" s="143">
        <v>5</v>
      </c>
      <c r="F1199" s="12" t="s">
        <v>4992</v>
      </c>
      <c r="G1199" s="38">
        <v>9.32</v>
      </c>
      <c r="H1199" s="38">
        <f t="shared" si="22"/>
        <v>6.52</v>
      </c>
      <c r="I1199" s="38">
        <v>6.52</v>
      </c>
      <c r="J1199" s="39">
        <v>1440</v>
      </c>
      <c r="K1199" s="143"/>
      <c r="L1199" s="22">
        <v>0</v>
      </c>
      <c r="M1199" s="22">
        <v>0</v>
      </c>
      <c r="N1199" s="20" t="s">
        <v>9308</v>
      </c>
      <c r="O1199" s="16" t="s">
        <v>13917</v>
      </c>
      <c r="P1199" s="143" t="s">
        <v>12556</v>
      </c>
      <c r="Q1199" s="122" t="s">
        <v>14461</v>
      </c>
      <c r="R1199" s="16" t="s">
        <v>14363</v>
      </c>
      <c r="S1199" s="10" t="s">
        <v>194</v>
      </c>
      <c r="T1199" s="28" t="s">
        <v>10353</v>
      </c>
      <c r="U1199" s="20" t="s">
        <v>5359</v>
      </c>
      <c r="V1199" s="16" t="s">
        <v>1330</v>
      </c>
      <c r="W1199" s="11" t="s">
        <v>13938</v>
      </c>
      <c r="X1199" s="174">
        <v>4.97</v>
      </c>
      <c r="Y1199" s="174">
        <v>6.52</v>
      </c>
    </row>
    <row r="1200" spans="1:25" ht="15" customHeight="1" x14ac:dyDescent="0.25">
      <c r="A1200" s="20" t="s">
        <v>1332</v>
      </c>
      <c r="B1200" s="14" t="s">
        <v>1333</v>
      </c>
      <c r="C1200" s="71" t="str">
        <f t="shared" si="20"/>
        <v>Product Info</v>
      </c>
      <c r="D1200" s="37" t="s">
        <v>4259</v>
      </c>
      <c r="E1200" s="143">
        <v>5</v>
      </c>
      <c r="F1200" s="12" t="s">
        <v>4992</v>
      </c>
      <c r="G1200" s="38">
        <v>2.79</v>
      </c>
      <c r="H1200" s="38">
        <f t="shared" si="22"/>
        <v>1.95</v>
      </c>
      <c r="I1200" s="38">
        <v>1.95</v>
      </c>
      <c r="J1200" s="39">
        <v>3000</v>
      </c>
      <c r="K1200" s="143"/>
      <c r="L1200" s="22">
        <v>0</v>
      </c>
      <c r="M1200" s="22">
        <v>0</v>
      </c>
      <c r="N1200" s="20" t="s">
        <v>9307</v>
      </c>
      <c r="O1200" s="16" t="s">
        <v>13917</v>
      </c>
      <c r="P1200" s="143" t="s">
        <v>12556</v>
      </c>
      <c r="Q1200" s="122" t="s">
        <v>14461</v>
      </c>
      <c r="R1200" s="16" t="s">
        <v>14363</v>
      </c>
      <c r="S1200" s="10" t="s">
        <v>194</v>
      </c>
      <c r="T1200" s="28" t="s">
        <v>10354</v>
      </c>
      <c r="U1200" s="20" t="s">
        <v>5359</v>
      </c>
      <c r="V1200" s="16" t="s">
        <v>1332</v>
      </c>
      <c r="W1200" s="11" t="s">
        <v>13938</v>
      </c>
      <c r="X1200" s="174">
        <v>1.49</v>
      </c>
      <c r="Y1200" s="174">
        <v>1.95</v>
      </c>
    </row>
    <row r="1201" spans="1:25" ht="15" customHeight="1" x14ac:dyDescent="0.25">
      <c r="A1201" s="20" t="s">
        <v>1334</v>
      </c>
      <c r="B1201" s="14" t="s">
        <v>1335</v>
      </c>
      <c r="C1201" s="71" t="str">
        <f t="shared" si="20"/>
        <v>Product Info</v>
      </c>
      <c r="D1201" s="37" t="s">
        <v>4260</v>
      </c>
      <c r="E1201" s="143">
        <v>5</v>
      </c>
      <c r="F1201" s="12" t="s">
        <v>4992</v>
      </c>
      <c r="G1201" s="38">
        <v>9.1999999999999993</v>
      </c>
      <c r="H1201" s="38">
        <f t="shared" si="22"/>
        <v>6.44</v>
      </c>
      <c r="I1201" s="38">
        <v>6.44</v>
      </c>
      <c r="J1201" s="39">
        <v>1440</v>
      </c>
      <c r="K1201" s="143"/>
      <c r="L1201" s="22">
        <v>0</v>
      </c>
      <c r="M1201" s="22">
        <v>0</v>
      </c>
      <c r="N1201" s="20" t="s">
        <v>9308</v>
      </c>
      <c r="O1201" s="16" t="s">
        <v>13917</v>
      </c>
      <c r="P1201" s="143" t="s">
        <v>12556</v>
      </c>
      <c r="Q1201" s="122" t="s">
        <v>14461</v>
      </c>
      <c r="R1201" s="16" t="s">
        <v>14363</v>
      </c>
      <c r="S1201" s="10" t="s">
        <v>194</v>
      </c>
      <c r="T1201" s="28" t="s">
        <v>10355</v>
      </c>
      <c r="U1201" s="20" t="s">
        <v>5359</v>
      </c>
      <c r="V1201" s="16" t="s">
        <v>1334</v>
      </c>
      <c r="W1201" s="11" t="s">
        <v>13938</v>
      </c>
      <c r="X1201" s="174">
        <v>4.9000000000000004</v>
      </c>
      <c r="Y1201" s="174">
        <v>6.44</v>
      </c>
    </row>
    <row r="1202" spans="1:25" ht="15" customHeight="1" x14ac:dyDescent="0.25">
      <c r="A1202" s="20" t="s">
        <v>1336</v>
      </c>
      <c r="B1202" s="14" t="s">
        <v>1337</v>
      </c>
      <c r="C1202" s="71" t="str">
        <f t="shared" si="20"/>
        <v>Product Info</v>
      </c>
      <c r="D1202" s="37" t="s">
        <v>4261</v>
      </c>
      <c r="E1202" s="143">
        <v>5</v>
      </c>
      <c r="F1202" s="12" t="s">
        <v>4992</v>
      </c>
      <c r="G1202" s="38">
        <v>2.73</v>
      </c>
      <c r="H1202" s="38">
        <f t="shared" si="22"/>
        <v>1.91</v>
      </c>
      <c r="I1202" s="38">
        <v>1.91</v>
      </c>
      <c r="J1202" s="39">
        <v>3000</v>
      </c>
      <c r="K1202" s="143"/>
      <c r="L1202" s="22">
        <v>0</v>
      </c>
      <c r="M1202" s="22">
        <v>0</v>
      </c>
      <c r="N1202" s="20" t="s">
        <v>9307</v>
      </c>
      <c r="O1202" s="16" t="s">
        <v>13917</v>
      </c>
      <c r="P1202" s="143" t="s">
        <v>12556</v>
      </c>
      <c r="Q1202" s="122" t="s">
        <v>14461</v>
      </c>
      <c r="R1202" s="16" t="s">
        <v>14363</v>
      </c>
      <c r="S1202" s="10" t="s">
        <v>194</v>
      </c>
      <c r="T1202" s="28" t="s">
        <v>10356</v>
      </c>
      <c r="U1202" s="20" t="s">
        <v>5359</v>
      </c>
      <c r="V1202" s="16" t="s">
        <v>1336</v>
      </c>
      <c r="W1202" s="11" t="s">
        <v>13938</v>
      </c>
      <c r="X1202" s="174">
        <v>1.46</v>
      </c>
      <c r="Y1202" s="174">
        <v>1.91</v>
      </c>
    </row>
    <row r="1203" spans="1:25" ht="15" customHeight="1" x14ac:dyDescent="0.25">
      <c r="A1203" s="20" t="s">
        <v>1338</v>
      </c>
      <c r="B1203" s="14" t="s">
        <v>1339</v>
      </c>
      <c r="C1203" s="71" t="str">
        <f t="shared" si="20"/>
        <v>Product Info</v>
      </c>
      <c r="D1203" s="37" t="s">
        <v>4262</v>
      </c>
      <c r="E1203" s="143">
        <v>5</v>
      </c>
      <c r="F1203" s="12" t="s">
        <v>4992</v>
      </c>
      <c r="G1203" s="38">
        <v>8.94</v>
      </c>
      <c r="H1203" s="38">
        <f t="shared" si="22"/>
        <v>6.26</v>
      </c>
      <c r="I1203" s="38">
        <v>6.26</v>
      </c>
      <c r="J1203" s="39">
        <v>1440</v>
      </c>
      <c r="K1203" s="143"/>
      <c r="L1203" s="22">
        <v>0</v>
      </c>
      <c r="M1203" s="22">
        <v>0</v>
      </c>
      <c r="N1203" s="20" t="s">
        <v>9308</v>
      </c>
      <c r="O1203" s="16" t="s">
        <v>13917</v>
      </c>
      <c r="P1203" s="143" t="s">
        <v>12556</v>
      </c>
      <c r="Q1203" s="122" t="s">
        <v>14461</v>
      </c>
      <c r="R1203" s="16" t="s">
        <v>14363</v>
      </c>
      <c r="S1203" s="10" t="s">
        <v>194</v>
      </c>
      <c r="T1203" s="28" t="s">
        <v>10357</v>
      </c>
      <c r="U1203" s="20" t="s">
        <v>5359</v>
      </c>
      <c r="V1203" s="16" t="s">
        <v>1338</v>
      </c>
      <c r="W1203" s="11" t="s">
        <v>13938</v>
      </c>
      <c r="X1203" s="174">
        <v>4.7699999999999996</v>
      </c>
      <c r="Y1203" s="174">
        <v>6.26</v>
      </c>
    </row>
    <row r="1204" spans="1:25" ht="15" customHeight="1" x14ac:dyDescent="0.25">
      <c r="A1204" s="20" t="s">
        <v>1340</v>
      </c>
      <c r="B1204" s="14" t="s">
        <v>1341</v>
      </c>
      <c r="C1204" s="71" t="str">
        <f t="shared" si="20"/>
        <v>Product Info</v>
      </c>
      <c r="D1204" s="37" t="s">
        <v>4263</v>
      </c>
      <c r="E1204" s="143">
        <v>5</v>
      </c>
      <c r="F1204" s="12" t="s">
        <v>4992</v>
      </c>
      <c r="G1204" s="38">
        <v>2.73</v>
      </c>
      <c r="H1204" s="38">
        <f t="shared" si="22"/>
        <v>1.91</v>
      </c>
      <c r="I1204" s="38">
        <v>1.91</v>
      </c>
      <c r="J1204" s="39">
        <v>3000</v>
      </c>
      <c r="K1204" s="143"/>
      <c r="L1204" s="22">
        <v>0</v>
      </c>
      <c r="M1204" s="22">
        <v>0</v>
      </c>
      <c r="N1204" s="20" t="s">
        <v>9307</v>
      </c>
      <c r="O1204" s="16" t="s">
        <v>13917</v>
      </c>
      <c r="P1204" s="143" t="s">
        <v>12556</v>
      </c>
      <c r="Q1204" s="122" t="s">
        <v>14461</v>
      </c>
      <c r="R1204" s="16" t="s">
        <v>14363</v>
      </c>
      <c r="S1204" s="10" t="s">
        <v>194</v>
      </c>
      <c r="T1204" s="28" t="s">
        <v>10358</v>
      </c>
      <c r="U1204" s="20" t="s">
        <v>5359</v>
      </c>
      <c r="V1204" s="16" t="s">
        <v>1340</v>
      </c>
      <c r="W1204" s="11" t="s">
        <v>13938</v>
      </c>
      <c r="X1204" s="174">
        <v>1.46</v>
      </c>
      <c r="Y1204" s="174">
        <v>1.91</v>
      </c>
    </row>
    <row r="1205" spans="1:25" ht="15" customHeight="1" x14ac:dyDescent="0.25">
      <c r="A1205" s="20" t="s">
        <v>1342</v>
      </c>
      <c r="B1205" s="14" t="s">
        <v>1343</v>
      </c>
      <c r="C1205" s="71" t="str">
        <f t="shared" si="20"/>
        <v>Product Info</v>
      </c>
      <c r="D1205" s="37" t="s">
        <v>4264</v>
      </c>
      <c r="E1205" s="143">
        <v>5</v>
      </c>
      <c r="F1205" s="12" t="s">
        <v>4992</v>
      </c>
      <c r="G1205" s="38">
        <v>8.94</v>
      </c>
      <c r="H1205" s="38">
        <f t="shared" si="22"/>
        <v>6.26</v>
      </c>
      <c r="I1205" s="38">
        <v>6.26</v>
      </c>
      <c r="J1205" s="39">
        <v>1440</v>
      </c>
      <c r="K1205" s="143"/>
      <c r="L1205" s="22">
        <v>0</v>
      </c>
      <c r="M1205" s="22">
        <v>0</v>
      </c>
      <c r="N1205" s="20" t="s">
        <v>9308</v>
      </c>
      <c r="O1205" s="16" t="s">
        <v>13917</v>
      </c>
      <c r="P1205" s="143" t="s">
        <v>12556</v>
      </c>
      <c r="Q1205" s="122" t="s">
        <v>14461</v>
      </c>
      <c r="R1205" s="16" t="s">
        <v>14363</v>
      </c>
      <c r="S1205" s="10" t="s">
        <v>194</v>
      </c>
      <c r="T1205" s="28" t="s">
        <v>10359</v>
      </c>
      <c r="U1205" s="20" t="s">
        <v>5359</v>
      </c>
      <c r="V1205" s="16" t="s">
        <v>1342</v>
      </c>
      <c r="W1205" s="11" t="s">
        <v>13938</v>
      </c>
      <c r="X1205" s="174">
        <v>4.7699999999999996</v>
      </c>
      <c r="Y1205" s="174">
        <v>6.26</v>
      </c>
    </row>
    <row r="1206" spans="1:25" ht="15" customHeight="1" x14ac:dyDescent="0.25">
      <c r="A1206" s="20" t="s">
        <v>1344</v>
      </c>
      <c r="B1206" s="14" t="s">
        <v>1345</v>
      </c>
      <c r="C1206" s="71" t="str">
        <f t="shared" si="20"/>
        <v>Product Info</v>
      </c>
      <c r="D1206" s="37" t="s">
        <v>4265</v>
      </c>
      <c r="E1206" s="143">
        <v>5</v>
      </c>
      <c r="F1206" s="12" t="s">
        <v>4992</v>
      </c>
      <c r="G1206" s="38">
        <v>2.73</v>
      </c>
      <c r="H1206" s="38">
        <f t="shared" si="22"/>
        <v>1.91</v>
      </c>
      <c r="I1206" s="38">
        <v>1.91</v>
      </c>
      <c r="J1206" s="39">
        <v>3000</v>
      </c>
      <c r="K1206" s="143"/>
      <c r="L1206" s="22">
        <v>0</v>
      </c>
      <c r="M1206" s="22">
        <v>0</v>
      </c>
      <c r="N1206" s="20" t="s">
        <v>9307</v>
      </c>
      <c r="O1206" s="16" t="s">
        <v>13917</v>
      </c>
      <c r="P1206" s="143" t="s">
        <v>12556</v>
      </c>
      <c r="Q1206" s="122" t="s">
        <v>14461</v>
      </c>
      <c r="R1206" s="16" t="s">
        <v>14363</v>
      </c>
      <c r="S1206" s="10" t="s">
        <v>194</v>
      </c>
      <c r="T1206" s="28" t="s">
        <v>10360</v>
      </c>
      <c r="U1206" s="20" t="s">
        <v>5359</v>
      </c>
      <c r="V1206" s="16" t="s">
        <v>1344</v>
      </c>
      <c r="W1206" s="11" t="s">
        <v>13938</v>
      </c>
      <c r="X1206" s="174">
        <v>1.46</v>
      </c>
      <c r="Y1206" s="174">
        <v>1.91</v>
      </c>
    </row>
    <row r="1207" spans="1:25" ht="15" customHeight="1" x14ac:dyDescent="0.25">
      <c r="A1207" s="20" t="s">
        <v>1346</v>
      </c>
      <c r="B1207" s="14" t="s">
        <v>1347</v>
      </c>
      <c r="C1207" s="71" t="str">
        <f t="shared" si="20"/>
        <v>Product Info</v>
      </c>
      <c r="D1207" s="37" t="s">
        <v>4266</v>
      </c>
      <c r="E1207" s="143">
        <v>5</v>
      </c>
      <c r="F1207" s="12" t="s">
        <v>4992</v>
      </c>
      <c r="G1207" s="38">
        <v>8.94</v>
      </c>
      <c r="H1207" s="38">
        <f t="shared" si="22"/>
        <v>6.26</v>
      </c>
      <c r="I1207" s="38">
        <v>6.26</v>
      </c>
      <c r="J1207" s="39">
        <v>1440</v>
      </c>
      <c r="K1207" s="143"/>
      <c r="L1207" s="22">
        <v>0</v>
      </c>
      <c r="M1207" s="22">
        <v>0</v>
      </c>
      <c r="N1207" s="20" t="s">
        <v>9308</v>
      </c>
      <c r="O1207" s="16" t="s">
        <v>13917</v>
      </c>
      <c r="P1207" s="143" t="s">
        <v>12556</v>
      </c>
      <c r="Q1207" s="122" t="s">
        <v>14461</v>
      </c>
      <c r="R1207" s="16" t="s">
        <v>14363</v>
      </c>
      <c r="S1207" s="10" t="s">
        <v>194</v>
      </c>
      <c r="T1207" s="28" t="s">
        <v>10361</v>
      </c>
      <c r="U1207" s="20" t="s">
        <v>5359</v>
      </c>
      <c r="V1207" s="16" t="s">
        <v>1346</v>
      </c>
      <c r="W1207" s="11" t="s">
        <v>13938</v>
      </c>
      <c r="X1207" s="174">
        <v>4.7699999999999996</v>
      </c>
      <c r="Y1207" s="174">
        <v>6.26</v>
      </c>
    </row>
    <row r="1208" spans="1:25" ht="15" customHeight="1" x14ac:dyDescent="0.25">
      <c r="A1208" s="20" t="s">
        <v>1348</v>
      </c>
      <c r="B1208" s="14" t="s">
        <v>1349</v>
      </c>
      <c r="C1208" s="71" t="str">
        <f t="shared" si="20"/>
        <v>Product Info</v>
      </c>
      <c r="D1208" s="37" t="s">
        <v>4267</v>
      </c>
      <c r="E1208" s="143">
        <v>5</v>
      </c>
      <c r="F1208" s="12" t="s">
        <v>4992</v>
      </c>
      <c r="G1208" s="38">
        <v>4.1900000000000004</v>
      </c>
      <c r="H1208" s="38">
        <f t="shared" si="22"/>
        <v>2.93</v>
      </c>
      <c r="I1208" s="38">
        <v>2.93</v>
      </c>
      <c r="J1208" s="39">
        <v>3000</v>
      </c>
      <c r="K1208" s="143"/>
      <c r="L1208" s="22">
        <v>0</v>
      </c>
      <c r="M1208" s="22">
        <v>0</v>
      </c>
      <c r="N1208" s="20" t="s">
        <v>9307</v>
      </c>
      <c r="O1208" s="16" t="s">
        <v>13917</v>
      </c>
      <c r="P1208" s="143" t="s">
        <v>12556</v>
      </c>
      <c r="Q1208" s="122" t="s">
        <v>14461</v>
      </c>
      <c r="R1208" s="16" t="s">
        <v>14363</v>
      </c>
      <c r="S1208" s="10" t="s">
        <v>194</v>
      </c>
      <c r="T1208" s="28" t="s">
        <v>10362</v>
      </c>
      <c r="U1208" s="20" t="s">
        <v>5359</v>
      </c>
      <c r="V1208" s="16" t="s">
        <v>1348</v>
      </c>
      <c r="W1208" s="11" t="s">
        <v>13938</v>
      </c>
      <c r="X1208" s="174">
        <v>2.23</v>
      </c>
      <c r="Y1208" s="174">
        <v>2.93</v>
      </c>
    </row>
    <row r="1209" spans="1:25" ht="15" customHeight="1" x14ac:dyDescent="0.25">
      <c r="A1209" s="20" t="s">
        <v>1350</v>
      </c>
      <c r="B1209" s="14" t="s">
        <v>1351</v>
      </c>
      <c r="C1209" s="71" t="str">
        <f t="shared" si="20"/>
        <v>Product Info</v>
      </c>
      <c r="D1209" s="37" t="s">
        <v>4268</v>
      </c>
      <c r="E1209" s="143">
        <v>5</v>
      </c>
      <c r="F1209" s="12" t="s">
        <v>4992</v>
      </c>
      <c r="G1209" s="38">
        <v>4.0999999999999996</v>
      </c>
      <c r="H1209" s="38">
        <f t="shared" si="22"/>
        <v>2.87</v>
      </c>
      <c r="I1209" s="38">
        <v>2.87</v>
      </c>
      <c r="J1209" s="39">
        <v>3000</v>
      </c>
      <c r="K1209" s="143"/>
      <c r="L1209" s="22">
        <v>0</v>
      </c>
      <c r="M1209" s="22">
        <v>0</v>
      </c>
      <c r="N1209" s="20" t="s">
        <v>9307</v>
      </c>
      <c r="O1209" s="16" t="s">
        <v>13917</v>
      </c>
      <c r="P1209" s="143" t="s">
        <v>12556</v>
      </c>
      <c r="Q1209" s="122" t="s">
        <v>14461</v>
      </c>
      <c r="R1209" s="16" t="s">
        <v>14363</v>
      </c>
      <c r="S1209" s="10" t="s">
        <v>194</v>
      </c>
      <c r="T1209" s="28" t="s">
        <v>10363</v>
      </c>
      <c r="U1209" s="20" t="s">
        <v>5359</v>
      </c>
      <c r="V1209" s="16" t="s">
        <v>1350</v>
      </c>
      <c r="W1209" s="11" t="s">
        <v>13938</v>
      </c>
      <c r="X1209" s="174">
        <v>2.1800000000000002</v>
      </c>
      <c r="Y1209" s="174">
        <v>2.87</v>
      </c>
    </row>
    <row r="1210" spans="1:25" ht="15" customHeight="1" x14ac:dyDescent="0.25">
      <c r="A1210" s="20" t="s">
        <v>1352</v>
      </c>
      <c r="B1210" s="14" t="s">
        <v>1353</v>
      </c>
      <c r="C1210" s="71" t="str">
        <f t="shared" si="20"/>
        <v>Product Info</v>
      </c>
      <c r="D1210" s="37" t="s">
        <v>4269</v>
      </c>
      <c r="E1210" s="143">
        <v>5</v>
      </c>
      <c r="F1210" s="12" t="s">
        <v>4992</v>
      </c>
      <c r="G1210" s="38">
        <v>4.05</v>
      </c>
      <c r="H1210" s="38">
        <f t="shared" si="22"/>
        <v>2.84</v>
      </c>
      <c r="I1210" s="38">
        <v>2.84</v>
      </c>
      <c r="J1210" s="39">
        <v>3000</v>
      </c>
      <c r="K1210" s="143"/>
      <c r="L1210" s="22">
        <v>0</v>
      </c>
      <c r="M1210" s="22">
        <v>0</v>
      </c>
      <c r="N1210" s="20" t="s">
        <v>9307</v>
      </c>
      <c r="O1210" s="16" t="s">
        <v>13917</v>
      </c>
      <c r="P1210" s="143" t="s">
        <v>12556</v>
      </c>
      <c r="Q1210" s="122" t="s">
        <v>14461</v>
      </c>
      <c r="R1210" s="16" t="s">
        <v>14363</v>
      </c>
      <c r="S1210" s="10" t="s">
        <v>194</v>
      </c>
      <c r="T1210" s="28" t="s">
        <v>10364</v>
      </c>
      <c r="U1210" s="20" t="s">
        <v>5359</v>
      </c>
      <c r="V1210" s="16" t="s">
        <v>1352</v>
      </c>
      <c r="W1210" s="11" t="s">
        <v>13938</v>
      </c>
      <c r="X1210" s="174">
        <v>2.16</v>
      </c>
      <c r="Y1210" s="174">
        <v>2.84</v>
      </c>
    </row>
    <row r="1211" spans="1:25" ht="15" customHeight="1" x14ac:dyDescent="0.25">
      <c r="A1211" s="20" t="s">
        <v>1354</v>
      </c>
      <c r="B1211" s="14" t="s">
        <v>3631</v>
      </c>
      <c r="C1211" s="71" t="str">
        <f t="shared" si="20"/>
        <v>Product Info</v>
      </c>
      <c r="D1211" s="37" t="s">
        <v>4270</v>
      </c>
      <c r="E1211" s="143">
        <v>5</v>
      </c>
      <c r="F1211" s="12" t="s">
        <v>4992</v>
      </c>
      <c r="G1211" s="38">
        <v>4.05</v>
      </c>
      <c r="H1211" s="38">
        <f t="shared" si="22"/>
        <v>2.84</v>
      </c>
      <c r="I1211" s="38">
        <v>2.84</v>
      </c>
      <c r="J1211" s="39">
        <v>3000</v>
      </c>
      <c r="K1211" s="143"/>
      <c r="L1211" s="22">
        <v>0</v>
      </c>
      <c r="M1211" s="22">
        <v>0</v>
      </c>
      <c r="N1211" s="20" t="s">
        <v>9307</v>
      </c>
      <c r="O1211" s="16" t="s">
        <v>13917</v>
      </c>
      <c r="P1211" s="143" t="s">
        <v>12556</v>
      </c>
      <c r="Q1211" s="122" t="s">
        <v>14461</v>
      </c>
      <c r="R1211" s="16" t="s">
        <v>14363</v>
      </c>
      <c r="S1211" s="10" t="s">
        <v>194</v>
      </c>
      <c r="T1211" s="28" t="s">
        <v>10365</v>
      </c>
      <c r="U1211" s="20" t="s">
        <v>5359</v>
      </c>
      <c r="V1211" s="16" t="s">
        <v>1354</v>
      </c>
      <c r="W1211" s="11" t="s">
        <v>13938</v>
      </c>
      <c r="X1211" s="174">
        <v>2.16</v>
      </c>
      <c r="Y1211" s="174">
        <v>2.84</v>
      </c>
    </row>
    <row r="1212" spans="1:25" ht="15" customHeight="1" x14ac:dyDescent="0.25">
      <c r="A1212" s="20" t="s">
        <v>3632</v>
      </c>
      <c r="B1212" s="14" t="s">
        <v>3633</v>
      </c>
      <c r="C1212" s="71" t="str">
        <f t="shared" si="20"/>
        <v>Product Info</v>
      </c>
      <c r="D1212" s="37" t="s">
        <v>4271</v>
      </c>
      <c r="E1212" s="143">
        <v>5</v>
      </c>
      <c r="F1212" s="12" t="s">
        <v>4992</v>
      </c>
      <c r="G1212" s="38">
        <v>4.05</v>
      </c>
      <c r="H1212" s="38">
        <f t="shared" si="22"/>
        <v>2.84</v>
      </c>
      <c r="I1212" s="38">
        <v>2.84</v>
      </c>
      <c r="J1212" s="39">
        <v>3000</v>
      </c>
      <c r="K1212" s="143"/>
      <c r="L1212" s="22">
        <v>0</v>
      </c>
      <c r="M1212" s="22">
        <v>0</v>
      </c>
      <c r="N1212" s="20" t="s">
        <v>9307</v>
      </c>
      <c r="O1212" s="16" t="s">
        <v>13917</v>
      </c>
      <c r="P1212" s="143" t="s">
        <v>12556</v>
      </c>
      <c r="Q1212" s="122" t="s">
        <v>14461</v>
      </c>
      <c r="R1212" s="16" t="s">
        <v>14363</v>
      </c>
      <c r="S1212" s="10" t="s">
        <v>194</v>
      </c>
      <c r="T1212" s="28" t="s">
        <v>10366</v>
      </c>
      <c r="U1212" s="20" t="s">
        <v>5359</v>
      </c>
      <c r="V1212" s="16" t="s">
        <v>3632</v>
      </c>
      <c r="W1212" s="11" t="s">
        <v>13938</v>
      </c>
      <c r="X1212" s="174">
        <v>2.16</v>
      </c>
      <c r="Y1212" s="174">
        <v>2.84</v>
      </c>
    </row>
    <row r="1213" spans="1:25" ht="15" customHeight="1" x14ac:dyDescent="0.25">
      <c r="A1213" s="20" t="s">
        <v>4178</v>
      </c>
      <c r="B1213" s="14" t="s">
        <v>4179</v>
      </c>
      <c r="C1213" s="71" t="str">
        <f t="shared" si="20"/>
        <v>Product Info</v>
      </c>
      <c r="D1213" s="37" t="s">
        <v>4272</v>
      </c>
      <c r="E1213" s="143">
        <v>5</v>
      </c>
      <c r="F1213" s="12" t="s">
        <v>4992</v>
      </c>
      <c r="G1213" s="38">
        <v>4.1900000000000004</v>
      </c>
      <c r="H1213" s="38">
        <f t="shared" si="22"/>
        <v>2.93</v>
      </c>
      <c r="I1213" s="38">
        <v>2.93</v>
      </c>
      <c r="J1213" s="39">
        <v>3000</v>
      </c>
      <c r="K1213" s="143"/>
      <c r="L1213" s="22">
        <v>0</v>
      </c>
      <c r="M1213" s="22">
        <v>0</v>
      </c>
      <c r="N1213" s="20" t="s">
        <v>9307</v>
      </c>
      <c r="O1213" s="16" t="s">
        <v>13917</v>
      </c>
      <c r="P1213" s="143" t="s">
        <v>12556</v>
      </c>
      <c r="Q1213" s="122" t="s">
        <v>14461</v>
      </c>
      <c r="R1213" s="16" t="s">
        <v>14363</v>
      </c>
      <c r="S1213" s="10" t="s">
        <v>194</v>
      </c>
      <c r="T1213" s="28" t="s">
        <v>10367</v>
      </c>
      <c r="U1213" s="20" t="s">
        <v>5359</v>
      </c>
      <c r="V1213" s="16" t="s">
        <v>4178</v>
      </c>
      <c r="W1213" s="11" t="s">
        <v>13938</v>
      </c>
      <c r="X1213" s="174">
        <v>2.23</v>
      </c>
      <c r="Y1213" s="174">
        <v>2.93</v>
      </c>
    </row>
    <row r="1214" spans="1:25" ht="15" customHeight="1" x14ac:dyDescent="0.25">
      <c r="A1214" s="20" t="s">
        <v>2135</v>
      </c>
      <c r="B1214" s="14" t="s">
        <v>2136</v>
      </c>
      <c r="C1214" s="71" t="str">
        <f t="shared" si="20"/>
        <v>Product Info</v>
      </c>
      <c r="D1214" s="37" t="s">
        <v>4273</v>
      </c>
      <c r="E1214" s="143">
        <v>5</v>
      </c>
      <c r="F1214" s="12" t="s">
        <v>4992</v>
      </c>
      <c r="G1214" s="38">
        <v>4.6399999999999997</v>
      </c>
      <c r="H1214" s="38">
        <f t="shared" si="22"/>
        <v>3.24</v>
      </c>
      <c r="I1214" s="38">
        <v>3.24</v>
      </c>
      <c r="J1214" s="39"/>
      <c r="K1214" s="143"/>
      <c r="L1214" s="22">
        <v>0</v>
      </c>
      <c r="M1214" s="22">
        <v>0</v>
      </c>
      <c r="N1214" s="20" t="s">
        <v>9307</v>
      </c>
      <c r="O1214" s="16" t="s">
        <v>13917</v>
      </c>
      <c r="P1214" s="143" t="s">
        <v>12556</v>
      </c>
      <c r="Q1214" s="121" t="s">
        <v>14285</v>
      </c>
      <c r="R1214" s="16" t="s">
        <v>14363</v>
      </c>
      <c r="S1214" s="10" t="s">
        <v>194</v>
      </c>
      <c r="T1214" s="28" t="s">
        <v>10368</v>
      </c>
      <c r="U1214" s="20" t="s">
        <v>5359</v>
      </c>
      <c r="V1214" s="16" t="s">
        <v>2135</v>
      </c>
      <c r="W1214" s="11" t="s">
        <v>13938</v>
      </c>
      <c r="X1214" s="174">
        <v>2.4700000000000002</v>
      </c>
      <c r="Y1214" s="174">
        <v>3.24</v>
      </c>
    </row>
    <row r="1215" spans="1:25" ht="15" customHeight="1" x14ac:dyDescent="0.25">
      <c r="A1215" s="20" t="s">
        <v>2137</v>
      </c>
      <c r="B1215" s="14" t="s">
        <v>1083</v>
      </c>
      <c r="C1215" s="71" t="str">
        <f t="shared" si="20"/>
        <v>Product Info</v>
      </c>
      <c r="D1215" s="37" t="s">
        <v>4274</v>
      </c>
      <c r="E1215" s="143">
        <v>5</v>
      </c>
      <c r="F1215" s="12" t="s">
        <v>4992</v>
      </c>
      <c r="G1215" s="38">
        <v>4.6399999999999997</v>
      </c>
      <c r="H1215" s="38">
        <f t="shared" si="22"/>
        <v>3.24</v>
      </c>
      <c r="I1215" s="38">
        <v>3.24</v>
      </c>
      <c r="J1215" s="39"/>
      <c r="K1215" s="143"/>
      <c r="L1215" s="22">
        <v>0</v>
      </c>
      <c r="M1215" s="22">
        <v>0</v>
      </c>
      <c r="N1215" s="20" t="s">
        <v>9307</v>
      </c>
      <c r="O1215" s="16" t="s">
        <v>13917</v>
      </c>
      <c r="P1215" s="143" t="s">
        <v>12556</v>
      </c>
      <c r="Q1215" s="121" t="s">
        <v>14285</v>
      </c>
      <c r="R1215" s="16" t="s">
        <v>14363</v>
      </c>
      <c r="S1215" s="10" t="s">
        <v>194</v>
      </c>
      <c r="T1215" s="28" t="s">
        <v>10369</v>
      </c>
      <c r="U1215" s="20" t="s">
        <v>5359</v>
      </c>
      <c r="V1215" s="16" t="s">
        <v>2137</v>
      </c>
      <c r="W1215" s="11" t="s">
        <v>13938</v>
      </c>
      <c r="X1215" s="174">
        <v>2.4700000000000002</v>
      </c>
      <c r="Y1215" s="174">
        <v>3.24</v>
      </c>
    </row>
    <row r="1216" spans="1:25" ht="15" customHeight="1" x14ac:dyDescent="0.25">
      <c r="A1216" s="20" t="s">
        <v>2145</v>
      </c>
      <c r="B1216" s="14" t="s">
        <v>1141</v>
      </c>
      <c r="C1216" s="71" t="str">
        <f t="shared" si="20"/>
        <v>Product Info</v>
      </c>
      <c r="D1216" s="37" t="s">
        <v>2146</v>
      </c>
      <c r="E1216" s="143">
        <v>5</v>
      </c>
      <c r="F1216" s="12" t="s">
        <v>4992</v>
      </c>
      <c r="G1216" s="38">
        <v>6.69</v>
      </c>
      <c r="H1216" s="38">
        <f t="shared" si="22"/>
        <v>4.68</v>
      </c>
      <c r="I1216" s="38">
        <v>4.68</v>
      </c>
      <c r="J1216" s="39"/>
      <c r="K1216" s="143"/>
      <c r="L1216" s="22">
        <v>2.3E-2</v>
      </c>
      <c r="M1216" s="22" t="s">
        <v>12488</v>
      </c>
      <c r="N1216" s="20" t="s">
        <v>9309</v>
      </c>
      <c r="O1216" s="16" t="s">
        <v>12608</v>
      </c>
      <c r="P1216" s="143" t="s">
        <v>12556</v>
      </c>
      <c r="Q1216" s="121" t="s">
        <v>14285</v>
      </c>
      <c r="R1216" s="16" t="s">
        <v>14363</v>
      </c>
      <c r="S1216" s="10" t="s">
        <v>194</v>
      </c>
      <c r="T1216" s="28" t="s">
        <v>10370</v>
      </c>
      <c r="U1216" s="20" t="s">
        <v>5359</v>
      </c>
      <c r="V1216" s="16" t="s">
        <v>2145</v>
      </c>
      <c r="W1216" s="11" t="s">
        <v>13938</v>
      </c>
      <c r="X1216" s="174">
        <v>3.57</v>
      </c>
      <c r="Y1216" s="174">
        <v>4.68</v>
      </c>
    </row>
    <row r="1217" spans="1:25" ht="15" customHeight="1" x14ac:dyDescent="0.25">
      <c r="A1217" s="20" t="s">
        <v>2147</v>
      </c>
      <c r="B1217" s="14" t="s">
        <v>1142</v>
      </c>
      <c r="C1217" s="71" t="str">
        <f t="shared" si="20"/>
        <v>Product Info</v>
      </c>
      <c r="D1217" s="37" t="s">
        <v>2148</v>
      </c>
      <c r="E1217" s="143">
        <v>5</v>
      </c>
      <c r="F1217" s="12" t="s">
        <v>4992</v>
      </c>
      <c r="G1217" s="38">
        <v>10.01</v>
      </c>
      <c r="H1217" s="38">
        <f t="shared" si="22"/>
        <v>7</v>
      </c>
      <c r="I1217" s="38">
        <v>7</v>
      </c>
      <c r="J1217" s="39"/>
      <c r="K1217" s="143"/>
      <c r="L1217" s="22">
        <v>0</v>
      </c>
      <c r="M1217" s="22" t="s">
        <v>12488</v>
      </c>
      <c r="N1217" s="20" t="s">
        <v>14489</v>
      </c>
      <c r="O1217" s="16" t="s">
        <v>4992</v>
      </c>
      <c r="P1217" s="143" t="s">
        <v>12556</v>
      </c>
      <c r="Q1217" s="122" t="s">
        <v>9227</v>
      </c>
      <c r="R1217" s="16" t="s">
        <v>14363</v>
      </c>
      <c r="S1217" s="10" t="s">
        <v>194</v>
      </c>
      <c r="T1217" s="28" t="s">
        <v>10371</v>
      </c>
      <c r="U1217" s="20" t="s">
        <v>5359</v>
      </c>
      <c r="V1217" s="16" t="s">
        <v>2147</v>
      </c>
      <c r="W1217" s="11" t="s">
        <v>13938</v>
      </c>
      <c r="X1217" s="174">
        <v>5.34</v>
      </c>
      <c r="Y1217" s="174">
        <v>7</v>
      </c>
    </row>
    <row r="1218" spans="1:25" ht="15" customHeight="1" x14ac:dyDescent="0.25">
      <c r="A1218" s="20" t="s">
        <v>2149</v>
      </c>
      <c r="B1218" s="14" t="s">
        <v>2150</v>
      </c>
      <c r="C1218" s="71" t="str">
        <f t="shared" si="20"/>
        <v>Product Info</v>
      </c>
      <c r="D1218" s="37" t="s">
        <v>2151</v>
      </c>
      <c r="E1218" s="143">
        <v>5</v>
      </c>
      <c r="F1218" s="12" t="s">
        <v>4992</v>
      </c>
      <c r="G1218" s="38">
        <v>10.47</v>
      </c>
      <c r="H1218" s="38">
        <f t="shared" si="22"/>
        <v>7.33</v>
      </c>
      <c r="I1218" s="38">
        <v>7.33</v>
      </c>
      <c r="J1218" s="39"/>
      <c r="K1218" s="143"/>
      <c r="L1218" s="22">
        <v>4.3E-3</v>
      </c>
      <c r="M1218" s="22" t="s">
        <v>12488</v>
      </c>
      <c r="N1218" s="20" t="s">
        <v>8884</v>
      </c>
      <c r="O1218" s="16" t="s">
        <v>12608</v>
      </c>
      <c r="P1218" s="143" t="s">
        <v>12556</v>
      </c>
      <c r="Q1218" s="121" t="s">
        <v>14285</v>
      </c>
      <c r="R1218" s="16" t="s">
        <v>14363</v>
      </c>
      <c r="S1218" s="10" t="s">
        <v>194</v>
      </c>
      <c r="T1218" s="28" t="s">
        <v>10372</v>
      </c>
      <c r="U1218" s="20" t="s">
        <v>5359</v>
      </c>
      <c r="V1218" s="16" t="s">
        <v>2149</v>
      </c>
      <c r="W1218" s="11" t="s">
        <v>13938</v>
      </c>
      <c r="X1218" s="174">
        <v>5.58</v>
      </c>
      <c r="Y1218" s="174">
        <v>7.33</v>
      </c>
    </row>
    <row r="1219" spans="1:25" ht="15" customHeight="1" x14ac:dyDescent="0.25">
      <c r="A1219" s="20" t="s">
        <v>2371</v>
      </c>
      <c r="B1219" s="14" t="s">
        <v>12459</v>
      </c>
      <c r="C1219" s="71" t="str">
        <f t="shared" si="20"/>
        <v>Product Info</v>
      </c>
      <c r="D1219" s="37" t="s">
        <v>2372</v>
      </c>
      <c r="E1219" s="143">
        <v>5</v>
      </c>
      <c r="F1219" s="12" t="s">
        <v>4992</v>
      </c>
      <c r="G1219" s="38">
        <v>13.85</v>
      </c>
      <c r="H1219" s="38">
        <f t="shared" si="22"/>
        <v>9.69</v>
      </c>
      <c r="I1219" s="38">
        <v>9.69</v>
      </c>
      <c r="J1219" s="39"/>
      <c r="K1219" s="143"/>
      <c r="L1219" s="22">
        <v>4.3E-3</v>
      </c>
      <c r="M1219" s="22" t="s">
        <v>12488</v>
      </c>
      <c r="N1219" s="20" t="s">
        <v>8884</v>
      </c>
      <c r="O1219" s="16" t="s">
        <v>12608</v>
      </c>
      <c r="P1219" s="143" t="s">
        <v>12556</v>
      </c>
      <c r="Q1219" s="121" t="s">
        <v>14285</v>
      </c>
      <c r="R1219" s="16" t="s">
        <v>14363</v>
      </c>
      <c r="S1219" s="10" t="s">
        <v>194</v>
      </c>
      <c r="T1219" s="28" t="s">
        <v>10373</v>
      </c>
      <c r="U1219" s="20" t="s">
        <v>5359</v>
      </c>
      <c r="V1219" s="16" t="s">
        <v>2371</v>
      </c>
      <c r="W1219" s="11" t="s">
        <v>13938</v>
      </c>
      <c r="X1219" s="174">
        <v>7.38</v>
      </c>
      <c r="Y1219" s="174">
        <v>9.69</v>
      </c>
    </row>
    <row r="1220" spans="1:25" ht="15" customHeight="1" x14ac:dyDescent="0.25">
      <c r="A1220" s="20" t="s">
        <v>7922</v>
      </c>
      <c r="B1220" s="14" t="s">
        <v>7923</v>
      </c>
      <c r="C1220" s="71" t="str">
        <f t="shared" si="20"/>
        <v>Product Info</v>
      </c>
      <c r="D1220" s="37" t="s">
        <v>4275</v>
      </c>
      <c r="E1220" s="143">
        <v>5</v>
      </c>
      <c r="F1220" s="12" t="s">
        <v>4992</v>
      </c>
      <c r="G1220" s="38">
        <v>4.71</v>
      </c>
      <c r="H1220" s="38">
        <f t="shared" si="22"/>
        <v>3.3</v>
      </c>
      <c r="I1220" s="38">
        <v>3.3</v>
      </c>
      <c r="J1220" s="39"/>
      <c r="K1220" s="143"/>
      <c r="L1220" s="22">
        <v>0</v>
      </c>
      <c r="M1220" s="22">
        <v>0</v>
      </c>
      <c r="N1220" s="20" t="s">
        <v>9307</v>
      </c>
      <c r="O1220" s="16" t="s">
        <v>13917</v>
      </c>
      <c r="P1220" s="143" t="s">
        <v>12556</v>
      </c>
      <c r="Q1220" s="122" t="s">
        <v>12421</v>
      </c>
      <c r="R1220" s="16" t="s">
        <v>14363</v>
      </c>
      <c r="S1220" s="10" t="s">
        <v>194</v>
      </c>
      <c r="T1220" s="28" t="s">
        <v>10374</v>
      </c>
      <c r="U1220" s="20" t="s">
        <v>5359</v>
      </c>
      <c r="V1220" s="16" t="s">
        <v>7922</v>
      </c>
      <c r="W1220" s="11" t="s">
        <v>13938</v>
      </c>
      <c r="X1220" s="174">
        <v>2.5099999999999998</v>
      </c>
      <c r="Y1220" s="174">
        <v>3.3</v>
      </c>
    </row>
    <row r="1221" spans="1:25" ht="15" customHeight="1" x14ac:dyDescent="0.25">
      <c r="A1221" s="20" t="s">
        <v>1316</v>
      </c>
      <c r="B1221" s="14" t="s">
        <v>1317</v>
      </c>
      <c r="C1221" s="71" t="str">
        <f t="shared" si="20"/>
        <v>Product Info</v>
      </c>
      <c r="D1221" s="37" t="s">
        <v>4797</v>
      </c>
      <c r="E1221" s="143">
        <v>5</v>
      </c>
      <c r="F1221" s="12" t="s">
        <v>4992</v>
      </c>
      <c r="G1221" s="38">
        <v>12.15</v>
      </c>
      <c r="H1221" s="38">
        <f t="shared" si="22"/>
        <v>8.51</v>
      </c>
      <c r="I1221" s="38">
        <v>8.51</v>
      </c>
      <c r="J1221" s="39"/>
      <c r="K1221" s="143"/>
      <c r="L1221" s="22">
        <v>0</v>
      </c>
      <c r="M1221" s="22">
        <v>0</v>
      </c>
      <c r="N1221" s="20" t="s">
        <v>14489</v>
      </c>
      <c r="O1221" s="16">
        <v>0</v>
      </c>
      <c r="P1221" s="143" t="s">
        <v>12556</v>
      </c>
      <c r="Q1221" s="121" t="s">
        <v>14285</v>
      </c>
      <c r="R1221" s="16" t="s">
        <v>14363</v>
      </c>
      <c r="S1221" s="10" t="s">
        <v>194</v>
      </c>
      <c r="T1221" s="28" t="s">
        <v>10375</v>
      </c>
      <c r="U1221" s="20" t="s">
        <v>5359</v>
      </c>
      <c r="V1221" s="16" t="s">
        <v>1316</v>
      </c>
      <c r="W1221" s="11" t="s">
        <v>13938</v>
      </c>
      <c r="X1221" s="174">
        <v>6.48</v>
      </c>
      <c r="Y1221" s="174">
        <v>8.51</v>
      </c>
    </row>
    <row r="1222" spans="1:25" ht="15" customHeight="1" x14ac:dyDescent="0.25">
      <c r="A1222" s="20" t="s">
        <v>5642</v>
      </c>
      <c r="B1222" s="14" t="s">
        <v>5643</v>
      </c>
      <c r="C1222" s="71" t="str">
        <f t="shared" ref="C1222:C1285" si="23">HYPERLINK(T1222,U1222)</f>
        <v>Product Info</v>
      </c>
      <c r="D1222" s="37" t="s">
        <v>4088</v>
      </c>
      <c r="E1222" s="143">
        <v>5</v>
      </c>
      <c r="F1222" s="12" t="s">
        <v>4992</v>
      </c>
      <c r="G1222" s="38">
        <v>3.98</v>
      </c>
      <c r="H1222" s="38">
        <f t="shared" si="22"/>
        <v>2.78</v>
      </c>
      <c r="I1222" s="38">
        <v>2.78</v>
      </c>
      <c r="J1222" s="39">
        <v>3000</v>
      </c>
      <c r="K1222" s="143"/>
      <c r="L1222" s="22">
        <v>0</v>
      </c>
      <c r="M1222" s="22">
        <v>0</v>
      </c>
      <c r="N1222" s="20" t="s">
        <v>9307</v>
      </c>
      <c r="O1222" s="16" t="s">
        <v>13917</v>
      </c>
      <c r="P1222" s="143" t="s">
        <v>12556</v>
      </c>
      <c r="Q1222" s="122" t="s">
        <v>14461</v>
      </c>
      <c r="R1222" s="16" t="s">
        <v>14363</v>
      </c>
      <c r="S1222" s="10" t="s">
        <v>194</v>
      </c>
      <c r="T1222" s="28" t="s">
        <v>10376</v>
      </c>
      <c r="U1222" s="20" t="s">
        <v>5359</v>
      </c>
      <c r="V1222" s="16" t="s">
        <v>5642</v>
      </c>
      <c r="W1222" s="11" t="s">
        <v>13938</v>
      </c>
      <c r="X1222" s="174">
        <v>2.12</v>
      </c>
      <c r="Y1222" s="174">
        <v>2.78</v>
      </c>
    </row>
    <row r="1223" spans="1:25" ht="15" customHeight="1" x14ac:dyDescent="0.25">
      <c r="A1223" s="20" t="s">
        <v>5644</v>
      </c>
      <c r="B1223" s="14" t="s">
        <v>5645</v>
      </c>
      <c r="C1223" s="71" t="str">
        <f t="shared" si="23"/>
        <v>Product Info</v>
      </c>
      <c r="D1223" s="37" t="s">
        <v>4089</v>
      </c>
      <c r="E1223" s="143">
        <v>5</v>
      </c>
      <c r="F1223" s="12" t="s">
        <v>4992</v>
      </c>
      <c r="G1223" s="38">
        <v>3.98</v>
      </c>
      <c r="H1223" s="38">
        <f t="shared" si="22"/>
        <v>2.78</v>
      </c>
      <c r="I1223" s="38">
        <v>2.78</v>
      </c>
      <c r="J1223" s="39">
        <v>3000</v>
      </c>
      <c r="K1223" s="143"/>
      <c r="L1223" s="22">
        <v>0</v>
      </c>
      <c r="M1223" s="22">
        <v>0</v>
      </c>
      <c r="N1223" s="20" t="s">
        <v>9307</v>
      </c>
      <c r="O1223" s="16" t="s">
        <v>13917</v>
      </c>
      <c r="P1223" s="143" t="s">
        <v>12556</v>
      </c>
      <c r="Q1223" s="122" t="s">
        <v>14461</v>
      </c>
      <c r="R1223" s="16" t="s">
        <v>14363</v>
      </c>
      <c r="S1223" s="10" t="s">
        <v>194</v>
      </c>
      <c r="T1223" s="28" t="s">
        <v>10377</v>
      </c>
      <c r="U1223" s="20" t="s">
        <v>5359</v>
      </c>
      <c r="V1223" s="16" t="s">
        <v>5644</v>
      </c>
      <c r="W1223" s="11" t="s">
        <v>13938</v>
      </c>
      <c r="X1223" s="174">
        <v>2.12</v>
      </c>
      <c r="Y1223" s="174">
        <v>2.78</v>
      </c>
    </row>
    <row r="1224" spans="1:25" ht="15" customHeight="1" x14ac:dyDescent="0.25">
      <c r="A1224" s="20" t="s">
        <v>5646</v>
      </c>
      <c r="B1224" s="14" t="s">
        <v>5647</v>
      </c>
      <c r="C1224" s="71" t="str">
        <f t="shared" si="23"/>
        <v>Product Info</v>
      </c>
      <c r="D1224" s="37" t="s">
        <v>4090</v>
      </c>
      <c r="E1224" s="143">
        <v>5</v>
      </c>
      <c r="F1224" s="12" t="s">
        <v>4992</v>
      </c>
      <c r="G1224" s="38">
        <v>3.98</v>
      </c>
      <c r="H1224" s="38">
        <f t="shared" si="22"/>
        <v>2.78</v>
      </c>
      <c r="I1224" s="38">
        <v>2.78</v>
      </c>
      <c r="J1224" s="39">
        <v>3000</v>
      </c>
      <c r="K1224" s="143"/>
      <c r="L1224" s="22">
        <v>0</v>
      </c>
      <c r="M1224" s="22">
        <v>0</v>
      </c>
      <c r="N1224" s="20" t="s">
        <v>9307</v>
      </c>
      <c r="O1224" s="16" t="s">
        <v>13917</v>
      </c>
      <c r="P1224" s="143" t="s">
        <v>12556</v>
      </c>
      <c r="Q1224" s="122" t="s">
        <v>14461</v>
      </c>
      <c r="R1224" s="16" t="s">
        <v>14363</v>
      </c>
      <c r="S1224" s="10" t="s">
        <v>194</v>
      </c>
      <c r="T1224" s="28" t="s">
        <v>10378</v>
      </c>
      <c r="U1224" s="20" t="s">
        <v>5359</v>
      </c>
      <c r="V1224" s="16" t="s">
        <v>5646</v>
      </c>
      <c r="W1224" s="11" t="s">
        <v>13938</v>
      </c>
      <c r="X1224" s="174">
        <v>2.12</v>
      </c>
      <c r="Y1224" s="174">
        <v>2.78</v>
      </c>
    </row>
    <row r="1225" spans="1:25" ht="15" customHeight="1" x14ac:dyDescent="0.25">
      <c r="A1225" s="20" t="s">
        <v>1124</v>
      </c>
      <c r="B1225" s="14" t="s">
        <v>1125</v>
      </c>
      <c r="C1225" s="71" t="str">
        <f t="shared" si="23"/>
        <v>Product Info</v>
      </c>
      <c r="D1225" s="37" t="s">
        <v>4091</v>
      </c>
      <c r="E1225" s="143">
        <v>5</v>
      </c>
      <c r="F1225" s="12" t="s">
        <v>4992</v>
      </c>
      <c r="G1225" s="38">
        <v>2.76</v>
      </c>
      <c r="H1225" s="38">
        <f t="shared" si="22"/>
        <v>1.93</v>
      </c>
      <c r="I1225" s="38">
        <v>1.93</v>
      </c>
      <c r="J1225" s="39">
        <v>3000</v>
      </c>
      <c r="K1225" s="143"/>
      <c r="L1225" s="22">
        <v>0</v>
      </c>
      <c r="M1225" s="22">
        <v>0</v>
      </c>
      <c r="N1225" s="20" t="s">
        <v>9307</v>
      </c>
      <c r="O1225" s="16" t="s">
        <v>13917</v>
      </c>
      <c r="P1225" s="143" t="s">
        <v>12556</v>
      </c>
      <c r="Q1225" s="122" t="s">
        <v>14461</v>
      </c>
      <c r="R1225" s="16" t="s">
        <v>14363</v>
      </c>
      <c r="S1225" s="10" t="s">
        <v>194</v>
      </c>
      <c r="T1225" s="28" t="s">
        <v>10379</v>
      </c>
      <c r="U1225" s="20" t="s">
        <v>5359</v>
      </c>
      <c r="V1225" s="16" t="s">
        <v>1124</v>
      </c>
      <c r="W1225" s="11"/>
      <c r="X1225" s="174">
        <v>1.51</v>
      </c>
      <c r="Y1225" s="174">
        <v>1.93</v>
      </c>
    </row>
    <row r="1226" spans="1:25" ht="15" customHeight="1" x14ac:dyDescent="0.25">
      <c r="A1226" s="20" t="s">
        <v>4137</v>
      </c>
      <c r="B1226" s="14" t="s">
        <v>14286</v>
      </c>
      <c r="C1226" s="71" t="str">
        <f t="shared" si="23"/>
        <v>Product Info</v>
      </c>
      <c r="D1226" s="37" t="s">
        <v>4092</v>
      </c>
      <c r="E1226" s="143">
        <v>5</v>
      </c>
      <c r="F1226" s="12" t="s">
        <v>4992</v>
      </c>
      <c r="G1226" s="38">
        <v>4.43</v>
      </c>
      <c r="H1226" s="38">
        <v>3.1</v>
      </c>
      <c r="I1226" s="38">
        <v>3.1</v>
      </c>
      <c r="J1226" s="39">
        <v>1440</v>
      </c>
      <c r="K1226" s="143"/>
      <c r="L1226" s="22">
        <v>0</v>
      </c>
      <c r="M1226" s="22">
        <v>0</v>
      </c>
      <c r="N1226" s="20" t="s">
        <v>9307</v>
      </c>
      <c r="O1226" s="16" t="s">
        <v>13917</v>
      </c>
      <c r="P1226" s="143" t="s">
        <v>12556</v>
      </c>
      <c r="Q1226" s="122" t="s">
        <v>14461</v>
      </c>
      <c r="R1226" s="16" t="s">
        <v>14363</v>
      </c>
      <c r="S1226" s="10" t="s">
        <v>1164</v>
      </c>
      <c r="T1226" s="28" t="s">
        <v>10380</v>
      </c>
      <c r="U1226" s="20" t="s">
        <v>5359</v>
      </c>
      <c r="V1226" s="16" t="s">
        <v>4137</v>
      </c>
      <c r="W1226" s="11" t="s">
        <v>13938</v>
      </c>
      <c r="X1226" s="174">
        <v>2.36</v>
      </c>
      <c r="Y1226" s="174">
        <v>3.1</v>
      </c>
    </row>
    <row r="1227" spans="1:25" ht="15" customHeight="1" x14ac:dyDescent="0.25">
      <c r="A1227" s="20" t="s">
        <v>3231</v>
      </c>
      <c r="B1227" s="14" t="s">
        <v>3232</v>
      </c>
      <c r="C1227" s="71" t="str">
        <f t="shared" si="23"/>
        <v>Product Info</v>
      </c>
      <c r="D1227" s="37" t="s">
        <v>60</v>
      </c>
      <c r="E1227" s="143">
        <v>6</v>
      </c>
      <c r="F1227" s="12" t="s">
        <v>4992</v>
      </c>
      <c r="G1227" s="38">
        <v>14.99</v>
      </c>
      <c r="H1227" s="38">
        <v>10.49</v>
      </c>
      <c r="I1227" s="38">
        <v>10.49</v>
      </c>
      <c r="J1227" s="39"/>
      <c r="K1227" s="143"/>
      <c r="L1227" s="22">
        <v>0.13</v>
      </c>
      <c r="M1227" s="22" t="s">
        <v>12487</v>
      </c>
      <c r="N1227" s="20" t="s">
        <v>8821</v>
      </c>
      <c r="O1227" s="16" t="s">
        <v>13916</v>
      </c>
      <c r="P1227" s="143" t="s">
        <v>12556</v>
      </c>
      <c r="Q1227" s="121" t="s">
        <v>14285</v>
      </c>
      <c r="R1227" s="16" t="s">
        <v>8904</v>
      </c>
      <c r="S1227" s="10" t="s">
        <v>1164</v>
      </c>
      <c r="T1227" s="28" t="s">
        <v>10381</v>
      </c>
      <c r="U1227" s="20" t="s">
        <v>5359</v>
      </c>
      <c r="V1227" s="16" t="s">
        <v>3231</v>
      </c>
      <c r="W1227" s="11" t="s">
        <v>13938</v>
      </c>
      <c r="X1227" s="174">
        <v>7.99</v>
      </c>
      <c r="Y1227" s="174">
        <v>10.49</v>
      </c>
    </row>
    <row r="1228" spans="1:25" ht="15" customHeight="1" x14ac:dyDescent="0.25">
      <c r="A1228" s="20" t="s">
        <v>4138</v>
      </c>
      <c r="B1228" s="14" t="s">
        <v>5049</v>
      </c>
      <c r="C1228" s="71" t="str">
        <f t="shared" si="23"/>
        <v>Product Info</v>
      </c>
      <c r="D1228" s="37" t="s">
        <v>61</v>
      </c>
      <c r="E1228" s="143">
        <v>6</v>
      </c>
      <c r="F1228" s="12" t="s">
        <v>4992</v>
      </c>
      <c r="G1228" s="38">
        <v>10.19</v>
      </c>
      <c r="H1228" s="38">
        <v>7.13</v>
      </c>
      <c r="I1228" s="38">
        <v>7.13</v>
      </c>
      <c r="J1228" s="39"/>
      <c r="K1228" s="143" t="s">
        <v>8905</v>
      </c>
      <c r="L1228" s="22">
        <v>0.08</v>
      </c>
      <c r="M1228" s="22" t="s">
        <v>12487</v>
      </c>
      <c r="N1228" s="20" t="s">
        <v>8822</v>
      </c>
      <c r="O1228" s="16" t="s">
        <v>13916</v>
      </c>
      <c r="P1228" s="143" t="s">
        <v>12556</v>
      </c>
      <c r="Q1228" s="122" t="s">
        <v>9227</v>
      </c>
      <c r="R1228" s="16" t="s">
        <v>8904</v>
      </c>
      <c r="S1228" s="10" t="s">
        <v>1164</v>
      </c>
      <c r="T1228" s="28" t="s">
        <v>10382</v>
      </c>
      <c r="U1228" s="20" t="s">
        <v>5359</v>
      </c>
      <c r="V1228" s="16" t="s">
        <v>4138</v>
      </c>
      <c r="W1228" s="11" t="s">
        <v>13938</v>
      </c>
      <c r="X1228" s="174">
        <v>5.43</v>
      </c>
      <c r="Y1228" s="174">
        <v>7.13</v>
      </c>
    </row>
    <row r="1229" spans="1:25" ht="15" customHeight="1" x14ac:dyDescent="0.25">
      <c r="A1229" s="20" t="s">
        <v>5050</v>
      </c>
      <c r="B1229" s="14" t="s">
        <v>5051</v>
      </c>
      <c r="C1229" s="71" t="str">
        <f t="shared" si="23"/>
        <v>Product Info</v>
      </c>
      <c r="D1229" s="37" t="s">
        <v>62</v>
      </c>
      <c r="E1229" s="143">
        <v>6</v>
      </c>
      <c r="F1229" s="12" t="s">
        <v>4992</v>
      </c>
      <c r="G1229" s="38">
        <v>12.05</v>
      </c>
      <c r="H1229" s="38">
        <v>8.43</v>
      </c>
      <c r="I1229" s="38">
        <v>8.43</v>
      </c>
      <c r="J1229" s="39"/>
      <c r="K1229" s="143"/>
      <c r="L1229" s="22">
        <v>0.11799999999999999</v>
      </c>
      <c r="M1229" s="22" t="s">
        <v>12487</v>
      </c>
      <c r="N1229" s="20" t="s">
        <v>8823</v>
      </c>
      <c r="O1229" s="16" t="s">
        <v>13916</v>
      </c>
      <c r="P1229" s="143" t="s">
        <v>12556</v>
      </c>
      <c r="Q1229" s="122" t="s">
        <v>9227</v>
      </c>
      <c r="R1229" s="16" t="s">
        <v>8904</v>
      </c>
      <c r="S1229" s="10" t="s">
        <v>1164</v>
      </c>
      <c r="T1229" s="28" t="s">
        <v>10383</v>
      </c>
      <c r="U1229" s="20" t="s">
        <v>5359</v>
      </c>
      <c r="V1229" s="16" t="s">
        <v>5050</v>
      </c>
      <c r="W1229" s="11" t="s">
        <v>13938</v>
      </c>
      <c r="X1229" s="174">
        <v>6.42</v>
      </c>
      <c r="Y1229" s="174">
        <v>8.43</v>
      </c>
    </row>
    <row r="1230" spans="1:25" ht="15" customHeight="1" x14ac:dyDescent="0.25">
      <c r="A1230" s="20" t="s">
        <v>995</v>
      </c>
      <c r="B1230" s="14" t="s">
        <v>996</v>
      </c>
      <c r="C1230" s="71" t="str">
        <f t="shared" si="23"/>
        <v>Product Info</v>
      </c>
      <c r="D1230" s="37" t="s">
        <v>63</v>
      </c>
      <c r="E1230" s="143">
        <v>6</v>
      </c>
      <c r="F1230" s="12" t="s">
        <v>4992</v>
      </c>
      <c r="G1230" s="38">
        <v>10.19</v>
      </c>
      <c r="H1230" s="38">
        <v>7.13</v>
      </c>
      <c r="I1230" s="38">
        <v>7.13</v>
      </c>
      <c r="J1230" s="39"/>
      <c r="K1230" s="143"/>
      <c r="L1230" s="22">
        <v>0.08</v>
      </c>
      <c r="M1230" s="22" t="s">
        <v>12487</v>
      </c>
      <c r="N1230" s="20" t="s">
        <v>8822</v>
      </c>
      <c r="O1230" s="16" t="s">
        <v>13916</v>
      </c>
      <c r="P1230" s="143" t="s">
        <v>12556</v>
      </c>
      <c r="Q1230" s="122" t="s">
        <v>9227</v>
      </c>
      <c r="R1230" s="16" t="s">
        <v>8904</v>
      </c>
      <c r="S1230" s="10" t="s">
        <v>1164</v>
      </c>
      <c r="T1230" s="28" t="s">
        <v>10384</v>
      </c>
      <c r="U1230" s="20" t="s">
        <v>5359</v>
      </c>
      <c r="V1230" s="16" t="s">
        <v>995</v>
      </c>
      <c r="W1230" s="11" t="s">
        <v>13938</v>
      </c>
      <c r="X1230" s="174">
        <v>5.43</v>
      </c>
      <c r="Y1230" s="174">
        <v>7.13</v>
      </c>
    </row>
    <row r="1231" spans="1:25" ht="15" customHeight="1" x14ac:dyDescent="0.25">
      <c r="A1231" s="20" t="s">
        <v>3229</v>
      </c>
      <c r="B1231" s="14" t="s">
        <v>3230</v>
      </c>
      <c r="C1231" s="71" t="str">
        <f t="shared" si="23"/>
        <v>Product Info</v>
      </c>
      <c r="D1231" s="37" t="s">
        <v>64</v>
      </c>
      <c r="E1231" s="143">
        <v>6</v>
      </c>
      <c r="F1231" s="12" t="s">
        <v>4992</v>
      </c>
      <c r="G1231" s="38">
        <v>10.77</v>
      </c>
      <c r="H1231" s="38">
        <v>7.54</v>
      </c>
      <c r="I1231" s="38">
        <v>7.54</v>
      </c>
      <c r="J1231" s="39"/>
      <c r="K1231" s="143"/>
      <c r="L1231" s="22">
        <v>0</v>
      </c>
      <c r="M1231" s="22" t="s">
        <v>12488</v>
      </c>
      <c r="N1231" s="20" t="s">
        <v>14489</v>
      </c>
      <c r="O1231" s="16" t="s">
        <v>4992</v>
      </c>
      <c r="P1231" s="143" t="s">
        <v>12556</v>
      </c>
      <c r="Q1231" s="121" t="s">
        <v>14285</v>
      </c>
      <c r="R1231" s="16" t="s">
        <v>8904</v>
      </c>
      <c r="S1231" s="10" t="s">
        <v>1164</v>
      </c>
      <c r="T1231" s="28" t="s">
        <v>10385</v>
      </c>
      <c r="U1231" s="20" t="s">
        <v>5359</v>
      </c>
      <c r="V1231" s="16" t="s">
        <v>3229</v>
      </c>
      <c r="W1231" s="11" t="s">
        <v>13938</v>
      </c>
      <c r="X1231" s="174">
        <v>5.74</v>
      </c>
      <c r="Y1231" s="174">
        <v>7.54</v>
      </c>
    </row>
    <row r="1232" spans="1:25" ht="15" customHeight="1" x14ac:dyDescent="0.25">
      <c r="A1232" s="20" t="s">
        <v>997</v>
      </c>
      <c r="B1232" s="14" t="s">
        <v>998</v>
      </c>
      <c r="C1232" s="71" t="str">
        <f t="shared" si="23"/>
        <v>Product Info</v>
      </c>
      <c r="D1232" s="37" t="s">
        <v>65</v>
      </c>
      <c r="E1232" s="143">
        <v>6</v>
      </c>
      <c r="F1232" s="12" t="s">
        <v>4992</v>
      </c>
      <c r="G1232" s="38">
        <v>7.31</v>
      </c>
      <c r="H1232" s="38">
        <v>5.1100000000000003</v>
      </c>
      <c r="I1232" s="38">
        <v>5.1100000000000003</v>
      </c>
      <c r="J1232" s="39"/>
      <c r="K1232" s="143"/>
      <c r="L1232" s="22">
        <v>0.10299999999999999</v>
      </c>
      <c r="M1232" s="22" t="s">
        <v>12487</v>
      </c>
      <c r="N1232" s="20" t="s">
        <v>8822</v>
      </c>
      <c r="O1232" s="16" t="s">
        <v>13916</v>
      </c>
      <c r="P1232" s="143" t="s">
        <v>12556</v>
      </c>
      <c r="Q1232" s="122" t="s">
        <v>9227</v>
      </c>
      <c r="R1232" s="16" t="s">
        <v>8904</v>
      </c>
      <c r="S1232" s="10" t="s">
        <v>1164</v>
      </c>
      <c r="T1232" s="28" t="s">
        <v>10386</v>
      </c>
      <c r="U1232" s="20" t="s">
        <v>5359</v>
      </c>
      <c r="V1232" s="16" t="s">
        <v>997</v>
      </c>
      <c r="W1232" s="11" t="s">
        <v>13938</v>
      </c>
      <c r="X1232" s="174">
        <v>3.9</v>
      </c>
      <c r="Y1232" s="174">
        <v>5.1100000000000003</v>
      </c>
    </row>
    <row r="1233" spans="1:25" ht="15" customHeight="1" x14ac:dyDescent="0.25">
      <c r="A1233" s="20" t="s">
        <v>999</v>
      </c>
      <c r="B1233" s="14" t="s">
        <v>1000</v>
      </c>
      <c r="C1233" s="71" t="str">
        <f t="shared" si="23"/>
        <v>Product Info</v>
      </c>
      <c r="D1233" s="37" t="s">
        <v>66</v>
      </c>
      <c r="E1233" s="143">
        <v>6</v>
      </c>
      <c r="F1233" s="12" t="s">
        <v>4992</v>
      </c>
      <c r="G1233" s="38">
        <v>10.34</v>
      </c>
      <c r="H1233" s="38">
        <v>7.23</v>
      </c>
      <c r="I1233" s="38">
        <v>7.23</v>
      </c>
      <c r="J1233" s="39"/>
      <c r="K1233" s="143"/>
      <c r="L1233" s="22">
        <v>0.115</v>
      </c>
      <c r="M1233" s="22" t="s">
        <v>12487</v>
      </c>
      <c r="N1233" s="20" t="s">
        <v>8824</v>
      </c>
      <c r="O1233" s="16" t="s">
        <v>13916</v>
      </c>
      <c r="P1233" s="143" t="s">
        <v>12556</v>
      </c>
      <c r="Q1233" s="121" t="s">
        <v>14285</v>
      </c>
      <c r="R1233" s="16" t="s">
        <v>8904</v>
      </c>
      <c r="S1233" s="10" t="s">
        <v>1164</v>
      </c>
      <c r="T1233" s="28" t="s">
        <v>10387</v>
      </c>
      <c r="U1233" s="20" t="s">
        <v>5359</v>
      </c>
      <c r="V1233" s="16" t="s">
        <v>999</v>
      </c>
      <c r="W1233" s="11" t="s">
        <v>13938</v>
      </c>
      <c r="X1233" s="174">
        <v>5.51</v>
      </c>
      <c r="Y1233" s="174">
        <v>7.23</v>
      </c>
    </row>
    <row r="1234" spans="1:25" ht="15" customHeight="1" x14ac:dyDescent="0.25">
      <c r="A1234" s="20" t="s">
        <v>1001</v>
      </c>
      <c r="B1234" s="14" t="s">
        <v>1002</v>
      </c>
      <c r="C1234" s="71" t="str">
        <f t="shared" si="23"/>
        <v>Product Info</v>
      </c>
      <c r="D1234" s="37" t="s">
        <v>67</v>
      </c>
      <c r="E1234" s="143">
        <v>6</v>
      </c>
      <c r="F1234" s="12" t="s">
        <v>4992</v>
      </c>
      <c r="G1234" s="38">
        <v>9.9</v>
      </c>
      <c r="H1234" s="38">
        <v>6.93</v>
      </c>
      <c r="I1234" s="38">
        <v>6.93</v>
      </c>
      <c r="J1234" s="39"/>
      <c r="K1234" s="143"/>
      <c r="L1234" s="22">
        <v>0</v>
      </c>
      <c r="M1234" s="22" t="s">
        <v>14396</v>
      </c>
      <c r="N1234" s="20" t="s">
        <v>14489</v>
      </c>
      <c r="O1234" s="16" t="s">
        <v>14482</v>
      </c>
      <c r="P1234" s="143" t="s">
        <v>12556</v>
      </c>
      <c r="Q1234" s="121" t="s">
        <v>14285</v>
      </c>
      <c r="R1234" s="16" t="s">
        <v>8904</v>
      </c>
      <c r="S1234" s="10" t="s">
        <v>1164</v>
      </c>
      <c r="T1234" s="28" t="s">
        <v>10388</v>
      </c>
      <c r="U1234" s="20" t="s">
        <v>5359</v>
      </c>
      <c r="V1234" s="16" t="s">
        <v>1001</v>
      </c>
      <c r="W1234" s="11" t="s">
        <v>13938</v>
      </c>
      <c r="X1234" s="174">
        <v>5.28</v>
      </c>
      <c r="Y1234" s="174">
        <v>6.93</v>
      </c>
    </row>
    <row r="1235" spans="1:25" ht="15" customHeight="1" x14ac:dyDescent="0.25">
      <c r="A1235" s="20" t="s">
        <v>1106</v>
      </c>
      <c r="B1235" s="14" t="s">
        <v>1107</v>
      </c>
      <c r="C1235" s="71" t="str">
        <f t="shared" si="23"/>
        <v>Product Info</v>
      </c>
      <c r="D1235" s="37" t="s">
        <v>68</v>
      </c>
      <c r="E1235" s="143">
        <v>6</v>
      </c>
      <c r="F1235" s="12" t="s">
        <v>4992</v>
      </c>
      <c r="G1235" s="38">
        <v>10.65</v>
      </c>
      <c r="H1235" s="38">
        <v>7.46</v>
      </c>
      <c r="I1235" s="38">
        <v>7.46</v>
      </c>
      <c r="J1235" s="39"/>
      <c r="K1235" s="143"/>
      <c r="L1235" s="22">
        <v>9.1999999999999998E-2</v>
      </c>
      <c r="M1235" s="22" t="s">
        <v>12487</v>
      </c>
      <c r="N1235" s="20" t="s">
        <v>14489</v>
      </c>
      <c r="O1235" s="16" t="s">
        <v>12608</v>
      </c>
      <c r="P1235" s="143" t="s">
        <v>12556</v>
      </c>
      <c r="Q1235" s="122" t="s">
        <v>9227</v>
      </c>
      <c r="R1235" s="16" t="s">
        <v>8904</v>
      </c>
      <c r="S1235" s="10" t="s">
        <v>1164</v>
      </c>
      <c r="T1235" s="28" t="s">
        <v>10389</v>
      </c>
      <c r="U1235" s="20" t="s">
        <v>5359</v>
      </c>
      <c r="V1235" s="16" t="s">
        <v>1106</v>
      </c>
      <c r="W1235" s="11" t="s">
        <v>13938</v>
      </c>
      <c r="X1235" s="174">
        <v>5.68</v>
      </c>
      <c r="Y1235" s="174">
        <v>7.46</v>
      </c>
    </row>
    <row r="1236" spans="1:25" ht="15" customHeight="1" x14ac:dyDescent="0.25">
      <c r="A1236" s="20" t="s">
        <v>5590</v>
      </c>
      <c r="B1236" s="14" t="s">
        <v>5591</v>
      </c>
      <c r="C1236" s="71" t="str">
        <f t="shared" si="23"/>
        <v>Product Info</v>
      </c>
      <c r="D1236" s="37" t="s">
        <v>69</v>
      </c>
      <c r="E1236" s="143">
        <v>6</v>
      </c>
      <c r="F1236" s="12" t="s">
        <v>4992</v>
      </c>
      <c r="G1236" s="38">
        <v>10.65</v>
      </c>
      <c r="H1236" s="38">
        <v>7.46</v>
      </c>
      <c r="I1236" s="38">
        <v>7.46</v>
      </c>
      <c r="J1236" s="39"/>
      <c r="K1236" s="143"/>
      <c r="L1236" s="22">
        <v>0</v>
      </c>
      <c r="M1236" s="22" t="s">
        <v>12488</v>
      </c>
      <c r="N1236" s="20" t="s">
        <v>14489</v>
      </c>
      <c r="O1236" s="16" t="s">
        <v>4992</v>
      </c>
      <c r="P1236" s="143" t="s">
        <v>12556</v>
      </c>
      <c r="Q1236" s="122" t="s">
        <v>9227</v>
      </c>
      <c r="R1236" s="16" t="s">
        <v>8904</v>
      </c>
      <c r="S1236" s="10" t="s">
        <v>1164</v>
      </c>
      <c r="T1236" s="28" t="s">
        <v>10390</v>
      </c>
      <c r="U1236" s="20" t="s">
        <v>5359</v>
      </c>
      <c r="V1236" s="16" t="s">
        <v>5590</v>
      </c>
      <c r="W1236" s="11" t="s">
        <v>13938</v>
      </c>
      <c r="X1236" s="174">
        <v>5.68</v>
      </c>
      <c r="Y1236" s="174">
        <v>7.46</v>
      </c>
    </row>
    <row r="1237" spans="1:25" ht="15" customHeight="1" x14ac:dyDescent="0.25">
      <c r="A1237" s="20" t="s">
        <v>1108</v>
      </c>
      <c r="B1237" s="14" t="s">
        <v>1109</v>
      </c>
      <c r="C1237" s="71" t="str">
        <f t="shared" si="23"/>
        <v>Product Info</v>
      </c>
      <c r="D1237" s="37" t="s">
        <v>70</v>
      </c>
      <c r="E1237" s="143">
        <v>6</v>
      </c>
      <c r="F1237" s="12" t="s">
        <v>4992</v>
      </c>
      <c r="G1237" s="38">
        <v>11.22</v>
      </c>
      <c r="H1237" s="38">
        <f t="shared" ref="H1237:H1268" si="24">I1237</f>
        <v>7.85</v>
      </c>
      <c r="I1237" s="38">
        <v>7.85</v>
      </c>
      <c r="J1237" s="39"/>
      <c r="K1237" s="143"/>
      <c r="L1237" s="22">
        <v>0</v>
      </c>
      <c r="M1237" s="22" t="s">
        <v>12488</v>
      </c>
      <c r="N1237" s="20" t="s">
        <v>14489</v>
      </c>
      <c r="O1237" s="16" t="s">
        <v>4992</v>
      </c>
      <c r="P1237" s="143" t="s">
        <v>12556</v>
      </c>
      <c r="Q1237" s="122" t="s">
        <v>9227</v>
      </c>
      <c r="R1237" s="16" t="s">
        <v>8904</v>
      </c>
      <c r="S1237" s="10" t="s">
        <v>194</v>
      </c>
      <c r="T1237" s="28" t="s">
        <v>10391</v>
      </c>
      <c r="U1237" s="20" t="s">
        <v>5359</v>
      </c>
      <c r="V1237" s="16" t="s">
        <v>1108</v>
      </c>
      <c r="W1237" s="11" t="s">
        <v>13938</v>
      </c>
      <c r="X1237" s="174">
        <v>5.98</v>
      </c>
      <c r="Y1237" s="174">
        <v>7.85</v>
      </c>
    </row>
    <row r="1238" spans="1:25" ht="15" customHeight="1" x14ac:dyDescent="0.25">
      <c r="A1238" s="20" t="s">
        <v>1005</v>
      </c>
      <c r="B1238" s="14" t="s">
        <v>1006</v>
      </c>
      <c r="C1238" s="71" t="str">
        <f t="shared" si="23"/>
        <v>Product Info</v>
      </c>
      <c r="D1238" s="37" t="s">
        <v>71</v>
      </c>
      <c r="E1238" s="143">
        <v>6</v>
      </c>
      <c r="F1238" s="12" t="s">
        <v>4992</v>
      </c>
      <c r="G1238" s="38">
        <v>11.75</v>
      </c>
      <c r="H1238" s="38">
        <f t="shared" si="24"/>
        <v>8.2200000000000006</v>
      </c>
      <c r="I1238" s="38">
        <v>8.2200000000000006</v>
      </c>
      <c r="J1238" s="39"/>
      <c r="K1238" s="143"/>
      <c r="L1238" s="22">
        <v>0.152</v>
      </c>
      <c r="M1238" s="22" t="s">
        <v>12487</v>
      </c>
      <c r="N1238" s="20" t="s">
        <v>8825</v>
      </c>
      <c r="O1238" s="16" t="s">
        <v>13916</v>
      </c>
      <c r="P1238" s="143" t="s">
        <v>12556</v>
      </c>
      <c r="Q1238" s="121" t="s">
        <v>14285</v>
      </c>
      <c r="R1238" s="16" t="s">
        <v>8904</v>
      </c>
      <c r="S1238" s="10" t="s">
        <v>194</v>
      </c>
      <c r="T1238" s="28" t="s">
        <v>10392</v>
      </c>
      <c r="U1238" s="20" t="s">
        <v>5359</v>
      </c>
      <c r="V1238" s="16" t="s">
        <v>1005</v>
      </c>
      <c r="W1238" s="11" t="s">
        <v>13938</v>
      </c>
      <c r="X1238" s="174">
        <v>6.26</v>
      </c>
      <c r="Y1238" s="174">
        <v>8.2200000000000006</v>
      </c>
    </row>
    <row r="1239" spans="1:25" ht="15" customHeight="1" x14ac:dyDescent="0.25">
      <c r="A1239" s="20" t="s">
        <v>1007</v>
      </c>
      <c r="B1239" s="14" t="s">
        <v>1008</v>
      </c>
      <c r="C1239" s="71" t="str">
        <f t="shared" si="23"/>
        <v>Product Info</v>
      </c>
      <c r="D1239" s="37" t="s">
        <v>72</v>
      </c>
      <c r="E1239" s="143">
        <v>6</v>
      </c>
      <c r="F1239" s="12" t="s">
        <v>4992</v>
      </c>
      <c r="G1239" s="38">
        <v>11.94</v>
      </c>
      <c r="H1239" s="38">
        <f t="shared" si="24"/>
        <v>8.36</v>
      </c>
      <c r="I1239" s="38">
        <v>8.36</v>
      </c>
      <c r="J1239" s="39"/>
      <c r="K1239" s="143"/>
      <c r="L1239" s="22">
        <v>9.8000000000000004E-2</v>
      </c>
      <c r="M1239" s="22" t="s">
        <v>12487</v>
      </c>
      <c r="N1239" s="20" t="s">
        <v>8823</v>
      </c>
      <c r="O1239" s="16" t="s">
        <v>13916</v>
      </c>
      <c r="P1239" s="143" t="s">
        <v>12556</v>
      </c>
      <c r="Q1239" s="122" t="s">
        <v>9227</v>
      </c>
      <c r="R1239" s="16" t="s">
        <v>8904</v>
      </c>
      <c r="S1239" s="10" t="s">
        <v>194</v>
      </c>
      <c r="T1239" s="28" t="s">
        <v>10393</v>
      </c>
      <c r="U1239" s="20" t="s">
        <v>5359</v>
      </c>
      <c r="V1239" s="16" t="s">
        <v>1007</v>
      </c>
      <c r="W1239" s="11" t="s">
        <v>13938</v>
      </c>
      <c r="X1239" s="174">
        <v>6.37</v>
      </c>
      <c r="Y1239" s="174">
        <v>8.36</v>
      </c>
    </row>
    <row r="1240" spans="1:25" ht="15" customHeight="1" x14ac:dyDescent="0.25">
      <c r="A1240" s="20" t="s">
        <v>1009</v>
      </c>
      <c r="B1240" s="14" t="s">
        <v>1010</v>
      </c>
      <c r="C1240" s="71" t="str">
        <f t="shared" si="23"/>
        <v>Product Info</v>
      </c>
      <c r="D1240" s="37" t="s">
        <v>4093</v>
      </c>
      <c r="E1240" s="143">
        <v>5</v>
      </c>
      <c r="F1240" s="12" t="s">
        <v>4992</v>
      </c>
      <c r="G1240" s="38">
        <v>4.43</v>
      </c>
      <c r="H1240" s="38">
        <f t="shared" si="24"/>
        <v>3.1</v>
      </c>
      <c r="I1240" s="38">
        <v>3.1</v>
      </c>
      <c r="J1240" s="39">
        <v>1440</v>
      </c>
      <c r="K1240" s="143"/>
      <c r="L1240" s="22">
        <v>0</v>
      </c>
      <c r="M1240" s="22">
        <v>0</v>
      </c>
      <c r="N1240" s="20" t="s">
        <v>9307</v>
      </c>
      <c r="O1240" s="16" t="s">
        <v>13917</v>
      </c>
      <c r="P1240" s="143" t="s">
        <v>12556</v>
      </c>
      <c r="Q1240" s="122" t="s">
        <v>14461</v>
      </c>
      <c r="R1240" s="16" t="s">
        <v>14363</v>
      </c>
      <c r="S1240" s="10" t="s">
        <v>194</v>
      </c>
      <c r="T1240" s="28" t="s">
        <v>10394</v>
      </c>
      <c r="U1240" s="20" t="s">
        <v>5359</v>
      </c>
      <c r="V1240" s="16" t="s">
        <v>1009</v>
      </c>
      <c r="W1240" s="11" t="s">
        <v>13938</v>
      </c>
      <c r="X1240" s="174">
        <v>2.36</v>
      </c>
      <c r="Y1240" s="174">
        <v>3.1</v>
      </c>
    </row>
    <row r="1241" spans="1:25" ht="15" customHeight="1" x14ac:dyDescent="0.25">
      <c r="A1241" s="20" t="s">
        <v>1011</v>
      </c>
      <c r="B1241" s="14" t="s">
        <v>1012</v>
      </c>
      <c r="C1241" s="71" t="str">
        <f t="shared" si="23"/>
        <v>Product Info</v>
      </c>
      <c r="D1241" s="37" t="s">
        <v>5529</v>
      </c>
      <c r="E1241" s="143">
        <v>1000</v>
      </c>
      <c r="F1241" s="12" t="s">
        <v>4992</v>
      </c>
      <c r="G1241" s="38">
        <v>0.47</v>
      </c>
      <c r="H1241" s="38">
        <f t="shared" si="24"/>
        <v>0.33</v>
      </c>
      <c r="I1241" s="38">
        <v>0.33</v>
      </c>
      <c r="J1241" s="39"/>
      <c r="K1241" s="143"/>
      <c r="L1241" s="22">
        <v>0</v>
      </c>
      <c r="M1241" s="22">
        <v>0</v>
      </c>
      <c r="N1241" s="20" t="s">
        <v>14489</v>
      </c>
      <c r="O1241" s="16">
        <v>0</v>
      </c>
      <c r="P1241" s="143" t="s">
        <v>12556</v>
      </c>
      <c r="Q1241" s="121" t="s">
        <v>14285</v>
      </c>
      <c r="R1241" s="16" t="s">
        <v>14363</v>
      </c>
      <c r="S1241" s="10" t="s">
        <v>194</v>
      </c>
      <c r="T1241" s="28" t="s">
        <v>10395</v>
      </c>
      <c r="U1241" s="20" t="s">
        <v>5359</v>
      </c>
      <c r="V1241" s="16" t="s">
        <v>1011</v>
      </c>
      <c r="W1241" s="11" t="s">
        <v>13938</v>
      </c>
      <c r="X1241" s="174">
        <v>0.25</v>
      </c>
      <c r="Y1241" s="174">
        <v>0.33</v>
      </c>
    </row>
    <row r="1242" spans="1:25" ht="15" customHeight="1" x14ac:dyDescent="0.25">
      <c r="A1242" s="20" t="s">
        <v>4845</v>
      </c>
      <c r="B1242" s="14" t="s">
        <v>4846</v>
      </c>
      <c r="C1242" s="71" t="str">
        <f t="shared" si="23"/>
        <v>Product Info</v>
      </c>
      <c r="D1242" s="37" t="s">
        <v>2338</v>
      </c>
      <c r="E1242" s="143">
        <v>5</v>
      </c>
      <c r="F1242" s="12" t="s">
        <v>4992</v>
      </c>
      <c r="G1242" s="38">
        <v>4.41</v>
      </c>
      <c r="H1242" s="38">
        <f t="shared" si="24"/>
        <v>3.09</v>
      </c>
      <c r="I1242" s="38">
        <v>3.09</v>
      </c>
      <c r="J1242" s="39"/>
      <c r="K1242" s="143"/>
      <c r="L1242" s="22">
        <v>0</v>
      </c>
      <c r="M1242" s="22">
        <v>0</v>
      </c>
      <c r="N1242" s="20" t="s">
        <v>9307</v>
      </c>
      <c r="O1242" s="16" t="s">
        <v>13917</v>
      </c>
      <c r="P1242" s="143" t="s">
        <v>12556</v>
      </c>
      <c r="Q1242" s="121" t="s">
        <v>14285</v>
      </c>
      <c r="R1242" s="16" t="s">
        <v>14363</v>
      </c>
      <c r="S1242" s="10" t="s">
        <v>194</v>
      </c>
      <c r="T1242" s="28" t="s">
        <v>10396</v>
      </c>
      <c r="U1242" s="20" t="s">
        <v>5359</v>
      </c>
      <c r="V1242" s="16" t="s">
        <v>4845</v>
      </c>
      <c r="W1242" s="11" t="s">
        <v>13938</v>
      </c>
      <c r="X1242" s="174">
        <v>2.35</v>
      </c>
      <c r="Y1242" s="174">
        <v>3.09</v>
      </c>
    </row>
    <row r="1243" spans="1:25" ht="15" customHeight="1" x14ac:dyDescent="0.25">
      <c r="A1243" s="20" t="s">
        <v>4847</v>
      </c>
      <c r="B1243" s="14" t="s">
        <v>4848</v>
      </c>
      <c r="C1243" s="71" t="str">
        <f t="shared" si="23"/>
        <v>Product Info</v>
      </c>
      <c r="D1243" s="37" t="s">
        <v>5534</v>
      </c>
      <c r="E1243" s="143">
        <v>5</v>
      </c>
      <c r="F1243" s="12" t="s">
        <v>4992</v>
      </c>
      <c r="G1243" s="38">
        <v>4.34</v>
      </c>
      <c r="H1243" s="38">
        <f t="shared" si="24"/>
        <v>3.03</v>
      </c>
      <c r="I1243" s="38">
        <v>3.03</v>
      </c>
      <c r="J1243" s="39"/>
      <c r="K1243" s="143"/>
      <c r="L1243" s="22">
        <v>0</v>
      </c>
      <c r="M1243" s="22">
        <v>0</v>
      </c>
      <c r="N1243" s="20" t="s">
        <v>9307</v>
      </c>
      <c r="O1243" s="16" t="s">
        <v>13917</v>
      </c>
      <c r="P1243" s="143" t="s">
        <v>12556</v>
      </c>
      <c r="Q1243" s="121" t="s">
        <v>14285</v>
      </c>
      <c r="R1243" s="16" t="s">
        <v>14363</v>
      </c>
      <c r="S1243" s="10" t="s">
        <v>194</v>
      </c>
      <c r="T1243" s="28" t="s">
        <v>10397</v>
      </c>
      <c r="U1243" s="20" t="s">
        <v>5359</v>
      </c>
      <c r="V1243" s="16" t="s">
        <v>4847</v>
      </c>
      <c r="W1243" s="11" t="s">
        <v>13938</v>
      </c>
      <c r="X1243" s="174">
        <v>2.31</v>
      </c>
      <c r="Y1243" s="174">
        <v>3.03</v>
      </c>
    </row>
    <row r="1244" spans="1:25" ht="15" customHeight="1" x14ac:dyDescent="0.25">
      <c r="A1244" s="20" t="s">
        <v>4425</v>
      </c>
      <c r="B1244" s="14" t="s">
        <v>4426</v>
      </c>
      <c r="C1244" s="71" t="str">
        <f t="shared" si="23"/>
        <v>Product Info</v>
      </c>
      <c r="D1244" s="37" t="s">
        <v>5533</v>
      </c>
      <c r="E1244" s="143">
        <v>5</v>
      </c>
      <c r="F1244" s="12" t="s">
        <v>4992</v>
      </c>
      <c r="G1244" s="38">
        <v>4.34</v>
      </c>
      <c r="H1244" s="38">
        <f t="shared" si="24"/>
        <v>3.03</v>
      </c>
      <c r="I1244" s="38">
        <v>3.03</v>
      </c>
      <c r="J1244" s="39"/>
      <c r="K1244" s="143"/>
      <c r="L1244" s="22">
        <v>0</v>
      </c>
      <c r="M1244" s="22">
        <v>0</v>
      </c>
      <c r="N1244" s="20" t="s">
        <v>9307</v>
      </c>
      <c r="O1244" s="16" t="s">
        <v>13917</v>
      </c>
      <c r="P1244" s="143" t="s">
        <v>12556</v>
      </c>
      <c r="Q1244" s="121" t="s">
        <v>14285</v>
      </c>
      <c r="R1244" s="16" t="s">
        <v>14363</v>
      </c>
      <c r="S1244" s="10" t="s">
        <v>194</v>
      </c>
      <c r="T1244" s="28" t="s">
        <v>10398</v>
      </c>
      <c r="U1244" s="20" t="s">
        <v>5359</v>
      </c>
      <c r="V1244" s="16" t="s">
        <v>4425</v>
      </c>
      <c r="W1244" s="11" t="s">
        <v>13938</v>
      </c>
      <c r="X1244" s="174">
        <v>2.31</v>
      </c>
      <c r="Y1244" s="174">
        <v>3.03</v>
      </c>
    </row>
    <row r="1245" spans="1:25" ht="15" customHeight="1" x14ac:dyDescent="0.25">
      <c r="A1245" s="20" t="s">
        <v>7244</v>
      </c>
      <c r="B1245" s="14" t="s">
        <v>7245</v>
      </c>
      <c r="C1245" s="71" t="str">
        <f t="shared" si="23"/>
        <v>Product Info</v>
      </c>
      <c r="D1245" s="37" t="s">
        <v>2341</v>
      </c>
      <c r="E1245" s="143">
        <v>5</v>
      </c>
      <c r="F1245" s="12" t="s">
        <v>4992</v>
      </c>
      <c r="G1245" s="38">
        <v>4.41</v>
      </c>
      <c r="H1245" s="38">
        <f t="shared" si="24"/>
        <v>3.09</v>
      </c>
      <c r="I1245" s="38">
        <v>3.09</v>
      </c>
      <c r="J1245" s="39"/>
      <c r="K1245" s="143"/>
      <c r="L1245" s="22">
        <v>0</v>
      </c>
      <c r="M1245" s="22">
        <v>0</v>
      </c>
      <c r="N1245" s="20" t="s">
        <v>9307</v>
      </c>
      <c r="O1245" s="16" t="s">
        <v>13917</v>
      </c>
      <c r="P1245" s="143" t="s">
        <v>12556</v>
      </c>
      <c r="Q1245" s="121" t="s">
        <v>14285</v>
      </c>
      <c r="R1245" s="16" t="s">
        <v>14363</v>
      </c>
      <c r="S1245" s="10" t="s">
        <v>194</v>
      </c>
      <c r="T1245" s="28" t="s">
        <v>10399</v>
      </c>
      <c r="U1245" s="20" t="s">
        <v>5359</v>
      </c>
      <c r="V1245" s="16" t="s">
        <v>7244</v>
      </c>
      <c r="W1245" s="11" t="s">
        <v>13938</v>
      </c>
      <c r="X1245" s="174">
        <v>2.35</v>
      </c>
      <c r="Y1245" s="174">
        <v>3.09</v>
      </c>
    </row>
    <row r="1246" spans="1:25" ht="15" customHeight="1" x14ac:dyDescent="0.25">
      <c r="A1246" s="20" t="s">
        <v>4869</v>
      </c>
      <c r="B1246" s="14" t="s">
        <v>4870</v>
      </c>
      <c r="C1246" s="71" t="str">
        <f t="shared" si="23"/>
        <v>Product Info</v>
      </c>
      <c r="D1246" s="37" t="s">
        <v>2340</v>
      </c>
      <c r="E1246" s="143">
        <v>5</v>
      </c>
      <c r="F1246" s="12" t="s">
        <v>4992</v>
      </c>
      <c r="G1246" s="38">
        <v>4.41</v>
      </c>
      <c r="H1246" s="38">
        <f t="shared" si="24"/>
        <v>3.09</v>
      </c>
      <c r="I1246" s="38">
        <v>3.09</v>
      </c>
      <c r="J1246" s="39"/>
      <c r="K1246" s="143"/>
      <c r="L1246" s="22">
        <v>0</v>
      </c>
      <c r="M1246" s="22">
        <v>0</v>
      </c>
      <c r="N1246" s="20" t="s">
        <v>9307</v>
      </c>
      <c r="O1246" s="16" t="s">
        <v>13917</v>
      </c>
      <c r="P1246" s="143" t="s">
        <v>12556</v>
      </c>
      <c r="Q1246" s="121" t="s">
        <v>14285</v>
      </c>
      <c r="R1246" s="16" t="s">
        <v>14363</v>
      </c>
      <c r="S1246" s="10" t="s">
        <v>194</v>
      </c>
      <c r="T1246" s="28" t="s">
        <v>10400</v>
      </c>
      <c r="U1246" s="20" t="s">
        <v>5359</v>
      </c>
      <c r="V1246" s="16" t="s">
        <v>4869</v>
      </c>
      <c r="W1246" s="11" t="s">
        <v>13938</v>
      </c>
      <c r="X1246" s="174">
        <v>2.35</v>
      </c>
      <c r="Y1246" s="174">
        <v>3.09</v>
      </c>
    </row>
    <row r="1247" spans="1:25" ht="15" customHeight="1" x14ac:dyDescent="0.25">
      <c r="A1247" s="20" t="s">
        <v>3220</v>
      </c>
      <c r="B1247" s="14" t="s">
        <v>3221</v>
      </c>
      <c r="C1247" s="71" t="str">
        <f t="shared" si="23"/>
        <v>Product Info</v>
      </c>
      <c r="D1247" s="37" t="s">
        <v>2339</v>
      </c>
      <c r="E1247" s="143">
        <v>5</v>
      </c>
      <c r="F1247" s="12" t="s">
        <v>4992</v>
      </c>
      <c r="G1247" s="38">
        <v>4.41</v>
      </c>
      <c r="H1247" s="38">
        <f t="shared" si="24"/>
        <v>3.09</v>
      </c>
      <c r="I1247" s="38">
        <v>3.09</v>
      </c>
      <c r="J1247" s="39"/>
      <c r="K1247" s="143"/>
      <c r="L1247" s="22">
        <v>0</v>
      </c>
      <c r="M1247" s="22">
        <v>0</v>
      </c>
      <c r="N1247" s="20" t="s">
        <v>9307</v>
      </c>
      <c r="O1247" s="16" t="s">
        <v>13917</v>
      </c>
      <c r="P1247" s="143" t="s">
        <v>12556</v>
      </c>
      <c r="Q1247" s="121" t="s">
        <v>14285</v>
      </c>
      <c r="R1247" s="16" t="s">
        <v>14363</v>
      </c>
      <c r="S1247" s="10" t="s">
        <v>194</v>
      </c>
      <c r="T1247" s="28" t="s">
        <v>10401</v>
      </c>
      <c r="U1247" s="20" t="s">
        <v>5359</v>
      </c>
      <c r="V1247" s="16" t="s">
        <v>3220</v>
      </c>
      <c r="W1247" s="11" t="s">
        <v>13938</v>
      </c>
      <c r="X1247" s="174">
        <v>2.35</v>
      </c>
      <c r="Y1247" s="174">
        <v>3.09</v>
      </c>
    </row>
    <row r="1248" spans="1:25" ht="15" customHeight="1" x14ac:dyDescent="0.25">
      <c r="A1248" s="20" t="s">
        <v>4139</v>
      </c>
      <c r="B1248" s="14" t="s">
        <v>4140</v>
      </c>
      <c r="C1248" s="71" t="str">
        <f t="shared" si="23"/>
        <v>Product Info</v>
      </c>
      <c r="D1248" s="37" t="s">
        <v>3207</v>
      </c>
      <c r="E1248" s="143">
        <v>1000</v>
      </c>
      <c r="F1248" s="12" t="s">
        <v>4992</v>
      </c>
      <c r="G1248" s="38">
        <v>0.65</v>
      </c>
      <c r="H1248" s="38">
        <f t="shared" si="24"/>
        <v>0.45</v>
      </c>
      <c r="I1248" s="38">
        <v>0.45</v>
      </c>
      <c r="J1248" s="39"/>
      <c r="K1248" s="143"/>
      <c r="L1248" s="22">
        <v>0</v>
      </c>
      <c r="M1248" s="22">
        <v>0</v>
      </c>
      <c r="N1248" s="20" t="s">
        <v>14489</v>
      </c>
      <c r="O1248" s="16">
        <v>0</v>
      </c>
      <c r="P1248" s="143" t="s">
        <v>12556</v>
      </c>
      <c r="Q1248" s="121" t="s">
        <v>14285</v>
      </c>
      <c r="R1248" s="16" t="s">
        <v>14363</v>
      </c>
      <c r="S1248" s="10" t="s">
        <v>194</v>
      </c>
      <c r="T1248" s="28" t="s">
        <v>10402</v>
      </c>
      <c r="U1248" s="20" t="s">
        <v>5359</v>
      </c>
      <c r="V1248" s="16" t="s">
        <v>4139</v>
      </c>
      <c r="W1248" s="11" t="s">
        <v>13938</v>
      </c>
      <c r="X1248" s="174">
        <v>0.34</v>
      </c>
      <c r="Y1248" s="174">
        <v>0.45</v>
      </c>
    </row>
    <row r="1249" spans="1:25" ht="15" customHeight="1" x14ac:dyDescent="0.25">
      <c r="A1249" s="20" t="s">
        <v>5917</v>
      </c>
      <c r="B1249" s="14" t="s">
        <v>5918</v>
      </c>
      <c r="C1249" s="71" t="str">
        <f t="shared" si="23"/>
        <v>Product Info</v>
      </c>
      <c r="D1249" s="37" t="s">
        <v>7079</v>
      </c>
      <c r="E1249" s="143">
        <v>100</v>
      </c>
      <c r="F1249" s="12" t="s">
        <v>4992</v>
      </c>
      <c r="G1249" s="38">
        <v>0.59</v>
      </c>
      <c r="H1249" s="38">
        <f t="shared" si="24"/>
        <v>0.41</v>
      </c>
      <c r="I1249" s="38">
        <v>0.41</v>
      </c>
      <c r="J1249" s="39"/>
      <c r="K1249" s="143"/>
      <c r="L1249" s="22">
        <v>0</v>
      </c>
      <c r="M1249" s="22">
        <v>0</v>
      </c>
      <c r="N1249" s="20" t="s">
        <v>14489</v>
      </c>
      <c r="O1249" s="16">
        <v>0</v>
      </c>
      <c r="P1249" s="143" t="s">
        <v>12556</v>
      </c>
      <c r="Q1249" s="121" t="s">
        <v>14285</v>
      </c>
      <c r="R1249" s="16" t="s">
        <v>14363</v>
      </c>
      <c r="S1249" s="10" t="s">
        <v>194</v>
      </c>
      <c r="T1249" s="28" t="s">
        <v>10403</v>
      </c>
      <c r="U1249" s="20" t="s">
        <v>5359</v>
      </c>
      <c r="V1249" s="16" t="s">
        <v>5917</v>
      </c>
      <c r="W1249" s="11" t="s">
        <v>13938</v>
      </c>
      <c r="X1249" s="174">
        <v>0.31</v>
      </c>
      <c r="Y1249" s="174">
        <v>0.41</v>
      </c>
    </row>
    <row r="1250" spans="1:25" ht="15" customHeight="1" x14ac:dyDescent="0.25">
      <c r="A1250" s="20" t="s">
        <v>5919</v>
      </c>
      <c r="B1250" s="14" t="s">
        <v>5920</v>
      </c>
      <c r="C1250" s="71" t="str">
        <f t="shared" si="23"/>
        <v>Product Info</v>
      </c>
      <c r="D1250" s="37" t="s">
        <v>4094</v>
      </c>
      <c r="E1250" s="143">
        <v>5</v>
      </c>
      <c r="F1250" s="12" t="s">
        <v>4992</v>
      </c>
      <c r="G1250" s="38">
        <v>5.36</v>
      </c>
      <c r="H1250" s="38">
        <f t="shared" si="24"/>
        <v>3.75</v>
      </c>
      <c r="I1250" s="38">
        <v>3.75</v>
      </c>
      <c r="J1250" s="39">
        <v>1440</v>
      </c>
      <c r="K1250" s="143"/>
      <c r="L1250" s="22">
        <v>0</v>
      </c>
      <c r="M1250" s="22">
        <v>0</v>
      </c>
      <c r="N1250" s="20" t="s">
        <v>9308</v>
      </c>
      <c r="O1250" s="16" t="s">
        <v>13917</v>
      </c>
      <c r="P1250" s="143" t="s">
        <v>12556</v>
      </c>
      <c r="Q1250" s="122" t="s">
        <v>14461</v>
      </c>
      <c r="R1250" s="16" t="s">
        <v>14363</v>
      </c>
      <c r="S1250" s="10" t="s">
        <v>194</v>
      </c>
      <c r="T1250" s="28" t="s">
        <v>10404</v>
      </c>
      <c r="U1250" s="20" t="s">
        <v>5359</v>
      </c>
      <c r="V1250" s="16" t="s">
        <v>5919</v>
      </c>
      <c r="W1250" s="11" t="s">
        <v>13938</v>
      </c>
      <c r="X1250" s="174">
        <v>2.86</v>
      </c>
      <c r="Y1250" s="174">
        <v>3.75</v>
      </c>
    </row>
    <row r="1251" spans="1:25" ht="15" customHeight="1" x14ac:dyDescent="0.25">
      <c r="A1251" s="20" t="s">
        <v>4420</v>
      </c>
      <c r="B1251" s="14" t="s">
        <v>4421</v>
      </c>
      <c r="C1251" s="71" t="str">
        <f t="shared" si="23"/>
        <v>Product Info</v>
      </c>
      <c r="D1251" s="37" t="s">
        <v>4095</v>
      </c>
      <c r="E1251" s="143">
        <v>5</v>
      </c>
      <c r="F1251" s="12" t="s">
        <v>4992</v>
      </c>
      <c r="G1251" s="38">
        <v>4.5199999999999996</v>
      </c>
      <c r="H1251" s="38">
        <f t="shared" si="24"/>
        <v>3.16</v>
      </c>
      <c r="I1251" s="38">
        <v>3.16</v>
      </c>
      <c r="J1251" s="39">
        <v>3000</v>
      </c>
      <c r="K1251" s="143"/>
      <c r="L1251" s="22">
        <v>0</v>
      </c>
      <c r="M1251" s="22">
        <v>0</v>
      </c>
      <c r="N1251" s="20" t="s">
        <v>9308</v>
      </c>
      <c r="O1251" s="16" t="s">
        <v>13917</v>
      </c>
      <c r="P1251" s="143" t="s">
        <v>12556</v>
      </c>
      <c r="Q1251" s="122" t="s">
        <v>14461</v>
      </c>
      <c r="R1251" s="16" t="s">
        <v>14363</v>
      </c>
      <c r="S1251" s="10" t="s">
        <v>194</v>
      </c>
      <c r="T1251" s="28" t="s">
        <v>10405</v>
      </c>
      <c r="U1251" s="20" t="s">
        <v>5359</v>
      </c>
      <c r="V1251" s="16" t="s">
        <v>4420</v>
      </c>
      <c r="W1251" s="11" t="s">
        <v>13938</v>
      </c>
      <c r="X1251" s="174">
        <v>2.41</v>
      </c>
      <c r="Y1251" s="174">
        <v>3.16</v>
      </c>
    </row>
    <row r="1252" spans="1:25" ht="15" customHeight="1" x14ac:dyDescent="0.25">
      <c r="A1252" s="20" t="s">
        <v>5853</v>
      </c>
      <c r="B1252" s="14" t="s">
        <v>5852</v>
      </c>
      <c r="C1252" s="71" t="str">
        <f t="shared" si="23"/>
        <v>Product Info</v>
      </c>
      <c r="D1252" s="37" t="s">
        <v>5858</v>
      </c>
      <c r="E1252" s="143">
        <v>5</v>
      </c>
      <c r="F1252" s="12" t="s">
        <v>4992</v>
      </c>
      <c r="G1252" s="38">
        <v>2.91</v>
      </c>
      <c r="H1252" s="38">
        <f t="shared" si="24"/>
        <v>2.04</v>
      </c>
      <c r="I1252" s="38">
        <v>2.04</v>
      </c>
      <c r="J1252" s="39">
        <v>3000</v>
      </c>
      <c r="K1252" s="143"/>
      <c r="L1252" s="22">
        <v>0</v>
      </c>
      <c r="M1252" s="22" t="s">
        <v>14396</v>
      </c>
      <c r="N1252" s="20" t="s">
        <v>9307</v>
      </c>
      <c r="O1252" s="16" t="s">
        <v>13917</v>
      </c>
      <c r="P1252" s="143" t="s">
        <v>12556</v>
      </c>
      <c r="Q1252" s="122" t="s">
        <v>14461</v>
      </c>
      <c r="R1252" s="16" t="s">
        <v>14363</v>
      </c>
      <c r="S1252" s="10" t="s">
        <v>194</v>
      </c>
      <c r="T1252" s="28" t="s">
        <v>10406</v>
      </c>
      <c r="U1252" s="20" t="s">
        <v>5359</v>
      </c>
      <c r="V1252" s="16" t="s">
        <v>5853</v>
      </c>
      <c r="W1252" s="11" t="s">
        <v>13938</v>
      </c>
      <c r="X1252" s="174">
        <v>1.55</v>
      </c>
      <c r="Y1252" s="174">
        <v>2.04</v>
      </c>
    </row>
    <row r="1253" spans="1:25" ht="15" customHeight="1" x14ac:dyDescent="0.25">
      <c r="A1253" s="20" t="s">
        <v>4502</v>
      </c>
      <c r="B1253" s="14" t="s">
        <v>4503</v>
      </c>
      <c r="C1253" s="71" t="str">
        <f t="shared" si="23"/>
        <v>Product Info</v>
      </c>
      <c r="D1253" s="37" t="s">
        <v>5247</v>
      </c>
      <c r="E1253" s="143">
        <v>25</v>
      </c>
      <c r="F1253" s="12" t="s">
        <v>4992</v>
      </c>
      <c r="G1253" s="38">
        <v>4.4400000000000004</v>
      </c>
      <c r="H1253" s="38">
        <f t="shared" si="24"/>
        <v>3.11</v>
      </c>
      <c r="I1253" s="38">
        <v>3.11</v>
      </c>
      <c r="J1253" s="39"/>
      <c r="K1253" s="143"/>
      <c r="L1253" s="22">
        <v>0</v>
      </c>
      <c r="M1253" s="22">
        <v>0</v>
      </c>
      <c r="N1253" s="20" t="s">
        <v>14489</v>
      </c>
      <c r="O1253" s="16" t="s">
        <v>12608</v>
      </c>
      <c r="P1253" s="143" t="s">
        <v>12556</v>
      </c>
      <c r="Q1253" s="121" t="s">
        <v>14285</v>
      </c>
      <c r="R1253" s="16" t="s">
        <v>14363</v>
      </c>
      <c r="S1253" s="10" t="s">
        <v>194</v>
      </c>
      <c r="T1253" s="28" t="s">
        <v>10407</v>
      </c>
      <c r="U1253" s="20" t="s">
        <v>5359</v>
      </c>
      <c r="V1253" s="16" t="s">
        <v>4502</v>
      </c>
      <c r="W1253" s="11" t="s">
        <v>13938</v>
      </c>
      <c r="X1253" s="174">
        <v>2.37</v>
      </c>
      <c r="Y1253" s="174">
        <v>3.11</v>
      </c>
    </row>
    <row r="1254" spans="1:25" ht="15" customHeight="1" x14ac:dyDescent="0.25">
      <c r="A1254" s="20" t="s">
        <v>5248</v>
      </c>
      <c r="B1254" s="14" t="s">
        <v>5249</v>
      </c>
      <c r="C1254" s="71" t="str">
        <f t="shared" si="23"/>
        <v>Product Info</v>
      </c>
      <c r="D1254" s="37" t="s">
        <v>5250</v>
      </c>
      <c r="E1254" s="143">
        <v>40</v>
      </c>
      <c r="F1254" s="12" t="s">
        <v>4992</v>
      </c>
      <c r="G1254" s="38">
        <v>6.5</v>
      </c>
      <c r="H1254" s="38">
        <f t="shared" si="24"/>
        <v>4.55</v>
      </c>
      <c r="I1254" s="38">
        <v>4.55</v>
      </c>
      <c r="J1254" s="39"/>
      <c r="K1254" s="143"/>
      <c r="L1254" s="22">
        <v>0</v>
      </c>
      <c r="M1254" s="22">
        <v>0</v>
      </c>
      <c r="N1254" s="20" t="s">
        <v>14489</v>
      </c>
      <c r="O1254" s="16">
        <v>0</v>
      </c>
      <c r="P1254" s="143" t="s">
        <v>12556</v>
      </c>
      <c r="Q1254" s="121" t="s">
        <v>14285</v>
      </c>
      <c r="R1254" s="16" t="s">
        <v>14363</v>
      </c>
      <c r="S1254" s="10" t="s">
        <v>194</v>
      </c>
      <c r="T1254" s="28" t="s">
        <v>10408</v>
      </c>
      <c r="U1254" s="20" t="s">
        <v>5359</v>
      </c>
      <c r="V1254" s="16" t="s">
        <v>5248</v>
      </c>
      <c r="W1254" s="11" t="s">
        <v>13938</v>
      </c>
      <c r="X1254" s="174">
        <v>3.46</v>
      </c>
      <c r="Y1254" s="174">
        <v>4.55</v>
      </c>
    </row>
    <row r="1255" spans="1:25" ht="15" customHeight="1" x14ac:dyDescent="0.25">
      <c r="A1255" s="20" t="s">
        <v>4875</v>
      </c>
      <c r="B1255" s="14" t="s">
        <v>4876</v>
      </c>
      <c r="C1255" s="71" t="str">
        <f t="shared" si="23"/>
        <v>Product Info</v>
      </c>
      <c r="D1255" s="37" t="s">
        <v>7764</v>
      </c>
      <c r="E1255" s="143">
        <v>100</v>
      </c>
      <c r="F1255" s="12" t="s">
        <v>4992</v>
      </c>
      <c r="G1255" s="38">
        <v>0.9</v>
      </c>
      <c r="H1255" s="38">
        <f t="shared" si="24"/>
        <v>0.63</v>
      </c>
      <c r="I1255" s="38">
        <v>0.63</v>
      </c>
      <c r="J1255" s="39"/>
      <c r="K1255" s="143"/>
      <c r="L1255" s="22">
        <v>0</v>
      </c>
      <c r="M1255" s="22">
        <v>0</v>
      </c>
      <c r="N1255" s="20" t="s">
        <v>14489</v>
      </c>
      <c r="O1255" s="16">
        <v>0</v>
      </c>
      <c r="P1255" s="143" t="s">
        <v>12556</v>
      </c>
      <c r="Q1255" s="121" t="s">
        <v>14285</v>
      </c>
      <c r="R1255" s="16" t="s">
        <v>14363</v>
      </c>
      <c r="S1255" s="10" t="s">
        <v>194</v>
      </c>
      <c r="T1255" s="28" t="s">
        <v>10409</v>
      </c>
      <c r="U1255" s="20" t="s">
        <v>5359</v>
      </c>
      <c r="V1255" s="16" t="s">
        <v>4875</v>
      </c>
      <c r="W1255" s="11" t="s">
        <v>13938</v>
      </c>
      <c r="X1255" s="174">
        <v>0.48</v>
      </c>
      <c r="Y1255" s="174">
        <v>0.63</v>
      </c>
    </row>
    <row r="1256" spans="1:25" ht="15" customHeight="1" x14ac:dyDescent="0.25">
      <c r="A1256" s="20" t="s">
        <v>7765</v>
      </c>
      <c r="B1256" s="14" t="s">
        <v>6961</v>
      </c>
      <c r="C1256" s="71" t="str">
        <f t="shared" si="23"/>
        <v>Product Info</v>
      </c>
      <c r="D1256" s="37" t="s">
        <v>6962</v>
      </c>
      <c r="E1256" s="143">
        <v>100</v>
      </c>
      <c r="F1256" s="12" t="s">
        <v>4992</v>
      </c>
      <c r="G1256" s="38">
        <v>1.25</v>
      </c>
      <c r="H1256" s="38">
        <f t="shared" si="24"/>
        <v>0.87</v>
      </c>
      <c r="I1256" s="38">
        <v>0.87</v>
      </c>
      <c r="J1256" s="39"/>
      <c r="K1256" s="143"/>
      <c r="L1256" s="22">
        <v>0</v>
      </c>
      <c r="M1256" s="22">
        <v>0</v>
      </c>
      <c r="N1256" s="20" t="s">
        <v>14489</v>
      </c>
      <c r="O1256" s="16">
        <v>0</v>
      </c>
      <c r="P1256" s="143" t="s">
        <v>12556</v>
      </c>
      <c r="Q1256" s="121" t="s">
        <v>14285</v>
      </c>
      <c r="R1256" s="16" t="s">
        <v>14363</v>
      </c>
      <c r="S1256" s="10" t="s">
        <v>194</v>
      </c>
      <c r="T1256" s="28" t="s">
        <v>10410</v>
      </c>
      <c r="U1256" s="20" t="s">
        <v>5359</v>
      </c>
      <c r="V1256" s="16" t="s">
        <v>7765</v>
      </c>
      <c r="W1256" s="11" t="s">
        <v>13938</v>
      </c>
      <c r="X1256" s="174">
        <v>0.66</v>
      </c>
      <c r="Y1256" s="174">
        <v>0.87</v>
      </c>
    </row>
    <row r="1257" spans="1:25" ht="15" customHeight="1" x14ac:dyDescent="0.25">
      <c r="A1257" s="20" t="s">
        <v>6963</v>
      </c>
      <c r="B1257" s="14" t="s">
        <v>6964</v>
      </c>
      <c r="C1257" s="71" t="str">
        <f t="shared" si="23"/>
        <v>Product Info</v>
      </c>
      <c r="D1257" s="37" t="s">
        <v>6965</v>
      </c>
      <c r="E1257" s="143">
        <v>25</v>
      </c>
      <c r="F1257" s="12" t="s">
        <v>4992</v>
      </c>
      <c r="G1257" s="38">
        <v>45.95</v>
      </c>
      <c r="H1257" s="38">
        <f t="shared" si="24"/>
        <v>32.159999999999997</v>
      </c>
      <c r="I1257" s="38">
        <v>32.159999999999997</v>
      </c>
      <c r="J1257" s="39"/>
      <c r="K1257" s="143"/>
      <c r="L1257" s="22">
        <v>0</v>
      </c>
      <c r="M1257" s="22">
        <v>0</v>
      </c>
      <c r="N1257" s="20" t="s">
        <v>14489</v>
      </c>
      <c r="O1257" s="16">
        <v>0</v>
      </c>
      <c r="P1257" s="143" t="s">
        <v>12556</v>
      </c>
      <c r="Q1257" s="121" t="s">
        <v>14285</v>
      </c>
      <c r="R1257" s="16" t="s">
        <v>14363</v>
      </c>
      <c r="S1257" s="10" t="s">
        <v>194</v>
      </c>
      <c r="T1257" s="28" t="s">
        <v>10411</v>
      </c>
      <c r="U1257" s="20" t="s">
        <v>5359</v>
      </c>
      <c r="V1257" s="16" t="s">
        <v>6963</v>
      </c>
      <c r="W1257" s="11" t="s">
        <v>13938</v>
      </c>
      <c r="X1257" s="174">
        <v>24.5</v>
      </c>
      <c r="Y1257" s="174">
        <v>32.159999999999997</v>
      </c>
    </row>
    <row r="1258" spans="1:25" ht="15" customHeight="1" x14ac:dyDescent="0.25">
      <c r="A1258" s="20" t="s">
        <v>3393</v>
      </c>
      <c r="B1258" s="14" t="s">
        <v>3394</v>
      </c>
      <c r="C1258" s="71" t="str">
        <f t="shared" si="23"/>
        <v>Product Info</v>
      </c>
      <c r="D1258" s="37" t="s">
        <v>3395</v>
      </c>
      <c r="E1258" s="143">
        <v>100</v>
      </c>
      <c r="F1258" s="12" t="s">
        <v>4992</v>
      </c>
      <c r="G1258" s="38">
        <v>4.38</v>
      </c>
      <c r="H1258" s="38">
        <f t="shared" si="24"/>
        <v>3.07</v>
      </c>
      <c r="I1258" s="38">
        <v>3.07</v>
      </c>
      <c r="J1258" s="39"/>
      <c r="K1258" s="143"/>
      <c r="L1258" s="22">
        <v>0</v>
      </c>
      <c r="M1258" s="22">
        <v>0</v>
      </c>
      <c r="N1258" s="20" t="s">
        <v>14489</v>
      </c>
      <c r="O1258" s="16">
        <v>0</v>
      </c>
      <c r="P1258" s="143" t="s">
        <v>12556</v>
      </c>
      <c r="Q1258" s="121" t="s">
        <v>14285</v>
      </c>
      <c r="R1258" s="16" t="s">
        <v>14363</v>
      </c>
      <c r="S1258" s="10" t="s">
        <v>194</v>
      </c>
      <c r="T1258" s="28" t="s">
        <v>10412</v>
      </c>
      <c r="U1258" s="20" t="s">
        <v>5359</v>
      </c>
      <c r="V1258" s="16" t="s">
        <v>3393</v>
      </c>
      <c r="W1258" s="11" t="s">
        <v>13938</v>
      </c>
      <c r="X1258" s="174">
        <v>2.34</v>
      </c>
      <c r="Y1258" s="174">
        <v>3.07</v>
      </c>
    </row>
    <row r="1259" spans="1:25" ht="15" customHeight="1" x14ac:dyDescent="0.25">
      <c r="A1259" s="20" t="s">
        <v>1420</v>
      </c>
      <c r="B1259" s="14" t="s">
        <v>1421</v>
      </c>
      <c r="C1259" s="71" t="str">
        <f t="shared" si="23"/>
        <v>Product Info</v>
      </c>
      <c r="D1259" s="37" t="s">
        <v>1422</v>
      </c>
      <c r="E1259" s="143">
        <v>100</v>
      </c>
      <c r="F1259" s="12" t="s">
        <v>4992</v>
      </c>
      <c r="G1259" s="38">
        <v>0.66</v>
      </c>
      <c r="H1259" s="38">
        <f t="shared" si="24"/>
        <v>0.46</v>
      </c>
      <c r="I1259" s="38">
        <v>0.46</v>
      </c>
      <c r="J1259" s="39"/>
      <c r="K1259" s="143"/>
      <c r="L1259" s="22">
        <v>0</v>
      </c>
      <c r="M1259" s="22">
        <v>0</v>
      </c>
      <c r="N1259" s="20" t="s">
        <v>14489</v>
      </c>
      <c r="O1259" s="16">
        <v>0</v>
      </c>
      <c r="P1259" s="143" t="s">
        <v>12556</v>
      </c>
      <c r="Q1259" s="121" t="s">
        <v>14285</v>
      </c>
      <c r="R1259" s="16" t="s">
        <v>14363</v>
      </c>
      <c r="S1259" s="10" t="s">
        <v>194</v>
      </c>
      <c r="T1259" s="28" t="s">
        <v>10413</v>
      </c>
      <c r="U1259" s="20" t="s">
        <v>5359</v>
      </c>
      <c r="V1259" s="16" t="s">
        <v>1420</v>
      </c>
      <c r="W1259" s="11" t="s">
        <v>13938</v>
      </c>
      <c r="X1259" s="174">
        <v>0.35</v>
      </c>
      <c r="Y1259" s="174">
        <v>0.46</v>
      </c>
    </row>
    <row r="1260" spans="1:25" ht="15" customHeight="1" x14ac:dyDescent="0.25">
      <c r="A1260" s="20" t="s">
        <v>3518</v>
      </c>
      <c r="B1260" s="14" t="s">
        <v>3519</v>
      </c>
      <c r="C1260" s="71" t="str">
        <f t="shared" si="23"/>
        <v>Product Info</v>
      </c>
      <c r="D1260" s="37" t="s">
        <v>3520</v>
      </c>
      <c r="E1260" s="143">
        <v>25</v>
      </c>
      <c r="F1260" s="12" t="s">
        <v>4992</v>
      </c>
      <c r="G1260" s="38">
        <v>0.75</v>
      </c>
      <c r="H1260" s="38">
        <f t="shared" si="24"/>
        <v>0.53</v>
      </c>
      <c r="I1260" s="38">
        <v>0.53</v>
      </c>
      <c r="J1260" s="39"/>
      <c r="K1260" s="143"/>
      <c r="L1260" s="22">
        <v>0</v>
      </c>
      <c r="M1260" s="22">
        <v>0</v>
      </c>
      <c r="N1260" s="20" t="s">
        <v>14489</v>
      </c>
      <c r="O1260" s="16">
        <v>0</v>
      </c>
      <c r="P1260" s="143" t="s">
        <v>12556</v>
      </c>
      <c r="Q1260" s="122" t="s">
        <v>12421</v>
      </c>
      <c r="R1260" s="16" t="s">
        <v>14363</v>
      </c>
      <c r="S1260" s="10" t="s">
        <v>194</v>
      </c>
      <c r="T1260" s="28" t="s">
        <v>10414</v>
      </c>
      <c r="U1260" s="20" t="s">
        <v>5359</v>
      </c>
      <c r="V1260" s="16" t="s">
        <v>3518</v>
      </c>
      <c r="W1260" s="11" t="s">
        <v>13938</v>
      </c>
      <c r="X1260" s="174">
        <v>0.4</v>
      </c>
      <c r="Y1260" s="174">
        <v>0.53</v>
      </c>
    </row>
    <row r="1261" spans="1:25" ht="15" customHeight="1" x14ac:dyDescent="0.25">
      <c r="A1261" s="20" t="s">
        <v>3521</v>
      </c>
      <c r="B1261" s="14" t="s">
        <v>3522</v>
      </c>
      <c r="C1261" s="71" t="str">
        <f t="shared" si="23"/>
        <v>Product Info</v>
      </c>
      <c r="D1261" s="37" t="s">
        <v>3523</v>
      </c>
      <c r="E1261" s="143">
        <v>25</v>
      </c>
      <c r="F1261" s="12" t="s">
        <v>4992</v>
      </c>
      <c r="G1261" s="38">
        <v>0.75</v>
      </c>
      <c r="H1261" s="38">
        <f t="shared" si="24"/>
        <v>0.53</v>
      </c>
      <c r="I1261" s="38">
        <v>0.53</v>
      </c>
      <c r="J1261" s="39"/>
      <c r="K1261" s="143"/>
      <c r="L1261" s="22">
        <v>0</v>
      </c>
      <c r="M1261" s="22">
        <v>0</v>
      </c>
      <c r="N1261" s="20" t="s">
        <v>14489</v>
      </c>
      <c r="O1261" s="16">
        <v>0</v>
      </c>
      <c r="P1261" s="143" t="s">
        <v>12556</v>
      </c>
      <c r="Q1261" s="121" t="s">
        <v>14285</v>
      </c>
      <c r="R1261" s="16" t="s">
        <v>14363</v>
      </c>
      <c r="S1261" s="10" t="s">
        <v>194</v>
      </c>
      <c r="T1261" s="28" t="s">
        <v>10415</v>
      </c>
      <c r="U1261" s="20" t="s">
        <v>5359</v>
      </c>
      <c r="V1261" s="16" t="s">
        <v>3521</v>
      </c>
      <c r="W1261" s="11" t="s">
        <v>13938</v>
      </c>
      <c r="X1261" s="174">
        <v>0.4</v>
      </c>
      <c r="Y1261" s="174">
        <v>0.53</v>
      </c>
    </row>
    <row r="1262" spans="1:25" ht="15" customHeight="1" x14ac:dyDescent="0.25">
      <c r="A1262" s="20" t="s">
        <v>3524</v>
      </c>
      <c r="B1262" s="14" t="s">
        <v>6647</v>
      </c>
      <c r="C1262" s="71" t="str">
        <f t="shared" si="23"/>
        <v>Product Info</v>
      </c>
      <c r="D1262" s="37" t="s">
        <v>6648</v>
      </c>
      <c r="E1262" s="143">
        <v>100</v>
      </c>
      <c r="F1262" s="12" t="s">
        <v>4992</v>
      </c>
      <c r="G1262" s="38">
        <v>1.55</v>
      </c>
      <c r="H1262" s="38">
        <f t="shared" si="24"/>
        <v>1.08</v>
      </c>
      <c r="I1262" s="38">
        <v>1.08</v>
      </c>
      <c r="J1262" s="39"/>
      <c r="K1262" s="143"/>
      <c r="L1262" s="22">
        <v>0</v>
      </c>
      <c r="M1262" s="22">
        <v>0</v>
      </c>
      <c r="N1262" s="20" t="s">
        <v>14489</v>
      </c>
      <c r="O1262" s="16">
        <v>0</v>
      </c>
      <c r="P1262" s="143" t="s">
        <v>12556</v>
      </c>
      <c r="Q1262" s="122" t="s">
        <v>9227</v>
      </c>
      <c r="R1262" s="16" t="s">
        <v>14363</v>
      </c>
      <c r="S1262" s="10" t="s">
        <v>194</v>
      </c>
      <c r="T1262" s="28" t="s">
        <v>10416</v>
      </c>
      <c r="U1262" s="20" t="s">
        <v>5359</v>
      </c>
      <c r="V1262" s="16" t="s">
        <v>3524</v>
      </c>
      <c r="W1262" s="11" t="s">
        <v>13938</v>
      </c>
      <c r="X1262" s="174">
        <v>0.82</v>
      </c>
      <c r="Y1262" s="174">
        <v>1.08</v>
      </c>
    </row>
    <row r="1263" spans="1:25" ht="15" customHeight="1" x14ac:dyDescent="0.25">
      <c r="A1263" s="20" t="s">
        <v>5535</v>
      </c>
      <c r="B1263" s="14" t="s">
        <v>5536</v>
      </c>
      <c r="C1263" s="71" t="str">
        <f t="shared" si="23"/>
        <v>Product Info</v>
      </c>
      <c r="D1263" s="37" t="s">
        <v>5537</v>
      </c>
      <c r="E1263" s="143">
        <v>100</v>
      </c>
      <c r="F1263" s="12" t="s">
        <v>4992</v>
      </c>
      <c r="G1263" s="38">
        <v>1.55</v>
      </c>
      <c r="H1263" s="38">
        <f t="shared" si="24"/>
        <v>1.08</v>
      </c>
      <c r="I1263" s="38">
        <v>1.08</v>
      </c>
      <c r="J1263" s="39"/>
      <c r="K1263" s="143"/>
      <c r="L1263" s="22">
        <v>0</v>
      </c>
      <c r="M1263" s="22">
        <v>0</v>
      </c>
      <c r="N1263" s="20" t="s">
        <v>14489</v>
      </c>
      <c r="O1263" s="16">
        <v>0</v>
      </c>
      <c r="P1263" s="143" t="s">
        <v>12556</v>
      </c>
      <c r="Q1263" s="122" t="s">
        <v>12421</v>
      </c>
      <c r="R1263" s="16" t="s">
        <v>14363</v>
      </c>
      <c r="S1263" s="10" t="s">
        <v>194</v>
      </c>
      <c r="T1263" s="28" t="s">
        <v>10417</v>
      </c>
      <c r="U1263" s="20" t="s">
        <v>5359</v>
      </c>
      <c r="V1263" s="16" t="s">
        <v>5535</v>
      </c>
      <c r="W1263" s="11" t="s">
        <v>13938</v>
      </c>
      <c r="X1263" s="174">
        <v>0.82</v>
      </c>
      <c r="Y1263" s="174">
        <v>1.08</v>
      </c>
    </row>
    <row r="1264" spans="1:25" ht="15" customHeight="1" x14ac:dyDescent="0.25">
      <c r="A1264" s="20" t="s">
        <v>4784</v>
      </c>
      <c r="B1264" s="14" t="s">
        <v>4785</v>
      </c>
      <c r="C1264" s="71" t="str">
        <f t="shared" si="23"/>
        <v>Product Info</v>
      </c>
      <c r="D1264" s="37" t="s">
        <v>4786</v>
      </c>
      <c r="E1264" s="143">
        <v>100</v>
      </c>
      <c r="F1264" s="12" t="s">
        <v>4992</v>
      </c>
      <c r="G1264" s="38">
        <v>2.48</v>
      </c>
      <c r="H1264" s="38">
        <f t="shared" si="24"/>
        <v>1.73</v>
      </c>
      <c r="I1264" s="38">
        <v>1.73</v>
      </c>
      <c r="J1264" s="39"/>
      <c r="K1264" s="143"/>
      <c r="L1264" s="22">
        <v>0</v>
      </c>
      <c r="M1264" s="22">
        <v>0</v>
      </c>
      <c r="N1264" s="20" t="s">
        <v>14489</v>
      </c>
      <c r="O1264" s="16">
        <v>0</v>
      </c>
      <c r="P1264" s="143" t="s">
        <v>12556</v>
      </c>
      <c r="Q1264" s="121" t="s">
        <v>14285</v>
      </c>
      <c r="R1264" s="16" t="s">
        <v>14363</v>
      </c>
      <c r="S1264" s="10" t="s">
        <v>194</v>
      </c>
      <c r="T1264" s="28" t="s">
        <v>10418</v>
      </c>
      <c r="U1264" s="20" t="s">
        <v>5359</v>
      </c>
      <c r="V1264" s="16" t="s">
        <v>4784</v>
      </c>
      <c r="W1264" s="11" t="s">
        <v>13938</v>
      </c>
      <c r="X1264" s="174">
        <v>1.32</v>
      </c>
      <c r="Y1264" s="174">
        <v>1.73</v>
      </c>
    </row>
    <row r="1265" spans="1:25" ht="15" customHeight="1" x14ac:dyDescent="0.25">
      <c r="A1265" s="20" t="s">
        <v>2617</v>
      </c>
      <c r="B1265" s="14" t="s">
        <v>2618</v>
      </c>
      <c r="C1265" s="71" t="str">
        <f t="shared" si="23"/>
        <v>Product Info</v>
      </c>
      <c r="D1265" s="37" t="s">
        <v>2619</v>
      </c>
      <c r="E1265" s="143">
        <v>40</v>
      </c>
      <c r="F1265" s="12" t="s">
        <v>4992</v>
      </c>
      <c r="G1265" s="38">
        <v>5.21</v>
      </c>
      <c r="H1265" s="38">
        <f t="shared" si="24"/>
        <v>3.64</v>
      </c>
      <c r="I1265" s="38">
        <v>3.64</v>
      </c>
      <c r="J1265" s="39"/>
      <c r="K1265" s="143"/>
      <c r="L1265" s="22">
        <v>0</v>
      </c>
      <c r="M1265" s="22">
        <v>0</v>
      </c>
      <c r="N1265" s="20" t="s">
        <v>14489</v>
      </c>
      <c r="O1265" s="16">
        <v>0</v>
      </c>
      <c r="P1265" s="143" t="s">
        <v>12556</v>
      </c>
      <c r="Q1265" s="121" t="s">
        <v>14285</v>
      </c>
      <c r="R1265" s="16" t="s">
        <v>14363</v>
      </c>
      <c r="S1265" s="10" t="s">
        <v>194</v>
      </c>
      <c r="T1265" s="28" t="s">
        <v>10419</v>
      </c>
      <c r="U1265" s="20" t="s">
        <v>5359</v>
      </c>
      <c r="V1265" s="16" t="s">
        <v>2617</v>
      </c>
      <c r="W1265" s="11" t="s">
        <v>13938</v>
      </c>
      <c r="X1265" s="174">
        <v>2.78</v>
      </c>
      <c r="Y1265" s="174">
        <v>3.64</v>
      </c>
    </row>
    <row r="1266" spans="1:25" ht="15" customHeight="1" x14ac:dyDescent="0.25">
      <c r="A1266" s="20" t="s">
        <v>7344</v>
      </c>
      <c r="B1266" s="14" t="s">
        <v>7345</v>
      </c>
      <c r="C1266" s="71" t="str">
        <f t="shared" si="23"/>
        <v>Product Info</v>
      </c>
      <c r="D1266" s="37" t="s">
        <v>7346</v>
      </c>
      <c r="E1266" s="143">
        <v>5</v>
      </c>
      <c r="F1266" s="12" t="s">
        <v>4992</v>
      </c>
      <c r="G1266" s="38">
        <v>19.95</v>
      </c>
      <c r="H1266" s="38">
        <f t="shared" si="24"/>
        <v>13.97</v>
      </c>
      <c r="I1266" s="38">
        <v>13.97</v>
      </c>
      <c r="J1266" s="39"/>
      <c r="K1266" s="143"/>
      <c r="L1266" s="22">
        <v>0</v>
      </c>
      <c r="M1266" s="22">
        <v>0</v>
      </c>
      <c r="N1266" s="20" t="s">
        <v>14489</v>
      </c>
      <c r="O1266" s="16">
        <v>0</v>
      </c>
      <c r="P1266" s="143" t="s">
        <v>12556</v>
      </c>
      <c r="Q1266" s="121" t="s">
        <v>14285</v>
      </c>
      <c r="R1266" s="16" t="s">
        <v>8904</v>
      </c>
      <c r="S1266" s="10" t="s">
        <v>194</v>
      </c>
      <c r="T1266" s="28" t="s">
        <v>10420</v>
      </c>
      <c r="U1266" s="20" t="s">
        <v>5359</v>
      </c>
      <c r="V1266" s="16" t="s">
        <v>7344</v>
      </c>
      <c r="W1266" s="11" t="s">
        <v>13938</v>
      </c>
      <c r="X1266" s="174">
        <v>10.64</v>
      </c>
      <c r="Y1266" s="174">
        <v>13.97</v>
      </c>
    </row>
    <row r="1267" spans="1:25" ht="15" customHeight="1" x14ac:dyDescent="0.25">
      <c r="A1267" s="20" t="s">
        <v>5950</v>
      </c>
      <c r="B1267" s="14" t="s">
        <v>5951</v>
      </c>
      <c r="C1267" s="71" t="str">
        <f t="shared" si="23"/>
        <v>Product Info</v>
      </c>
      <c r="D1267" s="37" t="s">
        <v>5952</v>
      </c>
      <c r="E1267" s="143">
        <v>10</v>
      </c>
      <c r="F1267" s="12" t="s">
        <v>4992</v>
      </c>
      <c r="G1267" s="38">
        <v>2.5099999999999998</v>
      </c>
      <c r="H1267" s="38">
        <f t="shared" si="24"/>
        <v>1.75</v>
      </c>
      <c r="I1267" s="38">
        <v>1.75</v>
      </c>
      <c r="J1267" s="39"/>
      <c r="K1267" s="143"/>
      <c r="L1267" s="22">
        <v>0</v>
      </c>
      <c r="M1267" s="22">
        <v>0</v>
      </c>
      <c r="N1267" s="20" t="s">
        <v>14489</v>
      </c>
      <c r="O1267" s="16" t="s">
        <v>12608</v>
      </c>
      <c r="P1267" s="143" t="s">
        <v>12556</v>
      </c>
      <c r="Q1267" s="121" t="s">
        <v>14285</v>
      </c>
      <c r="R1267" s="16" t="s">
        <v>14363</v>
      </c>
      <c r="S1267" s="10" t="s">
        <v>194</v>
      </c>
      <c r="T1267" s="28" t="s">
        <v>10421</v>
      </c>
      <c r="U1267" s="20" t="s">
        <v>5359</v>
      </c>
      <c r="V1267" s="16" t="s">
        <v>5950</v>
      </c>
      <c r="W1267" s="11" t="s">
        <v>13938</v>
      </c>
      <c r="X1267" s="174">
        <v>1.34</v>
      </c>
      <c r="Y1267" s="174">
        <v>1.75</v>
      </c>
    </row>
    <row r="1268" spans="1:25" ht="15" customHeight="1" x14ac:dyDescent="0.25">
      <c r="A1268" s="20" t="s">
        <v>4165</v>
      </c>
      <c r="B1268" s="14" t="s">
        <v>4166</v>
      </c>
      <c r="C1268" s="71" t="str">
        <f t="shared" si="23"/>
        <v>Product Info</v>
      </c>
      <c r="D1268" s="37" t="s">
        <v>4167</v>
      </c>
      <c r="E1268" s="143">
        <v>5</v>
      </c>
      <c r="F1268" s="12" t="s">
        <v>4992</v>
      </c>
      <c r="G1268" s="38">
        <v>10.11</v>
      </c>
      <c r="H1268" s="38">
        <f t="shared" si="24"/>
        <v>7.08</v>
      </c>
      <c r="I1268" s="38">
        <v>7.08</v>
      </c>
      <c r="J1268" s="39"/>
      <c r="K1268" s="143"/>
      <c r="L1268" s="22">
        <v>0</v>
      </c>
      <c r="M1268" s="22">
        <v>0</v>
      </c>
      <c r="N1268" s="20" t="s">
        <v>14489</v>
      </c>
      <c r="O1268" s="16" t="s">
        <v>12608</v>
      </c>
      <c r="P1268" s="143" t="s">
        <v>12556</v>
      </c>
      <c r="Q1268" s="121" t="s">
        <v>14285</v>
      </c>
      <c r="R1268" s="16" t="s">
        <v>14363</v>
      </c>
      <c r="S1268" s="10" t="s">
        <v>194</v>
      </c>
      <c r="T1268" s="28" t="s">
        <v>10422</v>
      </c>
      <c r="U1268" s="20" t="s">
        <v>5359</v>
      </c>
      <c r="V1268" s="16" t="s">
        <v>4165</v>
      </c>
      <c r="W1268" s="11" t="s">
        <v>13938</v>
      </c>
      <c r="X1268" s="174">
        <v>5.39</v>
      </c>
      <c r="Y1268" s="174">
        <v>7.08</v>
      </c>
    </row>
    <row r="1269" spans="1:25" ht="15" customHeight="1" x14ac:dyDescent="0.25">
      <c r="A1269" s="20" t="s">
        <v>2006</v>
      </c>
      <c r="B1269" s="14" t="s">
        <v>3368</v>
      </c>
      <c r="C1269" s="71" t="str">
        <f t="shared" si="23"/>
        <v>Product Info</v>
      </c>
      <c r="D1269" s="37" t="s">
        <v>3369</v>
      </c>
      <c r="E1269" s="143">
        <v>10</v>
      </c>
      <c r="F1269" s="12" t="s">
        <v>4992</v>
      </c>
      <c r="G1269" s="38">
        <v>4.7699999999999996</v>
      </c>
      <c r="H1269" s="38">
        <f t="shared" ref="H1269:H1300" si="25">I1269</f>
        <v>3.34</v>
      </c>
      <c r="I1269" s="38">
        <v>3.34</v>
      </c>
      <c r="J1269" s="39"/>
      <c r="K1269" s="143"/>
      <c r="L1269" s="22">
        <v>0</v>
      </c>
      <c r="M1269" s="22">
        <v>0</v>
      </c>
      <c r="N1269" s="20" t="s">
        <v>14489</v>
      </c>
      <c r="O1269" s="16" t="s">
        <v>12608</v>
      </c>
      <c r="P1269" s="143" t="s">
        <v>12556</v>
      </c>
      <c r="Q1269" s="121" t="s">
        <v>14285</v>
      </c>
      <c r="R1269" s="16" t="s">
        <v>14363</v>
      </c>
      <c r="S1269" s="10" t="s">
        <v>194</v>
      </c>
      <c r="T1269" s="28" t="s">
        <v>10423</v>
      </c>
      <c r="U1269" s="20" t="s">
        <v>5359</v>
      </c>
      <c r="V1269" s="16" t="s">
        <v>2006</v>
      </c>
      <c r="W1269" s="11" t="s">
        <v>13938</v>
      </c>
      <c r="X1269" s="174">
        <v>2.54</v>
      </c>
      <c r="Y1269" s="174">
        <v>3.34</v>
      </c>
    </row>
    <row r="1270" spans="1:25" ht="15" customHeight="1" x14ac:dyDescent="0.25">
      <c r="A1270" s="20" t="s">
        <v>4002</v>
      </c>
      <c r="B1270" s="14" t="s">
        <v>4003</v>
      </c>
      <c r="C1270" s="71" t="str">
        <f t="shared" si="23"/>
        <v>Product Info</v>
      </c>
      <c r="D1270" s="37" t="s">
        <v>4004</v>
      </c>
      <c r="E1270" s="143">
        <v>10</v>
      </c>
      <c r="F1270" s="12" t="s">
        <v>4992</v>
      </c>
      <c r="G1270" s="38">
        <v>11.78</v>
      </c>
      <c r="H1270" s="38">
        <f t="shared" si="25"/>
        <v>8.24</v>
      </c>
      <c r="I1270" s="38">
        <v>8.24</v>
      </c>
      <c r="J1270" s="39"/>
      <c r="K1270" s="143"/>
      <c r="L1270" s="22">
        <v>0</v>
      </c>
      <c r="M1270" s="22">
        <v>0</v>
      </c>
      <c r="N1270" s="20" t="s">
        <v>14489</v>
      </c>
      <c r="O1270" s="16" t="s">
        <v>12608</v>
      </c>
      <c r="P1270" s="143" t="s">
        <v>12556</v>
      </c>
      <c r="Q1270" s="121" t="s">
        <v>14285</v>
      </c>
      <c r="R1270" s="16" t="s">
        <v>14363</v>
      </c>
      <c r="S1270" s="10" t="s">
        <v>194</v>
      </c>
      <c r="T1270" s="28" t="s">
        <v>10424</v>
      </c>
      <c r="U1270" s="20" t="s">
        <v>5359</v>
      </c>
      <c r="V1270" s="16" t="s">
        <v>4002</v>
      </c>
      <c r="W1270" s="11" t="s">
        <v>13938</v>
      </c>
      <c r="X1270" s="174">
        <v>6.28</v>
      </c>
      <c r="Y1270" s="174">
        <v>8.24</v>
      </c>
    </row>
    <row r="1271" spans="1:25" ht="15" customHeight="1" x14ac:dyDescent="0.25">
      <c r="A1271" s="20" t="s">
        <v>2392</v>
      </c>
      <c r="B1271" s="14" t="s">
        <v>2393</v>
      </c>
      <c r="C1271" s="71" t="str">
        <f t="shared" si="23"/>
        <v>Product Info</v>
      </c>
      <c r="D1271" s="37" t="s">
        <v>2394</v>
      </c>
      <c r="E1271" s="143">
        <v>10</v>
      </c>
      <c r="F1271" s="12" t="s">
        <v>4992</v>
      </c>
      <c r="G1271" s="38">
        <v>21.62</v>
      </c>
      <c r="H1271" s="38">
        <f t="shared" si="25"/>
        <v>15.13</v>
      </c>
      <c r="I1271" s="38">
        <v>15.13</v>
      </c>
      <c r="J1271" s="39"/>
      <c r="K1271" s="143"/>
      <c r="L1271" s="22">
        <v>0</v>
      </c>
      <c r="M1271" s="22">
        <v>0</v>
      </c>
      <c r="N1271" s="20" t="s">
        <v>14489</v>
      </c>
      <c r="O1271" s="16" t="s">
        <v>12608</v>
      </c>
      <c r="P1271" s="143" t="s">
        <v>12556</v>
      </c>
      <c r="Q1271" s="121" t="s">
        <v>14285</v>
      </c>
      <c r="R1271" s="16" t="s">
        <v>14363</v>
      </c>
      <c r="S1271" s="10" t="s">
        <v>194</v>
      </c>
      <c r="T1271" s="28" t="s">
        <v>10425</v>
      </c>
      <c r="U1271" s="20" t="s">
        <v>5359</v>
      </c>
      <c r="V1271" s="16" t="s">
        <v>2392</v>
      </c>
      <c r="W1271" s="11" t="s">
        <v>13938</v>
      </c>
      <c r="X1271" s="174">
        <v>11.53</v>
      </c>
      <c r="Y1271" s="174">
        <v>15.13</v>
      </c>
    </row>
    <row r="1272" spans="1:25" ht="15" customHeight="1" x14ac:dyDescent="0.25">
      <c r="A1272" s="20" t="s">
        <v>3353</v>
      </c>
      <c r="B1272" s="14" t="s">
        <v>5921</v>
      </c>
      <c r="C1272" s="71" t="str">
        <f t="shared" si="23"/>
        <v>Product Info</v>
      </c>
      <c r="D1272" s="37" t="s">
        <v>5922</v>
      </c>
      <c r="E1272" s="143">
        <v>10</v>
      </c>
      <c r="F1272" s="12" t="s">
        <v>4992</v>
      </c>
      <c r="G1272" s="38">
        <v>20.93</v>
      </c>
      <c r="H1272" s="38">
        <f t="shared" si="25"/>
        <v>14.65</v>
      </c>
      <c r="I1272" s="38">
        <v>14.65</v>
      </c>
      <c r="J1272" s="39"/>
      <c r="K1272" s="143"/>
      <c r="L1272" s="22">
        <v>0</v>
      </c>
      <c r="M1272" s="22">
        <v>0</v>
      </c>
      <c r="N1272" s="20" t="s">
        <v>14489</v>
      </c>
      <c r="O1272" s="16" t="s">
        <v>12608</v>
      </c>
      <c r="P1272" s="143" t="s">
        <v>12556</v>
      </c>
      <c r="Q1272" s="121" t="s">
        <v>14285</v>
      </c>
      <c r="R1272" s="16" t="s">
        <v>14363</v>
      </c>
      <c r="S1272" s="10" t="s">
        <v>194</v>
      </c>
      <c r="T1272" s="28" t="s">
        <v>10426</v>
      </c>
      <c r="U1272" s="20" t="s">
        <v>5359</v>
      </c>
      <c r="V1272" s="16" t="s">
        <v>3353</v>
      </c>
      <c r="W1272" s="11" t="s">
        <v>13938</v>
      </c>
      <c r="X1272" s="174">
        <v>11.16</v>
      </c>
      <c r="Y1272" s="174">
        <v>14.65</v>
      </c>
    </row>
    <row r="1273" spans="1:25" ht="15" customHeight="1" x14ac:dyDescent="0.25">
      <c r="A1273" s="20" t="s">
        <v>6857</v>
      </c>
      <c r="B1273" s="14" t="s">
        <v>6858</v>
      </c>
      <c r="C1273" s="71" t="str">
        <f t="shared" si="23"/>
        <v>Product Info</v>
      </c>
      <c r="D1273" s="37" t="s">
        <v>6859</v>
      </c>
      <c r="E1273" s="143">
        <v>5</v>
      </c>
      <c r="F1273" s="12" t="s">
        <v>4992</v>
      </c>
      <c r="G1273" s="38">
        <v>39.869999999999997</v>
      </c>
      <c r="H1273" s="38">
        <f t="shared" si="25"/>
        <v>27.91</v>
      </c>
      <c r="I1273" s="38">
        <v>27.91</v>
      </c>
      <c r="J1273" s="39"/>
      <c r="K1273" s="143"/>
      <c r="L1273" s="22">
        <v>0</v>
      </c>
      <c r="M1273" s="22">
        <v>0</v>
      </c>
      <c r="N1273" s="20" t="s">
        <v>14489</v>
      </c>
      <c r="O1273" s="16" t="s">
        <v>12608</v>
      </c>
      <c r="P1273" s="143" t="s">
        <v>12556</v>
      </c>
      <c r="Q1273" s="122" t="s">
        <v>9227</v>
      </c>
      <c r="R1273" s="16" t="s">
        <v>8904</v>
      </c>
      <c r="S1273" s="10" t="s">
        <v>194</v>
      </c>
      <c r="T1273" s="28" t="s">
        <v>10427</v>
      </c>
      <c r="U1273" s="20" t="s">
        <v>5359</v>
      </c>
      <c r="V1273" s="16" t="s">
        <v>6857</v>
      </c>
      <c r="W1273" s="11" t="s">
        <v>13938</v>
      </c>
      <c r="X1273" s="174">
        <v>21.26</v>
      </c>
      <c r="Y1273" s="174">
        <v>27.91</v>
      </c>
    </row>
    <row r="1274" spans="1:25" ht="15" customHeight="1" x14ac:dyDescent="0.25">
      <c r="A1274" s="20" t="s">
        <v>5148</v>
      </c>
      <c r="B1274" s="14" t="s">
        <v>5149</v>
      </c>
      <c r="C1274" s="71" t="str">
        <f t="shared" si="23"/>
        <v>Product Info</v>
      </c>
      <c r="D1274" s="37" t="s">
        <v>6451</v>
      </c>
      <c r="E1274" s="143">
        <v>5</v>
      </c>
      <c r="F1274" s="12" t="s">
        <v>4992</v>
      </c>
      <c r="G1274" s="38">
        <v>6.89</v>
      </c>
      <c r="H1274" s="38">
        <f t="shared" si="25"/>
        <v>4.82</v>
      </c>
      <c r="I1274" s="38">
        <v>4.82</v>
      </c>
      <c r="J1274" s="39"/>
      <c r="K1274" s="143"/>
      <c r="L1274" s="22">
        <v>0</v>
      </c>
      <c r="M1274" s="22">
        <v>0</v>
      </c>
      <c r="N1274" s="20" t="s">
        <v>14489</v>
      </c>
      <c r="O1274" s="16">
        <v>0</v>
      </c>
      <c r="P1274" s="143" t="s">
        <v>12556</v>
      </c>
      <c r="Q1274" s="122" t="s">
        <v>9227</v>
      </c>
      <c r="R1274" s="16" t="s">
        <v>14363</v>
      </c>
      <c r="S1274" s="10" t="s">
        <v>194</v>
      </c>
      <c r="T1274" s="28" t="s">
        <v>10428</v>
      </c>
      <c r="U1274" s="20" t="s">
        <v>5359</v>
      </c>
      <c r="V1274" s="16" t="s">
        <v>5148</v>
      </c>
      <c r="W1274" s="11" t="s">
        <v>13938</v>
      </c>
      <c r="X1274" s="174">
        <v>3.67</v>
      </c>
      <c r="Y1274" s="174">
        <v>4.82</v>
      </c>
    </row>
    <row r="1275" spans="1:25" ht="15" customHeight="1" x14ac:dyDescent="0.25">
      <c r="A1275" s="20" t="s">
        <v>5150</v>
      </c>
      <c r="B1275" s="14" t="s">
        <v>5151</v>
      </c>
      <c r="C1275" s="71" t="str">
        <f t="shared" si="23"/>
        <v>Product Info</v>
      </c>
      <c r="D1275" s="37" t="s">
        <v>7078</v>
      </c>
      <c r="E1275" s="143">
        <v>100</v>
      </c>
      <c r="F1275" s="12" t="s">
        <v>4992</v>
      </c>
      <c r="G1275" s="38">
        <v>0.44</v>
      </c>
      <c r="H1275" s="38">
        <f t="shared" si="25"/>
        <v>0.3</v>
      </c>
      <c r="I1275" s="38">
        <v>0.3</v>
      </c>
      <c r="J1275" s="39"/>
      <c r="K1275" s="143"/>
      <c r="L1275" s="22">
        <v>0</v>
      </c>
      <c r="M1275" s="22">
        <v>0</v>
      </c>
      <c r="N1275" s="20" t="s">
        <v>14489</v>
      </c>
      <c r="O1275" s="16">
        <v>0</v>
      </c>
      <c r="P1275" s="143" t="s">
        <v>12556</v>
      </c>
      <c r="Q1275" s="121" t="s">
        <v>14285</v>
      </c>
      <c r="R1275" s="16" t="s">
        <v>14363</v>
      </c>
      <c r="S1275" s="10" t="s">
        <v>194</v>
      </c>
      <c r="T1275" s="28" t="s">
        <v>10429</v>
      </c>
      <c r="U1275" s="20" t="s">
        <v>5359</v>
      </c>
      <c r="V1275" s="16" t="s">
        <v>5150</v>
      </c>
      <c r="W1275" s="11" t="s">
        <v>13938</v>
      </c>
      <c r="X1275" s="174">
        <v>0.23</v>
      </c>
      <c r="Y1275" s="174">
        <v>0.3</v>
      </c>
    </row>
    <row r="1276" spans="1:25" ht="15" customHeight="1" x14ac:dyDescent="0.25">
      <c r="A1276" s="20" t="s">
        <v>5152</v>
      </c>
      <c r="B1276" s="14" t="s">
        <v>5153</v>
      </c>
      <c r="C1276" s="71" t="str">
        <f t="shared" si="23"/>
        <v>Product Info</v>
      </c>
      <c r="D1276" s="37" t="s">
        <v>6450</v>
      </c>
      <c r="E1276" s="143">
        <v>5</v>
      </c>
      <c r="F1276" s="12" t="s">
        <v>4992</v>
      </c>
      <c r="G1276" s="38">
        <v>6.99</v>
      </c>
      <c r="H1276" s="38">
        <f t="shared" si="25"/>
        <v>4.8899999999999997</v>
      </c>
      <c r="I1276" s="38">
        <v>4.8899999999999997</v>
      </c>
      <c r="J1276" s="39"/>
      <c r="K1276" s="143"/>
      <c r="L1276" s="22">
        <v>0</v>
      </c>
      <c r="M1276" s="22">
        <v>0</v>
      </c>
      <c r="N1276" s="20" t="s">
        <v>9307</v>
      </c>
      <c r="O1276" s="16" t="s">
        <v>13917</v>
      </c>
      <c r="P1276" s="143" t="s">
        <v>12556</v>
      </c>
      <c r="Q1276" s="121" t="s">
        <v>14285</v>
      </c>
      <c r="R1276" s="16" t="s">
        <v>14363</v>
      </c>
      <c r="S1276" s="10" t="s">
        <v>194</v>
      </c>
      <c r="T1276" s="28" t="s">
        <v>10430</v>
      </c>
      <c r="U1276" s="20" t="s">
        <v>5359</v>
      </c>
      <c r="V1276" s="16" t="s">
        <v>5152</v>
      </c>
      <c r="W1276" s="11" t="s">
        <v>13938</v>
      </c>
      <c r="X1276" s="174">
        <v>3.73</v>
      </c>
      <c r="Y1276" s="174">
        <v>4.8899999999999997</v>
      </c>
    </row>
    <row r="1277" spans="1:25" ht="15" customHeight="1" x14ac:dyDescent="0.25">
      <c r="A1277" s="20" t="s">
        <v>5154</v>
      </c>
      <c r="B1277" s="14" t="s">
        <v>5155</v>
      </c>
      <c r="C1277" s="71" t="str">
        <f t="shared" si="23"/>
        <v>Product Info</v>
      </c>
      <c r="D1277" s="37" t="s">
        <v>7077</v>
      </c>
      <c r="E1277" s="143">
        <v>100</v>
      </c>
      <c r="F1277" s="12" t="s">
        <v>4992</v>
      </c>
      <c r="G1277" s="38">
        <v>0.51</v>
      </c>
      <c r="H1277" s="38">
        <f t="shared" si="25"/>
        <v>0.36</v>
      </c>
      <c r="I1277" s="38">
        <v>0.36</v>
      </c>
      <c r="J1277" s="39"/>
      <c r="K1277" s="143"/>
      <c r="L1277" s="22">
        <v>0</v>
      </c>
      <c r="M1277" s="22">
        <v>0</v>
      </c>
      <c r="N1277" s="20" t="s">
        <v>14489</v>
      </c>
      <c r="O1277" s="16">
        <v>0</v>
      </c>
      <c r="P1277" s="143" t="s">
        <v>12556</v>
      </c>
      <c r="Q1277" s="121" t="s">
        <v>14285</v>
      </c>
      <c r="R1277" s="16" t="s">
        <v>14363</v>
      </c>
      <c r="S1277" s="10" t="s">
        <v>194</v>
      </c>
      <c r="T1277" s="28" t="s">
        <v>10431</v>
      </c>
      <c r="U1277" s="20" t="s">
        <v>5359</v>
      </c>
      <c r="V1277" s="16" t="s">
        <v>5154</v>
      </c>
      <c r="W1277" s="11" t="s">
        <v>13938</v>
      </c>
      <c r="X1277" s="174">
        <v>0.27</v>
      </c>
      <c r="Y1277" s="174">
        <v>0.36</v>
      </c>
    </row>
    <row r="1278" spans="1:25" ht="15" customHeight="1" x14ac:dyDescent="0.25">
      <c r="A1278" s="20" t="s">
        <v>5156</v>
      </c>
      <c r="B1278" s="14" t="s">
        <v>5157</v>
      </c>
      <c r="C1278" s="71" t="str">
        <f t="shared" si="23"/>
        <v>Product Info</v>
      </c>
      <c r="D1278" s="37" t="s">
        <v>6449</v>
      </c>
      <c r="E1278" s="143">
        <v>5</v>
      </c>
      <c r="F1278" s="12" t="s">
        <v>4992</v>
      </c>
      <c r="G1278" s="38">
        <v>7.11</v>
      </c>
      <c r="H1278" s="38">
        <f t="shared" si="25"/>
        <v>4.9800000000000004</v>
      </c>
      <c r="I1278" s="38">
        <v>4.9800000000000004</v>
      </c>
      <c r="J1278" s="39"/>
      <c r="K1278" s="143"/>
      <c r="L1278" s="22">
        <v>0</v>
      </c>
      <c r="M1278" s="22">
        <v>0</v>
      </c>
      <c r="N1278" s="20" t="s">
        <v>9307</v>
      </c>
      <c r="O1278" s="16" t="s">
        <v>13917</v>
      </c>
      <c r="P1278" s="143" t="s">
        <v>12556</v>
      </c>
      <c r="Q1278" s="121" t="s">
        <v>14285</v>
      </c>
      <c r="R1278" s="16" t="s">
        <v>14363</v>
      </c>
      <c r="S1278" s="10" t="s">
        <v>194</v>
      </c>
      <c r="T1278" s="28" t="s">
        <v>10432</v>
      </c>
      <c r="U1278" s="20" t="s">
        <v>5359</v>
      </c>
      <c r="V1278" s="16" t="s">
        <v>5156</v>
      </c>
      <c r="W1278" s="11" t="s">
        <v>13938</v>
      </c>
      <c r="X1278" s="174">
        <v>3.79</v>
      </c>
      <c r="Y1278" s="174">
        <v>4.9800000000000004</v>
      </c>
    </row>
    <row r="1279" spans="1:25" ht="15" customHeight="1" x14ac:dyDescent="0.25">
      <c r="A1279" s="20" t="s">
        <v>5158</v>
      </c>
      <c r="B1279" s="14" t="s">
        <v>5159</v>
      </c>
      <c r="C1279" s="71" t="str">
        <f t="shared" si="23"/>
        <v>Product Info</v>
      </c>
      <c r="D1279" s="37" t="s">
        <v>7076</v>
      </c>
      <c r="E1279" s="143">
        <v>100</v>
      </c>
      <c r="F1279" s="12" t="s">
        <v>4992</v>
      </c>
      <c r="G1279" s="38">
        <v>0.66</v>
      </c>
      <c r="H1279" s="38">
        <f t="shared" si="25"/>
        <v>0.46</v>
      </c>
      <c r="I1279" s="38">
        <v>0.46</v>
      </c>
      <c r="J1279" s="39"/>
      <c r="K1279" s="143"/>
      <c r="L1279" s="22">
        <v>0</v>
      </c>
      <c r="M1279" s="22">
        <v>0</v>
      </c>
      <c r="N1279" s="20" t="s">
        <v>14489</v>
      </c>
      <c r="O1279" s="16">
        <v>0</v>
      </c>
      <c r="P1279" s="143" t="s">
        <v>12556</v>
      </c>
      <c r="Q1279" s="121" t="s">
        <v>14285</v>
      </c>
      <c r="R1279" s="16" t="s">
        <v>14363</v>
      </c>
      <c r="S1279" s="10" t="s">
        <v>194</v>
      </c>
      <c r="T1279" s="28" t="s">
        <v>10433</v>
      </c>
      <c r="U1279" s="20" t="s">
        <v>5359</v>
      </c>
      <c r="V1279" s="16" t="s">
        <v>5158</v>
      </c>
      <c r="W1279" s="11" t="s">
        <v>13938</v>
      </c>
      <c r="X1279" s="174">
        <v>0.35</v>
      </c>
      <c r="Y1279" s="174">
        <v>0.46</v>
      </c>
    </row>
    <row r="1280" spans="1:25" ht="15" customHeight="1" x14ac:dyDescent="0.25">
      <c r="A1280" s="20" t="s">
        <v>4670</v>
      </c>
      <c r="B1280" s="14" t="s">
        <v>4671</v>
      </c>
      <c r="C1280" s="71" t="str">
        <f t="shared" si="23"/>
        <v>Product Info</v>
      </c>
      <c r="D1280" s="37" t="s">
        <v>6448</v>
      </c>
      <c r="E1280" s="143">
        <v>10</v>
      </c>
      <c r="F1280" s="12" t="s">
        <v>4992</v>
      </c>
      <c r="G1280" s="38">
        <v>7.26</v>
      </c>
      <c r="H1280" s="38">
        <f t="shared" si="25"/>
        <v>5.08</v>
      </c>
      <c r="I1280" s="38">
        <v>5.08</v>
      </c>
      <c r="J1280" s="39"/>
      <c r="K1280" s="143"/>
      <c r="L1280" s="22">
        <v>0</v>
      </c>
      <c r="M1280" s="22">
        <v>0</v>
      </c>
      <c r="N1280" s="20" t="s">
        <v>14489</v>
      </c>
      <c r="O1280" s="16">
        <v>0</v>
      </c>
      <c r="P1280" s="143" t="s">
        <v>12556</v>
      </c>
      <c r="Q1280" s="121" t="s">
        <v>14285</v>
      </c>
      <c r="R1280" s="16" t="s">
        <v>14363</v>
      </c>
      <c r="S1280" s="10" t="s">
        <v>194</v>
      </c>
      <c r="T1280" s="28" t="s">
        <v>10434</v>
      </c>
      <c r="U1280" s="20" t="s">
        <v>5359</v>
      </c>
      <c r="V1280" s="16" t="s">
        <v>4670</v>
      </c>
      <c r="W1280" s="11" t="s">
        <v>13938</v>
      </c>
      <c r="X1280" s="174">
        <v>3.87</v>
      </c>
      <c r="Y1280" s="174">
        <v>5.08</v>
      </c>
    </row>
    <row r="1281" spans="1:25" ht="15" customHeight="1" x14ac:dyDescent="0.25">
      <c r="A1281" s="20" t="s">
        <v>4672</v>
      </c>
      <c r="B1281" s="14" t="s">
        <v>4673</v>
      </c>
      <c r="C1281" s="71" t="str">
        <f t="shared" si="23"/>
        <v>Product Info</v>
      </c>
      <c r="D1281" s="37" t="s">
        <v>7075</v>
      </c>
      <c r="E1281" s="143">
        <v>100</v>
      </c>
      <c r="F1281" s="12" t="s">
        <v>4992</v>
      </c>
      <c r="G1281" s="38">
        <v>0.83</v>
      </c>
      <c r="H1281" s="38">
        <f t="shared" si="25"/>
        <v>0.57999999999999996</v>
      </c>
      <c r="I1281" s="38">
        <v>0.57999999999999996</v>
      </c>
      <c r="J1281" s="39"/>
      <c r="K1281" s="143"/>
      <c r="L1281" s="22">
        <v>0</v>
      </c>
      <c r="M1281" s="22">
        <v>0</v>
      </c>
      <c r="N1281" s="20" t="s">
        <v>14489</v>
      </c>
      <c r="O1281" s="16">
        <v>0</v>
      </c>
      <c r="P1281" s="143" t="s">
        <v>12556</v>
      </c>
      <c r="Q1281" s="121" t="s">
        <v>14285</v>
      </c>
      <c r="R1281" s="16" t="s">
        <v>14363</v>
      </c>
      <c r="S1281" s="10" t="s">
        <v>194</v>
      </c>
      <c r="T1281" s="28" t="s">
        <v>10435</v>
      </c>
      <c r="U1281" s="20" t="s">
        <v>5359</v>
      </c>
      <c r="V1281" s="16" t="s">
        <v>4672</v>
      </c>
      <c r="W1281" s="11" t="s">
        <v>13938</v>
      </c>
      <c r="X1281" s="174">
        <v>0.44</v>
      </c>
      <c r="Y1281" s="174">
        <v>0.57999999999999996</v>
      </c>
    </row>
    <row r="1282" spans="1:25" ht="15" customHeight="1" x14ac:dyDescent="0.25">
      <c r="A1282" s="20" t="s">
        <v>4674</v>
      </c>
      <c r="B1282" s="14" t="s">
        <v>4675</v>
      </c>
      <c r="C1282" s="71" t="str">
        <f t="shared" si="23"/>
        <v>Product Info</v>
      </c>
      <c r="D1282" s="37" t="s">
        <v>5532</v>
      </c>
      <c r="E1282" s="143">
        <v>5</v>
      </c>
      <c r="F1282" s="12" t="s">
        <v>4992</v>
      </c>
      <c r="G1282" s="38">
        <v>4.41</v>
      </c>
      <c r="H1282" s="38">
        <f t="shared" si="25"/>
        <v>3.09</v>
      </c>
      <c r="I1282" s="38">
        <v>3.09</v>
      </c>
      <c r="J1282" s="39">
        <v>3000</v>
      </c>
      <c r="K1282" s="143"/>
      <c r="L1282" s="22">
        <v>0</v>
      </c>
      <c r="M1282" s="22">
        <v>0</v>
      </c>
      <c r="N1282" s="20" t="s">
        <v>9307</v>
      </c>
      <c r="O1282" s="16" t="s">
        <v>13917</v>
      </c>
      <c r="P1282" s="143" t="s">
        <v>12556</v>
      </c>
      <c r="Q1282" s="122" t="s">
        <v>14461</v>
      </c>
      <c r="R1282" s="16" t="s">
        <v>14363</v>
      </c>
      <c r="S1282" s="10" t="s">
        <v>194</v>
      </c>
      <c r="T1282" s="28" t="s">
        <v>10436</v>
      </c>
      <c r="U1282" s="20" t="s">
        <v>5359</v>
      </c>
      <c r="V1282" s="16" t="s">
        <v>4674</v>
      </c>
      <c r="W1282" s="11" t="s">
        <v>13938</v>
      </c>
      <c r="X1282" s="174">
        <v>2.35</v>
      </c>
      <c r="Y1282" s="174">
        <v>3.09</v>
      </c>
    </row>
    <row r="1283" spans="1:25" ht="15" customHeight="1" x14ac:dyDescent="0.25">
      <c r="A1283" s="20" t="s">
        <v>4676</v>
      </c>
      <c r="B1283" s="14" t="s">
        <v>4677</v>
      </c>
      <c r="C1283" s="71" t="str">
        <f t="shared" si="23"/>
        <v>Product Info</v>
      </c>
      <c r="D1283" s="37" t="s">
        <v>7074</v>
      </c>
      <c r="E1283" s="143">
        <v>1000</v>
      </c>
      <c r="F1283" s="12" t="s">
        <v>4992</v>
      </c>
      <c r="G1283" s="38">
        <v>0.41</v>
      </c>
      <c r="H1283" s="38">
        <f t="shared" si="25"/>
        <v>0.28000000000000003</v>
      </c>
      <c r="I1283" s="38">
        <v>0.28000000000000003</v>
      </c>
      <c r="J1283" s="39"/>
      <c r="K1283" s="143"/>
      <c r="L1283" s="22">
        <v>0</v>
      </c>
      <c r="M1283" s="22">
        <v>0</v>
      </c>
      <c r="N1283" s="20" t="s">
        <v>14489</v>
      </c>
      <c r="O1283" s="16">
        <v>0</v>
      </c>
      <c r="P1283" s="143" t="s">
        <v>12556</v>
      </c>
      <c r="Q1283" s="121" t="s">
        <v>14285</v>
      </c>
      <c r="R1283" s="16" t="s">
        <v>14363</v>
      </c>
      <c r="S1283" s="10" t="s">
        <v>194</v>
      </c>
      <c r="T1283" s="28" t="s">
        <v>10437</v>
      </c>
      <c r="U1283" s="20" t="s">
        <v>5359</v>
      </c>
      <c r="V1283" s="16" t="s">
        <v>4676</v>
      </c>
      <c r="W1283" s="11" t="s">
        <v>13938</v>
      </c>
      <c r="X1283" s="174">
        <v>0.22</v>
      </c>
      <c r="Y1283" s="174">
        <v>0.28000000000000003</v>
      </c>
    </row>
    <row r="1284" spans="1:25" ht="15" customHeight="1" x14ac:dyDescent="0.25">
      <c r="A1284" s="20" t="s">
        <v>4678</v>
      </c>
      <c r="B1284" s="14" t="s">
        <v>4679</v>
      </c>
      <c r="C1284" s="71" t="str">
        <f t="shared" si="23"/>
        <v>Product Info</v>
      </c>
      <c r="D1284" s="37" t="s">
        <v>5531</v>
      </c>
      <c r="E1284" s="143">
        <v>5</v>
      </c>
      <c r="F1284" s="12" t="s">
        <v>4992</v>
      </c>
      <c r="G1284" s="38">
        <v>4.37</v>
      </c>
      <c r="H1284" s="38">
        <f t="shared" si="25"/>
        <v>3.06</v>
      </c>
      <c r="I1284" s="38">
        <v>3.06</v>
      </c>
      <c r="J1284" s="39">
        <v>3000</v>
      </c>
      <c r="K1284" s="143"/>
      <c r="L1284" s="22">
        <v>0</v>
      </c>
      <c r="M1284" s="22">
        <v>0</v>
      </c>
      <c r="N1284" s="20" t="s">
        <v>9307</v>
      </c>
      <c r="O1284" s="16" t="s">
        <v>13917</v>
      </c>
      <c r="P1284" s="143" t="s">
        <v>12556</v>
      </c>
      <c r="Q1284" s="122" t="s">
        <v>14461</v>
      </c>
      <c r="R1284" s="16" t="s">
        <v>14363</v>
      </c>
      <c r="S1284" s="10" t="s">
        <v>194</v>
      </c>
      <c r="T1284" s="28" t="s">
        <v>10438</v>
      </c>
      <c r="U1284" s="20" t="s">
        <v>5359</v>
      </c>
      <c r="V1284" s="16" t="s">
        <v>4678</v>
      </c>
      <c r="W1284" s="11" t="s">
        <v>13938</v>
      </c>
      <c r="X1284" s="174">
        <v>2.33</v>
      </c>
      <c r="Y1284" s="174">
        <v>3.06</v>
      </c>
    </row>
    <row r="1285" spans="1:25" ht="15" customHeight="1" x14ac:dyDescent="0.25">
      <c r="A1285" s="20" t="s">
        <v>4680</v>
      </c>
      <c r="B1285" s="14" t="s">
        <v>4681</v>
      </c>
      <c r="C1285" s="71" t="str">
        <f t="shared" si="23"/>
        <v>Product Info</v>
      </c>
      <c r="D1285" s="37" t="s">
        <v>7073</v>
      </c>
      <c r="E1285" s="143">
        <v>1000</v>
      </c>
      <c r="F1285" s="12" t="s">
        <v>4992</v>
      </c>
      <c r="G1285" s="38">
        <v>0.53</v>
      </c>
      <c r="H1285" s="38">
        <f t="shared" si="25"/>
        <v>0.37</v>
      </c>
      <c r="I1285" s="38">
        <v>0.37</v>
      </c>
      <c r="J1285" s="39"/>
      <c r="K1285" s="143"/>
      <c r="L1285" s="22">
        <v>0</v>
      </c>
      <c r="M1285" s="22">
        <v>0</v>
      </c>
      <c r="N1285" s="20" t="s">
        <v>14489</v>
      </c>
      <c r="O1285" s="16">
        <v>0</v>
      </c>
      <c r="P1285" s="143" t="s">
        <v>12556</v>
      </c>
      <c r="Q1285" s="121" t="s">
        <v>14285</v>
      </c>
      <c r="R1285" s="16" t="s">
        <v>14363</v>
      </c>
      <c r="S1285" s="10" t="s">
        <v>194</v>
      </c>
      <c r="T1285" s="28" t="s">
        <v>10439</v>
      </c>
      <c r="U1285" s="20" t="s">
        <v>5359</v>
      </c>
      <c r="V1285" s="16" t="s">
        <v>4680</v>
      </c>
      <c r="W1285" s="11" t="s">
        <v>13938</v>
      </c>
      <c r="X1285" s="174">
        <v>0.28000000000000003</v>
      </c>
      <c r="Y1285" s="174">
        <v>0.37</v>
      </c>
    </row>
    <row r="1286" spans="1:25" ht="15" customHeight="1" x14ac:dyDescent="0.25">
      <c r="A1286" s="20" t="s">
        <v>4682</v>
      </c>
      <c r="B1286" s="14" t="s">
        <v>4683</v>
      </c>
      <c r="C1286" s="71" t="str">
        <f t="shared" ref="C1286:C1349" si="26">HYPERLINK(T1286,U1286)</f>
        <v>Product Info</v>
      </c>
      <c r="D1286" s="37" t="s">
        <v>5530</v>
      </c>
      <c r="E1286" s="143">
        <v>5</v>
      </c>
      <c r="F1286" s="12" t="s">
        <v>4992</v>
      </c>
      <c r="G1286" s="38">
        <v>4.41</v>
      </c>
      <c r="H1286" s="38">
        <f t="shared" si="25"/>
        <v>3.09</v>
      </c>
      <c r="I1286" s="38">
        <v>3.09</v>
      </c>
      <c r="J1286" s="39">
        <v>3000</v>
      </c>
      <c r="K1286" s="143"/>
      <c r="L1286" s="22">
        <v>0</v>
      </c>
      <c r="M1286" s="22">
        <v>0</v>
      </c>
      <c r="N1286" s="20" t="s">
        <v>9307</v>
      </c>
      <c r="O1286" s="16" t="s">
        <v>13917</v>
      </c>
      <c r="P1286" s="143" t="s">
        <v>12556</v>
      </c>
      <c r="Q1286" s="122" t="s">
        <v>14461</v>
      </c>
      <c r="R1286" s="16" t="s">
        <v>14363</v>
      </c>
      <c r="S1286" s="10" t="s">
        <v>194</v>
      </c>
      <c r="T1286" s="28" t="s">
        <v>10440</v>
      </c>
      <c r="U1286" s="20" t="s">
        <v>5359</v>
      </c>
      <c r="V1286" s="16" t="s">
        <v>4682</v>
      </c>
      <c r="W1286" s="11" t="s">
        <v>13938</v>
      </c>
      <c r="X1286" s="174">
        <v>2.35</v>
      </c>
      <c r="Y1286" s="174">
        <v>3.09</v>
      </c>
    </row>
    <row r="1287" spans="1:25" ht="15" customHeight="1" x14ac:dyDescent="0.25">
      <c r="A1287" s="20" t="s">
        <v>4684</v>
      </c>
      <c r="B1287" s="14" t="s">
        <v>4685</v>
      </c>
      <c r="C1287" s="71" t="str">
        <f t="shared" si="26"/>
        <v>Product Info</v>
      </c>
      <c r="D1287" s="37" t="s">
        <v>2225</v>
      </c>
      <c r="E1287" s="143">
        <v>500</v>
      </c>
      <c r="F1287" s="12" t="s">
        <v>4992</v>
      </c>
      <c r="G1287" s="38">
        <v>0.66</v>
      </c>
      <c r="H1287" s="38">
        <f t="shared" si="25"/>
        <v>0.46</v>
      </c>
      <c r="I1287" s="38">
        <v>0.46</v>
      </c>
      <c r="J1287" s="39"/>
      <c r="K1287" s="143"/>
      <c r="L1287" s="22">
        <v>0</v>
      </c>
      <c r="M1287" s="22">
        <v>0</v>
      </c>
      <c r="N1287" s="20" t="s">
        <v>14489</v>
      </c>
      <c r="O1287" s="16">
        <v>0</v>
      </c>
      <c r="P1287" s="143" t="s">
        <v>12556</v>
      </c>
      <c r="Q1287" s="121" t="s">
        <v>14285</v>
      </c>
      <c r="R1287" s="16" t="s">
        <v>14363</v>
      </c>
      <c r="S1287" s="10" t="s">
        <v>194</v>
      </c>
      <c r="T1287" s="28" t="s">
        <v>10441</v>
      </c>
      <c r="U1287" s="20" t="s">
        <v>5359</v>
      </c>
      <c r="V1287" s="16" t="s">
        <v>4684</v>
      </c>
      <c r="W1287" s="11" t="s">
        <v>13938</v>
      </c>
      <c r="X1287" s="174">
        <v>0.35</v>
      </c>
      <c r="Y1287" s="174">
        <v>0.46</v>
      </c>
    </row>
    <row r="1288" spans="1:25" ht="15" customHeight="1" x14ac:dyDescent="0.25">
      <c r="A1288" s="20" t="s">
        <v>7513</v>
      </c>
      <c r="B1288" s="14" t="s">
        <v>7514</v>
      </c>
      <c r="C1288" s="71" t="str">
        <f t="shared" si="26"/>
        <v>Product Info</v>
      </c>
      <c r="D1288" s="37" t="s">
        <v>7515</v>
      </c>
      <c r="E1288" s="143">
        <v>5</v>
      </c>
      <c r="F1288" s="12" t="s">
        <v>4992</v>
      </c>
      <c r="G1288" s="38">
        <v>23.58</v>
      </c>
      <c r="H1288" s="38">
        <f t="shared" si="25"/>
        <v>16.510000000000002</v>
      </c>
      <c r="I1288" s="38">
        <v>16.510000000000002</v>
      </c>
      <c r="J1288" s="39"/>
      <c r="K1288" s="143"/>
      <c r="L1288" s="22">
        <v>0.4</v>
      </c>
      <c r="M1288" s="22" t="s">
        <v>14396</v>
      </c>
      <c r="N1288" s="20" t="s">
        <v>8858</v>
      </c>
      <c r="O1288" s="16" t="s">
        <v>13914</v>
      </c>
      <c r="P1288" s="143" t="s">
        <v>12556</v>
      </c>
      <c r="Q1288" s="121" t="s">
        <v>14285</v>
      </c>
      <c r="R1288" s="16" t="s">
        <v>9235</v>
      </c>
      <c r="S1288" s="10" t="s">
        <v>194</v>
      </c>
      <c r="T1288" s="28" t="s">
        <v>10442</v>
      </c>
      <c r="U1288" s="20" t="s">
        <v>5359</v>
      </c>
      <c r="V1288" s="16" t="s">
        <v>7513</v>
      </c>
      <c r="W1288" s="11" t="s">
        <v>13938</v>
      </c>
      <c r="X1288" s="174">
        <v>12.58</v>
      </c>
      <c r="Y1288" s="174">
        <v>16.510000000000002</v>
      </c>
    </row>
    <row r="1289" spans="1:25" ht="15" customHeight="1" x14ac:dyDescent="0.25">
      <c r="A1289" s="20" t="s">
        <v>4115</v>
      </c>
      <c r="B1289" s="14" t="s">
        <v>4116</v>
      </c>
      <c r="C1289" s="71" t="str">
        <f t="shared" si="26"/>
        <v>Product Info</v>
      </c>
      <c r="D1289" s="37" t="s">
        <v>4117</v>
      </c>
      <c r="E1289" s="143">
        <v>5</v>
      </c>
      <c r="F1289" s="12" t="s">
        <v>4992</v>
      </c>
      <c r="G1289" s="38">
        <v>30.89</v>
      </c>
      <c r="H1289" s="38">
        <f t="shared" si="25"/>
        <v>21.62</v>
      </c>
      <c r="I1289" s="38">
        <v>21.62</v>
      </c>
      <c r="J1289" s="39"/>
      <c r="K1289" s="143"/>
      <c r="L1289" s="22">
        <v>0.28000000000000003</v>
      </c>
      <c r="M1289" s="22" t="s">
        <v>12488</v>
      </c>
      <c r="N1289" s="20" t="s">
        <v>9310</v>
      </c>
      <c r="O1289" s="16" t="s">
        <v>12608</v>
      </c>
      <c r="P1289" s="143" t="s">
        <v>12556</v>
      </c>
      <c r="Q1289" s="121" t="s">
        <v>14285</v>
      </c>
      <c r="R1289" s="16" t="s">
        <v>9235</v>
      </c>
      <c r="S1289" s="10" t="s">
        <v>194</v>
      </c>
      <c r="T1289" s="28" t="s">
        <v>10443</v>
      </c>
      <c r="U1289" s="20" t="s">
        <v>5359</v>
      </c>
      <c r="V1289" s="16" t="s">
        <v>4115</v>
      </c>
      <c r="W1289" s="11" t="s">
        <v>13938</v>
      </c>
      <c r="X1289" s="174">
        <v>16.47</v>
      </c>
      <c r="Y1289" s="174">
        <v>21.62</v>
      </c>
    </row>
    <row r="1290" spans="1:25" ht="15" customHeight="1" x14ac:dyDescent="0.25">
      <c r="A1290" s="20" t="s">
        <v>4118</v>
      </c>
      <c r="B1290" s="14" t="s">
        <v>4119</v>
      </c>
      <c r="C1290" s="71" t="str">
        <f t="shared" si="26"/>
        <v>Product Info</v>
      </c>
      <c r="D1290" s="37" t="s">
        <v>4120</v>
      </c>
      <c r="E1290" s="143">
        <v>5</v>
      </c>
      <c r="F1290" s="12" t="s">
        <v>4992</v>
      </c>
      <c r="G1290" s="38">
        <v>11.27</v>
      </c>
      <c r="H1290" s="38">
        <f t="shared" si="25"/>
        <v>7.89</v>
      </c>
      <c r="I1290" s="38">
        <v>7.89</v>
      </c>
      <c r="J1290" s="39"/>
      <c r="K1290" s="143"/>
      <c r="L1290" s="22">
        <v>7.9920000000000005E-2</v>
      </c>
      <c r="M1290" s="22" t="s">
        <v>14394</v>
      </c>
      <c r="N1290" s="20" t="s">
        <v>14489</v>
      </c>
      <c r="O1290" s="16" t="s">
        <v>4992</v>
      </c>
      <c r="P1290" s="143" t="s">
        <v>12556</v>
      </c>
      <c r="Q1290" s="121" t="s">
        <v>14285</v>
      </c>
      <c r="R1290" s="16" t="s">
        <v>9235</v>
      </c>
      <c r="S1290" s="10" t="s">
        <v>194</v>
      </c>
      <c r="T1290" s="28" t="s">
        <v>10444</v>
      </c>
      <c r="U1290" s="20" t="s">
        <v>5359</v>
      </c>
      <c r="V1290" s="16" t="s">
        <v>4118</v>
      </c>
      <c r="W1290" s="11" t="s">
        <v>13938</v>
      </c>
      <c r="X1290" s="174">
        <v>6.01</v>
      </c>
      <c r="Y1290" s="174">
        <v>7.89</v>
      </c>
    </row>
    <row r="1291" spans="1:25" ht="15" customHeight="1" x14ac:dyDescent="0.25">
      <c r="A1291" s="20" t="s">
        <v>4121</v>
      </c>
      <c r="B1291" s="14" t="s">
        <v>7594</v>
      </c>
      <c r="C1291" s="71" t="str">
        <f t="shared" si="26"/>
        <v>Product Info</v>
      </c>
      <c r="D1291" s="37" t="s">
        <v>7595</v>
      </c>
      <c r="E1291" s="143">
        <v>5</v>
      </c>
      <c r="F1291" s="12" t="s">
        <v>4992</v>
      </c>
      <c r="G1291" s="38">
        <v>21.93</v>
      </c>
      <c r="H1291" s="38">
        <f t="shared" si="25"/>
        <v>15.35</v>
      </c>
      <c r="I1291" s="38">
        <v>15.35</v>
      </c>
      <c r="J1291" s="39"/>
      <c r="K1291" s="143"/>
      <c r="L1291" s="22">
        <v>0.32</v>
      </c>
      <c r="M1291" s="22" t="s">
        <v>12488</v>
      </c>
      <c r="N1291" s="20" t="s">
        <v>8858</v>
      </c>
      <c r="O1291" s="16" t="s">
        <v>12608</v>
      </c>
      <c r="P1291" s="143" t="s">
        <v>12556</v>
      </c>
      <c r="Q1291" s="122" t="s">
        <v>9227</v>
      </c>
      <c r="R1291" s="16" t="s">
        <v>9235</v>
      </c>
      <c r="S1291" s="10" t="s">
        <v>194</v>
      </c>
      <c r="T1291" s="28" t="s">
        <v>10445</v>
      </c>
      <c r="U1291" s="20" t="s">
        <v>5359</v>
      </c>
      <c r="V1291" s="16" t="s">
        <v>4121</v>
      </c>
      <c r="W1291" s="11" t="s">
        <v>13938</v>
      </c>
      <c r="X1291" s="174">
        <v>11.7</v>
      </c>
      <c r="Y1291" s="174">
        <v>15.35</v>
      </c>
    </row>
    <row r="1292" spans="1:25" ht="15" customHeight="1" x14ac:dyDescent="0.25">
      <c r="A1292" s="20" t="s">
        <v>7596</v>
      </c>
      <c r="B1292" s="14" t="s">
        <v>7597</v>
      </c>
      <c r="C1292" s="71" t="str">
        <f t="shared" si="26"/>
        <v>Product Info</v>
      </c>
      <c r="D1292" s="37" t="s">
        <v>7598</v>
      </c>
      <c r="E1292" s="143">
        <v>5</v>
      </c>
      <c r="F1292" s="12" t="s">
        <v>4992</v>
      </c>
      <c r="G1292" s="38">
        <v>14.54</v>
      </c>
      <c r="H1292" s="38">
        <f t="shared" si="25"/>
        <v>10.17</v>
      </c>
      <c r="I1292" s="38">
        <v>10.17</v>
      </c>
      <c r="J1292" s="39"/>
      <c r="K1292" s="143"/>
      <c r="L1292" s="22">
        <v>0.4</v>
      </c>
      <c r="M1292" s="22" t="s">
        <v>14396</v>
      </c>
      <c r="N1292" s="20" t="s">
        <v>8858</v>
      </c>
      <c r="O1292" s="16" t="s">
        <v>13914</v>
      </c>
      <c r="P1292" s="143" t="s">
        <v>12556</v>
      </c>
      <c r="Q1292" s="121" t="s">
        <v>14285</v>
      </c>
      <c r="R1292" s="16" t="s">
        <v>9235</v>
      </c>
      <c r="S1292" s="10" t="s">
        <v>194</v>
      </c>
      <c r="T1292" s="28" t="s">
        <v>10446</v>
      </c>
      <c r="U1292" s="20" t="s">
        <v>5359</v>
      </c>
      <c r="V1292" s="16" t="s">
        <v>7596</v>
      </c>
      <c r="W1292" s="11" t="s">
        <v>13938</v>
      </c>
      <c r="X1292" s="174">
        <v>7.75</v>
      </c>
      <c r="Y1292" s="174">
        <v>10.17</v>
      </c>
    </row>
    <row r="1293" spans="1:25" ht="15" customHeight="1" x14ac:dyDescent="0.25">
      <c r="A1293" s="20" t="s">
        <v>7738</v>
      </c>
      <c r="B1293" s="14" t="s">
        <v>12458</v>
      </c>
      <c r="C1293" s="71" t="str">
        <f t="shared" si="26"/>
        <v>Product Info</v>
      </c>
      <c r="D1293" s="37" t="s">
        <v>7739</v>
      </c>
      <c r="E1293" s="143">
        <v>5</v>
      </c>
      <c r="F1293" s="12" t="s">
        <v>4992</v>
      </c>
      <c r="G1293" s="38">
        <v>17.04</v>
      </c>
      <c r="H1293" s="38">
        <f t="shared" si="25"/>
        <v>11.93</v>
      </c>
      <c r="I1293" s="38">
        <v>11.93</v>
      </c>
      <c r="J1293" s="39"/>
      <c r="K1293" s="143"/>
      <c r="L1293" s="22">
        <v>0.22969999999999999</v>
      </c>
      <c r="M1293" s="22" t="s">
        <v>14394</v>
      </c>
      <c r="N1293" s="20" t="s">
        <v>14489</v>
      </c>
      <c r="O1293" s="16" t="s">
        <v>6692</v>
      </c>
      <c r="P1293" s="143" t="s">
        <v>12556</v>
      </c>
      <c r="Q1293" s="122" t="s">
        <v>9227</v>
      </c>
      <c r="R1293" s="16" t="s">
        <v>14363</v>
      </c>
      <c r="S1293" s="10" t="s">
        <v>194</v>
      </c>
      <c r="T1293" s="28" t="s">
        <v>10447</v>
      </c>
      <c r="U1293" s="20" t="s">
        <v>5359</v>
      </c>
      <c r="V1293" s="16" t="s">
        <v>7738</v>
      </c>
      <c r="W1293" s="11" t="s">
        <v>13938</v>
      </c>
      <c r="X1293" s="174">
        <v>9.09</v>
      </c>
      <c r="Y1293" s="174">
        <v>11.93</v>
      </c>
    </row>
    <row r="1294" spans="1:25" ht="15" customHeight="1" x14ac:dyDescent="0.25">
      <c r="A1294" s="20" t="s">
        <v>7740</v>
      </c>
      <c r="B1294" s="14" t="s">
        <v>7741</v>
      </c>
      <c r="C1294" s="71" t="str">
        <f t="shared" si="26"/>
        <v>Product Info</v>
      </c>
      <c r="D1294" s="37" t="s">
        <v>5367</v>
      </c>
      <c r="E1294" s="143">
        <v>5</v>
      </c>
      <c r="F1294" s="12" t="s">
        <v>4992</v>
      </c>
      <c r="G1294" s="38">
        <v>19.91</v>
      </c>
      <c r="H1294" s="38">
        <f t="shared" si="25"/>
        <v>13.93</v>
      </c>
      <c r="I1294" s="38">
        <v>13.93</v>
      </c>
      <c r="J1294" s="39"/>
      <c r="K1294" s="143"/>
      <c r="L1294" s="22">
        <v>0.6</v>
      </c>
      <c r="M1294" s="22" t="s">
        <v>12488</v>
      </c>
      <c r="N1294" s="20" t="s">
        <v>14489</v>
      </c>
      <c r="O1294" s="16" t="s">
        <v>6692</v>
      </c>
      <c r="P1294" s="143" t="s">
        <v>12556</v>
      </c>
      <c r="Q1294" s="121" t="s">
        <v>14285</v>
      </c>
      <c r="R1294" s="16" t="s">
        <v>9235</v>
      </c>
      <c r="S1294" s="10" t="s">
        <v>194</v>
      </c>
      <c r="T1294" s="28" t="s">
        <v>10448</v>
      </c>
      <c r="U1294" s="20" t="s">
        <v>5359</v>
      </c>
      <c r="V1294" s="16" t="s">
        <v>7740</v>
      </c>
      <c r="W1294" s="11" t="s">
        <v>13938</v>
      </c>
      <c r="X1294" s="174">
        <v>10.62</v>
      </c>
      <c r="Y1294" s="174">
        <v>13.93</v>
      </c>
    </row>
    <row r="1295" spans="1:25" ht="15" customHeight="1" x14ac:dyDescent="0.25">
      <c r="A1295" s="20" t="s">
        <v>5368</v>
      </c>
      <c r="B1295" s="14" t="s">
        <v>5369</v>
      </c>
      <c r="C1295" s="71" t="str">
        <f t="shared" si="26"/>
        <v>Product Info</v>
      </c>
      <c r="D1295" s="37" t="s">
        <v>3067</v>
      </c>
      <c r="E1295" s="143">
        <v>5</v>
      </c>
      <c r="F1295" s="12" t="s">
        <v>4992</v>
      </c>
      <c r="G1295" s="38">
        <v>17.48</v>
      </c>
      <c r="H1295" s="38">
        <f t="shared" si="25"/>
        <v>12.23</v>
      </c>
      <c r="I1295" s="38">
        <v>12.23</v>
      </c>
      <c r="J1295" s="39"/>
      <c r="K1295" s="12" t="s">
        <v>8905</v>
      </c>
      <c r="L1295" s="22">
        <v>0.8</v>
      </c>
      <c r="M1295" s="22" t="s">
        <v>14396</v>
      </c>
      <c r="N1295" s="20" t="s">
        <v>9311</v>
      </c>
      <c r="O1295" s="16" t="s">
        <v>12608</v>
      </c>
      <c r="P1295" s="143" t="s">
        <v>12556</v>
      </c>
      <c r="Q1295" s="122" t="s">
        <v>12421</v>
      </c>
      <c r="R1295" s="16" t="s">
        <v>9235</v>
      </c>
      <c r="S1295" s="10" t="s">
        <v>194</v>
      </c>
      <c r="T1295" s="28" t="s">
        <v>10449</v>
      </c>
      <c r="U1295" s="20" t="s">
        <v>5359</v>
      </c>
      <c r="V1295" s="16" t="s">
        <v>5368</v>
      </c>
      <c r="W1295" s="11" t="s">
        <v>13938</v>
      </c>
      <c r="X1295" s="174">
        <v>9.32</v>
      </c>
      <c r="Y1295" s="174">
        <v>12.23</v>
      </c>
    </row>
    <row r="1296" spans="1:25" ht="15" customHeight="1" x14ac:dyDescent="0.25">
      <c r="A1296" s="20" t="s">
        <v>3068</v>
      </c>
      <c r="B1296" s="14" t="s">
        <v>3069</v>
      </c>
      <c r="C1296" s="71" t="str">
        <f t="shared" si="26"/>
        <v>Product Info</v>
      </c>
      <c r="D1296" s="37" t="s">
        <v>6479</v>
      </c>
      <c r="E1296" s="143">
        <v>5</v>
      </c>
      <c r="F1296" s="12" t="s">
        <v>4992</v>
      </c>
      <c r="G1296" s="38">
        <v>29.67</v>
      </c>
      <c r="H1296" s="38">
        <f t="shared" si="25"/>
        <v>20.77</v>
      </c>
      <c r="I1296" s="38">
        <v>20.77</v>
      </c>
      <c r="J1296" s="39"/>
      <c r="K1296" s="143"/>
      <c r="L1296" s="22">
        <v>1</v>
      </c>
      <c r="M1296" s="22" t="s">
        <v>12488</v>
      </c>
      <c r="N1296" s="20" t="s">
        <v>9311</v>
      </c>
      <c r="O1296" s="16" t="s">
        <v>12608</v>
      </c>
      <c r="P1296" s="143" t="s">
        <v>12556</v>
      </c>
      <c r="Q1296" s="122" t="s">
        <v>12421</v>
      </c>
      <c r="R1296" s="16" t="s">
        <v>9235</v>
      </c>
      <c r="S1296" s="10" t="s">
        <v>194</v>
      </c>
      <c r="T1296" s="28" t="s">
        <v>10450</v>
      </c>
      <c r="U1296" s="20" t="s">
        <v>5359</v>
      </c>
      <c r="V1296" s="16" t="s">
        <v>3068</v>
      </c>
      <c r="W1296" s="11" t="s">
        <v>13938</v>
      </c>
      <c r="X1296" s="174">
        <v>15.82</v>
      </c>
      <c r="Y1296" s="174">
        <v>20.77</v>
      </c>
    </row>
    <row r="1297" spans="1:25" ht="15" customHeight="1" x14ac:dyDescent="0.25">
      <c r="A1297" s="20" t="s">
        <v>6480</v>
      </c>
      <c r="B1297" s="14" t="s">
        <v>6481</v>
      </c>
      <c r="C1297" s="71" t="str">
        <f t="shared" si="26"/>
        <v>Product Info</v>
      </c>
      <c r="D1297" s="37" t="s">
        <v>6482</v>
      </c>
      <c r="E1297" s="143">
        <v>5</v>
      </c>
      <c r="F1297" s="12" t="s">
        <v>4992</v>
      </c>
      <c r="G1297" s="38">
        <v>31.53</v>
      </c>
      <c r="H1297" s="38">
        <f t="shared" si="25"/>
        <v>22.07</v>
      </c>
      <c r="I1297" s="38">
        <v>22.07</v>
      </c>
      <c r="J1297" s="39"/>
      <c r="K1297" s="143" t="s">
        <v>8905</v>
      </c>
      <c r="L1297" s="22">
        <v>0</v>
      </c>
      <c r="M1297" s="22" t="s">
        <v>14394</v>
      </c>
      <c r="N1297" s="20" t="s">
        <v>9312</v>
      </c>
      <c r="O1297" s="16" t="s">
        <v>13917</v>
      </c>
      <c r="P1297" s="143" t="s">
        <v>12556</v>
      </c>
      <c r="Q1297" s="122" t="s">
        <v>9227</v>
      </c>
      <c r="R1297" s="16" t="s">
        <v>9235</v>
      </c>
      <c r="S1297" s="10" t="s">
        <v>194</v>
      </c>
      <c r="T1297" s="28" t="s">
        <v>10451</v>
      </c>
      <c r="U1297" s="20" t="s">
        <v>5359</v>
      </c>
      <c r="V1297" s="16" t="s">
        <v>6480</v>
      </c>
      <c r="W1297" s="11" t="s">
        <v>13938</v>
      </c>
      <c r="X1297" s="174">
        <v>16.82</v>
      </c>
      <c r="Y1297" s="174">
        <v>22.07</v>
      </c>
    </row>
    <row r="1298" spans="1:25" ht="15" customHeight="1" x14ac:dyDescent="0.25">
      <c r="A1298" s="20" t="s">
        <v>6483</v>
      </c>
      <c r="B1298" s="14" t="s">
        <v>6484</v>
      </c>
      <c r="C1298" s="71" t="str">
        <f t="shared" si="26"/>
        <v>Product Info</v>
      </c>
      <c r="D1298" s="37" t="s">
        <v>6485</v>
      </c>
      <c r="E1298" s="143">
        <v>5</v>
      </c>
      <c r="F1298" s="12" t="s">
        <v>4992</v>
      </c>
      <c r="G1298" s="38">
        <v>11.81</v>
      </c>
      <c r="H1298" s="38">
        <f t="shared" si="25"/>
        <v>8.26</v>
      </c>
      <c r="I1298" s="38">
        <v>8.26</v>
      </c>
      <c r="J1298" s="39"/>
      <c r="K1298" s="143"/>
      <c r="L1298" s="22">
        <v>0.2</v>
      </c>
      <c r="M1298" s="22" t="s">
        <v>14396</v>
      </c>
      <c r="N1298" s="20" t="s">
        <v>9313</v>
      </c>
      <c r="O1298" s="16" t="s">
        <v>13914</v>
      </c>
      <c r="P1298" s="143" t="s">
        <v>12556</v>
      </c>
      <c r="Q1298" s="121" t="s">
        <v>14285</v>
      </c>
      <c r="R1298" s="16" t="s">
        <v>9235</v>
      </c>
      <c r="S1298" s="10" t="s">
        <v>194</v>
      </c>
      <c r="T1298" s="28" t="s">
        <v>10452</v>
      </c>
      <c r="U1298" s="20" t="s">
        <v>5359</v>
      </c>
      <c r="V1298" s="16" t="s">
        <v>6483</v>
      </c>
      <c r="W1298" s="11" t="s">
        <v>13938</v>
      </c>
      <c r="X1298" s="174">
        <v>6.3</v>
      </c>
      <c r="Y1298" s="174">
        <v>8.26</v>
      </c>
    </row>
    <row r="1299" spans="1:25" ht="15" customHeight="1" x14ac:dyDescent="0.25">
      <c r="A1299" s="20" t="s">
        <v>6304</v>
      </c>
      <c r="B1299" s="14" t="s">
        <v>6305</v>
      </c>
      <c r="C1299" s="71" t="str">
        <f t="shared" si="26"/>
        <v>Product Info</v>
      </c>
      <c r="D1299" s="37" t="s">
        <v>6306</v>
      </c>
      <c r="E1299" s="143">
        <v>5</v>
      </c>
      <c r="F1299" s="12" t="s">
        <v>4992</v>
      </c>
      <c r="G1299" s="38">
        <v>16.16</v>
      </c>
      <c r="H1299" s="38">
        <f t="shared" si="25"/>
        <v>11.31</v>
      </c>
      <c r="I1299" s="38">
        <v>11.31</v>
      </c>
      <c r="J1299" s="39"/>
      <c r="K1299" s="143"/>
      <c r="L1299" s="22">
        <v>0.32</v>
      </c>
      <c r="M1299" s="22" t="s">
        <v>14396</v>
      </c>
      <c r="N1299" s="20" t="s">
        <v>9313</v>
      </c>
      <c r="O1299" s="16" t="s">
        <v>13914</v>
      </c>
      <c r="P1299" s="143" t="s">
        <v>12556</v>
      </c>
      <c r="Q1299" s="122" t="s">
        <v>12421</v>
      </c>
      <c r="R1299" s="16" t="s">
        <v>9235</v>
      </c>
      <c r="S1299" s="10" t="s">
        <v>194</v>
      </c>
      <c r="T1299" s="28" t="s">
        <v>10453</v>
      </c>
      <c r="U1299" s="20" t="s">
        <v>5359</v>
      </c>
      <c r="V1299" s="16" t="s">
        <v>6304</v>
      </c>
      <c r="W1299" s="11" t="s">
        <v>13938</v>
      </c>
      <c r="X1299" s="174">
        <v>8.6199999999999992</v>
      </c>
      <c r="Y1299" s="174">
        <v>11.31</v>
      </c>
    </row>
    <row r="1300" spans="1:25" ht="15" customHeight="1" x14ac:dyDescent="0.25">
      <c r="A1300" s="20" t="s">
        <v>6307</v>
      </c>
      <c r="B1300" s="14" t="s">
        <v>6308</v>
      </c>
      <c r="C1300" s="71" t="str">
        <f t="shared" si="26"/>
        <v>Product Info</v>
      </c>
      <c r="D1300" s="37" t="s">
        <v>6309</v>
      </c>
      <c r="E1300" s="143">
        <v>5</v>
      </c>
      <c r="F1300" s="12" t="s">
        <v>4992</v>
      </c>
      <c r="G1300" s="38">
        <v>21.14</v>
      </c>
      <c r="H1300" s="38">
        <f t="shared" si="25"/>
        <v>14.79</v>
      </c>
      <c r="I1300" s="38">
        <v>14.79</v>
      </c>
      <c r="J1300" s="39"/>
      <c r="K1300" s="12" t="s">
        <v>8905</v>
      </c>
      <c r="L1300" s="22">
        <v>0.17430000000000001</v>
      </c>
      <c r="M1300" s="22" t="s">
        <v>14394</v>
      </c>
      <c r="N1300" s="20" t="s">
        <v>14489</v>
      </c>
      <c r="O1300" s="16" t="s">
        <v>4992</v>
      </c>
      <c r="P1300" s="143" t="s">
        <v>12556</v>
      </c>
      <c r="Q1300" s="122" t="s">
        <v>9227</v>
      </c>
      <c r="R1300" s="16" t="s">
        <v>9235</v>
      </c>
      <c r="S1300" s="10" t="s">
        <v>194</v>
      </c>
      <c r="T1300" s="28" t="s">
        <v>10454</v>
      </c>
      <c r="U1300" s="20" t="s">
        <v>5359</v>
      </c>
      <c r="V1300" s="16" t="s">
        <v>6307</v>
      </c>
      <c r="W1300" s="11" t="s">
        <v>13938</v>
      </c>
      <c r="X1300" s="174">
        <v>11.27</v>
      </c>
      <c r="Y1300" s="174">
        <v>14.79</v>
      </c>
    </row>
    <row r="1301" spans="1:25" ht="15" customHeight="1" x14ac:dyDescent="0.25">
      <c r="A1301" s="20" t="s">
        <v>5738</v>
      </c>
      <c r="B1301" s="14" t="s">
        <v>5739</v>
      </c>
      <c r="C1301" s="71" t="str">
        <f t="shared" si="26"/>
        <v>Product Info</v>
      </c>
      <c r="D1301" s="37" t="s">
        <v>5740</v>
      </c>
      <c r="E1301" s="143">
        <v>5</v>
      </c>
      <c r="F1301" s="12" t="s">
        <v>4992</v>
      </c>
      <c r="G1301" s="38">
        <v>23.28</v>
      </c>
      <c r="H1301" s="38">
        <f t="shared" ref="H1301:H1332" si="27">I1301</f>
        <v>16.3</v>
      </c>
      <c r="I1301" s="38">
        <v>16.3</v>
      </c>
      <c r="J1301" s="39"/>
      <c r="K1301" s="12" t="s">
        <v>8905</v>
      </c>
      <c r="L1301" s="22">
        <v>0.24</v>
      </c>
      <c r="M1301" s="22" t="s">
        <v>12488</v>
      </c>
      <c r="N1301" s="20" t="s">
        <v>9314</v>
      </c>
      <c r="O1301" s="16" t="s">
        <v>12608</v>
      </c>
      <c r="P1301" s="143" t="s">
        <v>12556</v>
      </c>
      <c r="Q1301" s="122" t="s">
        <v>9227</v>
      </c>
      <c r="R1301" s="16" t="s">
        <v>9235</v>
      </c>
      <c r="S1301" s="10" t="s">
        <v>194</v>
      </c>
      <c r="T1301" s="28" t="s">
        <v>10455</v>
      </c>
      <c r="U1301" s="20" t="s">
        <v>5359</v>
      </c>
      <c r="V1301" s="16" t="s">
        <v>5738</v>
      </c>
      <c r="W1301" s="11" t="s">
        <v>13938</v>
      </c>
      <c r="X1301" s="174">
        <v>12.42</v>
      </c>
      <c r="Y1301" s="174">
        <v>16.3</v>
      </c>
    </row>
    <row r="1302" spans="1:25" ht="15" customHeight="1" x14ac:dyDescent="0.25">
      <c r="A1302" s="20" t="s">
        <v>970</v>
      </c>
      <c r="B1302" s="14" t="s">
        <v>971</v>
      </c>
      <c r="C1302" s="71" t="str">
        <f t="shared" si="26"/>
        <v>Product Info</v>
      </c>
      <c r="D1302" s="37" t="s">
        <v>972</v>
      </c>
      <c r="E1302" s="143">
        <v>5</v>
      </c>
      <c r="F1302" s="12" t="s">
        <v>4992</v>
      </c>
      <c r="G1302" s="38">
        <v>27.75</v>
      </c>
      <c r="H1302" s="38">
        <f t="shared" si="27"/>
        <v>19.43</v>
      </c>
      <c r="I1302" s="38">
        <v>19.43</v>
      </c>
      <c r="J1302" s="39"/>
      <c r="K1302" s="143"/>
      <c r="L1302" s="22">
        <v>0.36</v>
      </c>
      <c r="M1302" s="22" t="s">
        <v>12488</v>
      </c>
      <c r="N1302" s="20" t="s">
        <v>9299</v>
      </c>
      <c r="O1302" s="16" t="s">
        <v>12608</v>
      </c>
      <c r="P1302" s="143" t="s">
        <v>12556</v>
      </c>
      <c r="Q1302" s="122" t="s">
        <v>9227</v>
      </c>
      <c r="R1302" s="16" t="s">
        <v>9235</v>
      </c>
      <c r="S1302" s="10" t="s">
        <v>194</v>
      </c>
      <c r="T1302" s="28" t="s">
        <v>10456</v>
      </c>
      <c r="U1302" s="20" t="s">
        <v>5359</v>
      </c>
      <c r="V1302" s="16" t="s">
        <v>970</v>
      </c>
      <c r="W1302" s="11" t="s">
        <v>13938</v>
      </c>
      <c r="X1302" s="174">
        <v>14.8</v>
      </c>
      <c r="Y1302" s="174">
        <v>19.43</v>
      </c>
    </row>
    <row r="1303" spans="1:25" ht="15" customHeight="1" x14ac:dyDescent="0.25">
      <c r="A1303" s="20" t="s">
        <v>973</v>
      </c>
      <c r="B1303" s="14" t="s">
        <v>974</v>
      </c>
      <c r="C1303" s="71" t="str">
        <f t="shared" si="26"/>
        <v>Product Info</v>
      </c>
      <c r="D1303" s="37" t="s">
        <v>4096</v>
      </c>
      <c r="E1303" s="143">
        <v>5</v>
      </c>
      <c r="F1303" s="12" t="s">
        <v>4992</v>
      </c>
      <c r="G1303" s="38">
        <v>13.46</v>
      </c>
      <c r="H1303" s="38">
        <f t="shared" si="27"/>
        <v>9.42</v>
      </c>
      <c r="I1303" s="38">
        <v>9.42</v>
      </c>
      <c r="J1303" s="39">
        <v>1020</v>
      </c>
      <c r="K1303" s="143"/>
      <c r="L1303" s="22">
        <v>0</v>
      </c>
      <c r="M1303" s="22">
        <v>0</v>
      </c>
      <c r="N1303" s="20" t="s">
        <v>9315</v>
      </c>
      <c r="O1303" s="16" t="s">
        <v>13917</v>
      </c>
      <c r="P1303" s="143" t="s">
        <v>12556</v>
      </c>
      <c r="Q1303" s="121" t="s">
        <v>14285</v>
      </c>
      <c r="R1303" s="16" t="s">
        <v>14363</v>
      </c>
      <c r="S1303" s="10" t="s">
        <v>194</v>
      </c>
      <c r="T1303" s="28" t="s">
        <v>10457</v>
      </c>
      <c r="U1303" s="20" t="s">
        <v>5359</v>
      </c>
      <c r="V1303" s="16" t="s">
        <v>973</v>
      </c>
      <c r="W1303" s="11" t="s">
        <v>13938</v>
      </c>
      <c r="X1303" s="174">
        <v>7.18</v>
      </c>
      <c r="Y1303" s="174">
        <v>9.42</v>
      </c>
    </row>
    <row r="1304" spans="1:25" ht="15" customHeight="1" x14ac:dyDescent="0.25">
      <c r="A1304" s="20" t="s">
        <v>975</v>
      </c>
      <c r="B1304" s="14" t="s">
        <v>2792</v>
      </c>
      <c r="C1304" s="71" t="str">
        <f t="shared" si="26"/>
        <v>Product Info</v>
      </c>
      <c r="D1304" s="37" t="s">
        <v>4097</v>
      </c>
      <c r="E1304" s="143">
        <v>5</v>
      </c>
      <c r="F1304" s="12" t="s">
        <v>4992</v>
      </c>
      <c r="G1304" s="38">
        <v>14.61</v>
      </c>
      <c r="H1304" s="38">
        <f t="shared" si="27"/>
        <v>10.23</v>
      </c>
      <c r="I1304" s="38">
        <v>10.23</v>
      </c>
      <c r="J1304" s="39">
        <v>1020</v>
      </c>
      <c r="K1304" s="143"/>
      <c r="L1304" s="22">
        <v>0</v>
      </c>
      <c r="M1304" s="22">
        <v>0</v>
      </c>
      <c r="N1304" s="20" t="s">
        <v>9315</v>
      </c>
      <c r="O1304" s="16" t="s">
        <v>13917</v>
      </c>
      <c r="P1304" s="143" t="s">
        <v>12556</v>
      </c>
      <c r="Q1304" s="122" t="s">
        <v>14461</v>
      </c>
      <c r="R1304" s="16" t="s">
        <v>14363</v>
      </c>
      <c r="S1304" s="10" t="s">
        <v>194</v>
      </c>
      <c r="T1304" s="28" t="s">
        <v>10458</v>
      </c>
      <c r="U1304" s="20" t="s">
        <v>5359</v>
      </c>
      <c r="V1304" s="16" t="s">
        <v>975</v>
      </c>
      <c r="W1304" s="11" t="s">
        <v>13938</v>
      </c>
      <c r="X1304" s="174">
        <v>7.79</v>
      </c>
      <c r="Y1304" s="174">
        <v>10.23</v>
      </c>
    </row>
    <row r="1305" spans="1:25" ht="15" customHeight="1" x14ac:dyDescent="0.25">
      <c r="A1305" s="20" t="s">
        <v>5849</v>
      </c>
      <c r="B1305" s="14" t="s">
        <v>5848</v>
      </c>
      <c r="C1305" s="71" t="str">
        <f t="shared" si="26"/>
        <v>Product Info</v>
      </c>
      <c r="D1305" s="37" t="s">
        <v>5856</v>
      </c>
      <c r="E1305" s="143">
        <v>5</v>
      </c>
      <c r="F1305" s="12" t="s">
        <v>4992</v>
      </c>
      <c r="G1305" s="38">
        <v>8.0299999999999994</v>
      </c>
      <c r="H1305" s="38">
        <f t="shared" si="27"/>
        <v>5.62</v>
      </c>
      <c r="I1305" s="38">
        <v>5.62</v>
      </c>
      <c r="J1305" s="39">
        <v>2000</v>
      </c>
      <c r="K1305" s="143"/>
      <c r="L1305" s="22">
        <v>0</v>
      </c>
      <c r="M1305" s="22" t="s">
        <v>14396</v>
      </c>
      <c r="N1305" s="20" t="s">
        <v>9305</v>
      </c>
      <c r="O1305" s="16" t="s">
        <v>13917</v>
      </c>
      <c r="P1305" s="143" t="s">
        <v>12556</v>
      </c>
      <c r="Q1305" s="122" t="s">
        <v>14461</v>
      </c>
      <c r="R1305" s="16" t="s">
        <v>14363</v>
      </c>
      <c r="S1305" s="10" t="s">
        <v>194</v>
      </c>
      <c r="T1305" s="28" t="s">
        <v>10459</v>
      </c>
      <c r="U1305" s="20" t="s">
        <v>5359</v>
      </c>
      <c r="V1305" s="16" t="s">
        <v>5849</v>
      </c>
      <c r="W1305" s="11" t="s">
        <v>13938</v>
      </c>
      <c r="X1305" s="174">
        <v>4.28</v>
      </c>
      <c r="Y1305" s="174">
        <v>5.62</v>
      </c>
    </row>
    <row r="1306" spans="1:25" ht="15" customHeight="1" x14ac:dyDescent="0.3">
      <c r="A1306" s="20" t="s">
        <v>14189</v>
      </c>
      <c r="B1306" s="37" t="s">
        <v>14190</v>
      </c>
      <c r="C1306" s="71" t="str">
        <f t="shared" si="26"/>
        <v>Product Info</v>
      </c>
      <c r="D1306" s="170" t="s">
        <v>14924</v>
      </c>
      <c r="E1306" s="143">
        <v>0</v>
      </c>
      <c r="F1306" s="143" t="s">
        <v>4992</v>
      </c>
      <c r="G1306" s="38">
        <v>468.01</v>
      </c>
      <c r="H1306" s="38">
        <v>397.83</v>
      </c>
      <c r="I1306" s="38">
        <v>327.61</v>
      </c>
      <c r="J1306" s="39"/>
      <c r="K1306" s="143"/>
      <c r="L1306" s="22">
        <v>4</v>
      </c>
      <c r="M1306" s="22" t="s">
        <v>12488</v>
      </c>
      <c r="N1306" s="20" t="s">
        <v>12529</v>
      </c>
      <c r="O1306" s="16" t="s">
        <v>13912</v>
      </c>
      <c r="P1306" s="143">
        <v>751</v>
      </c>
      <c r="Q1306" s="122" t="s">
        <v>12421</v>
      </c>
      <c r="R1306" s="16" t="s">
        <v>8904</v>
      </c>
      <c r="S1306" s="10" t="s">
        <v>1163</v>
      </c>
      <c r="T1306" s="15" t="s">
        <v>14330</v>
      </c>
      <c r="U1306" s="20" t="s">
        <v>5359</v>
      </c>
      <c r="V1306" s="20" t="s">
        <v>14189</v>
      </c>
      <c r="W1306" s="20" t="s">
        <v>14284</v>
      </c>
      <c r="X1306" s="174">
        <v>294.85000000000002</v>
      </c>
      <c r="Y1306" s="174">
        <v>366.00360000000001</v>
      </c>
    </row>
    <row r="1307" spans="1:25" ht="15" customHeight="1" x14ac:dyDescent="0.25">
      <c r="A1307" s="20" t="s">
        <v>5851</v>
      </c>
      <c r="B1307" s="14" t="s">
        <v>5850</v>
      </c>
      <c r="C1307" s="71" t="str">
        <f t="shared" si="26"/>
        <v>Product Info</v>
      </c>
      <c r="D1307" s="37" t="s">
        <v>5857</v>
      </c>
      <c r="E1307" s="143">
        <v>5</v>
      </c>
      <c r="F1307" s="12" t="s">
        <v>4992</v>
      </c>
      <c r="G1307" s="38">
        <v>2.91</v>
      </c>
      <c r="H1307" s="38">
        <f t="shared" ref="H1307:H1338" si="28">I1307</f>
        <v>2.04</v>
      </c>
      <c r="I1307" s="38">
        <v>2.04</v>
      </c>
      <c r="J1307" s="39">
        <v>3000</v>
      </c>
      <c r="K1307" s="143"/>
      <c r="L1307" s="22">
        <v>0</v>
      </c>
      <c r="M1307" s="22" t="s">
        <v>14396</v>
      </c>
      <c r="N1307" s="20" t="s">
        <v>9307</v>
      </c>
      <c r="O1307" s="16" t="s">
        <v>13917</v>
      </c>
      <c r="P1307" s="143" t="s">
        <v>12556</v>
      </c>
      <c r="Q1307" s="122" t="s">
        <v>14461</v>
      </c>
      <c r="R1307" s="16" t="s">
        <v>14363</v>
      </c>
      <c r="S1307" s="10" t="s">
        <v>194</v>
      </c>
      <c r="T1307" s="28" t="s">
        <v>10460</v>
      </c>
      <c r="U1307" s="20" t="s">
        <v>5359</v>
      </c>
      <c r="V1307" s="16" t="s">
        <v>5851</v>
      </c>
      <c r="W1307" s="11" t="s">
        <v>13938</v>
      </c>
      <c r="X1307" s="174">
        <v>1.55</v>
      </c>
      <c r="Y1307" s="174">
        <v>2.04</v>
      </c>
    </row>
    <row r="1308" spans="1:25" ht="15" customHeight="1" x14ac:dyDescent="0.25">
      <c r="A1308" s="20" t="s">
        <v>2097</v>
      </c>
      <c r="B1308" s="14" t="s">
        <v>2098</v>
      </c>
      <c r="C1308" s="71" t="str">
        <f t="shared" si="26"/>
        <v>Product Info</v>
      </c>
      <c r="D1308" s="37" t="s">
        <v>2099</v>
      </c>
      <c r="E1308" s="143">
        <v>25</v>
      </c>
      <c r="F1308" s="12" t="s">
        <v>4992</v>
      </c>
      <c r="G1308" s="38">
        <v>4.34</v>
      </c>
      <c r="H1308" s="38">
        <f t="shared" si="28"/>
        <v>3.03</v>
      </c>
      <c r="I1308" s="38">
        <v>3.03</v>
      </c>
      <c r="J1308" s="39"/>
      <c r="K1308" s="143"/>
      <c r="L1308" s="22">
        <v>0</v>
      </c>
      <c r="M1308" s="22">
        <v>0</v>
      </c>
      <c r="N1308" s="20" t="s">
        <v>14489</v>
      </c>
      <c r="O1308" s="16" t="s">
        <v>4992</v>
      </c>
      <c r="P1308" s="143" t="s">
        <v>12556</v>
      </c>
      <c r="Q1308" s="121" t="s">
        <v>14285</v>
      </c>
      <c r="R1308" s="16" t="s">
        <v>14363</v>
      </c>
      <c r="S1308" s="10" t="s">
        <v>194</v>
      </c>
      <c r="T1308" s="28" t="s">
        <v>10461</v>
      </c>
      <c r="U1308" s="20" t="s">
        <v>5359</v>
      </c>
      <c r="V1308" s="16" t="s">
        <v>2097</v>
      </c>
      <c r="W1308" s="11" t="s">
        <v>13938</v>
      </c>
      <c r="X1308" s="174">
        <v>2.31</v>
      </c>
      <c r="Y1308" s="174">
        <v>3.03</v>
      </c>
    </row>
    <row r="1309" spans="1:25" ht="15" customHeight="1" x14ac:dyDescent="0.25">
      <c r="A1309" s="20" t="s">
        <v>2120</v>
      </c>
      <c r="B1309" s="14" t="s">
        <v>3614</v>
      </c>
      <c r="C1309" s="71" t="str">
        <f t="shared" si="26"/>
        <v>Product Info</v>
      </c>
      <c r="D1309" s="37" t="s">
        <v>3615</v>
      </c>
      <c r="E1309" s="143">
        <v>25</v>
      </c>
      <c r="F1309" s="12" t="s">
        <v>4992</v>
      </c>
      <c r="G1309" s="38">
        <v>3.38</v>
      </c>
      <c r="H1309" s="38">
        <f t="shared" si="28"/>
        <v>2.36</v>
      </c>
      <c r="I1309" s="38">
        <v>2.36</v>
      </c>
      <c r="J1309" s="39"/>
      <c r="K1309" s="143"/>
      <c r="L1309" s="22">
        <v>0</v>
      </c>
      <c r="M1309" s="22">
        <v>0</v>
      </c>
      <c r="N1309" s="20" t="s">
        <v>14489</v>
      </c>
      <c r="O1309" s="16" t="s">
        <v>4992</v>
      </c>
      <c r="P1309" s="143" t="s">
        <v>12556</v>
      </c>
      <c r="Q1309" s="121" t="s">
        <v>14285</v>
      </c>
      <c r="R1309" s="16" t="s">
        <v>14363</v>
      </c>
      <c r="S1309" s="10" t="s">
        <v>194</v>
      </c>
      <c r="T1309" s="28" t="s">
        <v>10462</v>
      </c>
      <c r="U1309" s="20" t="s">
        <v>5359</v>
      </c>
      <c r="V1309" s="16" t="s">
        <v>2120</v>
      </c>
      <c r="W1309" s="11" t="s">
        <v>13938</v>
      </c>
      <c r="X1309" s="174">
        <v>1.8</v>
      </c>
      <c r="Y1309" s="174">
        <v>2.36</v>
      </c>
    </row>
    <row r="1310" spans="1:25" ht="15" customHeight="1" x14ac:dyDescent="0.25">
      <c r="A1310" s="20" t="s">
        <v>3616</v>
      </c>
      <c r="B1310" s="14" t="s">
        <v>3617</v>
      </c>
      <c r="C1310" s="71" t="str">
        <f t="shared" si="26"/>
        <v>Product Info</v>
      </c>
      <c r="D1310" s="37" t="s">
        <v>3618</v>
      </c>
      <c r="E1310" s="143">
        <v>25</v>
      </c>
      <c r="F1310" s="12" t="s">
        <v>4992</v>
      </c>
      <c r="G1310" s="38">
        <v>3.38</v>
      </c>
      <c r="H1310" s="38">
        <f t="shared" si="28"/>
        <v>2.36</v>
      </c>
      <c r="I1310" s="38">
        <v>2.36</v>
      </c>
      <c r="J1310" s="39"/>
      <c r="K1310" s="143"/>
      <c r="L1310" s="22">
        <v>0</v>
      </c>
      <c r="M1310" s="22">
        <v>0</v>
      </c>
      <c r="N1310" s="20" t="s">
        <v>14489</v>
      </c>
      <c r="O1310" s="16" t="s">
        <v>4992</v>
      </c>
      <c r="P1310" s="143" t="s">
        <v>12556</v>
      </c>
      <c r="Q1310" s="121" t="s">
        <v>14285</v>
      </c>
      <c r="R1310" s="16" t="s">
        <v>14363</v>
      </c>
      <c r="S1310" s="10" t="s">
        <v>194</v>
      </c>
      <c r="T1310" s="28" t="s">
        <v>10463</v>
      </c>
      <c r="U1310" s="20" t="s">
        <v>5359</v>
      </c>
      <c r="V1310" s="16" t="s">
        <v>3616</v>
      </c>
      <c r="W1310" s="11" t="s">
        <v>13938</v>
      </c>
      <c r="X1310" s="174">
        <v>1.8</v>
      </c>
      <c r="Y1310" s="174">
        <v>2.36</v>
      </c>
    </row>
    <row r="1311" spans="1:25" ht="15" customHeight="1" x14ac:dyDescent="0.25">
      <c r="A1311" s="20" t="s">
        <v>976</v>
      </c>
      <c r="B1311" s="14" t="s">
        <v>977</v>
      </c>
      <c r="C1311" s="71" t="str">
        <f t="shared" si="26"/>
        <v>Product Info</v>
      </c>
      <c r="D1311" s="37" t="s">
        <v>4288</v>
      </c>
      <c r="E1311" s="143">
        <v>10</v>
      </c>
      <c r="F1311" s="12" t="s">
        <v>4992</v>
      </c>
      <c r="G1311" s="38">
        <v>7.2</v>
      </c>
      <c r="H1311" s="38">
        <f t="shared" si="28"/>
        <v>5.04</v>
      </c>
      <c r="I1311" s="38">
        <v>5.04</v>
      </c>
      <c r="J1311" s="39"/>
      <c r="K1311" s="143"/>
      <c r="L1311" s="22">
        <v>0.8</v>
      </c>
      <c r="M1311" s="22" t="s">
        <v>14396</v>
      </c>
      <c r="N1311" s="20" t="s">
        <v>9317</v>
      </c>
      <c r="O1311" s="16" t="s">
        <v>12608</v>
      </c>
      <c r="P1311" s="143" t="s">
        <v>12556</v>
      </c>
      <c r="Q1311" s="121" t="s">
        <v>14285</v>
      </c>
      <c r="R1311" s="16" t="s">
        <v>14363</v>
      </c>
      <c r="S1311" s="10" t="s">
        <v>194</v>
      </c>
      <c r="T1311" s="28" t="s">
        <v>10464</v>
      </c>
      <c r="U1311" s="20" t="s">
        <v>5359</v>
      </c>
      <c r="V1311" s="16" t="s">
        <v>976</v>
      </c>
      <c r="W1311" s="11" t="s">
        <v>13938</v>
      </c>
      <c r="X1311" s="174">
        <v>3.84</v>
      </c>
      <c r="Y1311" s="174">
        <v>5.04</v>
      </c>
    </row>
    <row r="1312" spans="1:25" ht="15" customHeight="1" x14ac:dyDescent="0.25">
      <c r="A1312" s="20" t="s">
        <v>4289</v>
      </c>
      <c r="B1312" s="14" t="s">
        <v>1363</v>
      </c>
      <c r="C1312" s="71" t="str">
        <f t="shared" si="26"/>
        <v>Product Info</v>
      </c>
      <c r="D1312" s="37" t="s">
        <v>2161</v>
      </c>
      <c r="E1312" s="143">
        <v>10</v>
      </c>
      <c r="F1312" s="12" t="s">
        <v>4992</v>
      </c>
      <c r="G1312" s="38">
        <v>7.58</v>
      </c>
      <c r="H1312" s="38">
        <f t="shared" si="28"/>
        <v>5.3</v>
      </c>
      <c r="I1312" s="38">
        <v>5.3</v>
      </c>
      <c r="J1312" s="39"/>
      <c r="K1312" s="143"/>
      <c r="L1312" s="22">
        <v>1.5</v>
      </c>
      <c r="M1312" s="22" t="s">
        <v>14396</v>
      </c>
      <c r="N1312" s="20" t="s">
        <v>9318</v>
      </c>
      <c r="O1312" s="16" t="s">
        <v>13914</v>
      </c>
      <c r="P1312" s="143" t="s">
        <v>12556</v>
      </c>
      <c r="Q1312" s="121" t="s">
        <v>14285</v>
      </c>
      <c r="R1312" s="16" t="s">
        <v>14363</v>
      </c>
      <c r="S1312" s="10" t="s">
        <v>194</v>
      </c>
      <c r="T1312" s="28" t="s">
        <v>10465</v>
      </c>
      <c r="U1312" s="20" t="s">
        <v>5359</v>
      </c>
      <c r="V1312" s="16" t="s">
        <v>4289</v>
      </c>
      <c r="W1312" s="11" t="s">
        <v>13938</v>
      </c>
      <c r="X1312" s="174">
        <v>4.04</v>
      </c>
      <c r="Y1312" s="174">
        <v>5.3</v>
      </c>
    </row>
    <row r="1313" spans="1:25" ht="15" customHeight="1" x14ac:dyDescent="0.25">
      <c r="A1313" s="20" t="s">
        <v>2162</v>
      </c>
      <c r="B1313" s="14" t="s">
        <v>2163</v>
      </c>
      <c r="C1313" s="71" t="str">
        <f t="shared" si="26"/>
        <v>Product Info</v>
      </c>
      <c r="D1313" s="37" t="s">
        <v>2164</v>
      </c>
      <c r="E1313" s="143">
        <v>10</v>
      </c>
      <c r="F1313" s="12" t="s">
        <v>4992</v>
      </c>
      <c r="G1313" s="38">
        <v>7.2</v>
      </c>
      <c r="H1313" s="38">
        <f t="shared" si="28"/>
        <v>5.04</v>
      </c>
      <c r="I1313" s="38">
        <v>5.04</v>
      </c>
      <c r="J1313" s="39"/>
      <c r="K1313" s="143"/>
      <c r="L1313" s="22">
        <v>0.8</v>
      </c>
      <c r="M1313" s="22" t="s">
        <v>12488</v>
      </c>
      <c r="N1313" s="20" t="s">
        <v>9317</v>
      </c>
      <c r="O1313" s="16" t="s">
        <v>12608</v>
      </c>
      <c r="P1313" s="143" t="s">
        <v>12556</v>
      </c>
      <c r="Q1313" s="121" t="s">
        <v>14285</v>
      </c>
      <c r="R1313" s="16" t="s">
        <v>14363</v>
      </c>
      <c r="S1313" s="10" t="s">
        <v>194</v>
      </c>
      <c r="T1313" s="28" t="s">
        <v>10466</v>
      </c>
      <c r="U1313" s="20" t="s">
        <v>5359</v>
      </c>
      <c r="V1313" s="16" t="s">
        <v>2162</v>
      </c>
      <c r="W1313" s="11" t="s">
        <v>13938</v>
      </c>
      <c r="X1313" s="174">
        <v>3.84</v>
      </c>
      <c r="Y1313" s="174">
        <v>5.04</v>
      </c>
    </row>
    <row r="1314" spans="1:25" ht="15" customHeight="1" x14ac:dyDescent="0.25">
      <c r="A1314" s="20" t="s">
        <v>5108</v>
      </c>
      <c r="B1314" s="14" t="s">
        <v>5109</v>
      </c>
      <c r="C1314" s="71" t="str">
        <f t="shared" si="26"/>
        <v>Product Info</v>
      </c>
      <c r="D1314" s="37" t="s">
        <v>5110</v>
      </c>
      <c r="E1314" s="143">
        <v>10</v>
      </c>
      <c r="F1314" s="12" t="s">
        <v>4992</v>
      </c>
      <c r="G1314" s="38">
        <v>7.2</v>
      </c>
      <c r="H1314" s="38">
        <f t="shared" si="28"/>
        <v>5.04</v>
      </c>
      <c r="I1314" s="38">
        <v>5.04</v>
      </c>
      <c r="J1314" s="39"/>
      <c r="K1314" s="143"/>
      <c r="L1314" s="22">
        <v>0</v>
      </c>
      <c r="M1314" s="22">
        <v>0</v>
      </c>
      <c r="N1314" s="20" t="s">
        <v>14489</v>
      </c>
      <c r="O1314" s="16" t="s">
        <v>4992</v>
      </c>
      <c r="P1314" s="143" t="s">
        <v>12556</v>
      </c>
      <c r="Q1314" s="121" t="s">
        <v>14285</v>
      </c>
      <c r="R1314" s="16" t="s">
        <v>14363</v>
      </c>
      <c r="S1314" s="10" t="s">
        <v>194</v>
      </c>
      <c r="T1314" s="28" t="s">
        <v>10467</v>
      </c>
      <c r="U1314" s="20" t="s">
        <v>5359</v>
      </c>
      <c r="V1314" s="16" t="s">
        <v>5108</v>
      </c>
      <c r="W1314" s="11" t="s">
        <v>13938</v>
      </c>
      <c r="X1314" s="174">
        <v>3.84</v>
      </c>
      <c r="Y1314" s="174">
        <v>5.04</v>
      </c>
    </row>
    <row r="1315" spans="1:25" ht="15" customHeight="1" x14ac:dyDescent="0.25">
      <c r="A1315" s="20" t="s">
        <v>4175</v>
      </c>
      <c r="B1315" s="14" t="s">
        <v>4176</v>
      </c>
      <c r="C1315" s="71" t="str">
        <f t="shared" si="26"/>
        <v>Product Info</v>
      </c>
      <c r="D1315" s="37" t="s">
        <v>4177</v>
      </c>
      <c r="E1315" s="143">
        <v>10</v>
      </c>
      <c r="F1315" s="12" t="s">
        <v>4992</v>
      </c>
      <c r="G1315" s="38">
        <v>5.51</v>
      </c>
      <c r="H1315" s="38">
        <f t="shared" si="28"/>
        <v>3.85</v>
      </c>
      <c r="I1315" s="38">
        <v>3.85</v>
      </c>
      <c r="J1315" s="39"/>
      <c r="K1315" s="143"/>
      <c r="L1315" s="22">
        <v>0</v>
      </c>
      <c r="M1315" s="22">
        <v>0</v>
      </c>
      <c r="N1315" s="20" t="s">
        <v>14489</v>
      </c>
      <c r="O1315" s="16" t="s">
        <v>4992</v>
      </c>
      <c r="P1315" s="143" t="s">
        <v>12556</v>
      </c>
      <c r="Q1315" s="121" t="s">
        <v>14285</v>
      </c>
      <c r="R1315" s="16" t="s">
        <v>14363</v>
      </c>
      <c r="S1315" s="10" t="s">
        <v>194</v>
      </c>
      <c r="T1315" s="28" t="s">
        <v>10468</v>
      </c>
      <c r="U1315" s="20" t="s">
        <v>5359</v>
      </c>
      <c r="V1315" s="16" t="s">
        <v>4175</v>
      </c>
      <c r="W1315" s="11" t="s">
        <v>13938</v>
      </c>
      <c r="X1315" s="174">
        <v>2.94</v>
      </c>
      <c r="Y1315" s="174">
        <v>3.85</v>
      </c>
    </row>
    <row r="1316" spans="1:25" ht="15" customHeight="1" x14ac:dyDescent="0.25">
      <c r="A1316" s="20" t="s">
        <v>989</v>
      </c>
      <c r="B1316" s="14" t="s">
        <v>990</v>
      </c>
      <c r="C1316" s="71" t="str">
        <f t="shared" si="26"/>
        <v>Product Info</v>
      </c>
      <c r="D1316" s="37" t="s">
        <v>991</v>
      </c>
      <c r="E1316" s="143">
        <v>25</v>
      </c>
      <c r="F1316" s="12" t="s">
        <v>4992</v>
      </c>
      <c r="G1316" s="38">
        <v>3.75</v>
      </c>
      <c r="H1316" s="38">
        <f t="shared" si="28"/>
        <v>2.63</v>
      </c>
      <c r="I1316" s="38">
        <v>2.63</v>
      </c>
      <c r="J1316" s="39"/>
      <c r="K1316" s="143"/>
      <c r="L1316" s="22">
        <v>0</v>
      </c>
      <c r="M1316" s="22">
        <v>0</v>
      </c>
      <c r="N1316" s="20" t="s">
        <v>14489</v>
      </c>
      <c r="O1316" s="16" t="s">
        <v>4992</v>
      </c>
      <c r="P1316" s="143" t="s">
        <v>12556</v>
      </c>
      <c r="Q1316" s="121" t="s">
        <v>14285</v>
      </c>
      <c r="R1316" s="16" t="s">
        <v>14363</v>
      </c>
      <c r="S1316" s="10" t="s">
        <v>194</v>
      </c>
      <c r="T1316" s="28" t="s">
        <v>10469</v>
      </c>
      <c r="U1316" s="20" t="s">
        <v>5359</v>
      </c>
      <c r="V1316" s="16" t="s">
        <v>989</v>
      </c>
      <c r="W1316" s="11" t="s">
        <v>13938</v>
      </c>
      <c r="X1316" s="174">
        <v>2</v>
      </c>
      <c r="Y1316" s="174">
        <v>2.63</v>
      </c>
    </row>
    <row r="1317" spans="1:25" ht="15" customHeight="1" x14ac:dyDescent="0.25">
      <c r="A1317" s="20" t="s">
        <v>2892</v>
      </c>
      <c r="B1317" s="14" t="s">
        <v>2893</v>
      </c>
      <c r="C1317" s="71" t="str">
        <f t="shared" si="26"/>
        <v>Product Info</v>
      </c>
      <c r="D1317" s="37" t="s">
        <v>6455</v>
      </c>
      <c r="E1317" s="143">
        <v>5</v>
      </c>
      <c r="F1317" s="12" t="s">
        <v>4992</v>
      </c>
      <c r="G1317" s="38">
        <v>7.37</v>
      </c>
      <c r="H1317" s="38">
        <f t="shared" si="28"/>
        <v>5.16</v>
      </c>
      <c r="I1317" s="38">
        <v>5.16</v>
      </c>
      <c r="J1317" s="39"/>
      <c r="K1317" s="143"/>
      <c r="L1317" s="22">
        <v>0</v>
      </c>
      <c r="M1317" s="22">
        <v>0</v>
      </c>
      <c r="N1317" s="20" t="s">
        <v>14489</v>
      </c>
      <c r="O1317" s="16">
        <v>0</v>
      </c>
      <c r="P1317" s="143" t="s">
        <v>12556</v>
      </c>
      <c r="Q1317" s="121" t="s">
        <v>14285</v>
      </c>
      <c r="R1317" s="16" t="s">
        <v>14363</v>
      </c>
      <c r="S1317" s="10" t="s">
        <v>194</v>
      </c>
      <c r="T1317" s="28" t="s">
        <v>10470</v>
      </c>
      <c r="U1317" s="20" t="s">
        <v>5359</v>
      </c>
      <c r="V1317" s="16" t="s">
        <v>2892</v>
      </c>
      <c r="W1317" s="11" t="s">
        <v>13938</v>
      </c>
      <c r="X1317" s="174">
        <v>3.93</v>
      </c>
      <c r="Y1317" s="174">
        <v>5.16</v>
      </c>
    </row>
    <row r="1318" spans="1:25" ht="15" customHeight="1" x14ac:dyDescent="0.25">
      <c r="A1318" s="20" t="s">
        <v>2894</v>
      </c>
      <c r="B1318" s="14" t="s">
        <v>2895</v>
      </c>
      <c r="C1318" s="71" t="str">
        <f t="shared" si="26"/>
        <v>Product Info</v>
      </c>
      <c r="D1318" s="37" t="s">
        <v>2224</v>
      </c>
      <c r="E1318" s="143">
        <v>100</v>
      </c>
      <c r="F1318" s="12" t="s">
        <v>4992</v>
      </c>
      <c r="G1318" s="38">
        <v>1.1299999999999999</v>
      </c>
      <c r="H1318" s="38">
        <f t="shared" si="28"/>
        <v>0.79</v>
      </c>
      <c r="I1318" s="38">
        <v>0.79</v>
      </c>
      <c r="J1318" s="39"/>
      <c r="K1318" s="143"/>
      <c r="L1318" s="22">
        <v>0</v>
      </c>
      <c r="M1318" s="22">
        <v>0</v>
      </c>
      <c r="N1318" s="20" t="s">
        <v>14489</v>
      </c>
      <c r="O1318" s="16">
        <v>0</v>
      </c>
      <c r="P1318" s="143" t="s">
        <v>12556</v>
      </c>
      <c r="Q1318" s="121" t="s">
        <v>14285</v>
      </c>
      <c r="R1318" s="16" t="s">
        <v>14363</v>
      </c>
      <c r="S1318" s="10" t="s">
        <v>194</v>
      </c>
      <c r="T1318" s="28" t="s">
        <v>10471</v>
      </c>
      <c r="U1318" s="20" t="s">
        <v>5359</v>
      </c>
      <c r="V1318" s="16" t="s">
        <v>2894</v>
      </c>
      <c r="W1318" s="11" t="s">
        <v>13938</v>
      </c>
      <c r="X1318" s="174">
        <v>0.6</v>
      </c>
      <c r="Y1318" s="174">
        <v>0.79</v>
      </c>
    </row>
    <row r="1319" spans="1:25" ht="15" customHeight="1" x14ac:dyDescent="0.25">
      <c r="A1319" s="20" t="s">
        <v>2896</v>
      </c>
      <c r="B1319" s="14" t="s">
        <v>2897</v>
      </c>
      <c r="C1319" s="71" t="str">
        <f t="shared" si="26"/>
        <v>Product Info</v>
      </c>
      <c r="D1319" s="37" t="s">
        <v>6454</v>
      </c>
      <c r="E1319" s="143">
        <v>5</v>
      </c>
      <c r="F1319" s="12" t="s">
        <v>4992</v>
      </c>
      <c r="G1319" s="38">
        <v>7.37</v>
      </c>
      <c r="H1319" s="38">
        <f t="shared" si="28"/>
        <v>5.16</v>
      </c>
      <c r="I1319" s="38">
        <v>5.16</v>
      </c>
      <c r="J1319" s="39"/>
      <c r="K1319" s="143"/>
      <c r="L1319" s="22">
        <v>0</v>
      </c>
      <c r="M1319" s="22">
        <v>0</v>
      </c>
      <c r="N1319" s="20" t="s">
        <v>14489</v>
      </c>
      <c r="O1319" s="16">
        <v>0</v>
      </c>
      <c r="P1319" s="143" t="s">
        <v>12556</v>
      </c>
      <c r="Q1319" s="121" t="s">
        <v>14285</v>
      </c>
      <c r="R1319" s="16" t="s">
        <v>14363</v>
      </c>
      <c r="S1319" s="10" t="s">
        <v>194</v>
      </c>
      <c r="T1319" s="28" t="s">
        <v>10472</v>
      </c>
      <c r="U1319" s="20" t="s">
        <v>5359</v>
      </c>
      <c r="V1319" s="16" t="s">
        <v>2896</v>
      </c>
      <c r="W1319" s="11" t="s">
        <v>13938</v>
      </c>
      <c r="X1319" s="174">
        <v>3.93</v>
      </c>
      <c r="Y1319" s="174">
        <v>5.16</v>
      </c>
    </row>
    <row r="1320" spans="1:25" ht="15" customHeight="1" x14ac:dyDescent="0.25">
      <c r="A1320" s="20" t="s">
        <v>2898</v>
      </c>
      <c r="B1320" s="14" t="s">
        <v>2899</v>
      </c>
      <c r="C1320" s="71" t="str">
        <f t="shared" si="26"/>
        <v>Product Info</v>
      </c>
      <c r="D1320" s="37" t="s">
        <v>2223</v>
      </c>
      <c r="E1320" s="143">
        <v>100</v>
      </c>
      <c r="F1320" s="12" t="s">
        <v>4992</v>
      </c>
      <c r="G1320" s="38">
        <v>1.1299999999999999</v>
      </c>
      <c r="H1320" s="38">
        <f t="shared" si="28"/>
        <v>0.79</v>
      </c>
      <c r="I1320" s="38">
        <v>0.79</v>
      </c>
      <c r="J1320" s="39"/>
      <c r="K1320" s="143"/>
      <c r="L1320" s="22">
        <v>0</v>
      </c>
      <c r="M1320" s="22">
        <v>0</v>
      </c>
      <c r="N1320" s="20" t="s">
        <v>14489</v>
      </c>
      <c r="O1320" s="16">
        <v>0</v>
      </c>
      <c r="P1320" s="143" t="s">
        <v>12556</v>
      </c>
      <c r="Q1320" s="121" t="s">
        <v>14285</v>
      </c>
      <c r="R1320" s="16" t="s">
        <v>14363</v>
      </c>
      <c r="S1320" s="10" t="s">
        <v>194</v>
      </c>
      <c r="T1320" s="28" t="s">
        <v>10473</v>
      </c>
      <c r="U1320" s="20" t="s">
        <v>5359</v>
      </c>
      <c r="V1320" s="16" t="s">
        <v>2898</v>
      </c>
      <c r="W1320" s="11" t="s">
        <v>13938</v>
      </c>
      <c r="X1320" s="174">
        <v>0.6</v>
      </c>
      <c r="Y1320" s="174">
        <v>0.79</v>
      </c>
    </row>
    <row r="1321" spans="1:25" ht="15" customHeight="1" x14ac:dyDescent="0.25">
      <c r="A1321" s="20" t="s">
        <v>2900</v>
      </c>
      <c r="B1321" s="14" t="s">
        <v>5052</v>
      </c>
      <c r="C1321" s="71" t="str">
        <f t="shared" si="26"/>
        <v>Product Info</v>
      </c>
      <c r="D1321" s="37" t="s">
        <v>6453</v>
      </c>
      <c r="E1321" s="143">
        <v>5</v>
      </c>
      <c r="F1321" s="12" t="s">
        <v>4992</v>
      </c>
      <c r="G1321" s="38">
        <v>7.37</v>
      </c>
      <c r="H1321" s="38">
        <f t="shared" si="28"/>
        <v>5.16</v>
      </c>
      <c r="I1321" s="38">
        <v>5.16</v>
      </c>
      <c r="J1321" s="39"/>
      <c r="K1321" s="143"/>
      <c r="L1321" s="22">
        <v>0</v>
      </c>
      <c r="M1321" s="22">
        <v>0</v>
      </c>
      <c r="N1321" s="20" t="s">
        <v>14489</v>
      </c>
      <c r="O1321" s="16">
        <v>0</v>
      </c>
      <c r="P1321" s="143" t="s">
        <v>12556</v>
      </c>
      <c r="Q1321" s="121" t="s">
        <v>14285</v>
      </c>
      <c r="R1321" s="16" t="s">
        <v>14363</v>
      </c>
      <c r="S1321" s="10" t="s">
        <v>194</v>
      </c>
      <c r="T1321" s="28" t="s">
        <v>10474</v>
      </c>
      <c r="U1321" s="20" t="s">
        <v>5359</v>
      </c>
      <c r="V1321" s="16" t="s">
        <v>2900</v>
      </c>
      <c r="W1321" s="11" t="s">
        <v>13938</v>
      </c>
      <c r="X1321" s="174">
        <v>3.93</v>
      </c>
      <c r="Y1321" s="174">
        <v>5.16</v>
      </c>
    </row>
    <row r="1322" spans="1:25" ht="15" customHeight="1" x14ac:dyDescent="0.25">
      <c r="A1322" s="20" t="s">
        <v>5053</v>
      </c>
      <c r="B1322" s="14" t="s">
        <v>5054</v>
      </c>
      <c r="C1322" s="71" t="str">
        <f t="shared" si="26"/>
        <v>Product Info</v>
      </c>
      <c r="D1322" s="37" t="s">
        <v>6452</v>
      </c>
      <c r="E1322" s="143">
        <v>5</v>
      </c>
      <c r="F1322" s="12" t="s">
        <v>4992</v>
      </c>
      <c r="G1322" s="38">
        <v>7.37</v>
      </c>
      <c r="H1322" s="38">
        <f t="shared" si="28"/>
        <v>5.16</v>
      </c>
      <c r="I1322" s="38">
        <v>5.16</v>
      </c>
      <c r="J1322" s="39"/>
      <c r="K1322" s="143"/>
      <c r="L1322" s="22">
        <v>0</v>
      </c>
      <c r="M1322" s="22">
        <v>0</v>
      </c>
      <c r="N1322" s="20" t="s">
        <v>14489</v>
      </c>
      <c r="O1322" s="16">
        <v>0</v>
      </c>
      <c r="P1322" s="143" t="s">
        <v>12556</v>
      </c>
      <c r="Q1322" s="121" t="s">
        <v>14285</v>
      </c>
      <c r="R1322" s="16" t="s">
        <v>14363</v>
      </c>
      <c r="S1322" s="10" t="s">
        <v>194</v>
      </c>
      <c r="T1322" s="28" t="s">
        <v>10475</v>
      </c>
      <c r="U1322" s="20" t="s">
        <v>5359</v>
      </c>
      <c r="V1322" s="16" t="s">
        <v>5053</v>
      </c>
      <c r="W1322" s="11" t="s">
        <v>13938</v>
      </c>
      <c r="X1322" s="174">
        <v>3.93</v>
      </c>
      <c r="Y1322" s="174">
        <v>5.16</v>
      </c>
    </row>
    <row r="1323" spans="1:25" ht="15" customHeight="1" x14ac:dyDescent="0.25">
      <c r="A1323" s="20" t="s">
        <v>1003</v>
      </c>
      <c r="B1323" s="14" t="s">
        <v>1004</v>
      </c>
      <c r="C1323" s="71" t="str">
        <f t="shared" si="26"/>
        <v>Product Info</v>
      </c>
      <c r="D1323" s="37" t="s">
        <v>2222</v>
      </c>
      <c r="E1323" s="143">
        <v>100</v>
      </c>
      <c r="F1323" s="12" t="s">
        <v>4992</v>
      </c>
      <c r="G1323" s="38">
        <v>1.73</v>
      </c>
      <c r="H1323" s="38">
        <f t="shared" si="28"/>
        <v>1.21</v>
      </c>
      <c r="I1323" s="38">
        <v>1.21</v>
      </c>
      <c r="J1323" s="39"/>
      <c r="K1323" s="143"/>
      <c r="L1323" s="22">
        <v>0</v>
      </c>
      <c r="M1323" s="22">
        <v>0</v>
      </c>
      <c r="N1323" s="20" t="s">
        <v>14489</v>
      </c>
      <c r="O1323" s="16">
        <v>0</v>
      </c>
      <c r="P1323" s="143" t="s">
        <v>12556</v>
      </c>
      <c r="Q1323" s="121" t="s">
        <v>14285</v>
      </c>
      <c r="R1323" s="16" t="s">
        <v>14363</v>
      </c>
      <c r="S1323" s="10" t="s">
        <v>194</v>
      </c>
      <c r="T1323" s="28" t="s">
        <v>10476</v>
      </c>
      <c r="U1323" s="20" t="s">
        <v>5359</v>
      </c>
      <c r="V1323" s="16" t="s">
        <v>1003</v>
      </c>
      <c r="W1323" s="11" t="s">
        <v>13938</v>
      </c>
      <c r="X1323" s="174">
        <v>0.92</v>
      </c>
      <c r="Y1323" s="174">
        <v>1.21</v>
      </c>
    </row>
    <row r="1324" spans="1:25" ht="15" customHeight="1" x14ac:dyDescent="0.25">
      <c r="A1324" s="20" t="s">
        <v>7531</v>
      </c>
      <c r="B1324" s="14" t="s">
        <v>7532</v>
      </c>
      <c r="C1324" s="71" t="str">
        <f t="shared" si="26"/>
        <v>Product Info</v>
      </c>
      <c r="D1324" s="37" t="s">
        <v>3226</v>
      </c>
      <c r="E1324" s="143">
        <v>10</v>
      </c>
      <c r="F1324" s="12" t="s">
        <v>4992</v>
      </c>
      <c r="G1324" s="38">
        <v>4.2699999999999996</v>
      </c>
      <c r="H1324" s="38">
        <f t="shared" si="28"/>
        <v>2.99</v>
      </c>
      <c r="I1324" s="38">
        <v>2.99</v>
      </c>
      <c r="J1324" s="39"/>
      <c r="K1324" s="143"/>
      <c r="L1324" s="22">
        <v>0</v>
      </c>
      <c r="M1324" s="22" t="s">
        <v>12488</v>
      </c>
      <c r="N1324" s="20" t="s">
        <v>14489</v>
      </c>
      <c r="O1324" s="16" t="s">
        <v>4992</v>
      </c>
      <c r="P1324" s="143" t="s">
        <v>12641</v>
      </c>
      <c r="Q1324" s="121" t="s">
        <v>14285</v>
      </c>
      <c r="R1324" s="16" t="s">
        <v>14363</v>
      </c>
      <c r="S1324" s="10" t="s">
        <v>194</v>
      </c>
      <c r="T1324" s="28" t="s">
        <v>12590</v>
      </c>
      <c r="U1324" s="20" t="s">
        <v>5359</v>
      </c>
      <c r="V1324" s="16" t="s">
        <v>7531</v>
      </c>
      <c r="W1324" s="11"/>
      <c r="X1324" s="174">
        <v>2.34</v>
      </c>
      <c r="Y1324" s="174">
        <v>2.99</v>
      </c>
    </row>
    <row r="1325" spans="1:25" ht="15" customHeight="1" x14ac:dyDescent="0.25">
      <c r="A1325" s="20" t="s">
        <v>7533</v>
      </c>
      <c r="B1325" s="14" t="s">
        <v>7534</v>
      </c>
      <c r="C1325" s="71" t="str">
        <f t="shared" si="26"/>
        <v>Product Info</v>
      </c>
      <c r="D1325" s="37" t="s">
        <v>3227</v>
      </c>
      <c r="E1325" s="143">
        <v>10</v>
      </c>
      <c r="F1325" s="12" t="s">
        <v>4992</v>
      </c>
      <c r="G1325" s="38">
        <v>4.2699999999999996</v>
      </c>
      <c r="H1325" s="38">
        <f t="shared" si="28"/>
        <v>2.99</v>
      </c>
      <c r="I1325" s="38">
        <v>2.99</v>
      </c>
      <c r="J1325" s="39"/>
      <c r="K1325" s="143"/>
      <c r="L1325" s="22">
        <v>0</v>
      </c>
      <c r="M1325" s="22">
        <v>0</v>
      </c>
      <c r="N1325" s="20" t="s">
        <v>14489</v>
      </c>
      <c r="O1325" s="16">
        <v>0</v>
      </c>
      <c r="P1325" s="143" t="s">
        <v>12641</v>
      </c>
      <c r="Q1325" s="121" t="s">
        <v>14285</v>
      </c>
      <c r="R1325" s="16" t="s">
        <v>14363</v>
      </c>
      <c r="S1325" s="10" t="s">
        <v>194</v>
      </c>
      <c r="T1325" s="28" t="s">
        <v>12681</v>
      </c>
      <c r="U1325" s="20" t="s">
        <v>5359</v>
      </c>
      <c r="V1325" s="16" t="s">
        <v>7533</v>
      </c>
      <c r="W1325" s="11"/>
      <c r="X1325" s="174">
        <v>2.34</v>
      </c>
      <c r="Y1325" s="174">
        <v>2.99</v>
      </c>
    </row>
    <row r="1326" spans="1:25" ht="15" customHeight="1" x14ac:dyDescent="0.25">
      <c r="A1326" s="20" t="s">
        <v>7535</v>
      </c>
      <c r="B1326" s="14" t="s">
        <v>7536</v>
      </c>
      <c r="C1326" s="71" t="str">
        <f t="shared" si="26"/>
        <v>Product Info</v>
      </c>
      <c r="D1326" s="37" t="s">
        <v>3228</v>
      </c>
      <c r="E1326" s="143">
        <v>10</v>
      </c>
      <c r="F1326" s="12" t="s">
        <v>4992</v>
      </c>
      <c r="G1326" s="38">
        <v>4.2699999999999996</v>
      </c>
      <c r="H1326" s="38">
        <f t="shared" si="28"/>
        <v>2.99</v>
      </c>
      <c r="I1326" s="38">
        <v>2.99</v>
      </c>
      <c r="J1326" s="39"/>
      <c r="K1326" s="143"/>
      <c r="L1326" s="22">
        <v>0</v>
      </c>
      <c r="M1326" s="22">
        <v>0</v>
      </c>
      <c r="N1326" s="20" t="s">
        <v>14489</v>
      </c>
      <c r="O1326" s="16">
        <v>0</v>
      </c>
      <c r="P1326" s="143" t="s">
        <v>12641</v>
      </c>
      <c r="Q1326" s="121" t="s">
        <v>14285</v>
      </c>
      <c r="R1326" s="16" t="s">
        <v>14363</v>
      </c>
      <c r="S1326" s="10" t="s">
        <v>194</v>
      </c>
      <c r="T1326" s="28" t="s">
        <v>12591</v>
      </c>
      <c r="U1326" s="20" t="s">
        <v>5359</v>
      </c>
      <c r="V1326" s="16" t="s">
        <v>7535</v>
      </c>
      <c r="W1326" s="11"/>
      <c r="X1326" s="174">
        <v>2.34</v>
      </c>
      <c r="Y1326" s="174">
        <v>2.99</v>
      </c>
    </row>
    <row r="1327" spans="1:25" ht="15" customHeight="1" x14ac:dyDescent="0.25">
      <c r="A1327" s="20" t="s">
        <v>7537</v>
      </c>
      <c r="B1327" s="14" t="s">
        <v>3743</v>
      </c>
      <c r="C1327" s="71" t="str">
        <f t="shared" si="26"/>
        <v>Product Info</v>
      </c>
      <c r="D1327" s="37" t="s">
        <v>2342</v>
      </c>
      <c r="E1327" s="143">
        <v>5</v>
      </c>
      <c r="F1327" s="12" t="s">
        <v>4992</v>
      </c>
      <c r="G1327" s="38">
        <v>13.88</v>
      </c>
      <c r="H1327" s="38">
        <f t="shared" si="28"/>
        <v>9.7100000000000009</v>
      </c>
      <c r="I1327" s="38">
        <v>9.7100000000000009</v>
      </c>
      <c r="J1327" s="39"/>
      <c r="K1327" s="143"/>
      <c r="L1327" s="22">
        <v>0</v>
      </c>
      <c r="M1327" s="22">
        <v>0</v>
      </c>
      <c r="N1327" s="20" t="s">
        <v>9305</v>
      </c>
      <c r="O1327" s="16" t="s">
        <v>13917</v>
      </c>
      <c r="P1327" s="143" t="s">
        <v>12556</v>
      </c>
      <c r="Q1327" s="121" t="s">
        <v>14285</v>
      </c>
      <c r="R1327" s="16" t="s">
        <v>14363</v>
      </c>
      <c r="S1327" s="10" t="s">
        <v>194</v>
      </c>
      <c r="T1327" s="28" t="s">
        <v>12589</v>
      </c>
      <c r="U1327" s="20" t="s">
        <v>5359</v>
      </c>
      <c r="V1327" s="16" t="s">
        <v>7537</v>
      </c>
      <c r="W1327" s="11" t="s">
        <v>13938</v>
      </c>
      <c r="X1327" s="174">
        <v>7.4</v>
      </c>
      <c r="Y1327" s="174">
        <v>9.7100000000000009</v>
      </c>
    </row>
    <row r="1328" spans="1:25" ht="15" customHeight="1" x14ac:dyDescent="0.25">
      <c r="A1328" s="20" t="s">
        <v>3744</v>
      </c>
      <c r="B1328" s="14" t="s">
        <v>1143</v>
      </c>
      <c r="C1328" s="71" t="str">
        <f t="shared" si="26"/>
        <v>Product Info</v>
      </c>
      <c r="D1328" s="37" t="s">
        <v>3745</v>
      </c>
      <c r="E1328" s="143">
        <v>5</v>
      </c>
      <c r="F1328" s="12" t="s">
        <v>4992</v>
      </c>
      <c r="G1328" s="38">
        <v>5.34</v>
      </c>
      <c r="H1328" s="38">
        <f t="shared" si="28"/>
        <v>3.74</v>
      </c>
      <c r="I1328" s="38">
        <v>3.74</v>
      </c>
      <c r="J1328" s="39"/>
      <c r="K1328" s="143"/>
      <c r="L1328" s="22">
        <v>0</v>
      </c>
      <c r="M1328" s="22">
        <v>0</v>
      </c>
      <c r="N1328" s="20" t="s">
        <v>14489</v>
      </c>
      <c r="O1328" s="16" t="s">
        <v>4992</v>
      </c>
      <c r="P1328" s="143" t="s">
        <v>12556</v>
      </c>
      <c r="Q1328" s="121" t="s">
        <v>14285</v>
      </c>
      <c r="R1328" s="16" t="s">
        <v>14363</v>
      </c>
      <c r="S1328" s="10" t="s">
        <v>194</v>
      </c>
      <c r="T1328" s="28" t="s">
        <v>12576</v>
      </c>
      <c r="U1328" s="20" t="s">
        <v>5359</v>
      </c>
      <c r="V1328" s="16" t="s">
        <v>3744</v>
      </c>
      <c r="W1328" s="11" t="s">
        <v>13938</v>
      </c>
      <c r="X1328" s="174">
        <v>2.85</v>
      </c>
      <c r="Y1328" s="174">
        <v>3.74</v>
      </c>
    </row>
    <row r="1329" spans="1:25" ht="15" customHeight="1" x14ac:dyDescent="0.25">
      <c r="A1329" s="20" t="s">
        <v>1144</v>
      </c>
      <c r="B1329" s="14" t="s">
        <v>1145</v>
      </c>
      <c r="C1329" s="71" t="str">
        <f t="shared" si="26"/>
        <v>Product Info</v>
      </c>
      <c r="D1329" s="37" t="s">
        <v>1146</v>
      </c>
      <c r="E1329" s="143">
        <v>6</v>
      </c>
      <c r="F1329" s="12" t="s">
        <v>4992</v>
      </c>
      <c r="G1329" s="38">
        <v>11.26</v>
      </c>
      <c r="H1329" s="38">
        <f t="shared" si="28"/>
        <v>7.88</v>
      </c>
      <c r="I1329" s="38">
        <v>7.88</v>
      </c>
      <c r="J1329" s="39"/>
      <c r="K1329" s="143"/>
      <c r="L1329" s="22">
        <v>0</v>
      </c>
      <c r="M1329" s="22" t="s">
        <v>12488</v>
      </c>
      <c r="N1329" s="20" t="s">
        <v>14489</v>
      </c>
      <c r="O1329" s="16" t="s">
        <v>12608</v>
      </c>
      <c r="P1329" s="143" t="s">
        <v>12641</v>
      </c>
      <c r="Q1329" s="121" t="s">
        <v>14285</v>
      </c>
      <c r="R1329" s="16" t="s">
        <v>14363</v>
      </c>
      <c r="S1329" s="10" t="s">
        <v>194</v>
      </c>
      <c r="T1329" s="28" t="s">
        <v>12592</v>
      </c>
      <c r="U1329" s="20" t="s">
        <v>5359</v>
      </c>
      <c r="V1329" s="16" t="s">
        <v>1144</v>
      </c>
      <c r="W1329" s="11"/>
      <c r="X1329" s="174">
        <v>6.18</v>
      </c>
      <c r="Y1329" s="174">
        <v>7.88</v>
      </c>
    </row>
    <row r="1330" spans="1:25" ht="15" customHeight="1" x14ac:dyDescent="0.25">
      <c r="A1330" s="20" t="s">
        <v>1147</v>
      </c>
      <c r="B1330" s="14" t="s">
        <v>1148</v>
      </c>
      <c r="C1330" s="71" t="str">
        <f t="shared" si="26"/>
        <v>Product Info</v>
      </c>
      <c r="D1330" s="37" t="s">
        <v>1149</v>
      </c>
      <c r="E1330" s="143">
        <v>500</v>
      </c>
      <c r="F1330" s="12" t="s">
        <v>4992</v>
      </c>
      <c r="G1330" s="38">
        <v>0.09</v>
      </c>
      <c r="H1330" s="38">
        <f t="shared" si="28"/>
        <v>0.06</v>
      </c>
      <c r="I1330" s="38">
        <v>0.06</v>
      </c>
      <c r="J1330" s="39"/>
      <c r="K1330" s="143"/>
      <c r="L1330" s="22">
        <v>3.0000000000000001E-3</v>
      </c>
      <c r="M1330" s="22" t="s">
        <v>12487</v>
      </c>
      <c r="N1330" s="20" t="s">
        <v>14489</v>
      </c>
      <c r="O1330" s="16">
        <v>0</v>
      </c>
      <c r="P1330" s="143" t="s">
        <v>14499</v>
      </c>
      <c r="Q1330" s="121" t="s">
        <v>14285</v>
      </c>
      <c r="R1330" s="16" t="s">
        <v>14363</v>
      </c>
      <c r="S1330" s="10" t="s">
        <v>194</v>
      </c>
      <c r="T1330" s="28" t="s">
        <v>12583</v>
      </c>
      <c r="U1330" s="20" t="s">
        <v>5359</v>
      </c>
      <c r="V1330" s="16" t="s">
        <v>1147</v>
      </c>
      <c r="W1330" s="11"/>
      <c r="X1330" s="174">
        <v>0.05</v>
      </c>
      <c r="Y1330" s="174">
        <v>0.06</v>
      </c>
    </row>
    <row r="1331" spans="1:25" ht="15" customHeight="1" x14ac:dyDescent="0.25">
      <c r="A1331" s="20" t="s">
        <v>1150</v>
      </c>
      <c r="B1331" s="14" t="s">
        <v>1151</v>
      </c>
      <c r="C1331" s="71" t="str">
        <f t="shared" si="26"/>
        <v>Product Info</v>
      </c>
      <c r="D1331" s="37" t="s">
        <v>1152</v>
      </c>
      <c r="E1331" s="143">
        <v>10</v>
      </c>
      <c r="F1331" s="12" t="s">
        <v>4992</v>
      </c>
      <c r="G1331" s="38">
        <v>2.0299999999999998</v>
      </c>
      <c r="H1331" s="38">
        <f t="shared" si="28"/>
        <v>1.42</v>
      </c>
      <c r="I1331" s="38">
        <v>1.42</v>
      </c>
      <c r="J1331" s="39"/>
      <c r="K1331" s="143"/>
      <c r="L1331" s="22">
        <v>0</v>
      </c>
      <c r="M1331" s="22" t="s">
        <v>14396</v>
      </c>
      <c r="N1331" s="20" t="s">
        <v>14489</v>
      </c>
      <c r="O1331" s="16" t="s">
        <v>14482</v>
      </c>
      <c r="P1331" s="143" t="s">
        <v>12641</v>
      </c>
      <c r="Q1331" s="121" t="s">
        <v>14285</v>
      </c>
      <c r="R1331" s="16" t="s">
        <v>14363</v>
      </c>
      <c r="S1331" s="10" t="s">
        <v>194</v>
      </c>
      <c r="T1331" s="28" t="s">
        <v>12579</v>
      </c>
      <c r="U1331" s="20" t="s">
        <v>5359</v>
      </c>
      <c r="V1331" s="16" t="s">
        <v>1150</v>
      </c>
      <c r="W1331" s="11"/>
      <c r="X1331" s="174">
        <v>1.1200000000000001</v>
      </c>
      <c r="Y1331" s="174">
        <v>1.42</v>
      </c>
    </row>
    <row r="1332" spans="1:25" ht="15" customHeight="1" x14ac:dyDescent="0.25">
      <c r="A1332" s="20" t="s">
        <v>1153</v>
      </c>
      <c r="B1332" s="14" t="s">
        <v>1154</v>
      </c>
      <c r="C1332" s="71" t="str">
        <f t="shared" si="26"/>
        <v>Product Info</v>
      </c>
      <c r="D1332" s="37" t="s">
        <v>1155</v>
      </c>
      <c r="E1332" s="143">
        <v>10</v>
      </c>
      <c r="F1332" s="12" t="s">
        <v>4992</v>
      </c>
      <c r="G1332" s="38">
        <v>2.5</v>
      </c>
      <c r="H1332" s="38">
        <f t="shared" si="28"/>
        <v>1.75</v>
      </c>
      <c r="I1332" s="38">
        <v>1.75</v>
      </c>
      <c r="J1332" s="39"/>
      <c r="K1332" s="143"/>
      <c r="L1332" s="22">
        <v>0</v>
      </c>
      <c r="M1332" s="22" t="s">
        <v>14396</v>
      </c>
      <c r="N1332" s="20" t="s">
        <v>14489</v>
      </c>
      <c r="O1332" s="16" t="s">
        <v>14482</v>
      </c>
      <c r="P1332" s="143" t="s">
        <v>12641</v>
      </c>
      <c r="Q1332" s="121" t="s">
        <v>14285</v>
      </c>
      <c r="R1332" s="16" t="s">
        <v>14363</v>
      </c>
      <c r="S1332" s="10" t="s">
        <v>194</v>
      </c>
      <c r="T1332" s="28" t="s">
        <v>12593</v>
      </c>
      <c r="U1332" s="20" t="s">
        <v>5359</v>
      </c>
      <c r="V1332" s="16" t="s">
        <v>1153</v>
      </c>
      <c r="W1332" s="11"/>
      <c r="X1332" s="174">
        <v>1.37</v>
      </c>
      <c r="Y1332" s="174">
        <v>1.75</v>
      </c>
    </row>
    <row r="1333" spans="1:25" ht="15" customHeight="1" x14ac:dyDescent="0.25">
      <c r="A1333" s="20" t="s">
        <v>1156</v>
      </c>
      <c r="B1333" s="14" t="s">
        <v>1157</v>
      </c>
      <c r="C1333" s="71" t="str">
        <f t="shared" si="26"/>
        <v>Product Info</v>
      </c>
      <c r="D1333" s="37" t="s">
        <v>1158</v>
      </c>
      <c r="E1333" s="143">
        <v>10</v>
      </c>
      <c r="F1333" s="12" t="s">
        <v>4992</v>
      </c>
      <c r="G1333" s="38">
        <v>2.76</v>
      </c>
      <c r="H1333" s="38">
        <f t="shared" si="28"/>
        <v>1.93</v>
      </c>
      <c r="I1333" s="38">
        <v>1.93</v>
      </c>
      <c r="J1333" s="39"/>
      <c r="K1333" s="143"/>
      <c r="L1333" s="22">
        <v>0</v>
      </c>
      <c r="M1333" s="22" t="s">
        <v>14396</v>
      </c>
      <c r="N1333" s="20" t="s">
        <v>14489</v>
      </c>
      <c r="O1333" s="16" t="s">
        <v>14482</v>
      </c>
      <c r="P1333" s="143" t="s">
        <v>12641</v>
      </c>
      <c r="Q1333" s="121" t="s">
        <v>14285</v>
      </c>
      <c r="R1333" s="16" t="s">
        <v>14363</v>
      </c>
      <c r="S1333" s="10" t="s">
        <v>194</v>
      </c>
      <c r="T1333" s="28" t="s">
        <v>12594</v>
      </c>
      <c r="U1333" s="20" t="s">
        <v>5359</v>
      </c>
      <c r="V1333" s="16" t="s">
        <v>1156</v>
      </c>
      <c r="W1333" s="11"/>
      <c r="X1333" s="174">
        <v>1.51</v>
      </c>
      <c r="Y1333" s="174">
        <v>1.93</v>
      </c>
    </row>
    <row r="1334" spans="1:25" ht="15" customHeight="1" x14ac:dyDescent="0.25">
      <c r="A1334" s="20" t="s">
        <v>1159</v>
      </c>
      <c r="B1334" s="14" t="s">
        <v>1160</v>
      </c>
      <c r="C1334" s="71" t="str">
        <f t="shared" si="26"/>
        <v>Product Info</v>
      </c>
      <c r="D1334" s="37" t="s">
        <v>1161</v>
      </c>
      <c r="E1334" s="143">
        <v>10</v>
      </c>
      <c r="F1334" s="12" t="s">
        <v>4992</v>
      </c>
      <c r="G1334" s="38">
        <v>3.04</v>
      </c>
      <c r="H1334" s="38">
        <f t="shared" si="28"/>
        <v>2.13</v>
      </c>
      <c r="I1334" s="38">
        <v>2.13</v>
      </c>
      <c r="J1334" s="39"/>
      <c r="K1334" s="143"/>
      <c r="L1334" s="22">
        <v>0</v>
      </c>
      <c r="M1334" s="22" t="s">
        <v>14396</v>
      </c>
      <c r="N1334" s="20" t="s">
        <v>14489</v>
      </c>
      <c r="O1334" s="16" t="s">
        <v>14482</v>
      </c>
      <c r="P1334" s="143" t="s">
        <v>12641</v>
      </c>
      <c r="Q1334" s="121" t="s">
        <v>14285</v>
      </c>
      <c r="R1334" s="16" t="s">
        <v>14363</v>
      </c>
      <c r="S1334" s="10" t="s">
        <v>194</v>
      </c>
      <c r="T1334" s="28" t="s">
        <v>12595</v>
      </c>
      <c r="U1334" s="20" t="s">
        <v>5359</v>
      </c>
      <c r="V1334" s="16" t="s">
        <v>1159</v>
      </c>
      <c r="W1334" s="11"/>
      <c r="X1334" s="174">
        <v>1.67</v>
      </c>
      <c r="Y1334" s="174">
        <v>2.13</v>
      </c>
    </row>
    <row r="1335" spans="1:25" ht="15" customHeight="1" x14ac:dyDescent="0.25">
      <c r="A1335" s="20" t="s">
        <v>3076</v>
      </c>
      <c r="B1335" s="14" t="s">
        <v>12460</v>
      </c>
      <c r="C1335" s="71" t="str">
        <f t="shared" si="26"/>
        <v>Product Info</v>
      </c>
      <c r="D1335" s="37" t="s">
        <v>3077</v>
      </c>
      <c r="E1335" s="143">
        <v>10</v>
      </c>
      <c r="F1335" s="12" t="s">
        <v>4992</v>
      </c>
      <c r="G1335" s="38">
        <v>2.54</v>
      </c>
      <c r="H1335" s="38">
        <f t="shared" si="28"/>
        <v>1.78</v>
      </c>
      <c r="I1335" s="38">
        <v>1.78</v>
      </c>
      <c r="J1335" s="39"/>
      <c r="K1335" s="143"/>
      <c r="L1335" s="22">
        <v>0</v>
      </c>
      <c r="M1335" s="22" t="s">
        <v>14396</v>
      </c>
      <c r="N1335" s="20" t="s">
        <v>14489</v>
      </c>
      <c r="O1335" s="16" t="s">
        <v>14482</v>
      </c>
      <c r="P1335" s="143" t="s">
        <v>12641</v>
      </c>
      <c r="Q1335" s="121" t="s">
        <v>14285</v>
      </c>
      <c r="R1335" s="16" t="s">
        <v>14363</v>
      </c>
      <c r="S1335" s="10" t="s">
        <v>194</v>
      </c>
      <c r="T1335" s="28" t="s">
        <v>12580</v>
      </c>
      <c r="U1335" s="20" t="s">
        <v>5359</v>
      </c>
      <c r="V1335" s="16" t="s">
        <v>3076</v>
      </c>
      <c r="W1335" s="11"/>
      <c r="X1335" s="174">
        <v>1.39</v>
      </c>
      <c r="Y1335" s="174">
        <v>1.78</v>
      </c>
    </row>
    <row r="1336" spans="1:25" ht="15" customHeight="1" x14ac:dyDescent="0.25">
      <c r="A1336" s="20" t="s">
        <v>3078</v>
      </c>
      <c r="B1336" s="14" t="s">
        <v>3079</v>
      </c>
      <c r="C1336" s="71" t="str">
        <f t="shared" si="26"/>
        <v>Product Info</v>
      </c>
      <c r="D1336" s="37" t="s">
        <v>197</v>
      </c>
      <c r="E1336" s="143">
        <v>5</v>
      </c>
      <c r="F1336" s="12" t="s">
        <v>4992</v>
      </c>
      <c r="G1336" s="38">
        <v>8.61</v>
      </c>
      <c r="H1336" s="38">
        <f t="shared" si="28"/>
        <v>6.03</v>
      </c>
      <c r="I1336" s="38">
        <v>6.03</v>
      </c>
      <c r="J1336" s="39">
        <v>2000</v>
      </c>
      <c r="K1336" s="143" t="s">
        <v>8905</v>
      </c>
      <c r="L1336" s="22">
        <v>0.05</v>
      </c>
      <c r="M1336" s="22" t="s">
        <v>14396</v>
      </c>
      <c r="N1336" s="20" t="s">
        <v>9305</v>
      </c>
      <c r="O1336" s="16" t="s">
        <v>13917</v>
      </c>
      <c r="P1336" s="143" t="s">
        <v>12556</v>
      </c>
      <c r="Q1336" s="122" t="s">
        <v>14461</v>
      </c>
      <c r="R1336" s="16" t="s">
        <v>14363</v>
      </c>
      <c r="S1336" s="10" t="s">
        <v>194</v>
      </c>
      <c r="T1336" s="28" t="s">
        <v>12585</v>
      </c>
      <c r="U1336" s="20" t="s">
        <v>5359</v>
      </c>
      <c r="V1336" s="16" t="s">
        <v>3078</v>
      </c>
      <c r="W1336" s="11" t="s">
        <v>13938</v>
      </c>
      <c r="X1336" s="174">
        <v>3.73</v>
      </c>
      <c r="Y1336" s="174">
        <v>6.03</v>
      </c>
    </row>
    <row r="1337" spans="1:25" ht="15" customHeight="1" x14ac:dyDescent="0.25">
      <c r="A1337" s="20" t="s">
        <v>198</v>
      </c>
      <c r="B1337" s="14" t="s">
        <v>199</v>
      </c>
      <c r="C1337" s="71" t="str">
        <f t="shared" si="26"/>
        <v>Product Info</v>
      </c>
      <c r="D1337" s="37" t="s">
        <v>200</v>
      </c>
      <c r="E1337" s="143">
        <v>5</v>
      </c>
      <c r="F1337" s="12" t="s">
        <v>4992</v>
      </c>
      <c r="G1337" s="38">
        <v>6.68</v>
      </c>
      <c r="H1337" s="38">
        <f t="shared" si="28"/>
        <v>4.67</v>
      </c>
      <c r="I1337" s="38">
        <v>4.67</v>
      </c>
      <c r="J1337" s="39">
        <v>2000</v>
      </c>
      <c r="K1337" s="143"/>
      <c r="L1337" s="22">
        <v>0.05</v>
      </c>
      <c r="M1337" s="22" t="s">
        <v>14396</v>
      </c>
      <c r="N1337" s="20" t="s">
        <v>9305</v>
      </c>
      <c r="O1337" s="16" t="s">
        <v>13917</v>
      </c>
      <c r="P1337" s="143" t="s">
        <v>12556</v>
      </c>
      <c r="Q1337" s="122" t="s">
        <v>14461</v>
      </c>
      <c r="R1337" s="16" t="s">
        <v>14363</v>
      </c>
      <c r="S1337" s="10" t="s">
        <v>194</v>
      </c>
      <c r="T1337" s="28" t="s">
        <v>12588</v>
      </c>
      <c r="U1337" s="20" t="s">
        <v>5359</v>
      </c>
      <c r="V1337" s="16" t="s">
        <v>198</v>
      </c>
      <c r="W1337" s="11" t="s">
        <v>13938</v>
      </c>
      <c r="X1337" s="174">
        <v>2.89</v>
      </c>
      <c r="Y1337" s="174">
        <v>4.67</v>
      </c>
    </row>
    <row r="1338" spans="1:25" ht="15" customHeight="1" x14ac:dyDescent="0.25">
      <c r="A1338" s="20" t="s">
        <v>201</v>
      </c>
      <c r="B1338" s="14" t="s">
        <v>202</v>
      </c>
      <c r="C1338" s="71" t="str">
        <f t="shared" si="26"/>
        <v>Product Info</v>
      </c>
      <c r="D1338" s="37" t="s">
        <v>203</v>
      </c>
      <c r="E1338" s="143">
        <v>5</v>
      </c>
      <c r="F1338" s="12" t="s">
        <v>4992</v>
      </c>
      <c r="G1338" s="38">
        <v>7.14</v>
      </c>
      <c r="H1338" s="38">
        <f t="shared" si="28"/>
        <v>5</v>
      </c>
      <c r="I1338" s="38">
        <v>5</v>
      </c>
      <c r="J1338" s="39">
        <v>2000</v>
      </c>
      <c r="K1338" s="143"/>
      <c r="L1338" s="22">
        <v>0.06</v>
      </c>
      <c r="M1338" s="22" t="s">
        <v>14396</v>
      </c>
      <c r="N1338" s="20" t="s">
        <v>9305</v>
      </c>
      <c r="O1338" s="16" t="s">
        <v>13917</v>
      </c>
      <c r="P1338" s="143" t="s">
        <v>12556</v>
      </c>
      <c r="Q1338" s="122" t="s">
        <v>14461</v>
      </c>
      <c r="R1338" s="16" t="s">
        <v>14363</v>
      </c>
      <c r="S1338" s="10" t="s">
        <v>194</v>
      </c>
      <c r="T1338" s="28" t="s">
        <v>12587</v>
      </c>
      <c r="U1338" s="20" t="s">
        <v>5359</v>
      </c>
      <c r="V1338" s="16" t="s">
        <v>201</v>
      </c>
      <c r="W1338" s="11" t="s">
        <v>13938</v>
      </c>
      <c r="X1338" s="174">
        <v>3.09</v>
      </c>
      <c r="Y1338" s="174">
        <v>5</v>
      </c>
    </row>
    <row r="1339" spans="1:25" ht="15" customHeight="1" x14ac:dyDescent="0.25">
      <c r="A1339" s="20" t="s">
        <v>204</v>
      </c>
      <c r="B1339" s="14" t="s">
        <v>205</v>
      </c>
      <c r="C1339" s="71" t="str">
        <f t="shared" si="26"/>
        <v>Product Info</v>
      </c>
      <c r="D1339" s="37" t="s">
        <v>206</v>
      </c>
      <c r="E1339" s="143">
        <v>5</v>
      </c>
      <c r="F1339" s="12" t="s">
        <v>4992</v>
      </c>
      <c r="G1339" s="38">
        <v>9.26</v>
      </c>
      <c r="H1339" s="38">
        <f t="shared" ref="H1339:H1370" si="29">I1339</f>
        <v>6.48</v>
      </c>
      <c r="I1339" s="38">
        <v>6.48</v>
      </c>
      <c r="J1339" s="39"/>
      <c r="K1339" s="143"/>
      <c r="L1339" s="22">
        <v>0.06</v>
      </c>
      <c r="M1339" s="22" t="s">
        <v>14396</v>
      </c>
      <c r="N1339" s="20" t="s">
        <v>9319</v>
      </c>
      <c r="O1339" s="16" t="s">
        <v>13914</v>
      </c>
      <c r="P1339" s="143" t="s">
        <v>12556</v>
      </c>
      <c r="Q1339" s="121" t="s">
        <v>14285</v>
      </c>
      <c r="R1339" s="16" t="s">
        <v>14363</v>
      </c>
      <c r="S1339" s="10" t="s">
        <v>194</v>
      </c>
      <c r="T1339" s="28" t="s">
        <v>12586</v>
      </c>
      <c r="U1339" s="20" t="s">
        <v>5359</v>
      </c>
      <c r="V1339" s="16" t="s">
        <v>204</v>
      </c>
      <c r="W1339" s="11" t="s">
        <v>13938</v>
      </c>
      <c r="X1339" s="174">
        <v>4.01</v>
      </c>
      <c r="Y1339" s="174">
        <v>6.48</v>
      </c>
    </row>
    <row r="1340" spans="1:25" ht="15" customHeight="1" x14ac:dyDescent="0.25">
      <c r="A1340" s="20" t="s">
        <v>207</v>
      </c>
      <c r="B1340" s="14" t="s">
        <v>208</v>
      </c>
      <c r="C1340" s="71" t="str">
        <f t="shared" si="26"/>
        <v>Product Info</v>
      </c>
      <c r="D1340" s="37" t="s">
        <v>209</v>
      </c>
      <c r="E1340" s="143">
        <v>6</v>
      </c>
      <c r="F1340" s="12" t="s">
        <v>4992</v>
      </c>
      <c r="G1340" s="38">
        <v>14.17</v>
      </c>
      <c r="H1340" s="38">
        <f t="shared" si="29"/>
        <v>9.92</v>
      </c>
      <c r="I1340" s="38">
        <v>9.92</v>
      </c>
      <c r="J1340" s="39"/>
      <c r="K1340" s="143"/>
      <c r="L1340" s="22">
        <v>0</v>
      </c>
      <c r="M1340" s="22" t="s">
        <v>12488</v>
      </c>
      <c r="N1340" s="20" t="s">
        <v>14489</v>
      </c>
      <c r="O1340" s="16" t="s">
        <v>12608</v>
      </c>
      <c r="P1340" s="143" t="s">
        <v>12641</v>
      </c>
      <c r="Q1340" s="121" t="s">
        <v>14285</v>
      </c>
      <c r="R1340" s="16" t="s">
        <v>14363</v>
      </c>
      <c r="S1340" s="10" t="s">
        <v>194</v>
      </c>
      <c r="T1340" s="28" t="s">
        <v>12596</v>
      </c>
      <c r="U1340" s="20" t="s">
        <v>5359</v>
      </c>
      <c r="V1340" s="16" t="s">
        <v>207</v>
      </c>
      <c r="W1340" s="11"/>
      <c r="X1340" s="174">
        <v>7.78</v>
      </c>
      <c r="Y1340" s="174">
        <v>9.92</v>
      </c>
    </row>
    <row r="1341" spans="1:25" ht="15" customHeight="1" x14ac:dyDescent="0.25">
      <c r="A1341" s="20" t="s">
        <v>210</v>
      </c>
      <c r="B1341" s="14" t="s">
        <v>211</v>
      </c>
      <c r="C1341" s="71" t="str">
        <f t="shared" si="26"/>
        <v>Product Info</v>
      </c>
      <c r="D1341" s="37" t="s">
        <v>212</v>
      </c>
      <c r="E1341" s="143">
        <v>500</v>
      </c>
      <c r="F1341" s="12" t="s">
        <v>4992</v>
      </c>
      <c r="G1341" s="38">
        <v>0.06</v>
      </c>
      <c r="H1341" s="38">
        <f t="shared" si="29"/>
        <v>0.04</v>
      </c>
      <c r="I1341" s="38">
        <v>0.04</v>
      </c>
      <c r="J1341" s="39"/>
      <c r="K1341" s="143"/>
      <c r="L1341" s="22">
        <v>0</v>
      </c>
      <c r="M1341" s="22" t="s">
        <v>12488</v>
      </c>
      <c r="N1341" s="20" t="s">
        <v>14489</v>
      </c>
      <c r="O1341" s="16" t="s">
        <v>4992</v>
      </c>
      <c r="P1341" s="143" t="s">
        <v>14499</v>
      </c>
      <c r="Q1341" s="121" t="s">
        <v>14285</v>
      </c>
      <c r="R1341" s="16" t="s">
        <v>14363</v>
      </c>
      <c r="S1341" s="10" t="s">
        <v>194</v>
      </c>
      <c r="T1341" s="28" t="s">
        <v>12578</v>
      </c>
      <c r="U1341" s="20" t="s">
        <v>5359</v>
      </c>
      <c r="V1341" s="16" t="s">
        <v>210</v>
      </c>
      <c r="W1341" s="11"/>
      <c r="X1341" s="174">
        <v>0.03</v>
      </c>
      <c r="Y1341" s="174">
        <v>0.04</v>
      </c>
    </row>
    <row r="1342" spans="1:25" ht="15" customHeight="1" x14ac:dyDescent="0.25">
      <c r="A1342" s="20" t="s">
        <v>213</v>
      </c>
      <c r="B1342" s="14" t="s">
        <v>214</v>
      </c>
      <c r="C1342" s="71" t="str">
        <f t="shared" si="26"/>
        <v>Product Info</v>
      </c>
      <c r="D1342" s="37" t="s">
        <v>215</v>
      </c>
      <c r="E1342" s="143">
        <v>4</v>
      </c>
      <c r="F1342" s="12" t="s">
        <v>4992</v>
      </c>
      <c r="G1342" s="38">
        <v>31.2</v>
      </c>
      <c r="H1342" s="38">
        <f t="shared" si="29"/>
        <v>21.84</v>
      </c>
      <c r="I1342" s="38">
        <v>21.84</v>
      </c>
      <c r="J1342" s="39"/>
      <c r="K1342" s="143"/>
      <c r="L1342" s="22">
        <v>4</v>
      </c>
      <c r="M1342" s="22" t="s">
        <v>14396</v>
      </c>
      <c r="N1342" s="20" t="s">
        <v>9241</v>
      </c>
      <c r="O1342" s="16" t="s">
        <v>12608</v>
      </c>
      <c r="P1342" s="143" t="s">
        <v>12641</v>
      </c>
      <c r="Q1342" s="121" t="s">
        <v>14285</v>
      </c>
      <c r="R1342" s="16" t="s">
        <v>14363</v>
      </c>
      <c r="S1342" s="10" t="s">
        <v>194</v>
      </c>
      <c r="T1342" s="28" t="s">
        <v>12597</v>
      </c>
      <c r="U1342" s="20" t="s">
        <v>5359</v>
      </c>
      <c r="V1342" s="16" t="s">
        <v>213</v>
      </c>
      <c r="W1342" s="11"/>
      <c r="X1342" s="174">
        <v>17.13</v>
      </c>
      <c r="Y1342" s="174">
        <v>21.84</v>
      </c>
    </row>
    <row r="1343" spans="1:25" ht="15" customHeight="1" x14ac:dyDescent="0.25">
      <c r="A1343" s="20" t="s">
        <v>216</v>
      </c>
      <c r="B1343" s="14" t="s">
        <v>217</v>
      </c>
      <c r="C1343" s="71" t="str">
        <f t="shared" si="26"/>
        <v>Product Info</v>
      </c>
      <c r="D1343" s="37" t="s">
        <v>218</v>
      </c>
      <c r="E1343" s="143">
        <v>6</v>
      </c>
      <c r="F1343" s="12" t="s">
        <v>4992</v>
      </c>
      <c r="G1343" s="38">
        <v>5.94</v>
      </c>
      <c r="H1343" s="38">
        <f t="shared" si="29"/>
        <v>4.16</v>
      </c>
      <c r="I1343" s="38">
        <v>4.16</v>
      </c>
      <c r="J1343" s="39"/>
      <c r="K1343" s="143"/>
      <c r="L1343" s="22">
        <v>0</v>
      </c>
      <c r="M1343" s="22" t="s">
        <v>12488</v>
      </c>
      <c r="N1343" s="20" t="s">
        <v>14489</v>
      </c>
      <c r="O1343" s="16" t="s">
        <v>12608</v>
      </c>
      <c r="P1343" s="143" t="s">
        <v>12641</v>
      </c>
      <c r="Q1343" s="121" t="s">
        <v>14285</v>
      </c>
      <c r="R1343" s="16" t="s">
        <v>14363</v>
      </c>
      <c r="S1343" s="10" t="s">
        <v>194</v>
      </c>
      <c r="T1343" s="28" t="s">
        <v>12598</v>
      </c>
      <c r="U1343" s="20" t="s">
        <v>5359</v>
      </c>
      <c r="V1343" s="16" t="s">
        <v>216</v>
      </c>
      <c r="W1343" s="11"/>
      <c r="X1343" s="174">
        <v>3.26</v>
      </c>
      <c r="Y1343" s="174">
        <v>4.16</v>
      </c>
    </row>
    <row r="1344" spans="1:25" ht="15" customHeight="1" x14ac:dyDescent="0.25">
      <c r="A1344" s="20" t="s">
        <v>219</v>
      </c>
      <c r="B1344" s="14" t="s">
        <v>220</v>
      </c>
      <c r="C1344" s="71" t="str">
        <f t="shared" si="26"/>
        <v>Product Info</v>
      </c>
      <c r="D1344" s="37" t="s">
        <v>221</v>
      </c>
      <c r="E1344" s="143">
        <v>6</v>
      </c>
      <c r="F1344" s="12" t="s">
        <v>4992</v>
      </c>
      <c r="G1344" s="38">
        <v>5.63</v>
      </c>
      <c r="H1344" s="38">
        <f t="shared" si="29"/>
        <v>3.94</v>
      </c>
      <c r="I1344" s="38">
        <v>3.94</v>
      </c>
      <c r="J1344" s="39"/>
      <c r="K1344" s="143"/>
      <c r="L1344" s="22">
        <v>0</v>
      </c>
      <c r="M1344" s="22" t="s">
        <v>12488</v>
      </c>
      <c r="N1344" s="20" t="s">
        <v>14489</v>
      </c>
      <c r="O1344" s="16" t="s">
        <v>12608</v>
      </c>
      <c r="P1344" s="143" t="s">
        <v>12641</v>
      </c>
      <c r="Q1344" s="121" t="s">
        <v>14285</v>
      </c>
      <c r="R1344" s="16" t="s">
        <v>14363</v>
      </c>
      <c r="S1344" s="10" t="s">
        <v>194</v>
      </c>
      <c r="T1344" s="28" t="s">
        <v>12599</v>
      </c>
      <c r="U1344" s="20" t="s">
        <v>5359</v>
      </c>
      <c r="V1344" s="16" t="s">
        <v>219</v>
      </c>
      <c r="W1344" s="11"/>
      <c r="X1344" s="174">
        <v>3.09</v>
      </c>
      <c r="Y1344" s="174">
        <v>3.94</v>
      </c>
    </row>
    <row r="1345" spans="1:25" ht="15" customHeight="1" x14ac:dyDescent="0.25">
      <c r="A1345" s="20" t="s">
        <v>222</v>
      </c>
      <c r="B1345" s="14" t="s">
        <v>223</v>
      </c>
      <c r="C1345" s="71" t="str">
        <f t="shared" si="26"/>
        <v>Product Info</v>
      </c>
      <c r="D1345" s="37" t="s">
        <v>224</v>
      </c>
      <c r="E1345" s="143">
        <v>6</v>
      </c>
      <c r="F1345" s="12" t="s">
        <v>4992</v>
      </c>
      <c r="G1345" s="38">
        <v>8.61</v>
      </c>
      <c r="H1345" s="38">
        <f t="shared" si="29"/>
        <v>6.03</v>
      </c>
      <c r="I1345" s="38">
        <v>6.03</v>
      </c>
      <c r="J1345" s="39"/>
      <c r="K1345" s="143"/>
      <c r="L1345" s="22">
        <v>0</v>
      </c>
      <c r="M1345" s="22" t="s">
        <v>14396</v>
      </c>
      <c r="N1345" s="20" t="s">
        <v>14489</v>
      </c>
      <c r="O1345" s="16" t="s">
        <v>14482</v>
      </c>
      <c r="P1345" s="143" t="s">
        <v>12641</v>
      </c>
      <c r="Q1345" s="121" t="s">
        <v>14285</v>
      </c>
      <c r="R1345" s="16" t="s">
        <v>14363</v>
      </c>
      <c r="S1345" s="10" t="s">
        <v>194</v>
      </c>
      <c r="T1345" s="28" t="s">
        <v>12577</v>
      </c>
      <c r="U1345" s="20" t="s">
        <v>5359</v>
      </c>
      <c r="V1345" s="16" t="s">
        <v>222</v>
      </c>
      <c r="W1345" s="11"/>
      <c r="X1345" s="174">
        <v>4.7300000000000004</v>
      </c>
      <c r="Y1345" s="174">
        <v>6.03</v>
      </c>
    </row>
    <row r="1346" spans="1:25" ht="15" customHeight="1" x14ac:dyDescent="0.25">
      <c r="A1346" s="20" t="s">
        <v>225</v>
      </c>
      <c r="B1346" s="14" t="s">
        <v>226</v>
      </c>
      <c r="C1346" s="71" t="str">
        <f t="shared" si="26"/>
        <v>Product Info</v>
      </c>
      <c r="D1346" s="37" t="s">
        <v>227</v>
      </c>
      <c r="E1346" s="143">
        <v>6</v>
      </c>
      <c r="F1346" s="12" t="s">
        <v>4992</v>
      </c>
      <c r="G1346" s="38">
        <v>9.9</v>
      </c>
      <c r="H1346" s="38">
        <f t="shared" si="29"/>
        <v>6.93</v>
      </c>
      <c r="I1346" s="38">
        <v>6.93</v>
      </c>
      <c r="J1346" s="39"/>
      <c r="K1346" s="143"/>
      <c r="L1346" s="22">
        <v>0</v>
      </c>
      <c r="M1346" s="22" t="s">
        <v>12488</v>
      </c>
      <c r="N1346" s="20" t="s">
        <v>14489</v>
      </c>
      <c r="O1346" s="16" t="s">
        <v>12608</v>
      </c>
      <c r="P1346" s="143" t="s">
        <v>12641</v>
      </c>
      <c r="Q1346" s="121" t="s">
        <v>14285</v>
      </c>
      <c r="R1346" s="16" t="s">
        <v>14363</v>
      </c>
      <c r="S1346" s="10" t="s">
        <v>194</v>
      </c>
      <c r="T1346" s="28" t="s">
        <v>12600</v>
      </c>
      <c r="U1346" s="20" t="s">
        <v>5359</v>
      </c>
      <c r="V1346" s="16" t="s">
        <v>225</v>
      </c>
      <c r="W1346" s="11"/>
      <c r="X1346" s="174">
        <v>5.43</v>
      </c>
      <c r="Y1346" s="174">
        <v>6.93</v>
      </c>
    </row>
    <row r="1347" spans="1:25" ht="15" customHeight="1" x14ac:dyDescent="0.25">
      <c r="A1347" s="20" t="s">
        <v>228</v>
      </c>
      <c r="B1347" s="14" t="s">
        <v>229</v>
      </c>
      <c r="C1347" s="71" t="str">
        <f t="shared" si="26"/>
        <v>Product Info</v>
      </c>
      <c r="D1347" s="37" t="s">
        <v>230</v>
      </c>
      <c r="E1347" s="143">
        <v>4</v>
      </c>
      <c r="F1347" s="12" t="s">
        <v>4992</v>
      </c>
      <c r="G1347" s="38">
        <v>24.59</v>
      </c>
      <c r="H1347" s="38">
        <f t="shared" si="29"/>
        <v>17.21</v>
      </c>
      <c r="I1347" s="38">
        <v>17.21</v>
      </c>
      <c r="J1347" s="39"/>
      <c r="K1347" s="143"/>
      <c r="L1347" s="22">
        <v>4</v>
      </c>
      <c r="M1347" s="22" t="s">
        <v>14396</v>
      </c>
      <c r="N1347" s="20" t="s">
        <v>9241</v>
      </c>
      <c r="O1347" s="16" t="s">
        <v>12608</v>
      </c>
      <c r="P1347" s="143" t="s">
        <v>12641</v>
      </c>
      <c r="Q1347" s="121" t="s">
        <v>14285</v>
      </c>
      <c r="R1347" s="16" t="s">
        <v>14363</v>
      </c>
      <c r="S1347" s="10" t="s">
        <v>194</v>
      </c>
      <c r="T1347" s="28" t="s">
        <v>12601</v>
      </c>
      <c r="U1347" s="20" t="s">
        <v>5359</v>
      </c>
      <c r="V1347" s="16" t="s">
        <v>228</v>
      </c>
      <c r="W1347" s="11"/>
      <c r="X1347" s="174">
        <v>13.5</v>
      </c>
      <c r="Y1347" s="174">
        <v>17.21</v>
      </c>
    </row>
    <row r="1348" spans="1:25" ht="15" customHeight="1" x14ac:dyDescent="0.25">
      <c r="A1348" s="20" t="s">
        <v>231</v>
      </c>
      <c r="B1348" s="14" t="s">
        <v>232</v>
      </c>
      <c r="C1348" s="71" t="str">
        <f t="shared" si="26"/>
        <v>Product Info</v>
      </c>
      <c r="D1348" s="37" t="s">
        <v>233</v>
      </c>
      <c r="E1348" s="143">
        <v>5</v>
      </c>
      <c r="F1348" s="12" t="s">
        <v>4992</v>
      </c>
      <c r="G1348" s="38">
        <v>8.59</v>
      </c>
      <c r="H1348" s="38">
        <f t="shared" si="29"/>
        <v>6.01</v>
      </c>
      <c r="I1348" s="38">
        <v>6.01</v>
      </c>
      <c r="J1348" s="39"/>
      <c r="K1348" s="143"/>
      <c r="L1348" s="22">
        <v>0</v>
      </c>
      <c r="M1348" s="22" t="s">
        <v>12488</v>
      </c>
      <c r="N1348" s="20" t="s">
        <v>14489</v>
      </c>
      <c r="O1348" s="16" t="s">
        <v>12608</v>
      </c>
      <c r="P1348" s="143" t="s">
        <v>12641</v>
      </c>
      <c r="Q1348" s="121" t="s">
        <v>14285</v>
      </c>
      <c r="R1348" s="16" t="s">
        <v>14363</v>
      </c>
      <c r="S1348" s="10" t="s">
        <v>194</v>
      </c>
      <c r="T1348" s="28" t="s">
        <v>12602</v>
      </c>
      <c r="U1348" s="20" t="s">
        <v>5359</v>
      </c>
      <c r="V1348" s="16" t="s">
        <v>231</v>
      </c>
      <c r="W1348" s="11"/>
      <c r="X1348" s="174">
        <v>4.71</v>
      </c>
      <c r="Y1348" s="174">
        <v>6.01</v>
      </c>
    </row>
    <row r="1349" spans="1:25" ht="15" customHeight="1" x14ac:dyDescent="0.25">
      <c r="A1349" s="20" t="s">
        <v>234</v>
      </c>
      <c r="B1349" s="14" t="s">
        <v>235</v>
      </c>
      <c r="C1349" s="71" t="str">
        <f t="shared" si="26"/>
        <v>Product Info</v>
      </c>
      <c r="D1349" s="37" t="s">
        <v>236</v>
      </c>
      <c r="E1349" s="143">
        <v>6</v>
      </c>
      <c r="F1349" s="12" t="s">
        <v>4992</v>
      </c>
      <c r="G1349" s="38">
        <v>7.71</v>
      </c>
      <c r="H1349" s="38">
        <f t="shared" si="29"/>
        <v>5.4</v>
      </c>
      <c r="I1349" s="38">
        <v>5.4</v>
      </c>
      <c r="J1349" s="39"/>
      <c r="K1349" s="143"/>
      <c r="L1349" s="22">
        <v>0</v>
      </c>
      <c r="M1349" s="22" t="s">
        <v>12488</v>
      </c>
      <c r="N1349" s="20" t="s">
        <v>14489</v>
      </c>
      <c r="O1349" s="16" t="s">
        <v>12608</v>
      </c>
      <c r="P1349" s="143" t="s">
        <v>12641</v>
      </c>
      <c r="Q1349" s="121" t="s">
        <v>14285</v>
      </c>
      <c r="R1349" s="16" t="s">
        <v>14363</v>
      </c>
      <c r="S1349" s="10" t="s">
        <v>194</v>
      </c>
      <c r="T1349" s="28" t="s">
        <v>12603</v>
      </c>
      <c r="U1349" s="20" t="s">
        <v>5359</v>
      </c>
      <c r="V1349" s="16" t="s">
        <v>234</v>
      </c>
      <c r="W1349" s="11"/>
      <c r="X1349" s="174">
        <v>4.24</v>
      </c>
      <c r="Y1349" s="174">
        <v>5.4</v>
      </c>
    </row>
    <row r="1350" spans="1:25" ht="15" customHeight="1" x14ac:dyDescent="0.25">
      <c r="A1350" s="20" t="s">
        <v>237</v>
      </c>
      <c r="B1350" s="14" t="s">
        <v>238</v>
      </c>
      <c r="C1350" s="71" t="str">
        <f t="shared" ref="C1350:C1413" si="30">HYPERLINK(T1350,U1350)</f>
        <v>Product Info</v>
      </c>
      <c r="D1350" s="37" t="s">
        <v>239</v>
      </c>
      <c r="E1350" s="143">
        <v>5</v>
      </c>
      <c r="F1350" s="12" t="s">
        <v>4992</v>
      </c>
      <c r="G1350" s="38">
        <v>13.74</v>
      </c>
      <c r="H1350" s="38">
        <f t="shared" si="29"/>
        <v>9.6199999999999992</v>
      </c>
      <c r="I1350" s="38">
        <v>9.6199999999999992</v>
      </c>
      <c r="J1350" s="39"/>
      <c r="K1350" s="143"/>
      <c r="L1350" s="22">
        <v>0</v>
      </c>
      <c r="M1350" s="22" t="s">
        <v>12488</v>
      </c>
      <c r="N1350" s="20" t="s">
        <v>14489</v>
      </c>
      <c r="O1350" s="16" t="s">
        <v>12608</v>
      </c>
      <c r="P1350" s="143" t="s">
        <v>12641</v>
      </c>
      <c r="Q1350" s="121" t="s">
        <v>14285</v>
      </c>
      <c r="R1350" s="16" t="s">
        <v>14363</v>
      </c>
      <c r="S1350" s="10" t="s">
        <v>194</v>
      </c>
      <c r="T1350" s="28" t="s">
        <v>12604</v>
      </c>
      <c r="U1350" s="20" t="s">
        <v>5359</v>
      </c>
      <c r="V1350" s="16" t="s">
        <v>237</v>
      </c>
      <c r="W1350" s="11"/>
      <c r="X1350" s="174">
        <v>7.54</v>
      </c>
      <c r="Y1350" s="174">
        <v>9.6199999999999992</v>
      </c>
    </row>
    <row r="1351" spans="1:25" ht="15" customHeight="1" x14ac:dyDescent="0.25">
      <c r="A1351" s="20" t="s">
        <v>5855</v>
      </c>
      <c r="B1351" s="14" t="s">
        <v>5854</v>
      </c>
      <c r="C1351" s="71" t="str">
        <f t="shared" si="30"/>
        <v>Product Info</v>
      </c>
      <c r="D1351" s="37" t="s">
        <v>5859</v>
      </c>
      <c r="E1351" s="143">
        <v>5</v>
      </c>
      <c r="F1351" s="12" t="s">
        <v>4992</v>
      </c>
      <c r="G1351" s="38">
        <v>2.91</v>
      </c>
      <c r="H1351" s="38">
        <f t="shared" si="29"/>
        <v>2.04</v>
      </c>
      <c r="I1351" s="38">
        <v>2.04</v>
      </c>
      <c r="J1351" s="39">
        <v>3000</v>
      </c>
      <c r="K1351" s="143"/>
      <c r="L1351" s="22">
        <v>0</v>
      </c>
      <c r="M1351" s="22" t="s">
        <v>14396</v>
      </c>
      <c r="N1351" s="20" t="s">
        <v>9307</v>
      </c>
      <c r="O1351" s="16" t="s">
        <v>13917</v>
      </c>
      <c r="P1351" s="143" t="s">
        <v>12556</v>
      </c>
      <c r="Q1351" s="122" t="s">
        <v>14461</v>
      </c>
      <c r="R1351" s="16" t="s">
        <v>14363</v>
      </c>
      <c r="S1351" s="10" t="s">
        <v>194</v>
      </c>
      <c r="T1351" s="28" t="s">
        <v>12582</v>
      </c>
      <c r="U1351" s="20" t="s">
        <v>5359</v>
      </c>
      <c r="V1351" s="16" t="s">
        <v>5855</v>
      </c>
      <c r="W1351" s="11" t="s">
        <v>13938</v>
      </c>
      <c r="X1351" s="174">
        <v>1.55</v>
      </c>
      <c r="Y1351" s="174">
        <v>2.04</v>
      </c>
    </row>
    <row r="1352" spans="1:25" ht="15" customHeight="1" x14ac:dyDescent="0.25">
      <c r="A1352" s="20" t="s">
        <v>4403</v>
      </c>
      <c r="B1352" s="14" t="s">
        <v>4404</v>
      </c>
      <c r="C1352" s="71" t="str">
        <f t="shared" si="30"/>
        <v>Product Info</v>
      </c>
      <c r="D1352" s="37" t="s">
        <v>2981</v>
      </c>
      <c r="E1352" s="143">
        <v>10</v>
      </c>
      <c r="F1352" s="12" t="s">
        <v>2170</v>
      </c>
      <c r="G1352" s="38">
        <v>59.19</v>
      </c>
      <c r="H1352" s="38">
        <f t="shared" si="29"/>
        <v>41.43</v>
      </c>
      <c r="I1352" s="38">
        <v>41.43</v>
      </c>
      <c r="J1352" s="39"/>
      <c r="K1352" s="143"/>
      <c r="L1352" s="22">
        <v>18</v>
      </c>
      <c r="M1352" s="22" t="s">
        <v>12488</v>
      </c>
      <c r="N1352" s="20" t="s">
        <v>8827</v>
      </c>
      <c r="O1352" s="16" t="s">
        <v>12608</v>
      </c>
      <c r="P1352" s="143">
        <v>749</v>
      </c>
      <c r="Q1352" s="121" t="s">
        <v>14285</v>
      </c>
      <c r="R1352" s="16" t="s">
        <v>8904</v>
      </c>
      <c r="S1352" s="10" t="s">
        <v>194</v>
      </c>
      <c r="T1352" s="28" t="s">
        <v>10477</v>
      </c>
      <c r="U1352" s="20" t="s">
        <v>5359</v>
      </c>
      <c r="V1352" s="16" t="s">
        <v>4403</v>
      </c>
      <c r="W1352" s="11" t="s">
        <v>14433</v>
      </c>
      <c r="X1352" s="174">
        <v>29.68</v>
      </c>
      <c r="Y1352" s="174">
        <v>41.43</v>
      </c>
    </row>
    <row r="1353" spans="1:25" ht="15" customHeight="1" x14ac:dyDescent="0.25">
      <c r="A1353" s="20" t="s">
        <v>4405</v>
      </c>
      <c r="B1353" s="14" t="s">
        <v>4406</v>
      </c>
      <c r="C1353" s="71" t="str">
        <f t="shared" si="30"/>
        <v>Product Info</v>
      </c>
      <c r="D1353" s="37" t="s">
        <v>2982</v>
      </c>
      <c r="E1353" s="143">
        <v>20</v>
      </c>
      <c r="F1353" s="12" t="s">
        <v>2170</v>
      </c>
      <c r="G1353" s="38">
        <v>41.46</v>
      </c>
      <c r="H1353" s="38">
        <f t="shared" si="29"/>
        <v>29.02</v>
      </c>
      <c r="I1353" s="38">
        <v>29.02</v>
      </c>
      <c r="J1353" s="39"/>
      <c r="K1353" s="143"/>
      <c r="L1353" s="22">
        <v>12</v>
      </c>
      <c r="M1353" s="22" t="s">
        <v>12488</v>
      </c>
      <c r="N1353" s="20" t="s">
        <v>8827</v>
      </c>
      <c r="O1353" s="16" t="s">
        <v>12608</v>
      </c>
      <c r="P1353" s="143">
        <v>749</v>
      </c>
      <c r="Q1353" s="121" t="s">
        <v>14285</v>
      </c>
      <c r="R1353" s="16" t="s">
        <v>8904</v>
      </c>
      <c r="S1353" s="10" t="s">
        <v>194</v>
      </c>
      <c r="T1353" s="28" t="s">
        <v>10478</v>
      </c>
      <c r="U1353" s="20" t="s">
        <v>5359</v>
      </c>
      <c r="V1353" s="16" t="s">
        <v>4405</v>
      </c>
      <c r="W1353" s="11" t="s">
        <v>14433</v>
      </c>
      <c r="X1353" s="174">
        <v>20.79</v>
      </c>
      <c r="Y1353" s="174">
        <v>29.02</v>
      </c>
    </row>
    <row r="1354" spans="1:25" ht="15" customHeight="1" x14ac:dyDescent="0.25">
      <c r="A1354" s="20" t="s">
        <v>4407</v>
      </c>
      <c r="B1354" s="14" t="s">
        <v>4408</v>
      </c>
      <c r="C1354" s="71" t="str">
        <f t="shared" si="30"/>
        <v>Product Info</v>
      </c>
      <c r="D1354" s="37" t="s">
        <v>2983</v>
      </c>
      <c r="E1354" s="143">
        <v>20</v>
      </c>
      <c r="F1354" s="12" t="s">
        <v>2170</v>
      </c>
      <c r="G1354" s="38">
        <v>42.33</v>
      </c>
      <c r="H1354" s="38">
        <f t="shared" si="29"/>
        <v>29.63</v>
      </c>
      <c r="I1354" s="38">
        <v>29.63</v>
      </c>
      <c r="J1354" s="39"/>
      <c r="K1354" s="143"/>
      <c r="L1354" s="22">
        <v>5</v>
      </c>
      <c r="M1354" s="22" t="s">
        <v>12488</v>
      </c>
      <c r="N1354" s="20" t="s">
        <v>8827</v>
      </c>
      <c r="O1354" s="16" t="s">
        <v>12608</v>
      </c>
      <c r="P1354" s="143">
        <v>749</v>
      </c>
      <c r="Q1354" s="121" t="s">
        <v>14285</v>
      </c>
      <c r="R1354" s="16" t="s">
        <v>8904</v>
      </c>
      <c r="S1354" s="10" t="s">
        <v>194</v>
      </c>
      <c r="T1354" s="28" t="s">
        <v>10479</v>
      </c>
      <c r="U1354" s="20" t="s">
        <v>5359</v>
      </c>
      <c r="V1354" s="16" t="s">
        <v>4407</v>
      </c>
      <c r="W1354" s="11" t="s">
        <v>14433</v>
      </c>
      <c r="X1354" s="174">
        <v>21.23</v>
      </c>
      <c r="Y1354" s="174">
        <v>29.63</v>
      </c>
    </row>
    <row r="1355" spans="1:25" ht="15" customHeight="1" x14ac:dyDescent="0.25">
      <c r="A1355" s="20" t="s">
        <v>4409</v>
      </c>
      <c r="B1355" s="14" t="s">
        <v>4410</v>
      </c>
      <c r="C1355" s="71" t="str">
        <f t="shared" si="30"/>
        <v>Product Info</v>
      </c>
      <c r="D1355" s="37" t="s">
        <v>2984</v>
      </c>
      <c r="E1355" s="143">
        <v>1</v>
      </c>
      <c r="F1355" s="12" t="s">
        <v>2170</v>
      </c>
      <c r="G1355" s="38">
        <v>47.96</v>
      </c>
      <c r="H1355" s="38">
        <f t="shared" si="29"/>
        <v>33.57</v>
      </c>
      <c r="I1355" s="38">
        <v>33.57</v>
      </c>
      <c r="J1355" s="39">
        <v>200</v>
      </c>
      <c r="K1355" s="143"/>
      <c r="L1355" s="22">
        <v>1.256</v>
      </c>
      <c r="M1355" s="22" t="s">
        <v>12488</v>
      </c>
      <c r="N1355" s="20" t="s">
        <v>8828</v>
      </c>
      <c r="O1355" s="16" t="s">
        <v>12608</v>
      </c>
      <c r="P1355" s="143">
        <v>749</v>
      </c>
      <c r="Q1355" s="121" t="s">
        <v>14285</v>
      </c>
      <c r="R1355" s="16" t="s">
        <v>8904</v>
      </c>
      <c r="S1355" s="10" t="s">
        <v>194</v>
      </c>
      <c r="T1355" s="28" t="s">
        <v>10480</v>
      </c>
      <c r="U1355" s="20" t="s">
        <v>5359</v>
      </c>
      <c r="V1355" s="16" t="s">
        <v>4409</v>
      </c>
      <c r="W1355" s="11" t="s">
        <v>14433</v>
      </c>
      <c r="X1355" s="174">
        <v>24.06</v>
      </c>
      <c r="Y1355" s="174">
        <v>33.57</v>
      </c>
    </row>
    <row r="1356" spans="1:25" ht="15" customHeight="1" x14ac:dyDescent="0.25">
      <c r="A1356" s="20" t="s">
        <v>4411</v>
      </c>
      <c r="B1356" s="14" t="s">
        <v>4412</v>
      </c>
      <c r="C1356" s="71" t="str">
        <f t="shared" si="30"/>
        <v>Product Info</v>
      </c>
      <c r="D1356" s="37" t="s">
        <v>2985</v>
      </c>
      <c r="E1356" s="143">
        <v>10</v>
      </c>
      <c r="F1356" s="12" t="s">
        <v>2170</v>
      </c>
      <c r="G1356" s="38">
        <v>100.54</v>
      </c>
      <c r="H1356" s="38">
        <f t="shared" si="29"/>
        <v>70.38</v>
      </c>
      <c r="I1356" s="38">
        <v>70.38</v>
      </c>
      <c r="J1356" s="39">
        <v>50</v>
      </c>
      <c r="K1356" s="143"/>
      <c r="L1356" s="22">
        <v>1.7689999999999999</v>
      </c>
      <c r="M1356" s="22" t="s">
        <v>12488</v>
      </c>
      <c r="N1356" s="20" t="s">
        <v>9320</v>
      </c>
      <c r="O1356" s="16" t="s">
        <v>12608</v>
      </c>
      <c r="P1356" s="143">
        <v>755</v>
      </c>
      <c r="Q1356" s="122" t="s">
        <v>12421</v>
      </c>
      <c r="R1356" s="16" t="s">
        <v>8904</v>
      </c>
      <c r="S1356" s="10" t="s">
        <v>194</v>
      </c>
      <c r="T1356" s="28" t="s">
        <v>10481</v>
      </c>
      <c r="U1356" s="20" t="s">
        <v>5359</v>
      </c>
      <c r="V1356" s="16" t="s">
        <v>4411</v>
      </c>
      <c r="W1356" s="11" t="s">
        <v>14433</v>
      </c>
      <c r="X1356" s="174">
        <v>55.19</v>
      </c>
      <c r="Y1356" s="174">
        <v>70.38</v>
      </c>
    </row>
    <row r="1357" spans="1:25" ht="15" customHeight="1" x14ac:dyDescent="0.25">
      <c r="A1357" s="20" t="s">
        <v>4413</v>
      </c>
      <c r="B1357" s="14" t="s">
        <v>2986</v>
      </c>
      <c r="C1357" s="71" t="str">
        <f t="shared" si="30"/>
        <v>Product Info</v>
      </c>
      <c r="D1357" s="37" t="s">
        <v>2987</v>
      </c>
      <c r="E1357" s="143">
        <v>5</v>
      </c>
      <c r="F1357" s="12" t="s">
        <v>2170</v>
      </c>
      <c r="G1357" s="38">
        <v>103.1</v>
      </c>
      <c r="H1357" s="38">
        <f t="shared" si="29"/>
        <v>72.17</v>
      </c>
      <c r="I1357" s="38">
        <v>72.17</v>
      </c>
      <c r="J1357" s="39"/>
      <c r="K1357" s="143"/>
      <c r="L1357" s="22">
        <v>0</v>
      </c>
      <c r="M1357" s="22">
        <v>0</v>
      </c>
      <c r="N1357" s="20" t="s">
        <v>14489</v>
      </c>
      <c r="O1357" s="16">
        <v>0</v>
      </c>
      <c r="P1357" s="143">
        <v>755</v>
      </c>
      <c r="Q1357" s="122" t="s">
        <v>12421</v>
      </c>
      <c r="R1357" s="16" t="s">
        <v>8904</v>
      </c>
      <c r="S1357" s="10" t="s">
        <v>194</v>
      </c>
      <c r="T1357" s="28" t="s">
        <v>10482</v>
      </c>
      <c r="U1357" s="20" t="s">
        <v>5359</v>
      </c>
      <c r="V1357" s="16" t="s">
        <v>4413</v>
      </c>
      <c r="W1357" s="11" t="s">
        <v>14433</v>
      </c>
      <c r="X1357" s="174">
        <v>56.6</v>
      </c>
      <c r="Y1357" s="174">
        <v>72.17</v>
      </c>
    </row>
    <row r="1358" spans="1:25" ht="15" customHeight="1" x14ac:dyDescent="0.25">
      <c r="A1358" s="20" t="s">
        <v>4414</v>
      </c>
      <c r="B1358" s="14" t="s">
        <v>1423</v>
      </c>
      <c r="C1358" s="71" t="str">
        <f t="shared" si="30"/>
        <v>Product Info</v>
      </c>
      <c r="D1358" s="37" t="s">
        <v>2988</v>
      </c>
      <c r="E1358" s="143">
        <v>5</v>
      </c>
      <c r="F1358" s="12" t="s">
        <v>2170</v>
      </c>
      <c r="G1358" s="38">
        <v>132.06</v>
      </c>
      <c r="H1358" s="38">
        <f t="shared" si="29"/>
        <v>92.44</v>
      </c>
      <c r="I1358" s="38">
        <v>92.44</v>
      </c>
      <c r="J1358" s="39">
        <v>50</v>
      </c>
      <c r="K1358" s="12" t="s">
        <v>8905</v>
      </c>
      <c r="L1358" s="22">
        <v>2.2869999999999999</v>
      </c>
      <c r="M1358" s="22" t="s">
        <v>12488</v>
      </c>
      <c r="N1358" s="20" t="s">
        <v>9322</v>
      </c>
      <c r="O1358" s="16" t="s">
        <v>12608</v>
      </c>
      <c r="P1358" s="143">
        <v>755</v>
      </c>
      <c r="Q1358" s="122" t="s">
        <v>14461</v>
      </c>
      <c r="R1358" s="16" t="s">
        <v>8904</v>
      </c>
      <c r="S1358" s="10" t="s">
        <v>194</v>
      </c>
      <c r="T1358" s="28" t="s">
        <v>10483</v>
      </c>
      <c r="U1358" s="20" t="s">
        <v>5359</v>
      </c>
      <c r="V1358" s="16" t="s">
        <v>4414</v>
      </c>
      <c r="W1358" s="11" t="s">
        <v>14433</v>
      </c>
      <c r="X1358" s="174">
        <v>72.489999999999995</v>
      </c>
      <c r="Y1358" s="174">
        <v>92.44</v>
      </c>
    </row>
    <row r="1359" spans="1:25" ht="15" customHeight="1" x14ac:dyDescent="0.25">
      <c r="A1359" s="20" t="s">
        <v>1424</v>
      </c>
      <c r="B1359" s="14" t="s">
        <v>1425</v>
      </c>
      <c r="C1359" s="71" t="str">
        <f t="shared" si="30"/>
        <v>Product Info</v>
      </c>
      <c r="D1359" s="37" t="s">
        <v>2989</v>
      </c>
      <c r="E1359" s="143">
        <v>5</v>
      </c>
      <c r="F1359" s="12" t="s">
        <v>2170</v>
      </c>
      <c r="G1359" s="38">
        <v>167.7</v>
      </c>
      <c r="H1359" s="38">
        <f t="shared" si="29"/>
        <v>117.39</v>
      </c>
      <c r="I1359" s="38">
        <v>117.39</v>
      </c>
      <c r="J1359" s="39">
        <v>50</v>
      </c>
      <c r="K1359" s="143"/>
      <c r="L1359" s="22">
        <v>19</v>
      </c>
      <c r="M1359" s="22" t="s">
        <v>12488</v>
      </c>
      <c r="N1359" s="20" t="s">
        <v>9323</v>
      </c>
      <c r="O1359" s="16" t="s">
        <v>12608</v>
      </c>
      <c r="P1359" s="143">
        <v>755</v>
      </c>
      <c r="Q1359" s="121" t="s">
        <v>14285</v>
      </c>
      <c r="R1359" s="16" t="s">
        <v>8904</v>
      </c>
      <c r="S1359" s="10" t="s">
        <v>194</v>
      </c>
      <c r="T1359" s="28" t="s">
        <v>10484</v>
      </c>
      <c r="U1359" s="20" t="s">
        <v>5359</v>
      </c>
      <c r="V1359" s="16" t="s">
        <v>1424</v>
      </c>
      <c r="W1359" s="11" t="s">
        <v>14433</v>
      </c>
      <c r="X1359" s="174">
        <v>92.06</v>
      </c>
      <c r="Y1359" s="174">
        <v>117.39</v>
      </c>
    </row>
    <row r="1360" spans="1:25" ht="15" customHeight="1" x14ac:dyDescent="0.25">
      <c r="A1360" s="20" t="s">
        <v>1426</v>
      </c>
      <c r="B1360" s="14" t="s">
        <v>1427</v>
      </c>
      <c r="C1360" s="71" t="str">
        <f t="shared" si="30"/>
        <v>Product Info</v>
      </c>
      <c r="D1360" s="37" t="s">
        <v>3377</v>
      </c>
      <c r="E1360" s="143">
        <v>5</v>
      </c>
      <c r="F1360" s="12" t="s">
        <v>2170</v>
      </c>
      <c r="G1360" s="38">
        <v>171.41</v>
      </c>
      <c r="H1360" s="38">
        <f t="shared" si="29"/>
        <v>119.99</v>
      </c>
      <c r="I1360" s="38">
        <v>119.99</v>
      </c>
      <c r="J1360" s="39">
        <v>50</v>
      </c>
      <c r="K1360" s="143"/>
      <c r="L1360" s="22">
        <v>13.4</v>
      </c>
      <c r="M1360" s="22" t="s">
        <v>12488</v>
      </c>
      <c r="N1360" s="20" t="s">
        <v>9324</v>
      </c>
      <c r="O1360" s="16" t="s">
        <v>12608</v>
      </c>
      <c r="P1360" s="143">
        <v>755</v>
      </c>
      <c r="Q1360" s="122" t="s">
        <v>14461</v>
      </c>
      <c r="R1360" s="16" t="s">
        <v>8904</v>
      </c>
      <c r="S1360" s="10" t="s">
        <v>194</v>
      </c>
      <c r="T1360" s="28" t="s">
        <v>10485</v>
      </c>
      <c r="U1360" s="20" t="s">
        <v>5359</v>
      </c>
      <c r="V1360" s="16" t="s">
        <v>1426</v>
      </c>
      <c r="W1360" s="11" t="s">
        <v>14433</v>
      </c>
      <c r="X1360" s="174">
        <v>94.1</v>
      </c>
      <c r="Y1360" s="174">
        <v>119.99</v>
      </c>
    </row>
    <row r="1361" spans="1:25" ht="15" customHeight="1" x14ac:dyDescent="0.25">
      <c r="A1361" s="20" t="s">
        <v>1428</v>
      </c>
      <c r="B1361" s="14" t="s">
        <v>1429</v>
      </c>
      <c r="C1361" s="71" t="str">
        <f t="shared" si="30"/>
        <v>Product Info</v>
      </c>
      <c r="D1361" s="37" t="s">
        <v>3378</v>
      </c>
      <c r="E1361" s="143">
        <v>5</v>
      </c>
      <c r="F1361" s="12" t="s">
        <v>2170</v>
      </c>
      <c r="G1361" s="38">
        <v>243.59</v>
      </c>
      <c r="H1361" s="38">
        <f t="shared" si="29"/>
        <v>170.51</v>
      </c>
      <c r="I1361" s="38">
        <v>170.51</v>
      </c>
      <c r="J1361" s="39">
        <v>50</v>
      </c>
      <c r="K1361" s="143"/>
      <c r="L1361" s="22">
        <v>19</v>
      </c>
      <c r="M1361" s="22" t="s">
        <v>12488</v>
      </c>
      <c r="N1361" s="20" t="s">
        <v>9325</v>
      </c>
      <c r="O1361" s="16" t="s">
        <v>12608</v>
      </c>
      <c r="P1361" s="143">
        <v>755</v>
      </c>
      <c r="Q1361" s="121" t="s">
        <v>14285</v>
      </c>
      <c r="R1361" s="16" t="s">
        <v>8904</v>
      </c>
      <c r="S1361" s="10" t="s">
        <v>194</v>
      </c>
      <c r="T1361" s="28" t="s">
        <v>10486</v>
      </c>
      <c r="U1361" s="20" t="s">
        <v>5359</v>
      </c>
      <c r="V1361" s="16" t="s">
        <v>1428</v>
      </c>
      <c r="W1361" s="11" t="s">
        <v>14433</v>
      </c>
      <c r="X1361" s="174">
        <v>133.72</v>
      </c>
      <c r="Y1361" s="174">
        <v>170.51</v>
      </c>
    </row>
    <row r="1362" spans="1:25" ht="15" customHeight="1" x14ac:dyDescent="0.25">
      <c r="A1362" s="20" t="s">
        <v>1430</v>
      </c>
      <c r="B1362" s="14" t="s">
        <v>1431</v>
      </c>
      <c r="C1362" s="71" t="str">
        <f t="shared" si="30"/>
        <v>Product Info</v>
      </c>
      <c r="D1362" s="37" t="s">
        <v>3382</v>
      </c>
      <c r="E1362" s="143">
        <v>5</v>
      </c>
      <c r="F1362" s="12" t="s">
        <v>2170</v>
      </c>
      <c r="G1362" s="38">
        <v>262.69</v>
      </c>
      <c r="H1362" s="38">
        <f t="shared" si="29"/>
        <v>183.88</v>
      </c>
      <c r="I1362" s="38">
        <v>183.88</v>
      </c>
      <c r="J1362" s="39">
        <v>50</v>
      </c>
      <c r="K1362" s="12" t="s">
        <v>8905</v>
      </c>
      <c r="L1362" s="22">
        <v>2</v>
      </c>
      <c r="M1362" s="22" t="s">
        <v>12488</v>
      </c>
      <c r="N1362" s="20" t="s">
        <v>9326</v>
      </c>
      <c r="O1362" s="16" t="s">
        <v>12608</v>
      </c>
      <c r="P1362" s="143">
        <v>755</v>
      </c>
      <c r="Q1362" s="122" t="s">
        <v>14461</v>
      </c>
      <c r="R1362" s="16" t="s">
        <v>8904</v>
      </c>
      <c r="S1362" s="10" t="s">
        <v>194</v>
      </c>
      <c r="T1362" s="28" t="s">
        <v>10487</v>
      </c>
      <c r="U1362" s="20" t="s">
        <v>5359</v>
      </c>
      <c r="V1362" s="16" t="s">
        <v>1430</v>
      </c>
      <c r="W1362" s="11" t="s">
        <v>14433</v>
      </c>
      <c r="X1362" s="174">
        <v>144.21</v>
      </c>
      <c r="Y1362" s="174">
        <v>183.88</v>
      </c>
    </row>
    <row r="1363" spans="1:25" ht="15" customHeight="1" x14ac:dyDescent="0.25">
      <c r="A1363" s="20" t="s">
        <v>1432</v>
      </c>
      <c r="B1363" s="14" t="s">
        <v>1433</v>
      </c>
      <c r="C1363" s="71" t="str">
        <f t="shared" si="30"/>
        <v>Product Info</v>
      </c>
      <c r="D1363" s="37" t="s">
        <v>3383</v>
      </c>
      <c r="E1363" s="143">
        <v>3</v>
      </c>
      <c r="F1363" s="12" t="s">
        <v>2170</v>
      </c>
      <c r="G1363" s="38">
        <v>372.07</v>
      </c>
      <c r="H1363" s="38">
        <f t="shared" si="29"/>
        <v>260.45</v>
      </c>
      <c r="I1363" s="38">
        <v>260.45</v>
      </c>
      <c r="J1363" s="39">
        <v>60</v>
      </c>
      <c r="K1363" s="143"/>
      <c r="L1363" s="22">
        <v>20</v>
      </c>
      <c r="M1363" s="22" t="s">
        <v>12488</v>
      </c>
      <c r="N1363" s="20" t="s">
        <v>9327</v>
      </c>
      <c r="O1363" s="16" t="s">
        <v>12608</v>
      </c>
      <c r="P1363" s="143">
        <v>755</v>
      </c>
      <c r="Q1363" s="121" t="s">
        <v>14285</v>
      </c>
      <c r="R1363" s="16" t="s">
        <v>8904</v>
      </c>
      <c r="S1363" s="10" t="s">
        <v>194</v>
      </c>
      <c r="T1363" s="28" t="s">
        <v>10488</v>
      </c>
      <c r="U1363" s="20" t="s">
        <v>5359</v>
      </c>
      <c r="V1363" s="16" t="s">
        <v>1432</v>
      </c>
      <c r="W1363" s="11" t="s">
        <v>14433</v>
      </c>
      <c r="X1363" s="174">
        <v>204.26</v>
      </c>
      <c r="Y1363" s="174">
        <v>260.45</v>
      </c>
    </row>
    <row r="1364" spans="1:25" ht="15" customHeight="1" x14ac:dyDescent="0.25">
      <c r="A1364" s="20" t="s">
        <v>1434</v>
      </c>
      <c r="B1364" s="14" t="s">
        <v>1435</v>
      </c>
      <c r="C1364" s="71" t="str">
        <f t="shared" si="30"/>
        <v>Product Info</v>
      </c>
      <c r="D1364" s="37" t="s">
        <v>4977</v>
      </c>
      <c r="E1364" s="143">
        <v>5</v>
      </c>
      <c r="F1364" s="12" t="s">
        <v>2170</v>
      </c>
      <c r="G1364" s="38">
        <v>365.8</v>
      </c>
      <c r="H1364" s="38">
        <f t="shared" si="29"/>
        <v>256.06</v>
      </c>
      <c r="I1364" s="38">
        <v>256.06</v>
      </c>
      <c r="J1364" s="39">
        <v>50</v>
      </c>
      <c r="K1364" s="143"/>
      <c r="L1364" s="22">
        <v>23</v>
      </c>
      <c r="M1364" s="22" t="s">
        <v>14396</v>
      </c>
      <c r="N1364" s="20" t="s">
        <v>9328</v>
      </c>
      <c r="O1364" s="16" t="s">
        <v>13914</v>
      </c>
      <c r="P1364" s="143">
        <v>755</v>
      </c>
      <c r="Q1364" s="122" t="s">
        <v>12421</v>
      </c>
      <c r="R1364" s="16" t="s">
        <v>8904</v>
      </c>
      <c r="S1364" s="10" t="s">
        <v>194</v>
      </c>
      <c r="T1364" s="28" t="s">
        <v>10489</v>
      </c>
      <c r="U1364" s="20" t="s">
        <v>5359</v>
      </c>
      <c r="V1364" s="16" t="s">
        <v>1434</v>
      </c>
      <c r="W1364" s="11" t="s">
        <v>14433</v>
      </c>
      <c r="X1364" s="174">
        <v>200.81</v>
      </c>
      <c r="Y1364" s="174">
        <v>256.06</v>
      </c>
    </row>
    <row r="1365" spans="1:25" ht="15" customHeight="1" x14ac:dyDescent="0.25">
      <c r="A1365" s="20" t="s">
        <v>1436</v>
      </c>
      <c r="B1365" s="14" t="s">
        <v>6192</v>
      </c>
      <c r="C1365" s="71" t="str">
        <f t="shared" si="30"/>
        <v>Product Info</v>
      </c>
      <c r="D1365" s="37" t="s">
        <v>8912</v>
      </c>
      <c r="E1365" s="143">
        <v>5</v>
      </c>
      <c r="F1365" s="12" t="s">
        <v>2170</v>
      </c>
      <c r="G1365" s="38">
        <v>83.24</v>
      </c>
      <c r="H1365" s="38">
        <f t="shared" si="29"/>
        <v>58.27</v>
      </c>
      <c r="I1365" s="38">
        <v>58.27</v>
      </c>
      <c r="J1365" s="39">
        <v>10</v>
      </c>
      <c r="K1365" s="12" t="s">
        <v>8905</v>
      </c>
      <c r="L1365" s="22">
        <v>6.9</v>
      </c>
      <c r="M1365" s="22" t="s">
        <v>12488</v>
      </c>
      <c r="N1365" s="20" t="s">
        <v>9316</v>
      </c>
      <c r="O1365" s="16" t="s">
        <v>12608</v>
      </c>
      <c r="P1365" s="143">
        <v>755</v>
      </c>
      <c r="Q1365" s="122" t="s">
        <v>14461</v>
      </c>
      <c r="R1365" s="16" t="s">
        <v>8904</v>
      </c>
      <c r="S1365" s="10" t="s">
        <v>194</v>
      </c>
      <c r="T1365" s="28" t="s">
        <v>10490</v>
      </c>
      <c r="U1365" s="20" t="s">
        <v>5359</v>
      </c>
      <c r="V1365" s="16" t="s">
        <v>1436</v>
      </c>
      <c r="W1365" s="11" t="s">
        <v>14433</v>
      </c>
      <c r="X1365" s="174">
        <v>45.7</v>
      </c>
      <c r="Y1365" s="174">
        <v>58.27</v>
      </c>
    </row>
    <row r="1366" spans="1:25" ht="15" customHeight="1" x14ac:dyDescent="0.25">
      <c r="A1366" s="20" t="s">
        <v>6193</v>
      </c>
      <c r="B1366" s="14" t="s">
        <v>6194</v>
      </c>
      <c r="C1366" s="71" t="str">
        <f t="shared" si="30"/>
        <v>Product Info</v>
      </c>
      <c r="D1366" s="37" t="s">
        <v>4978</v>
      </c>
      <c r="E1366" s="143">
        <v>10</v>
      </c>
      <c r="F1366" s="12" t="s">
        <v>2170</v>
      </c>
      <c r="G1366" s="38">
        <v>12.59</v>
      </c>
      <c r="H1366" s="38">
        <f t="shared" si="29"/>
        <v>8.81</v>
      </c>
      <c r="I1366" s="38">
        <v>8.81</v>
      </c>
      <c r="J1366" s="39">
        <v>100</v>
      </c>
      <c r="K1366" s="143"/>
      <c r="L1366" s="22">
        <v>3</v>
      </c>
      <c r="M1366" s="22" t="s">
        <v>12488</v>
      </c>
      <c r="N1366" s="20" t="s">
        <v>9306</v>
      </c>
      <c r="O1366" s="16" t="s">
        <v>12608</v>
      </c>
      <c r="P1366" s="143">
        <v>755</v>
      </c>
      <c r="Q1366" s="122" t="s">
        <v>12421</v>
      </c>
      <c r="R1366" s="16" t="s">
        <v>8904</v>
      </c>
      <c r="S1366" s="10" t="s">
        <v>194</v>
      </c>
      <c r="T1366" s="28" t="s">
        <v>10491</v>
      </c>
      <c r="U1366" s="20" t="s">
        <v>5359</v>
      </c>
      <c r="V1366" s="16" t="s">
        <v>6193</v>
      </c>
      <c r="W1366" s="11" t="s">
        <v>14433</v>
      </c>
      <c r="X1366" s="174">
        <v>6.9</v>
      </c>
      <c r="Y1366" s="174">
        <v>8.81</v>
      </c>
    </row>
    <row r="1367" spans="1:25" ht="15" customHeight="1" x14ac:dyDescent="0.25">
      <c r="A1367" s="20" t="s">
        <v>6195</v>
      </c>
      <c r="B1367" s="14" t="s">
        <v>6196</v>
      </c>
      <c r="C1367" s="71" t="str">
        <f t="shared" si="30"/>
        <v>Product Info</v>
      </c>
      <c r="D1367" s="37" t="s">
        <v>4979</v>
      </c>
      <c r="E1367" s="143">
        <v>3</v>
      </c>
      <c r="F1367" s="12" t="s">
        <v>2170</v>
      </c>
      <c r="G1367" s="38">
        <v>14.33</v>
      </c>
      <c r="H1367" s="38">
        <f t="shared" si="29"/>
        <v>10.029999999999999</v>
      </c>
      <c r="I1367" s="38">
        <v>10.029999999999999</v>
      </c>
      <c r="J1367" s="39">
        <v>100</v>
      </c>
      <c r="K1367" s="143"/>
      <c r="L1367" s="22">
        <v>2</v>
      </c>
      <c r="M1367" s="22" t="s">
        <v>12488</v>
      </c>
      <c r="N1367" s="20" t="s">
        <v>9304</v>
      </c>
      <c r="O1367" s="16" t="s">
        <v>12608</v>
      </c>
      <c r="P1367" s="143">
        <v>755</v>
      </c>
      <c r="Q1367" s="122" t="s">
        <v>14461</v>
      </c>
      <c r="R1367" s="16" t="s">
        <v>8904</v>
      </c>
      <c r="S1367" s="10" t="s">
        <v>194</v>
      </c>
      <c r="T1367" s="28" t="s">
        <v>10492</v>
      </c>
      <c r="U1367" s="20" t="s">
        <v>5359</v>
      </c>
      <c r="V1367" s="16" t="s">
        <v>6195</v>
      </c>
      <c r="W1367" s="11" t="s">
        <v>14433</v>
      </c>
      <c r="X1367" s="174">
        <v>7.86</v>
      </c>
      <c r="Y1367" s="174">
        <v>10.029999999999999</v>
      </c>
    </row>
    <row r="1368" spans="1:25" ht="15" customHeight="1" x14ac:dyDescent="0.25">
      <c r="A1368" s="20" t="s">
        <v>6197</v>
      </c>
      <c r="B1368" s="14" t="s">
        <v>6198</v>
      </c>
      <c r="C1368" s="71" t="str">
        <f t="shared" si="30"/>
        <v>Product Info</v>
      </c>
      <c r="D1368" s="37" t="s">
        <v>4980</v>
      </c>
      <c r="E1368" s="143">
        <v>10</v>
      </c>
      <c r="F1368" s="12" t="s">
        <v>2170</v>
      </c>
      <c r="G1368" s="38">
        <v>21.63</v>
      </c>
      <c r="H1368" s="38">
        <f t="shared" si="29"/>
        <v>15.14</v>
      </c>
      <c r="I1368" s="38">
        <v>15.14</v>
      </c>
      <c r="J1368" s="39">
        <v>80</v>
      </c>
      <c r="K1368" s="143"/>
      <c r="L1368" s="22">
        <v>5</v>
      </c>
      <c r="M1368" s="22" t="s">
        <v>12488</v>
      </c>
      <c r="N1368" s="20" t="s">
        <v>9329</v>
      </c>
      <c r="O1368" s="16" t="s">
        <v>12608</v>
      </c>
      <c r="P1368" s="143">
        <v>755</v>
      </c>
      <c r="Q1368" s="121" t="s">
        <v>14285</v>
      </c>
      <c r="R1368" s="16" t="s">
        <v>8904</v>
      </c>
      <c r="S1368" s="10" t="s">
        <v>194</v>
      </c>
      <c r="T1368" s="28" t="s">
        <v>10493</v>
      </c>
      <c r="U1368" s="20" t="s">
        <v>5359</v>
      </c>
      <c r="V1368" s="16" t="s">
        <v>6197</v>
      </c>
      <c r="W1368" s="11" t="s">
        <v>14433</v>
      </c>
      <c r="X1368" s="174">
        <v>11.87</v>
      </c>
      <c r="Y1368" s="174">
        <v>15.14</v>
      </c>
    </row>
    <row r="1369" spans="1:25" ht="15" customHeight="1" x14ac:dyDescent="0.25">
      <c r="A1369" s="20" t="s">
        <v>6199</v>
      </c>
      <c r="B1369" s="14" t="s">
        <v>6200</v>
      </c>
      <c r="C1369" s="71" t="str">
        <f t="shared" si="30"/>
        <v>Product Info</v>
      </c>
      <c r="D1369" s="37" t="s">
        <v>8913</v>
      </c>
      <c r="E1369" s="143">
        <v>5</v>
      </c>
      <c r="F1369" s="12" t="s">
        <v>2170</v>
      </c>
      <c r="G1369" s="38">
        <v>99.86</v>
      </c>
      <c r="H1369" s="38">
        <f t="shared" si="29"/>
        <v>69.900000000000006</v>
      </c>
      <c r="I1369" s="38">
        <v>69.900000000000006</v>
      </c>
      <c r="J1369" s="39">
        <v>10</v>
      </c>
      <c r="K1369" s="12" t="s">
        <v>8905</v>
      </c>
      <c r="L1369" s="22">
        <v>1.46</v>
      </c>
      <c r="M1369" s="22" t="s">
        <v>12488</v>
      </c>
      <c r="N1369" s="20" t="s">
        <v>9330</v>
      </c>
      <c r="O1369" s="16" t="s">
        <v>12608</v>
      </c>
      <c r="P1369" s="143">
        <v>755</v>
      </c>
      <c r="Q1369" s="122" t="s">
        <v>14461</v>
      </c>
      <c r="R1369" s="16" t="s">
        <v>8904</v>
      </c>
      <c r="S1369" s="10" t="s">
        <v>194</v>
      </c>
      <c r="T1369" s="28" t="s">
        <v>10494</v>
      </c>
      <c r="U1369" s="20" t="s">
        <v>5359</v>
      </c>
      <c r="V1369" s="16" t="s">
        <v>6199</v>
      </c>
      <c r="W1369" s="11" t="s">
        <v>14433</v>
      </c>
      <c r="X1369" s="174">
        <v>54.82</v>
      </c>
      <c r="Y1369" s="174">
        <v>69.900000000000006</v>
      </c>
    </row>
    <row r="1370" spans="1:25" ht="15" customHeight="1" x14ac:dyDescent="0.25">
      <c r="A1370" s="20" t="s">
        <v>6201</v>
      </c>
      <c r="B1370" s="14" t="s">
        <v>6202</v>
      </c>
      <c r="C1370" s="71" t="str">
        <f t="shared" si="30"/>
        <v>Product Info</v>
      </c>
      <c r="D1370" s="37" t="s">
        <v>5923</v>
      </c>
      <c r="E1370" s="143">
        <v>10</v>
      </c>
      <c r="F1370" s="12" t="s">
        <v>2170</v>
      </c>
      <c r="G1370" s="38">
        <v>17.100000000000001</v>
      </c>
      <c r="H1370" s="38">
        <f t="shared" si="29"/>
        <v>11.97</v>
      </c>
      <c r="I1370" s="38">
        <v>11.97</v>
      </c>
      <c r="J1370" s="39">
        <v>50</v>
      </c>
      <c r="K1370" s="143"/>
      <c r="L1370" s="22">
        <v>0.38379999999999997</v>
      </c>
      <c r="M1370" s="22" t="s">
        <v>12488</v>
      </c>
      <c r="N1370" s="20" t="s">
        <v>9331</v>
      </c>
      <c r="O1370" s="16" t="s">
        <v>12608</v>
      </c>
      <c r="P1370" s="143">
        <v>755</v>
      </c>
      <c r="Q1370" s="122" t="s">
        <v>14461</v>
      </c>
      <c r="R1370" s="16" t="s">
        <v>8904</v>
      </c>
      <c r="S1370" s="10" t="s">
        <v>194</v>
      </c>
      <c r="T1370" s="28" t="s">
        <v>10495</v>
      </c>
      <c r="U1370" s="20" t="s">
        <v>5359</v>
      </c>
      <c r="V1370" s="16" t="s">
        <v>6201</v>
      </c>
      <c r="W1370" s="11" t="s">
        <v>14433</v>
      </c>
      <c r="X1370" s="174">
        <v>9.3800000000000008</v>
      </c>
      <c r="Y1370" s="174">
        <v>11.97</v>
      </c>
    </row>
    <row r="1371" spans="1:25" ht="15" customHeight="1" x14ac:dyDescent="0.25">
      <c r="A1371" s="20" t="s">
        <v>6203</v>
      </c>
      <c r="B1371" s="14" t="s">
        <v>6204</v>
      </c>
      <c r="C1371" s="71" t="str">
        <f t="shared" si="30"/>
        <v>Product Info</v>
      </c>
      <c r="D1371" s="37" t="s">
        <v>8914</v>
      </c>
      <c r="E1371" s="143">
        <v>5</v>
      </c>
      <c r="F1371" s="12" t="s">
        <v>2170</v>
      </c>
      <c r="G1371" s="38">
        <v>113.46</v>
      </c>
      <c r="H1371" s="38">
        <f t="shared" ref="H1371:H1402" si="31">I1371</f>
        <v>79.42</v>
      </c>
      <c r="I1371" s="38">
        <v>79.42</v>
      </c>
      <c r="J1371" s="39">
        <v>10</v>
      </c>
      <c r="K1371" s="12" t="s">
        <v>8905</v>
      </c>
      <c r="L1371" s="22">
        <v>2</v>
      </c>
      <c r="M1371" s="22" t="s">
        <v>12488</v>
      </c>
      <c r="N1371" s="20" t="s">
        <v>9324</v>
      </c>
      <c r="O1371" s="16" t="s">
        <v>12608</v>
      </c>
      <c r="P1371" s="143">
        <v>755</v>
      </c>
      <c r="Q1371" s="122" t="s">
        <v>14461</v>
      </c>
      <c r="R1371" s="16" t="s">
        <v>8904</v>
      </c>
      <c r="S1371" s="10" t="s">
        <v>194</v>
      </c>
      <c r="T1371" s="28" t="s">
        <v>10496</v>
      </c>
      <c r="U1371" s="20" t="s">
        <v>5359</v>
      </c>
      <c r="V1371" s="16" t="s">
        <v>6203</v>
      </c>
      <c r="W1371" s="11" t="s">
        <v>14433</v>
      </c>
      <c r="X1371" s="174">
        <v>52.05</v>
      </c>
      <c r="Y1371" s="174">
        <v>79.42</v>
      </c>
    </row>
    <row r="1372" spans="1:25" ht="15" customHeight="1" x14ac:dyDescent="0.25">
      <c r="A1372" s="20" t="s">
        <v>6205</v>
      </c>
      <c r="B1372" s="14" t="s">
        <v>6206</v>
      </c>
      <c r="C1372" s="71" t="str">
        <f t="shared" si="30"/>
        <v>Product Info</v>
      </c>
      <c r="D1372" s="37" t="s">
        <v>5924</v>
      </c>
      <c r="E1372" s="143">
        <v>10</v>
      </c>
      <c r="F1372" s="12" t="s">
        <v>2170</v>
      </c>
      <c r="G1372" s="38">
        <v>130.94</v>
      </c>
      <c r="H1372" s="38">
        <f t="shared" si="31"/>
        <v>91.66</v>
      </c>
      <c r="I1372" s="38">
        <v>91.66</v>
      </c>
      <c r="J1372" s="39">
        <v>10</v>
      </c>
      <c r="K1372" s="143"/>
      <c r="L1372" s="22">
        <v>2.4</v>
      </c>
      <c r="M1372" s="22" t="s">
        <v>12488</v>
      </c>
      <c r="N1372" s="20" t="s">
        <v>9325</v>
      </c>
      <c r="O1372" s="16" t="s">
        <v>12608</v>
      </c>
      <c r="P1372" s="143">
        <v>755</v>
      </c>
      <c r="Q1372" s="121" t="s">
        <v>14285</v>
      </c>
      <c r="R1372" s="16" t="s">
        <v>8904</v>
      </c>
      <c r="S1372" s="10" t="s">
        <v>194</v>
      </c>
      <c r="T1372" s="28" t="s">
        <v>10497</v>
      </c>
      <c r="U1372" s="20" t="s">
        <v>5359</v>
      </c>
      <c r="V1372" s="16" t="s">
        <v>6205</v>
      </c>
      <c r="W1372" s="11" t="s">
        <v>14433</v>
      </c>
      <c r="X1372" s="174">
        <v>71.88</v>
      </c>
      <c r="Y1372" s="174">
        <v>91.66</v>
      </c>
    </row>
    <row r="1373" spans="1:25" ht="15" customHeight="1" x14ac:dyDescent="0.25">
      <c r="A1373" s="20" t="s">
        <v>6207</v>
      </c>
      <c r="B1373" s="14" t="s">
        <v>6208</v>
      </c>
      <c r="C1373" s="71" t="str">
        <f t="shared" si="30"/>
        <v>Product Info</v>
      </c>
      <c r="D1373" s="37" t="s">
        <v>5925</v>
      </c>
      <c r="E1373" s="143">
        <v>10</v>
      </c>
      <c r="F1373" s="12" t="s">
        <v>2170</v>
      </c>
      <c r="G1373" s="38">
        <v>62.33</v>
      </c>
      <c r="H1373" s="38">
        <f t="shared" si="31"/>
        <v>43.63</v>
      </c>
      <c r="I1373" s="38">
        <v>43.63</v>
      </c>
      <c r="J1373" s="39">
        <v>50</v>
      </c>
      <c r="K1373" s="143"/>
      <c r="L1373" s="22">
        <v>6</v>
      </c>
      <c r="M1373" s="22" t="s">
        <v>12488</v>
      </c>
      <c r="N1373" s="20" t="s">
        <v>9324</v>
      </c>
      <c r="O1373" s="16" t="s">
        <v>12608</v>
      </c>
      <c r="P1373" s="143">
        <v>755</v>
      </c>
      <c r="Q1373" s="122" t="s">
        <v>14461</v>
      </c>
      <c r="R1373" s="16" t="s">
        <v>8904</v>
      </c>
      <c r="S1373" s="10" t="s">
        <v>194</v>
      </c>
      <c r="T1373" s="28" t="s">
        <v>10498</v>
      </c>
      <c r="U1373" s="20" t="s">
        <v>5359</v>
      </c>
      <c r="V1373" s="16" t="s">
        <v>6207</v>
      </c>
      <c r="W1373" s="11" t="s">
        <v>14433</v>
      </c>
      <c r="X1373" s="174">
        <v>34.22</v>
      </c>
      <c r="Y1373" s="174">
        <v>43.63</v>
      </c>
    </row>
    <row r="1374" spans="1:25" ht="15" customHeight="1" x14ac:dyDescent="0.25">
      <c r="A1374" s="20" t="s">
        <v>6209</v>
      </c>
      <c r="B1374" s="14" t="s">
        <v>6210</v>
      </c>
      <c r="C1374" s="71" t="str">
        <f t="shared" si="30"/>
        <v>Product Info</v>
      </c>
      <c r="D1374" s="37" t="s">
        <v>5926</v>
      </c>
      <c r="E1374" s="143">
        <v>10</v>
      </c>
      <c r="F1374" s="12" t="s">
        <v>2170</v>
      </c>
      <c r="G1374" s="38">
        <v>18.77</v>
      </c>
      <c r="H1374" s="38">
        <f t="shared" si="31"/>
        <v>13.14</v>
      </c>
      <c r="I1374" s="38">
        <v>13.14</v>
      </c>
      <c r="J1374" s="39">
        <v>200</v>
      </c>
      <c r="K1374" s="12" t="s">
        <v>8905</v>
      </c>
      <c r="L1374" s="22">
        <v>0.35899999999999999</v>
      </c>
      <c r="M1374" s="22" t="s">
        <v>12488</v>
      </c>
      <c r="N1374" s="20" t="s">
        <v>9332</v>
      </c>
      <c r="O1374" s="16" t="s">
        <v>12608</v>
      </c>
      <c r="P1374" s="143">
        <v>755</v>
      </c>
      <c r="Q1374" s="122" t="s">
        <v>14461</v>
      </c>
      <c r="R1374" s="16" t="s">
        <v>8904</v>
      </c>
      <c r="S1374" s="10" t="s">
        <v>194</v>
      </c>
      <c r="T1374" s="28" t="s">
        <v>10499</v>
      </c>
      <c r="U1374" s="20" t="s">
        <v>5359</v>
      </c>
      <c r="V1374" s="16" t="s">
        <v>6209</v>
      </c>
      <c r="W1374" s="11" t="s">
        <v>14433</v>
      </c>
      <c r="X1374" s="174">
        <v>10.3</v>
      </c>
      <c r="Y1374" s="174">
        <v>13.14</v>
      </c>
    </row>
    <row r="1375" spans="1:25" ht="15" customHeight="1" x14ac:dyDescent="0.25">
      <c r="A1375" s="20" t="s">
        <v>6183</v>
      </c>
      <c r="B1375" s="14" t="s">
        <v>6184</v>
      </c>
      <c r="C1375" s="71" t="str">
        <f t="shared" si="30"/>
        <v>Product Info</v>
      </c>
      <c r="D1375" s="37" t="s">
        <v>3384</v>
      </c>
      <c r="E1375" s="143">
        <v>10</v>
      </c>
      <c r="F1375" s="12" t="s">
        <v>2170</v>
      </c>
      <c r="G1375" s="38">
        <v>23.57</v>
      </c>
      <c r="H1375" s="38">
        <f t="shared" si="31"/>
        <v>16.5</v>
      </c>
      <c r="I1375" s="38">
        <v>16.5</v>
      </c>
      <c r="J1375" s="39">
        <v>200</v>
      </c>
      <c r="K1375" s="12" t="s">
        <v>8905</v>
      </c>
      <c r="L1375" s="22">
        <v>0.434</v>
      </c>
      <c r="M1375" s="22" t="s">
        <v>12488</v>
      </c>
      <c r="N1375" s="20" t="s">
        <v>9333</v>
      </c>
      <c r="O1375" s="16" t="s">
        <v>12608</v>
      </c>
      <c r="P1375" s="143">
        <v>755</v>
      </c>
      <c r="Q1375" s="122" t="s">
        <v>14461</v>
      </c>
      <c r="R1375" s="16" t="s">
        <v>8904</v>
      </c>
      <c r="S1375" s="10" t="s">
        <v>194</v>
      </c>
      <c r="T1375" s="28" t="s">
        <v>10500</v>
      </c>
      <c r="U1375" s="20" t="s">
        <v>5359</v>
      </c>
      <c r="V1375" s="16" t="s">
        <v>6183</v>
      </c>
      <c r="W1375" s="11" t="s">
        <v>14433</v>
      </c>
      <c r="X1375" s="174">
        <v>12.94</v>
      </c>
      <c r="Y1375" s="174">
        <v>16.5</v>
      </c>
    </row>
    <row r="1376" spans="1:25" ht="15" customHeight="1" x14ac:dyDescent="0.25">
      <c r="A1376" s="20" t="s">
        <v>6185</v>
      </c>
      <c r="B1376" s="14" t="s">
        <v>6186</v>
      </c>
      <c r="C1376" s="71" t="str">
        <f t="shared" si="30"/>
        <v>Product Info</v>
      </c>
      <c r="D1376" s="37" t="s">
        <v>6664</v>
      </c>
      <c r="E1376" s="143">
        <v>10</v>
      </c>
      <c r="F1376" s="12" t="s">
        <v>2170</v>
      </c>
      <c r="G1376" s="38">
        <v>31.84</v>
      </c>
      <c r="H1376" s="38">
        <f t="shared" si="31"/>
        <v>22.29</v>
      </c>
      <c r="I1376" s="38">
        <v>22.29</v>
      </c>
      <c r="J1376" s="39">
        <v>200</v>
      </c>
      <c r="K1376" s="12" t="s">
        <v>8905</v>
      </c>
      <c r="L1376" s="22">
        <v>1.1000000000000001</v>
      </c>
      <c r="M1376" s="22" t="s">
        <v>12488</v>
      </c>
      <c r="N1376" s="20" t="s">
        <v>9334</v>
      </c>
      <c r="O1376" s="16" t="s">
        <v>12608</v>
      </c>
      <c r="P1376" s="143">
        <v>755</v>
      </c>
      <c r="Q1376" s="122" t="s">
        <v>12421</v>
      </c>
      <c r="R1376" s="16" t="s">
        <v>8904</v>
      </c>
      <c r="S1376" s="10" t="s">
        <v>194</v>
      </c>
      <c r="T1376" s="28" t="s">
        <v>10501</v>
      </c>
      <c r="U1376" s="20" t="s">
        <v>5359</v>
      </c>
      <c r="V1376" s="16" t="s">
        <v>6185</v>
      </c>
      <c r="W1376" s="11" t="s">
        <v>14433</v>
      </c>
      <c r="X1376" s="174">
        <v>17.48</v>
      </c>
      <c r="Y1376" s="174">
        <v>22.29</v>
      </c>
    </row>
    <row r="1377" spans="1:25" ht="15" customHeight="1" x14ac:dyDescent="0.25">
      <c r="A1377" s="20" t="s">
        <v>6187</v>
      </c>
      <c r="B1377" s="14" t="s">
        <v>12466</v>
      </c>
      <c r="C1377" s="71" t="str">
        <f t="shared" si="30"/>
        <v>Product Info</v>
      </c>
      <c r="D1377" s="37" t="s">
        <v>4223</v>
      </c>
      <c r="E1377" s="143">
        <v>12</v>
      </c>
      <c r="F1377" s="12" t="s">
        <v>4992</v>
      </c>
      <c r="G1377" s="38">
        <v>63.85</v>
      </c>
      <c r="H1377" s="38">
        <v>54.28</v>
      </c>
      <c r="I1377" s="38">
        <v>44.7</v>
      </c>
      <c r="J1377" s="39"/>
      <c r="K1377" s="143"/>
      <c r="L1377" s="22">
        <v>1.4417</v>
      </c>
      <c r="M1377" s="22" t="s">
        <v>4992</v>
      </c>
      <c r="N1377" s="20" t="s">
        <v>14489</v>
      </c>
      <c r="O1377" s="16" t="s">
        <v>12608</v>
      </c>
      <c r="P1377" s="143">
        <v>814</v>
      </c>
      <c r="Q1377" s="122" t="s">
        <v>14461</v>
      </c>
      <c r="R1377" s="16" t="s">
        <v>9235</v>
      </c>
      <c r="S1377" s="10" t="s">
        <v>1163</v>
      </c>
      <c r="T1377" s="28" t="s">
        <v>10503</v>
      </c>
      <c r="U1377" s="20" t="s">
        <v>5359</v>
      </c>
      <c r="V1377" s="16" t="s">
        <v>8569</v>
      </c>
      <c r="W1377" s="11" t="s">
        <v>13938</v>
      </c>
      <c r="X1377" s="174">
        <v>41.24</v>
      </c>
      <c r="Y1377" s="174">
        <v>54.28</v>
      </c>
    </row>
    <row r="1378" spans="1:25" ht="15" customHeight="1" x14ac:dyDescent="0.25">
      <c r="A1378" s="20" t="s">
        <v>1226</v>
      </c>
      <c r="B1378" s="14" t="s">
        <v>12461</v>
      </c>
      <c r="C1378" s="71" t="str">
        <f t="shared" si="30"/>
        <v>Product Info</v>
      </c>
      <c r="D1378" s="37" t="s">
        <v>1227</v>
      </c>
      <c r="E1378" s="143">
        <v>1</v>
      </c>
      <c r="F1378" s="12" t="s">
        <v>4992</v>
      </c>
      <c r="G1378" s="38">
        <v>70.739999999999995</v>
      </c>
      <c r="H1378" s="38">
        <v>60.13</v>
      </c>
      <c r="I1378" s="38">
        <v>49.52</v>
      </c>
      <c r="J1378" s="39"/>
      <c r="K1378" s="143"/>
      <c r="L1378" s="22">
        <v>0</v>
      </c>
      <c r="M1378" s="22" t="s">
        <v>12488</v>
      </c>
      <c r="N1378" s="20" t="s">
        <v>14489</v>
      </c>
      <c r="O1378" s="16" t="s">
        <v>4992</v>
      </c>
      <c r="P1378" s="143">
        <v>814</v>
      </c>
      <c r="Q1378" s="122" t="s">
        <v>9227</v>
      </c>
      <c r="R1378" s="16" t="s">
        <v>9235</v>
      </c>
      <c r="S1378" s="10" t="s">
        <v>1163</v>
      </c>
      <c r="T1378" s="28" t="s">
        <v>10502</v>
      </c>
      <c r="U1378" s="20" t="s">
        <v>5359</v>
      </c>
      <c r="V1378" s="16" t="s">
        <v>8568</v>
      </c>
      <c r="W1378" s="11" t="s">
        <v>13938</v>
      </c>
      <c r="X1378" s="174">
        <v>45.7</v>
      </c>
      <c r="Y1378" s="174">
        <v>60.13</v>
      </c>
    </row>
    <row r="1379" spans="1:25" ht="15" customHeight="1" x14ac:dyDescent="0.25">
      <c r="A1379" s="20" t="s">
        <v>290</v>
      </c>
      <c r="B1379" s="14" t="s">
        <v>291</v>
      </c>
      <c r="C1379" s="71" t="str">
        <f t="shared" si="30"/>
        <v>Product Info</v>
      </c>
      <c r="D1379" s="37" t="s">
        <v>292</v>
      </c>
      <c r="E1379" s="143">
        <v>1</v>
      </c>
      <c r="F1379" s="12" t="s">
        <v>4992</v>
      </c>
      <c r="G1379" s="38">
        <v>60.54</v>
      </c>
      <c r="H1379" s="38">
        <v>51.46</v>
      </c>
      <c r="I1379" s="38">
        <v>42.38</v>
      </c>
      <c r="J1379" s="39"/>
      <c r="K1379" s="143"/>
      <c r="L1379" s="22">
        <v>0.85</v>
      </c>
      <c r="M1379" s="22" t="s">
        <v>4992</v>
      </c>
      <c r="N1379" s="20" t="s">
        <v>14489</v>
      </c>
      <c r="O1379" s="16" t="s">
        <v>12608</v>
      </c>
      <c r="P1379" s="143">
        <v>814</v>
      </c>
      <c r="Q1379" s="122" t="s">
        <v>9227</v>
      </c>
      <c r="R1379" s="16" t="s">
        <v>9235</v>
      </c>
      <c r="S1379" s="10" t="s">
        <v>1163</v>
      </c>
      <c r="T1379" s="28" t="s">
        <v>10504</v>
      </c>
      <c r="U1379" s="20" t="s">
        <v>5359</v>
      </c>
      <c r="V1379" s="16" t="s">
        <v>8570</v>
      </c>
      <c r="W1379" s="11" t="s">
        <v>13938</v>
      </c>
      <c r="X1379" s="174">
        <v>39.11</v>
      </c>
      <c r="Y1379" s="174">
        <v>51.46</v>
      </c>
    </row>
    <row r="1380" spans="1:25" ht="15" customHeight="1" x14ac:dyDescent="0.25">
      <c r="A1380" s="20" t="s">
        <v>293</v>
      </c>
      <c r="B1380" s="14" t="s">
        <v>294</v>
      </c>
      <c r="C1380" s="71" t="str">
        <f t="shared" si="30"/>
        <v>Product Info</v>
      </c>
      <c r="D1380" s="37" t="s">
        <v>295</v>
      </c>
      <c r="E1380" s="143">
        <v>1</v>
      </c>
      <c r="F1380" s="12" t="s">
        <v>4992</v>
      </c>
      <c r="G1380" s="38">
        <v>77.069999999999993</v>
      </c>
      <c r="H1380" s="38">
        <v>65.510000000000005</v>
      </c>
      <c r="I1380" s="38">
        <v>53.95</v>
      </c>
      <c r="J1380" s="39"/>
      <c r="K1380" s="143"/>
      <c r="L1380" s="22">
        <v>2.25</v>
      </c>
      <c r="M1380" s="22" t="s">
        <v>12488</v>
      </c>
      <c r="N1380" s="20" t="s">
        <v>14489</v>
      </c>
      <c r="O1380" s="16" t="s">
        <v>12608</v>
      </c>
      <c r="P1380" s="143">
        <v>814</v>
      </c>
      <c r="Q1380" s="122" t="s">
        <v>9227</v>
      </c>
      <c r="R1380" s="16" t="s">
        <v>9235</v>
      </c>
      <c r="S1380" s="10" t="s">
        <v>1163</v>
      </c>
      <c r="T1380" s="28" t="s">
        <v>10505</v>
      </c>
      <c r="U1380" s="20" t="s">
        <v>5359</v>
      </c>
      <c r="V1380" s="16" t="s">
        <v>8571</v>
      </c>
      <c r="W1380" s="11" t="s">
        <v>13938</v>
      </c>
      <c r="X1380" s="174">
        <v>49.78</v>
      </c>
      <c r="Y1380" s="174">
        <v>65.510000000000005</v>
      </c>
    </row>
    <row r="1381" spans="1:25" ht="15" customHeight="1" x14ac:dyDescent="0.25">
      <c r="A1381" s="20" t="s">
        <v>6188</v>
      </c>
      <c r="B1381" s="14" t="s">
        <v>12432</v>
      </c>
      <c r="C1381" s="71" t="str">
        <f t="shared" si="30"/>
        <v>Product Info</v>
      </c>
      <c r="D1381" s="37" t="s">
        <v>4224</v>
      </c>
      <c r="E1381" s="143">
        <v>12</v>
      </c>
      <c r="F1381" s="12" t="s">
        <v>4992</v>
      </c>
      <c r="G1381" s="38">
        <v>71.98</v>
      </c>
      <c r="H1381" s="38">
        <v>61.19</v>
      </c>
      <c r="I1381" s="38">
        <v>50.39</v>
      </c>
      <c r="J1381" s="39"/>
      <c r="K1381" s="143"/>
      <c r="L1381" s="22">
        <v>1.9166000000000001</v>
      </c>
      <c r="M1381" s="22" t="s">
        <v>12488</v>
      </c>
      <c r="N1381" s="20" t="s">
        <v>8829</v>
      </c>
      <c r="O1381" s="16" t="s">
        <v>12608</v>
      </c>
      <c r="P1381" s="143">
        <v>814</v>
      </c>
      <c r="Q1381" s="122" t="s">
        <v>14461</v>
      </c>
      <c r="R1381" s="16" t="s">
        <v>9235</v>
      </c>
      <c r="S1381" s="10" t="s">
        <v>1163</v>
      </c>
      <c r="T1381" s="28" t="s">
        <v>10506</v>
      </c>
      <c r="U1381" s="20" t="s">
        <v>5359</v>
      </c>
      <c r="V1381" s="16" t="s">
        <v>8572</v>
      </c>
      <c r="W1381" s="11" t="s">
        <v>13938</v>
      </c>
      <c r="X1381" s="174">
        <v>46.49</v>
      </c>
      <c r="Y1381" s="174">
        <v>61.19</v>
      </c>
    </row>
    <row r="1382" spans="1:25" ht="15" customHeight="1" x14ac:dyDescent="0.25">
      <c r="A1382" s="20" t="s">
        <v>5870</v>
      </c>
      <c r="B1382" s="14" t="s">
        <v>5846</v>
      </c>
      <c r="C1382" s="71" t="str">
        <f t="shared" si="30"/>
        <v>Product Info</v>
      </c>
      <c r="D1382" s="37" t="s">
        <v>5847</v>
      </c>
      <c r="E1382" s="143">
        <v>6</v>
      </c>
      <c r="F1382" s="12" t="s">
        <v>4992</v>
      </c>
      <c r="G1382" s="38">
        <v>87.56</v>
      </c>
      <c r="H1382" s="38">
        <v>74.430000000000007</v>
      </c>
      <c r="I1382" s="38">
        <v>61.29</v>
      </c>
      <c r="J1382" s="39"/>
      <c r="K1382" s="143"/>
      <c r="L1382" s="22">
        <v>0</v>
      </c>
      <c r="M1382" s="22" t="s">
        <v>12609</v>
      </c>
      <c r="N1382" s="20" t="s">
        <v>14489</v>
      </c>
      <c r="O1382" s="16" t="s">
        <v>12608</v>
      </c>
      <c r="P1382" s="143">
        <v>814</v>
      </c>
      <c r="Q1382" s="122" t="s">
        <v>9227</v>
      </c>
      <c r="R1382" s="16" t="s">
        <v>9235</v>
      </c>
      <c r="S1382" s="10" t="s">
        <v>1163</v>
      </c>
      <c r="T1382" s="28" t="s">
        <v>10507</v>
      </c>
      <c r="U1382" s="20" t="s">
        <v>5359</v>
      </c>
      <c r="V1382" s="16" t="s">
        <v>8573</v>
      </c>
      <c r="W1382" s="11" t="s">
        <v>13938</v>
      </c>
      <c r="X1382" s="174">
        <v>56.55</v>
      </c>
      <c r="Y1382" s="174">
        <v>74.430000000000007</v>
      </c>
    </row>
    <row r="1383" spans="1:25" ht="15" customHeight="1" x14ac:dyDescent="0.25">
      <c r="A1383" s="20" t="s">
        <v>5211</v>
      </c>
      <c r="B1383" s="14" t="s">
        <v>5212</v>
      </c>
      <c r="C1383" s="71" t="str">
        <f t="shared" si="30"/>
        <v>Product Info</v>
      </c>
      <c r="D1383" s="37" t="s">
        <v>5197</v>
      </c>
      <c r="E1383" s="143">
        <v>1</v>
      </c>
      <c r="F1383" s="12" t="s">
        <v>4992</v>
      </c>
      <c r="G1383" s="38">
        <v>351.97</v>
      </c>
      <c r="H1383" s="38">
        <v>299.19</v>
      </c>
      <c r="I1383" s="38">
        <v>246.38</v>
      </c>
      <c r="J1383" s="39"/>
      <c r="K1383" s="12" t="s">
        <v>8905</v>
      </c>
      <c r="L1383" s="22">
        <v>4</v>
      </c>
      <c r="M1383" s="22" t="s">
        <v>12488</v>
      </c>
      <c r="N1383" s="20" t="s">
        <v>9335</v>
      </c>
      <c r="O1383" s="16" t="s">
        <v>13914</v>
      </c>
      <c r="P1383" s="143">
        <v>750</v>
      </c>
      <c r="Q1383" s="122" t="s">
        <v>12421</v>
      </c>
      <c r="R1383" s="16" t="s">
        <v>9235</v>
      </c>
      <c r="S1383" s="10" t="s">
        <v>1163</v>
      </c>
      <c r="T1383" s="28" t="s">
        <v>10508</v>
      </c>
      <c r="U1383" s="20" t="s">
        <v>5359</v>
      </c>
      <c r="V1383" s="16" t="s">
        <v>5211</v>
      </c>
      <c r="W1383" s="11" t="s">
        <v>14284</v>
      </c>
      <c r="X1383" s="174">
        <v>218.68</v>
      </c>
      <c r="Y1383" s="174">
        <v>299.19</v>
      </c>
    </row>
    <row r="1384" spans="1:25" ht="15" customHeight="1" x14ac:dyDescent="0.25">
      <c r="A1384" s="20" t="s">
        <v>5213</v>
      </c>
      <c r="B1384" s="14" t="s">
        <v>5214</v>
      </c>
      <c r="C1384" s="71" t="str">
        <f t="shared" si="30"/>
        <v>Product Info</v>
      </c>
      <c r="D1384" s="37" t="s">
        <v>5821</v>
      </c>
      <c r="E1384" s="143">
        <v>1</v>
      </c>
      <c r="F1384" s="12" t="s">
        <v>4992</v>
      </c>
      <c r="G1384" s="38">
        <v>391.44</v>
      </c>
      <c r="H1384" s="38">
        <v>332.74</v>
      </c>
      <c r="I1384" s="38">
        <v>274.01</v>
      </c>
      <c r="J1384" s="39"/>
      <c r="K1384" s="143"/>
      <c r="L1384" s="22">
        <v>0</v>
      </c>
      <c r="M1384" s="22" t="s">
        <v>12488</v>
      </c>
      <c r="N1384" s="20" t="s">
        <v>14489</v>
      </c>
      <c r="O1384" s="16" t="s">
        <v>4992</v>
      </c>
      <c r="P1384" s="143">
        <v>750</v>
      </c>
      <c r="Q1384" s="122" t="s">
        <v>12421</v>
      </c>
      <c r="R1384" s="16" t="s">
        <v>9235</v>
      </c>
      <c r="S1384" s="10" t="s">
        <v>1163</v>
      </c>
      <c r="T1384" s="28" t="s">
        <v>10509</v>
      </c>
      <c r="U1384" s="20" t="s">
        <v>5359</v>
      </c>
      <c r="V1384" s="16" t="s">
        <v>5213</v>
      </c>
      <c r="W1384" s="11" t="s">
        <v>14284</v>
      </c>
      <c r="X1384" s="174">
        <v>243.21</v>
      </c>
      <c r="Y1384" s="174">
        <v>332.74</v>
      </c>
    </row>
    <row r="1385" spans="1:25" ht="15" customHeight="1" x14ac:dyDescent="0.25">
      <c r="A1385" s="20" t="s">
        <v>5215</v>
      </c>
      <c r="B1385" s="14" t="s">
        <v>5216</v>
      </c>
      <c r="C1385" s="71" t="str">
        <f t="shared" si="30"/>
        <v>Product Info</v>
      </c>
      <c r="D1385" s="37" t="s">
        <v>7960</v>
      </c>
      <c r="E1385" s="143">
        <v>1</v>
      </c>
      <c r="F1385" s="12" t="s">
        <v>4992</v>
      </c>
      <c r="G1385" s="38">
        <v>364.86</v>
      </c>
      <c r="H1385" s="38">
        <v>310.14</v>
      </c>
      <c r="I1385" s="38">
        <v>255.4</v>
      </c>
      <c r="J1385" s="39"/>
      <c r="K1385" s="143"/>
      <c r="L1385" s="22">
        <v>0</v>
      </c>
      <c r="M1385" s="22" t="s">
        <v>12488</v>
      </c>
      <c r="N1385" s="20" t="s">
        <v>14489</v>
      </c>
      <c r="O1385" s="16" t="s">
        <v>4992</v>
      </c>
      <c r="P1385" s="143">
        <v>750</v>
      </c>
      <c r="Q1385" s="122" t="s">
        <v>12421</v>
      </c>
      <c r="R1385" s="16" t="s">
        <v>9235</v>
      </c>
      <c r="S1385" s="10" t="s">
        <v>1163</v>
      </c>
      <c r="T1385" s="28" t="s">
        <v>10510</v>
      </c>
      <c r="U1385" s="20" t="s">
        <v>5359</v>
      </c>
      <c r="V1385" s="16" t="s">
        <v>5215</v>
      </c>
      <c r="W1385" s="11" t="s">
        <v>14284</v>
      </c>
      <c r="X1385" s="174">
        <v>226.68</v>
      </c>
      <c r="Y1385" s="174">
        <v>310.14</v>
      </c>
    </row>
    <row r="1386" spans="1:25" ht="15" customHeight="1" x14ac:dyDescent="0.25">
      <c r="A1386" s="20" t="s">
        <v>5217</v>
      </c>
      <c r="B1386" s="14" t="s">
        <v>5218</v>
      </c>
      <c r="C1386" s="71" t="str">
        <f t="shared" si="30"/>
        <v>Product Info</v>
      </c>
      <c r="D1386" s="37" t="s">
        <v>5822</v>
      </c>
      <c r="E1386" s="143">
        <v>1</v>
      </c>
      <c r="F1386" s="12" t="s">
        <v>4992</v>
      </c>
      <c r="G1386" s="38">
        <v>386.69</v>
      </c>
      <c r="H1386" s="38">
        <v>328.69</v>
      </c>
      <c r="I1386" s="38">
        <v>270.68</v>
      </c>
      <c r="J1386" s="39"/>
      <c r="K1386" s="143"/>
      <c r="L1386" s="22">
        <v>6</v>
      </c>
      <c r="M1386" s="22" t="s">
        <v>12488</v>
      </c>
      <c r="N1386" s="20" t="s">
        <v>14270</v>
      </c>
      <c r="O1386" s="16" t="s">
        <v>13912</v>
      </c>
      <c r="P1386" s="143">
        <v>750</v>
      </c>
      <c r="Q1386" s="122" t="s">
        <v>12421</v>
      </c>
      <c r="R1386" s="16" t="s">
        <v>9235</v>
      </c>
      <c r="S1386" s="10" t="s">
        <v>1163</v>
      </c>
      <c r="T1386" s="28" t="s">
        <v>10511</v>
      </c>
      <c r="U1386" s="20" t="s">
        <v>5359</v>
      </c>
      <c r="V1386" s="16" t="s">
        <v>5217</v>
      </c>
      <c r="W1386" s="11" t="s">
        <v>14284</v>
      </c>
      <c r="X1386" s="174">
        <v>240.25</v>
      </c>
      <c r="Y1386" s="174">
        <v>328.69</v>
      </c>
    </row>
    <row r="1387" spans="1:25" ht="15" customHeight="1" x14ac:dyDescent="0.25">
      <c r="A1387" s="20" t="s">
        <v>5219</v>
      </c>
      <c r="B1387" s="14" t="s">
        <v>5220</v>
      </c>
      <c r="C1387" s="71" t="str">
        <f t="shared" si="30"/>
        <v>Product Info</v>
      </c>
      <c r="D1387" s="37" t="s">
        <v>4225</v>
      </c>
      <c r="E1387" s="143">
        <v>1</v>
      </c>
      <c r="F1387" s="12" t="s">
        <v>4992</v>
      </c>
      <c r="G1387" s="38">
        <v>387.94</v>
      </c>
      <c r="H1387" s="38">
        <v>329.76</v>
      </c>
      <c r="I1387" s="38">
        <v>271.56</v>
      </c>
      <c r="J1387" s="39"/>
      <c r="K1387" s="12" t="s">
        <v>8905</v>
      </c>
      <c r="L1387" s="22">
        <v>5</v>
      </c>
      <c r="M1387" s="22" t="s">
        <v>12488</v>
      </c>
      <c r="N1387" s="20" t="s">
        <v>9335</v>
      </c>
      <c r="O1387" s="16" t="s">
        <v>13914</v>
      </c>
      <c r="P1387" s="143">
        <v>750</v>
      </c>
      <c r="Q1387" s="122" t="s">
        <v>12421</v>
      </c>
      <c r="R1387" s="16" t="s">
        <v>9235</v>
      </c>
      <c r="S1387" s="10" t="s">
        <v>1163</v>
      </c>
      <c r="T1387" s="28" t="s">
        <v>10512</v>
      </c>
      <c r="U1387" s="20" t="s">
        <v>5359</v>
      </c>
      <c r="V1387" s="16" t="s">
        <v>5219</v>
      </c>
      <c r="W1387" s="11" t="s">
        <v>14284</v>
      </c>
      <c r="X1387" s="174">
        <v>241.04</v>
      </c>
      <c r="Y1387" s="174">
        <v>329.76</v>
      </c>
    </row>
    <row r="1388" spans="1:25" ht="15" customHeight="1" x14ac:dyDescent="0.25">
      <c r="A1388" s="20" t="s">
        <v>5221</v>
      </c>
      <c r="B1388" s="14" t="s">
        <v>5222</v>
      </c>
      <c r="C1388" s="71" t="str">
        <f t="shared" si="30"/>
        <v>Product Info</v>
      </c>
      <c r="D1388" s="37" t="s">
        <v>4226</v>
      </c>
      <c r="E1388" s="143">
        <v>1</v>
      </c>
      <c r="F1388" s="12" t="s">
        <v>4992</v>
      </c>
      <c r="G1388" s="38">
        <v>453.27</v>
      </c>
      <c r="H1388" s="38">
        <v>385.29</v>
      </c>
      <c r="I1388" s="38">
        <v>317.29000000000002</v>
      </c>
      <c r="J1388" s="39"/>
      <c r="K1388" s="143"/>
      <c r="L1388" s="22">
        <v>0</v>
      </c>
      <c r="M1388" s="22" t="s">
        <v>12488</v>
      </c>
      <c r="N1388" s="20" t="s">
        <v>14489</v>
      </c>
      <c r="O1388" s="16" t="s">
        <v>4992</v>
      </c>
      <c r="P1388" s="143">
        <v>750</v>
      </c>
      <c r="Q1388" s="121" t="s">
        <v>14285</v>
      </c>
      <c r="R1388" s="16" t="s">
        <v>9235</v>
      </c>
      <c r="S1388" s="10" t="s">
        <v>1163</v>
      </c>
      <c r="T1388" s="28" t="s">
        <v>10513</v>
      </c>
      <c r="U1388" s="20" t="s">
        <v>5359</v>
      </c>
      <c r="V1388" s="16" t="s">
        <v>5221</v>
      </c>
      <c r="W1388" s="11" t="s">
        <v>14284</v>
      </c>
      <c r="X1388" s="174">
        <v>281.63</v>
      </c>
      <c r="Y1388" s="174">
        <v>385.29</v>
      </c>
    </row>
    <row r="1389" spans="1:25" ht="15" customHeight="1" x14ac:dyDescent="0.25">
      <c r="A1389" s="20" t="s">
        <v>5223</v>
      </c>
      <c r="B1389" s="14" t="s">
        <v>5224</v>
      </c>
      <c r="C1389" s="71" t="str">
        <f t="shared" si="30"/>
        <v>Product Info</v>
      </c>
      <c r="D1389" s="37" t="s">
        <v>4227</v>
      </c>
      <c r="E1389" s="143">
        <v>1</v>
      </c>
      <c r="F1389" s="12" t="s">
        <v>4992</v>
      </c>
      <c r="G1389" s="38">
        <v>461.9</v>
      </c>
      <c r="H1389" s="38">
        <v>392.63</v>
      </c>
      <c r="I1389" s="38">
        <v>323.33</v>
      </c>
      <c r="J1389" s="39"/>
      <c r="K1389" s="143"/>
      <c r="L1389" s="22">
        <v>6.6349999999999998</v>
      </c>
      <c r="M1389" s="22" t="s">
        <v>12488</v>
      </c>
      <c r="N1389" s="20" t="s">
        <v>9335</v>
      </c>
      <c r="O1389" s="16" t="s">
        <v>12608</v>
      </c>
      <c r="P1389" s="143">
        <v>750</v>
      </c>
      <c r="Q1389" s="121" t="s">
        <v>14285</v>
      </c>
      <c r="R1389" s="16" t="s">
        <v>9235</v>
      </c>
      <c r="S1389" s="10" t="s">
        <v>1163</v>
      </c>
      <c r="T1389" s="28" t="s">
        <v>10514</v>
      </c>
      <c r="U1389" s="20" t="s">
        <v>5359</v>
      </c>
      <c r="V1389" s="16" t="s">
        <v>5223</v>
      </c>
      <c r="W1389" s="11" t="s">
        <v>14284</v>
      </c>
      <c r="X1389" s="174">
        <v>286.97000000000003</v>
      </c>
      <c r="Y1389" s="174">
        <v>392.63</v>
      </c>
    </row>
    <row r="1390" spans="1:25" ht="15" customHeight="1" x14ac:dyDescent="0.25">
      <c r="A1390" s="20" t="s">
        <v>5225</v>
      </c>
      <c r="B1390" s="14" t="s">
        <v>5226</v>
      </c>
      <c r="C1390" s="71" t="str">
        <f t="shared" si="30"/>
        <v>Product Info</v>
      </c>
      <c r="D1390" s="37" t="s">
        <v>5823</v>
      </c>
      <c r="E1390" s="143">
        <v>1</v>
      </c>
      <c r="F1390" s="12" t="s">
        <v>4992</v>
      </c>
      <c r="G1390" s="38">
        <v>405.97</v>
      </c>
      <c r="H1390" s="38">
        <v>345.09</v>
      </c>
      <c r="I1390" s="38">
        <v>284.18</v>
      </c>
      <c r="J1390" s="39"/>
      <c r="K1390" s="143"/>
      <c r="L1390" s="22">
        <v>0</v>
      </c>
      <c r="M1390" s="22" t="s">
        <v>12488</v>
      </c>
      <c r="N1390" s="20" t="s">
        <v>14489</v>
      </c>
      <c r="O1390" s="16" t="s">
        <v>4992</v>
      </c>
      <c r="P1390" s="143">
        <v>750</v>
      </c>
      <c r="Q1390" s="121" t="s">
        <v>14285</v>
      </c>
      <c r="R1390" s="16" t="s">
        <v>9235</v>
      </c>
      <c r="S1390" s="10" t="s">
        <v>1163</v>
      </c>
      <c r="T1390" s="28" t="s">
        <v>10515</v>
      </c>
      <c r="U1390" s="20" t="s">
        <v>5359</v>
      </c>
      <c r="V1390" s="16" t="s">
        <v>5225</v>
      </c>
      <c r="W1390" s="11" t="s">
        <v>14284</v>
      </c>
      <c r="X1390" s="174">
        <v>252.23</v>
      </c>
      <c r="Y1390" s="174">
        <v>345.09</v>
      </c>
    </row>
    <row r="1391" spans="1:25" ht="15" customHeight="1" x14ac:dyDescent="0.25">
      <c r="A1391" s="20" t="s">
        <v>5227</v>
      </c>
      <c r="B1391" s="14" t="s">
        <v>5228</v>
      </c>
      <c r="C1391" s="71" t="str">
        <f t="shared" si="30"/>
        <v>Product Info</v>
      </c>
      <c r="D1391" s="37" t="s">
        <v>5824</v>
      </c>
      <c r="E1391" s="143">
        <v>1</v>
      </c>
      <c r="F1391" s="12" t="s">
        <v>4992</v>
      </c>
      <c r="G1391" s="38">
        <v>432.94</v>
      </c>
      <c r="H1391" s="38">
        <v>368.01</v>
      </c>
      <c r="I1391" s="38">
        <v>303.06</v>
      </c>
      <c r="J1391" s="39"/>
      <c r="K1391" s="143"/>
      <c r="L1391" s="22">
        <v>0</v>
      </c>
      <c r="M1391" s="22" t="s">
        <v>12488</v>
      </c>
      <c r="N1391" s="20" t="s">
        <v>14489</v>
      </c>
      <c r="O1391" s="16" t="s">
        <v>4992</v>
      </c>
      <c r="P1391" s="143">
        <v>750</v>
      </c>
      <c r="Q1391" s="121" t="s">
        <v>14285</v>
      </c>
      <c r="R1391" s="16" t="s">
        <v>9235</v>
      </c>
      <c r="S1391" s="10" t="s">
        <v>1163</v>
      </c>
      <c r="T1391" s="28" t="s">
        <v>10516</v>
      </c>
      <c r="U1391" s="20" t="s">
        <v>5359</v>
      </c>
      <c r="V1391" s="16" t="s">
        <v>5227</v>
      </c>
      <c r="W1391" s="11" t="s">
        <v>14284</v>
      </c>
      <c r="X1391" s="174">
        <v>268.98</v>
      </c>
      <c r="Y1391" s="174">
        <v>368.01</v>
      </c>
    </row>
    <row r="1392" spans="1:25" ht="15" customHeight="1" x14ac:dyDescent="0.25">
      <c r="A1392" s="20" t="s">
        <v>5229</v>
      </c>
      <c r="B1392" s="14" t="s">
        <v>5230</v>
      </c>
      <c r="C1392" s="71" t="str">
        <f t="shared" si="30"/>
        <v>Product Info</v>
      </c>
      <c r="D1392" s="37" t="s">
        <v>5825</v>
      </c>
      <c r="E1392" s="143">
        <v>1</v>
      </c>
      <c r="F1392" s="12" t="s">
        <v>4992</v>
      </c>
      <c r="G1392" s="38">
        <v>477.91</v>
      </c>
      <c r="H1392" s="38">
        <v>406.24</v>
      </c>
      <c r="I1392" s="38">
        <v>334.54</v>
      </c>
      <c r="J1392" s="39"/>
      <c r="K1392" s="143"/>
      <c r="L1392" s="22">
        <v>0</v>
      </c>
      <c r="M1392" s="22" t="s">
        <v>12488</v>
      </c>
      <c r="N1392" s="20" t="s">
        <v>14489</v>
      </c>
      <c r="O1392" s="16" t="s">
        <v>4992</v>
      </c>
      <c r="P1392" s="143">
        <v>750</v>
      </c>
      <c r="Q1392" s="122" t="s">
        <v>12421</v>
      </c>
      <c r="R1392" s="16" t="s">
        <v>9235</v>
      </c>
      <c r="S1392" s="10" t="s">
        <v>1163</v>
      </c>
      <c r="T1392" s="28" t="s">
        <v>10517</v>
      </c>
      <c r="U1392" s="20" t="s">
        <v>5359</v>
      </c>
      <c r="V1392" s="16" t="s">
        <v>5229</v>
      </c>
      <c r="W1392" s="11" t="s">
        <v>14284</v>
      </c>
      <c r="X1392" s="174">
        <v>296.93</v>
      </c>
      <c r="Y1392" s="174">
        <v>406.24</v>
      </c>
    </row>
    <row r="1393" spans="1:25" ht="15" customHeight="1" x14ac:dyDescent="0.25">
      <c r="A1393" s="20" t="s">
        <v>5231</v>
      </c>
      <c r="B1393" s="14" t="s">
        <v>5232</v>
      </c>
      <c r="C1393" s="71" t="str">
        <f t="shared" si="30"/>
        <v>Product Info</v>
      </c>
      <c r="D1393" s="37" t="s">
        <v>5826</v>
      </c>
      <c r="E1393" s="143">
        <v>1</v>
      </c>
      <c r="F1393" s="12" t="s">
        <v>4992</v>
      </c>
      <c r="G1393" s="38">
        <v>551.86</v>
      </c>
      <c r="H1393" s="38">
        <v>469.1</v>
      </c>
      <c r="I1393" s="38">
        <v>386.3</v>
      </c>
      <c r="J1393" s="39"/>
      <c r="K1393" s="143"/>
      <c r="L1393" s="22">
        <v>0</v>
      </c>
      <c r="M1393" s="22" t="s">
        <v>12488</v>
      </c>
      <c r="N1393" s="20" t="s">
        <v>14489</v>
      </c>
      <c r="O1393" s="16" t="s">
        <v>4992</v>
      </c>
      <c r="P1393" s="143">
        <v>750</v>
      </c>
      <c r="Q1393" s="121" t="s">
        <v>14285</v>
      </c>
      <c r="R1393" s="16" t="s">
        <v>9235</v>
      </c>
      <c r="S1393" s="10" t="s">
        <v>1163</v>
      </c>
      <c r="T1393" s="28" t="s">
        <v>10518</v>
      </c>
      <c r="U1393" s="20" t="s">
        <v>5359</v>
      </c>
      <c r="V1393" s="16" t="s">
        <v>5231</v>
      </c>
      <c r="W1393" s="11" t="s">
        <v>14284</v>
      </c>
      <c r="X1393" s="174">
        <v>342.86</v>
      </c>
      <c r="Y1393" s="174">
        <v>469.1</v>
      </c>
    </row>
    <row r="1394" spans="1:25" ht="15" customHeight="1" x14ac:dyDescent="0.25">
      <c r="A1394" s="20" t="s">
        <v>5233</v>
      </c>
      <c r="B1394" s="14" t="s">
        <v>5234</v>
      </c>
      <c r="C1394" s="71" t="str">
        <f t="shared" si="30"/>
        <v>Product Info</v>
      </c>
      <c r="D1394" s="37" t="s">
        <v>5827</v>
      </c>
      <c r="E1394" s="143">
        <v>1</v>
      </c>
      <c r="F1394" s="12" t="s">
        <v>4992</v>
      </c>
      <c r="G1394" s="38">
        <v>535.29</v>
      </c>
      <c r="H1394" s="38">
        <v>455.01</v>
      </c>
      <c r="I1394" s="38">
        <v>374.7</v>
      </c>
      <c r="J1394" s="39"/>
      <c r="K1394" s="143"/>
      <c r="L1394" s="22">
        <v>0</v>
      </c>
      <c r="M1394" s="22" t="s">
        <v>12488</v>
      </c>
      <c r="N1394" s="20" t="s">
        <v>14489</v>
      </c>
      <c r="O1394" s="16" t="s">
        <v>4992</v>
      </c>
      <c r="P1394" s="143">
        <v>750</v>
      </c>
      <c r="Q1394" s="122" t="s">
        <v>12421</v>
      </c>
      <c r="R1394" s="16" t="s">
        <v>9235</v>
      </c>
      <c r="S1394" s="10" t="s">
        <v>1163</v>
      </c>
      <c r="T1394" s="28" t="s">
        <v>10519</v>
      </c>
      <c r="U1394" s="20" t="s">
        <v>5359</v>
      </c>
      <c r="V1394" s="16" t="s">
        <v>5233</v>
      </c>
      <c r="W1394" s="11" t="s">
        <v>14284</v>
      </c>
      <c r="X1394" s="174">
        <v>332.57</v>
      </c>
      <c r="Y1394" s="174">
        <v>455.01</v>
      </c>
    </row>
    <row r="1395" spans="1:25" ht="15" customHeight="1" x14ac:dyDescent="0.25">
      <c r="A1395" s="20" t="s">
        <v>5235</v>
      </c>
      <c r="B1395" s="14" t="s">
        <v>5236</v>
      </c>
      <c r="C1395" s="71" t="str">
        <f t="shared" si="30"/>
        <v>Product Info</v>
      </c>
      <c r="D1395" s="37" t="s">
        <v>5828</v>
      </c>
      <c r="E1395" s="143">
        <v>1</v>
      </c>
      <c r="F1395" s="12" t="s">
        <v>4992</v>
      </c>
      <c r="G1395" s="38">
        <v>580.49</v>
      </c>
      <c r="H1395" s="38">
        <v>493.43</v>
      </c>
      <c r="I1395" s="38">
        <v>406.34</v>
      </c>
      <c r="J1395" s="39"/>
      <c r="K1395" s="143"/>
      <c r="L1395" s="22">
        <v>0</v>
      </c>
      <c r="M1395" s="22" t="s">
        <v>12488</v>
      </c>
      <c r="N1395" s="20" t="s">
        <v>14489</v>
      </c>
      <c r="O1395" s="16" t="s">
        <v>4992</v>
      </c>
      <c r="P1395" s="143">
        <v>750</v>
      </c>
      <c r="Q1395" s="121" t="s">
        <v>14285</v>
      </c>
      <c r="R1395" s="16" t="s">
        <v>9235</v>
      </c>
      <c r="S1395" s="10" t="s">
        <v>1163</v>
      </c>
      <c r="T1395" s="28" t="s">
        <v>10520</v>
      </c>
      <c r="U1395" s="20" t="s">
        <v>5359</v>
      </c>
      <c r="V1395" s="16" t="s">
        <v>5235</v>
      </c>
      <c r="W1395" s="11" t="s">
        <v>14284</v>
      </c>
      <c r="X1395" s="174">
        <v>360.65</v>
      </c>
      <c r="Y1395" s="174">
        <v>493.43</v>
      </c>
    </row>
    <row r="1396" spans="1:25" ht="15" customHeight="1" x14ac:dyDescent="0.25">
      <c r="A1396" s="20" t="s">
        <v>5237</v>
      </c>
      <c r="B1396" s="14" t="s">
        <v>5238</v>
      </c>
      <c r="C1396" s="71" t="str">
        <f t="shared" si="30"/>
        <v>Product Info</v>
      </c>
      <c r="D1396" s="37" t="s">
        <v>5829</v>
      </c>
      <c r="E1396" s="143">
        <v>1</v>
      </c>
      <c r="F1396" s="12" t="s">
        <v>4992</v>
      </c>
      <c r="G1396" s="38">
        <v>645.76</v>
      </c>
      <c r="H1396" s="38">
        <v>548.91</v>
      </c>
      <c r="I1396" s="38">
        <v>452.03</v>
      </c>
      <c r="J1396" s="39"/>
      <c r="K1396" s="143"/>
      <c r="L1396" s="22">
        <v>0</v>
      </c>
      <c r="M1396" s="22" t="s">
        <v>12488</v>
      </c>
      <c r="N1396" s="20" t="s">
        <v>14489</v>
      </c>
      <c r="O1396" s="16" t="s">
        <v>4992</v>
      </c>
      <c r="P1396" s="143">
        <v>750</v>
      </c>
      <c r="Q1396" s="122" t="s">
        <v>12421</v>
      </c>
      <c r="R1396" s="16" t="s">
        <v>9235</v>
      </c>
      <c r="S1396" s="10" t="s">
        <v>1163</v>
      </c>
      <c r="T1396" s="28" t="s">
        <v>10521</v>
      </c>
      <c r="U1396" s="20" t="s">
        <v>5359</v>
      </c>
      <c r="V1396" s="16" t="s">
        <v>5237</v>
      </c>
      <c r="W1396" s="11" t="s">
        <v>14284</v>
      </c>
      <c r="X1396" s="174">
        <v>401.2</v>
      </c>
      <c r="Y1396" s="174">
        <v>548.91</v>
      </c>
    </row>
    <row r="1397" spans="1:25" ht="15" customHeight="1" x14ac:dyDescent="0.25">
      <c r="A1397" s="20" t="s">
        <v>5239</v>
      </c>
      <c r="B1397" s="14" t="s">
        <v>5240</v>
      </c>
      <c r="C1397" s="71" t="str">
        <f t="shared" si="30"/>
        <v>Product Info</v>
      </c>
      <c r="D1397" s="37" t="s">
        <v>4228</v>
      </c>
      <c r="E1397" s="143">
        <v>1</v>
      </c>
      <c r="F1397" s="12" t="s">
        <v>4992</v>
      </c>
      <c r="G1397" s="38">
        <v>378.4</v>
      </c>
      <c r="H1397" s="38">
        <v>321.64999999999998</v>
      </c>
      <c r="I1397" s="38">
        <v>264.88</v>
      </c>
      <c r="J1397" s="39"/>
      <c r="K1397" s="143"/>
      <c r="L1397" s="22">
        <v>0</v>
      </c>
      <c r="M1397" s="22" t="s">
        <v>12488</v>
      </c>
      <c r="N1397" s="20" t="s">
        <v>14489</v>
      </c>
      <c r="O1397" s="16" t="s">
        <v>4992</v>
      </c>
      <c r="P1397" s="143">
        <v>750</v>
      </c>
      <c r="Q1397" s="122" t="s">
        <v>12421</v>
      </c>
      <c r="R1397" s="16" t="s">
        <v>9235</v>
      </c>
      <c r="S1397" s="10" t="s">
        <v>1163</v>
      </c>
      <c r="T1397" s="28" t="s">
        <v>10522</v>
      </c>
      <c r="U1397" s="20" t="s">
        <v>5359</v>
      </c>
      <c r="V1397" s="16" t="s">
        <v>5239</v>
      </c>
      <c r="W1397" s="11" t="s">
        <v>14284</v>
      </c>
      <c r="X1397" s="174">
        <v>235.09</v>
      </c>
      <c r="Y1397" s="174">
        <v>321.64999999999998</v>
      </c>
    </row>
    <row r="1398" spans="1:25" ht="15" customHeight="1" x14ac:dyDescent="0.25">
      <c r="A1398" s="20" t="s">
        <v>5241</v>
      </c>
      <c r="B1398" s="14" t="s">
        <v>5242</v>
      </c>
      <c r="C1398" s="71" t="str">
        <f t="shared" si="30"/>
        <v>Product Info</v>
      </c>
      <c r="D1398" s="37" t="s">
        <v>4229</v>
      </c>
      <c r="E1398" s="143">
        <v>1</v>
      </c>
      <c r="F1398" s="12" t="s">
        <v>4992</v>
      </c>
      <c r="G1398" s="38">
        <v>484.49</v>
      </c>
      <c r="H1398" s="38">
        <v>411.83</v>
      </c>
      <c r="I1398" s="38">
        <v>339.14</v>
      </c>
      <c r="J1398" s="39"/>
      <c r="K1398" s="143"/>
      <c r="L1398" s="22">
        <v>0</v>
      </c>
      <c r="M1398" s="22" t="s">
        <v>12488</v>
      </c>
      <c r="N1398" s="20" t="s">
        <v>14489</v>
      </c>
      <c r="O1398" s="16" t="s">
        <v>4992</v>
      </c>
      <c r="P1398" s="143">
        <v>750</v>
      </c>
      <c r="Q1398" s="121" t="s">
        <v>14285</v>
      </c>
      <c r="R1398" s="16" t="s">
        <v>9235</v>
      </c>
      <c r="S1398" s="10" t="s">
        <v>1163</v>
      </c>
      <c r="T1398" s="28" t="s">
        <v>10523</v>
      </c>
      <c r="U1398" s="20" t="s">
        <v>5359</v>
      </c>
      <c r="V1398" s="16" t="s">
        <v>5241</v>
      </c>
      <c r="W1398" s="11" t="s">
        <v>14284</v>
      </c>
      <c r="X1398" s="174">
        <v>301.02</v>
      </c>
      <c r="Y1398" s="174">
        <v>411.83</v>
      </c>
    </row>
    <row r="1399" spans="1:25" ht="15" customHeight="1" x14ac:dyDescent="0.25">
      <c r="A1399" s="20" t="s">
        <v>5243</v>
      </c>
      <c r="B1399" s="14" t="s">
        <v>3037</v>
      </c>
      <c r="C1399" s="71" t="str">
        <f t="shared" si="30"/>
        <v>Product Info</v>
      </c>
      <c r="D1399" s="37" t="s">
        <v>5830</v>
      </c>
      <c r="E1399" s="143">
        <v>1</v>
      </c>
      <c r="F1399" s="12" t="s">
        <v>4992</v>
      </c>
      <c r="G1399" s="38">
        <v>454.46</v>
      </c>
      <c r="H1399" s="38">
        <v>386.3</v>
      </c>
      <c r="I1399" s="38">
        <v>318.12</v>
      </c>
      <c r="J1399" s="39"/>
      <c r="K1399" s="143"/>
      <c r="L1399" s="22">
        <v>0</v>
      </c>
      <c r="M1399" s="22" t="s">
        <v>12488</v>
      </c>
      <c r="N1399" s="20" t="s">
        <v>14489</v>
      </c>
      <c r="O1399" s="16" t="s">
        <v>4992</v>
      </c>
      <c r="P1399" s="143">
        <v>750</v>
      </c>
      <c r="Q1399" s="121" t="s">
        <v>14285</v>
      </c>
      <c r="R1399" s="16" t="s">
        <v>9235</v>
      </c>
      <c r="S1399" s="10" t="s">
        <v>1163</v>
      </c>
      <c r="T1399" s="28" t="s">
        <v>10524</v>
      </c>
      <c r="U1399" s="20" t="s">
        <v>5359</v>
      </c>
      <c r="V1399" s="16" t="s">
        <v>5243</v>
      </c>
      <c r="W1399" s="11" t="s">
        <v>14284</v>
      </c>
      <c r="X1399" s="174">
        <v>282.36</v>
      </c>
      <c r="Y1399" s="174">
        <v>386.3</v>
      </c>
    </row>
    <row r="1400" spans="1:25" ht="15" customHeight="1" x14ac:dyDescent="0.25">
      <c r="A1400" s="20" t="s">
        <v>3038</v>
      </c>
      <c r="B1400" s="14" t="s">
        <v>3039</v>
      </c>
      <c r="C1400" s="71" t="str">
        <f t="shared" si="30"/>
        <v>Product Info</v>
      </c>
      <c r="D1400" s="37" t="s">
        <v>5831</v>
      </c>
      <c r="E1400" s="143">
        <v>1</v>
      </c>
      <c r="F1400" s="12" t="s">
        <v>4992</v>
      </c>
      <c r="G1400" s="38">
        <v>438.07</v>
      </c>
      <c r="H1400" s="38">
        <v>372.37</v>
      </c>
      <c r="I1400" s="38">
        <v>306.64999999999998</v>
      </c>
      <c r="J1400" s="39"/>
      <c r="K1400" s="143"/>
      <c r="L1400" s="22">
        <v>0</v>
      </c>
      <c r="M1400" s="22" t="s">
        <v>12488</v>
      </c>
      <c r="N1400" s="20" t="s">
        <v>14489</v>
      </c>
      <c r="O1400" s="16" t="s">
        <v>4992</v>
      </c>
      <c r="P1400" s="143">
        <v>750</v>
      </c>
      <c r="Q1400" s="121" t="s">
        <v>14285</v>
      </c>
      <c r="R1400" s="16" t="s">
        <v>9235</v>
      </c>
      <c r="S1400" s="10" t="s">
        <v>1163</v>
      </c>
      <c r="T1400" s="28" t="s">
        <v>10525</v>
      </c>
      <c r="U1400" s="20" t="s">
        <v>5359</v>
      </c>
      <c r="V1400" s="16" t="s">
        <v>3038</v>
      </c>
      <c r="W1400" s="11" t="s">
        <v>14284</v>
      </c>
      <c r="X1400" s="174">
        <v>272.18</v>
      </c>
      <c r="Y1400" s="174">
        <v>372.37</v>
      </c>
    </row>
    <row r="1401" spans="1:25" ht="15" customHeight="1" x14ac:dyDescent="0.25">
      <c r="A1401" s="20" t="s">
        <v>296</v>
      </c>
      <c r="B1401" s="14" t="s">
        <v>297</v>
      </c>
      <c r="C1401" s="71" t="str">
        <f t="shared" si="30"/>
        <v>Product Info</v>
      </c>
      <c r="D1401" s="37" t="s">
        <v>298</v>
      </c>
      <c r="E1401" s="143">
        <v>1</v>
      </c>
      <c r="F1401" s="12" t="s">
        <v>4992</v>
      </c>
      <c r="G1401" s="38">
        <v>596.05999999999995</v>
      </c>
      <c r="H1401" s="38">
        <v>506.67</v>
      </c>
      <c r="I1401" s="38">
        <v>417.24</v>
      </c>
      <c r="J1401" s="39"/>
      <c r="K1401" s="143"/>
      <c r="L1401" s="22">
        <v>7.8150000000000004</v>
      </c>
      <c r="M1401" s="22" t="s">
        <v>12488</v>
      </c>
      <c r="N1401" s="20" t="s">
        <v>9336</v>
      </c>
      <c r="O1401" s="16" t="s">
        <v>12608</v>
      </c>
      <c r="P1401" s="143">
        <v>750</v>
      </c>
      <c r="Q1401" s="121" t="s">
        <v>14285</v>
      </c>
      <c r="R1401" s="16" t="s">
        <v>9235</v>
      </c>
      <c r="S1401" s="10" t="s">
        <v>1163</v>
      </c>
      <c r="T1401" s="28" t="s">
        <v>10526</v>
      </c>
      <c r="U1401" s="20" t="s">
        <v>5359</v>
      </c>
      <c r="V1401" s="16" t="s">
        <v>296</v>
      </c>
      <c r="W1401" s="11" t="s">
        <v>14284</v>
      </c>
      <c r="X1401" s="174">
        <v>370.33</v>
      </c>
      <c r="Y1401" s="174">
        <v>506.67</v>
      </c>
    </row>
    <row r="1402" spans="1:25" ht="15" customHeight="1" x14ac:dyDescent="0.25">
      <c r="A1402" s="20" t="s">
        <v>2915</v>
      </c>
      <c r="B1402" s="14" t="s">
        <v>2916</v>
      </c>
      <c r="C1402" s="71" t="str">
        <f t="shared" si="30"/>
        <v>Product Info</v>
      </c>
      <c r="D1402" s="37" t="s">
        <v>5832</v>
      </c>
      <c r="E1402" s="143">
        <v>1</v>
      </c>
      <c r="F1402" s="12" t="s">
        <v>4992</v>
      </c>
      <c r="G1402" s="38">
        <v>640.6</v>
      </c>
      <c r="H1402" s="38">
        <v>544.53</v>
      </c>
      <c r="I1402" s="38">
        <v>448.42</v>
      </c>
      <c r="J1402" s="39"/>
      <c r="K1402" s="143"/>
      <c r="L1402" s="22">
        <v>0</v>
      </c>
      <c r="M1402" s="22" t="s">
        <v>12488</v>
      </c>
      <c r="N1402" s="20" t="s">
        <v>14489</v>
      </c>
      <c r="O1402" s="16" t="s">
        <v>4992</v>
      </c>
      <c r="P1402" s="143">
        <v>750</v>
      </c>
      <c r="Q1402" s="121" t="s">
        <v>14285</v>
      </c>
      <c r="R1402" s="16" t="s">
        <v>9235</v>
      </c>
      <c r="S1402" s="10" t="s">
        <v>1163</v>
      </c>
      <c r="T1402" s="28" t="s">
        <v>10527</v>
      </c>
      <c r="U1402" s="20" t="s">
        <v>5359</v>
      </c>
      <c r="V1402" s="16" t="s">
        <v>2915</v>
      </c>
      <c r="W1402" s="11" t="s">
        <v>14284</v>
      </c>
      <c r="X1402" s="174">
        <v>398.01</v>
      </c>
      <c r="Y1402" s="174">
        <v>544.53</v>
      </c>
    </row>
    <row r="1403" spans="1:25" ht="15" customHeight="1" x14ac:dyDescent="0.25">
      <c r="A1403" s="20" t="s">
        <v>2917</v>
      </c>
      <c r="B1403" s="14" t="s">
        <v>2918</v>
      </c>
      <c r="C1403" s="71" t="str">
        <f t="shared" si="30"/>
        <v>Product Info</v>
      </c>
      <c r="D1403" s="37" t="s">
        <v>7213</v>
      </c>
      <c r="E1403" s="143">
        <v>1</v>
      </c>
      <c r="F1403" s="12" t="s">
        <v>4992</v>
      </c>
      <c r="G1403" s="38">
        <v>739.9</v>
      </c>
      <c r="H1403" s="38">
        <v>628.94000000000005</v>
      </c>
      <c r="I1403" s="38">
        <v>517.92999999999995</v>
      </c>
      <c r="J1403" s="39"/>
      <c r="K1403" s="143"/>
      <c r="L1403" s="22">
        <v>7.8150000000000004</v>
      </c>
      <c r="M1403" s="22" t="s">
        <v>12488</v>
      </c>
      <c r="N1403" s="20" t="s">
        <v>9338</v>
      </c>
      <c r="O1403" s="16" t="s">
        <v>12608</v>
      </c>
      <c r="P1403" s="143">
        <v>750</v>
      </c>
      <c r="Q1403" s="121" t="s">
        <v>14285</v>
      </c>
      <c r="R1403" s="16" t="s">
        <v>9235</v>
      </c>
      <c r="S1403" s="10" t="s">
        <v>1163</v>
      </c>
      <c r="T1403" s="28" t="s">
        <v>10528</v>
      </c>
      <c r="U1403" s="20" t="s">
        <v>5359</v>
      </c>
      <c r="V1403" s="16" t="s">
        <v>2917</v>
      </c>
      <c r="W1403" s="11" t="s">
        <v>14284</v>
      </c>
      <c r="X1403" s="174">
        <v>459.71</v>
      </c>
      <c r="Y1403" s="174">
        <v>628.94000000000005</v>
      </c>
    </row>
    <row r="1404" spans="1:25" ht="15" customHeight="1" x14ac:dyDescent="0.25">
      <c r="A1404" s="20" t="s">
        <v>2919</v>
      </c>
      <c r="B1404" s="14" t="s">
        <v>2920</v>
      </c>
      <c r="C1404" s="71" t="str">
        <f t="shared" si="30"/>
        <v>Product Info</v>
      </c>
      <c r="D1404" s="37" t="s">
        <v>7917</v>
      </c>
      <c r="E1404" s="143">
        <v>1</v>
      </c>
      <c r="F1404" s="12" t="s">
        <v>4992</v>
      </c>
      <c r="G1404" s="38">
        <v>812.37</v>
      </c>
      <c r="H1404" s="38">
        <v>690.54</v>
      </c>
      <c r="I1404" s="38">
        <v>568.66</v>
      </c>
      <c r="J1404" s="39"/>
      <c r="K1404" s="143"/>
      <c r="L1404" s="22">
        <v>0</v>
      </c>
      <c r="M1404" s="22" t="s">
        <v>12488</v>
      </c>
      <c r="N1404" s="20" t="s">
        <v>14489</v>
      </c>
      <c r="O1404" s="16" t="s">
        <v>4992</v>
      </c>
      <c r="P1404" s="143">
        <v>750</v>
      </c>
      <c r="Q1404" s="121" t="s">
        <v>14285</v>
      </c>
      <c r="R1404" s="16" t="s">
        <v>8904</v>
      </c>
      <c r="S1404" s="10" t="s">
        <v>1163</v>
      </c>
      <c r="T1404" s="28" t="s">
        <v>10529</v>
      </c>
      <c r="U1404" s="20" t="s">
        <v>5359</v>
      </c>
      <c r="V1404" s="16" t="s">
        <v>2919</v>
      </c>
      <c r="W1404" s="11" t="s">
        <v>14284</v>
      </c>
      <c r="X1404" s="174">
        <v>504.73</v>
      </c>
      <c r="Y1404" s="174">
        <v>690.54</v>
      </c>
    </row>
    <row r="1405" spans="1:25" ht="15" customHeight="1" x14ac:dyDescent="0.25">
      <c r="A1405" s="20" t="s">
        <v>2921</v>
      </c>
      <c r="B1405" s="14" t="s">
        <v>2922</v>
      </c>
      <c r="C1405" s="71" t="str">
        <f t="shared" si="30"/>
        <v>Product Info</v>
      </c>
      <c r="D1405" s="37" t="s">
        <v>7918</v>
      </c>
      <c r="E1405" s="143">
        <v>1</v>
      </c>
      <c r="F1405" s="12" t="s">
        <v>4992</v>
      </c>
      <c r="G1405" s="38">
        <v>803.91</v>
      </c>
      <c r="H1405" s="38">
        <v>683.35</v>
      </c>
      <c r="I1405" s="38">
        <v>562.74</v>
      </c>
      <c r="J1405" s="39"/>
      <c r="K1405" s="143"/>
      <c r="L1405" s="22">
        <v>0</v>
      </c>
      <c r="M1405" s="22" t="s">
        <v>12488</v>
      </c>
      <c r="N1405" s="20" t="s">
        <v>14489</v>
      </c>
      <c r="O1405" s="16" t="s">
        <v>4992</v>
      </c>
      <c r="P1405" s="143">
        <v>750</v>
      </c>
      <c r="Q1405" s="122" t="s">
        <v>12421</v>
      </c>
      <c r="R1405" s="16" t="s">
        <v>9235</v>
      </c>
      <c r="S1405" s="10" t="s">
        <v>1163</v>
      </c>
      <c r="T1405" s="28" t="s">
        <v>10530</v>
      </c>
      <c r="U1405" s="20" t="s">
        <v>5359</v>
      </c>
      <c r="V1405" s="16" t="s">
        <v>2921</v>
      </c>
      <c r="W1405" s="11" t="s">
        <v>14284</v>
      </c>
      <c r="X1405" s="174">
        <v>499.48</v>
      </c>
      <c r="Y1405" s="174">
        <v>683.35</v>
      </c>
    </row>
    <row r="1406" spans="1:25" ht="15" customHeight="1" x14ac:dyDescent="0.25">
      <c r="A1406" s="20" t="s">
        <v>299</v>
      </c>
      <c r="B1406" s="14" t="s">
        <v>300</v>
      </c>
      <c r="C1406" s="71" t="str">
        <f t="shared" si="30"/>
        <v>Product Info</v>
      </c>
      <c r="D1406" s="37" t="s">
        <v>301</v>
      </c>
      <c r="E1406" s="143">
        <v>1</v>
      </c>
      <c r="F1406" s="12" t="s">
        <v>4992</v>
      </c>
      <c r="G1406" s="38">
        <v>1496.9</v>
      </c>
      <c r="H1406" s="38">
        <v>1272.4100000000001</v>
      </c>
      <c r="I1406" s="38">
        <v>1047.83</v>
      </c>
      <c r="J1406" s="39"/>
      <c r="K1406" s="143"/>
      <c r="L1406" s="22">
        <v>14</v>
      </c>
      <c r="M1406" s="22" t="s">
        <v>12488</v>
      </c>
      <c r="N1406" s="20" t="s">
        <v>9339</v>
      </c>
      <c r="O1406" s="16" t="s">
        <v>12608</v>
      </c>
      <c r="P1406" s="143">
        <v>750</v>
      </c>
      <c r="Q1406" s="121" t="s">
        <v>14285</v>
      </c>
      <c r="R1406" s="16" t="s">
        <v>9235</v>
      </c>
      <c r="S1406" s="10" t="s">
        <v>1163</v>
      </c>
      <c r="T1406" s="28" t="s">
        <v>10531</v>
      </c>
      <c r="U1406" s="20" t="s">
        <v>5359</v>
      </c>
      <c r="V1406" s="16" t="s">
        <v>299</v>
      </c>
      <c r="W1406" s="11" t="s">
        <v>14284</v>
      </c>
      <c r="X1406" s="174">
        <v>930.03</v>
      </c>
      <c r="Y1406" s="174">
        <v>1272.4100000000001</v>
      </c>
    </row>
    <row r="1407" spans="1:25" ht="15" customHeight="1" x14ac:dyDescent="0.25">
      <c r="A1407" s="20" t="s">
        <v>1039</v>
      </c>
      <c r="B1407" s="14" t="s">
        <v>1064</v>
      </c>
      <c r="C1407" s="71" t="str">
        <f t="shared" si="30"/>
        <v>Product Info</v>
      </c>
      <c r="D1407" s="37" t="s">
        <v>3775</v>
      </c>
      <c r="E1407" s="143">
        <v>1</v>
      </c>
      <c r="F1407" s="12" t="s">
        <v>4992</v>
      </c>
      <c r="G1407" s="38">
        <v>2044.46</v>
      </c>
      <c r="H1407" s="38">
        <v>1737.85</v>
      </c>
      <c r="I1407" s="38">
        <v>1431.12</v>
      </c>
      <c r="J1407" s="39"/>
      <c r="K1407" s="143"/>
      <c r="L1407" s="22">
        <v>0</v>
      </c>
      <c r="M1407" s="22">
        <v>0</v>
      </c>
      <c r="N1407" s="20" t="s">
        <v>14489</v>
      </c>
      <c r="O1407" s="16">
        <v>0</v>
      </c>
      <c r="P1407" s="143">
        <v>750</v>
      </c>
      <c r="Q1407" s="121" t="s">
        <v>14285</v>
      </c>
      <c r="R1407" s="16" t="s">
        <v>9235</v>
      </c>
      <c r="S1407" s="10" t="s">
        <v>1163</v>
      </c>
      <c r="T1407" s="28" t="s">
        <v>10532</v>
      </c>
      <c r="U1407" s="20" t="s">
        <v>5359</v>
      </c>
      <c r="V1407" s="16" t="s">
        <v>1039</v>
      </c>
      <c r="W1407" s="11" t="s">
        <v>14284</v>
      </c>
      <c r="X1407" s="174">
        <v>1270.22</v>
      </c>
      <c r="Y1407" s="174">
        <v>1737.85</v>
      </c>
    </row>
    <row r="1408" spans="1:25" ht="15" customHeight="1" x14ac:dyDescent="0.25">
      <c r="A1408" s="20" t="s">
        <v>302</v>
      </c>
      <c r="B1408" s="14" t="s">
        <v>303</v>
      </c>
      <c r="C1408" s="71" t="str">
        <f t="shared" si="30"/>
        <v>Product Info</v>
      </c>
      <c r="D1408" s="37" t="s">
        <v>304</v>
      </c>
      <c r="E1408" s="143">
        <v>1</v>
      </c>
      <c r="F1408" s="12" t="s">
        <v>4992</v>
      </c>
      <c r="G1408" s="38">
        <v>1618.59</v>
      </c>
      <c r="H1408" s="38">
        <v>1375.85</v>
      </c>
      <c r="I1408" s="38">
        <v>1133.01</v>
      </c>
      <c r="J1408" s="39"/>
      <c r="K1408" s="143"/>
      <c r="L1408" s="22">
        <v>14</v>
      </c>
      <c r="M1408" s="22" t="s">
        <v>12488</v>
      </c>
      <c r="N1408" s="20" t="s">
        <v>9339</v>
      </c>
      <c r="O1408" s="16" t="s">
        <v>12608</v>
      </c>
      <c r="P1408" s="143">
        <v>750</v>
      </c>
      <c r="Q1408" s="121" t="s">
        <v>14285</v>
      </c>
      <c r="R1408" s="16" t="s">
        <v>9235</v>
      </c>
      <c r="S1408" s="10" t="s">
        <v>1163</v>
      </c>
      <c r="T1408" s="28" t="s">
        <v>10533</v>
      </c>
      <c r="U1408" s="20" t="s">
        <v>5359</v>
      </c>
      <c r="V1408" s="16" t="s">
        <v>302</v>
      </c>
      <c r="W1408" s="11" t="s">
        <v>14284</v>
      </c>
      <c r="X1408" s="174">
        <v>1005.63</v>
      </c>
      <c r="Y1408" s="174">
        <v>1375.85</v>
      </c>
    </row>
    <row r="1409" spans="1:25" ht="15" customHeight="1" x14ac:dyDescent="0.25">
      <c r="A1409" s="20" t="s">
        <v>1046</v>
      </c>
      <c r="B1409" s="14" t="s">
        <v>3757</v>
      </c>
      <c r="C1409" s="71" t="str">
        <f t="shared" si="30"/>
        <v>Product Info</v>
      </c>
      <c r="D1409" s="37" t="s">
        <v>3782</v>
      </c>
      <c r="E1409" s="143">
        <v>1</v>
      </c>
      <c r="F1409" s="12" t="s">
        <v>4992</v>
      </c>
      <c r="G1409" s="38">
        <v>2167.3000000000002</v>
      </c>
      <c r="H1409" s="38">
        <v>1842.27</v>
      </c>
      <c r="I1409" s="38">
        <v>1517.11</v>
      </c>
      <c r="J1409" s="39"/>
      <c r="K1409" s="143"/>
      <c r="L1409" s="22">
        <v>0</v>
      </c>
      <c r="M1409" s="22">
        <v>0</v>
      </c>
      <c r="N1409" s="20" t="s">
        <v>14489</v>
      </c>
      <c r="O1409" s="16">
        <v>0</v>
      </c>
      <c r="P1409" s="143">
        <v>750</v>
      </c>
      <c r="Q1409" s="121" t="s">
        <v>14285</v>
      </c>
      <c r="R1409" s="16" t="s">
        <v>9235</v>
      </c>
      <c r="S1409" s="10" t="s">
        <v>1163</v>
      </c>
      <c r="T1409" s="28" t="s">
        <v>10534</v>
      </c>
      <c r="U1409" s="20" t="s">
        <v>5359</v>
      </c>
      <c r="V1409" s="16" t="s">
        <v>1046</v>
      </c>
      <c r="W1409" s="11" t="s">
        <v>14284</v>
      </c>
      <c r="X1409" s="174">
        <v>1346.54</v>
      </c>
      <c r="Y1409" s="174">
        <v>1842.27</v>
      </c>
    </row>
    <row r="1410" spans="1:25" ht="15" customHeight="1" x14ac:dyDescent="0.25">
      <c r="A1410" s="20" t="s">
        <v>2626</v>
      </c>
      <c r="B1410" s="14" t="s">
        <v>2627</v>
      </c>
      <c r="C1410" s="71" t="str">
        <f t="shared" si="30"/>
        <v>Product Info</v>
      </c>
      <c r="D1410" s="37" t="s">
        <v>2647</v>
      </c>
      <c r="E1410" s="143">
        <v>1</v>
      </c>
      <c r="F1410" s="12" t="s">
        <v>4992</v>
      </c>
      <c r="G1410" s="38">
        <v>2129.44</v>
      </c>
      <c r="H1410" s="38">
        <v>1810.09</v>
      </c>
      <c r="I1410" s="38">
        <v>1490.61</v>
      </c>
      <c r="J1410" s="39"/>
      <c r="K1410" s="143"/>
      <c r="L1410" s="22">
        <v>0</v>
      </c>
      <c r="M1410" s="22">
        <v>0</v>
      </c>
      <c r="N1410" s="20" t="s">
        <v>14489</v>
      </c>
      <c r="O1410" s="16">
        <v>0</v>
      </c>
      <c r="P1410" s="143">
        <v>750</v>
      </c>
      <c r="Q1410" s="121" t="s">
        <v>14285</v>
      </c>
      <c r="R1410" s="16" t="s">
        <v>8904</v>
      </c>
      <c r="S1410" s="10" t="s">
        <v>1163</v>
      </c>
      <c r="T1410" s="28" t="s">
        <v>10535</v>
      </c>
      <c r="U1410" s="20" t="s">
        <v>5359</v>
      </c>
      <c r="V1410" s="16" t="s">
        <v>2626</v>
      </c>
      <c r="W1410" s="11" t="s">
        <v>14284</v>
      </c>
      <c r="X1410" s="174">
        <v>1323.02</v>
      </c>
      <c r="Y1410" s="174">
        <v>1810.09</v>
      </c>
    </row>
    <row r="1411" spans="1:25" ht="15" customHeight="1" x14ac:dyDescent="0.25">
      <c r="A1411" s="20" t="s">
        <v>305</v>
      </c>
      <c r="B1411" s="14" t="s">
        <v>306</v>
      </c>
      <c r="C1411" s="71" t="str">
        <f t="shared" si="30"/>
        <v>Product Info</v>
      </c>
      <c r="D1411" s="37" t="s">
        <v>307</v>
      </c>
      <c r="E1411" s="143">
        <v>1</v>
      </c>
      <c r="F1411" s="12" t="s">
        <v>4992</v>
      </c>
      <c r="G1411" s="38">
        <v>1521.01</v>
      </c>
      <c r="H1411" s="38">
        <v>1292.9100000000001</v>
      </c>
      <c r="I1411" s="38">
        <v>1064.71</v>
      </c>
      <c r="J1411" s="39"/>
      <c r="K1411" s="143"/>
      <c r="L1411" s="22">
        <v>14</v>
      </c>
      <c r="M1411" s="22" t="s">
        <v>12488</v>
      </c>
      <c r="N1411" s="20" t="s">
        <v>9339</v>
      </c>
      <c r="O1411" s="16" t="s">
        <v>12608</v>
      </c>
      <c r="P1411" s="143">
        <v>750</v>
      </c>
      <c r="Q1411" s="121" t="s">
        <v>14285</v>
      </c>
      <c r="R1411" s="16" t="s">
        <v>9235</v>
      </c>
      <c r="S1411" s="10" t="s">
        <v>1163</v>
      </c>
      <c r="T1411" s="28" t="s">
        <v>10536</v>
      </c>
      <c r="U1411" s="20" t="s">
        <v>5359</v>
      </c>
      <c r="V1411" s="16" t="s">
        <v>305</v>
      </c>
      <c r="W1411" s="11" t="s">
        <v>14284</v>
      </c>
      <c r="X1411" s="174">
        <v>945</v>
      </c>
      <c r="Y1411" s="174">
        <v>1292.9100000000001</v>
      </c>
    </row>
    <row r="1412" spans="1:25" ht="15" customHeight="1" x14ac:dyDescent="0.25">
      <c r="A1412" s="20" t="s">
        <v>1054</v>
      </c>
      <c r="B1412" s="14" t="s">
        <v>3765</v>
      </c>
      <c r="C1412" s="71" t="str">
        <f t="shared" si="30"/>
        <v>Product Info</v>
      </c>
      <c r="D1412" s="37" t="s">
        <v>3790</v>
      </c>
      <c r="E1412" s="143">
        <v>1</v>
      </c>
      <c r="F1412" s="12" t="s">
        <v>4992</v>
      </c>
      <c r="G1412" s="38">
        <v>2036.64</v>
      </c>
      <c r="H1412" s="38">
        <v>1731.21</v>
      </c>
      <c r="I1412" s="38">
        <v>1425.65</v>
      </c>
      <c r="J1412" s="39"/>
      <c r="K1412" s="143"/>
      <c r="L1412" s="22">
        <v>0</v>
      </c>
      <c r="M1412" s="22">
        <v>0</v>
      </c>
      <c r="N1412" s="20" t="s">
        <v>14489</v>
      </c>
      <c r="O1412" s="16">
        <v>0</v>
      </c>
      <c r="P1412" s="143">
        <v>750</v>
      </c>
      <c r="Q1412" s="121" t="s">
        <v>14285</v>
      </c>
      <c r="R1412" s="16" t="s">
        <v>9235</v>
      </c>
      <c r="S1412" s="10" t="s">
        <v>1163</v>
      </c>
      <c r="T1412" s="28" t="s">
        <v>10537</v>
      </c>
      <c r="U1412" s="20" t="s">
        <v>5359</v>
      </c>
      <c r="V1412" s="16" t="s">
        <v>1054</v>
      </c>
      <c r="W1412" s="11" t="s">
        <v>14284</v>
      </c>
      <c r="X1412" s="174">
        <v>1265.3800000000001</v>
      </c>
      <c r="Y1412" s="174">
        <v>1731.21</v>
      </c>
    </row>
    <row r="1413" spans="1:25" ht="15" customHeight="1" x14ac:dyDescent="0.25">
      <c r="A1413" s="20" t="s">
        <v>2634</v>
      </c>
      <c r="B1413" s="14" t="s">
        <v>2635</v>
      </c>
      <c r="C1413" s="71" t="str">
        <f t="shared" si="30"/>
        <v>Product Info</v>
      </c>
      <c r="D1413" s="37" t="s">
        <v>2651</v>
      </c>
      <c r="E1413" s="143">
        <v>1</v>
      </c>
      <c r="F1413" s="12" t="s">
        <v>4992</v>
      </c>
      <c r="G1413" s="38">
        <v>2001.03</v>
      </c>
      <c r="H1413" s="38">
        <v>1700.94</v>
      </c>
      <c r="I1413" s="38">
        <v>1400.72</v>
      </c>
      <c r="J1413" s="39"/>
      <c r="K1413" s="143"/>
      <c r="L1413" s="22">
        <v>0</v>
      </c>
      <c r="M1413" s="22">
        <v>0</v>
      </c>
      <c r="N1413" s="20" t="s">
        <v>14489</v>
      </c>
      <c r="O1413" s="16">
        <v>0</v>
      </c>
      <c r="P1413" s="143">
        <v>750</v>
      </c>
      <c r="Q1413" s="121" t="s">
        <v>14285</v>
      </c>
      <c r="R1413" s="16" t="s">
        <v>8904</v>
      </c>
      <c r="S1413" s="10" t="s">
        <v>1163</v>
      </c>
      <c r="T1413" s="28" t="s">
        <v>10538</v>
      </c>
      <c r="U1413" s="20" t="s">
        <v>5359</v>
      </c>
      <c r="V1413" s="16" t="s">
        <v>2634</v>
      </c>
      <c r="W1413" s="11" t="s">
        <v>14284</v>
      </c>
      <c r="X1413" s="174">
        <v>1243.25</v>
      </c>
      <c r="Y1413" s="174">
        <v>1700.94</v>
      </c>
    </row>
    <row r="1414" spans="1:25" ht="15" customHeight="1" x14ac:dyDescent="0.25">
      <c r="A1414" s="20" t="s">
        <v>308</v>
      </c>
      <c r="B1414" s="14" t="s">
        <v>309</v>
      </c>
      <c r="C1414" s="71" t="str">
        <f t="shared" ref="C1414:C1477" si="32">HYPERLINK(T1414,U1414)</f>
        <v>Product Info</v>
      </c>
      <c r="D1414" s="37" t="s">
        <v>310</v>
      </c>
      <c r="E1414" s="143">
        <v>1</v>
      </c>
      <c r="F1414" s="12" t="s">
        <v>4992</v>
      </c>
      <c r="G1414" s="38">
        <v>1561.73</v>
      </c>
      <c r="H1414" s="38">
        <v>1327.52</v>
      </c>
      <c r="I1414" s="38">
        <v>1093.21</v>
      </c>
      <c r="J1414" s="39"/>
      <c r="K1414" s="143"/>
      <c r="L1414" s="22">
        <v>14</v>
      </c>
      <c r="M1414" s="22" t="s">
        <v>12488</v>
      </c>
      <c r="N1414" s="20" t="s">
        <v>9339</v>
      </c>
      <c r="O1414" s="16" t="s">
        <v>12608</v>
      </c>
      <c r="P1414" s="143">
        <v>750</v>
      </c>
      <c r="Q1414" s="121" t="s">
        <v>14285</v>
      </c>
      <c r="R1414" s="16" t="s">
        <v>9235</v>
      </c>
      <c r="S1414" s="10" t="s">
        <v>1163</v>
      </c>
      <c r="T1414" s="28" t="s">
        <v>10539</v>
      </c>
      <c r="U1414" s="20" t="s">
        <v>5359</v>
      </c>
      <c r="V1414" s="16" t="s">
        <v>308</v>
      </c>
      <c r="W1414" s="11" t="s">
        <v>14284</v>
      </c>
      <c r="X1414" s="174">
        <v>970.3</v>
      </c>
      <c r="Y1414" s="174">
        <v>1327.52</v>
      </c>
    </row>
    <row r="1415" spans="1:25" ht="15" customHeight="1" x14ac:dyDescent="0.25">
      <c r="A1415" s="20" t="s">
        <v>1055</v>
      </c>
      <c r="B1415" s="14" t="s">
        <v>3766</v>
      </c>
      <c r="C1415" s="71" t="str">
        <f t="shared" si="32"/>
        <v>Product Info</v>
      </c>
      <c r="D1415" s="37" t="s">
        <v>3791</v>
      </c>
      <c r="E1415" s="143">
        <v>1</v>
      </c>
      <c r="F1415" s="12" t="s">
        <v>4992</v>
      </c>
      <c r="G1415" s="38">
        <v>2091.14</v>
      </c>
      <c r="H1415" s="38">
        <v>1777.53</v>
      </c>
      <c r="I1415" s="38">
        <v>1463.8</v>
      </c>
      <c r="J1415" s="39"/>
      <c r="K1415" s="143"/>
      <c r="L1415" s="22">
        <v>0</v>
      </c>
      <c r="M1415" s="22">
        <v>0</v>
      </c>
      <c r="N1415" s="20" t="s">
        <v>14489</v>
      </c>
      <c r="O1415" s="16">
        <v>0</v>
      </c>
      <c r="P1415" s="143">
        <v>750</v>
      </c>
      <c r="Q1415" s="121" t="s">
        <v>14285</v>
      </c>
      <c r="R1415" s="16" t="s">
        <v>9235</v>
      </c>
      <c r="S1415" s="10" t="s">
        <v>1163</v>
      </c>
      <c r="T1415" s="28" t="s">
        <v>10540</v>
      </c>
      <c r="U1415" s="20" t="s">
        <v>5359</v>
      </c>
      <c r="V1415" s="16" t="s">
        <v>1055</v>
      </c>
      <c r="W1415" s="11" t="s">
        <v>14284</v>
      </c>
      <c r="X1415" s="174">
        <v>1299.24</v>
      </c>
      <c r="Y1415" s="174">
        <v>1777.53</v>
      </c>
    </row>
    <row r="1416" spans="1:25" ht="15" customHeight="1" x14ac:dyDescent="0.25">
      <c r="A1416" s="20" t="s">
        <v>2636</v>
      </c>
      <c r="B1416" s="14" t="s">
        <v>2637</v>
      </c>
      <c r="C1416" s="71" t="str">
        <f t="shared" si="32"/>
        <v>Product Info</v>
      </c>
      <c r="D1416" s="37" t="s">
        <v>2652</v>
      </c>
      <c r="E1416" s="143">
        <v>1</v>
      </c>
      <c r="F1416" s="12" t="s">
        <v>4992</v>
      </c>
      <c r="G1416" s="38">
        <v>2054.63</v>
      </c>
      <c r="H1416" s="38">
        <v>1746.5</v>
      </c>
      <c r="I1416" s="38">
        <v>1438.24</v>
      </c>
      <c r="J1416" s="39"/>
      <c r="K1416" s="143"/>
      <c r="L1416" s="22">
        <v>0</v>
      </c>
      <c r="M1416" s="22">
        <v>0</v>
      </c>
      <c r="N1416" s="20" t="s">
        <v>14489</v>
      </c>
      <c r="O1416" s="16">
        <v>0</v>
      </c>
      <c r="P1416" s="143">
        <v>750</v>
      </c>
      <c r="Q1416" s="121" t="s">
        <v>14285</v>
      </c>
      <c r="R1416" s="16" t="s">
        <v>9235</v>
      </c>
      <c r="S1416" s="10" t="s">
        <v>1163</v>
      </c>
      <c r="T1416" s="28" t="s">
        <v>10541</v>
      </c>
      <c r="U1416" s="20" t="s">
        <v>5359</v>
      </c>
      <c r="V1416" s="16" t="s">
        <v>2636</v>
      </c>
      <c r="W1416" s="11" t="s">
        <v>14284</v>
      </c>
      <c r="X1416" s="174">
        <v>1276.54</v>
      </c>
      <c r="Y1416" s="174">
        <v>1746.5</v>
      </c>
    </row>
    <row r="1417" spans="1:25" ht="15" customHeight="1" x14ac:dyDescent="0.25">
      <c r="A1417" s="20" t="s">
        <v>2620</v>
      </c>
      <c r="B1417" s="14" t="s">
        <v>2621</v>
      </c>
      <c r="C1417" s="71" t="str">
        <f t="shared" si="32"/>
        <v>Product Info</v>
      </c>
      <c r="D1417" s="37" t="s">
        <v>2644</v>
      </c>
      <c r="E1417" s="143">
        <v>1</v>
      </c>
      <c r="F1417" s="12" t="s">
        <v>4992</v>
      </c>
      <c r="G1417" s="38">
        <v>1969.34</v>
      </c>
      <c r="H1417" s="38">
        <v>1674</v>
      </c>
      <c r="I1417" s="38">
        <v>1378.54</v>
      </c>
      <c r="J1417" s="39"/>
      <c r="K1417" s="143"/>
      <c r="L1417" s="22">
        <v>0</v>
      </c>
      <c r="M1417" s="22">
        <v>0</v>
      </c>
      <c r="N1417" s="20" t="s">
        <v>14489</v>
      </c>
      <c r="O1417" s="16">
        <v>0</v>
      </c>
      <c r="P1417" s="143">
        <v>750</v>
      </c>
      <c r="Q1417" s="121" t="s">
        <v>14285</v>
      </c>
      <c r="R1417" s="16" t="s">
        <v>8904</v>
      </c>
      <c r="S1417" s="10" t="s">
        <v>1163</v>
      </c>
      <c r="T1417" s="28" t="s">
        <v>10542</v>
      </c>
      <c r="U1417" s="20" t="s">
        <v>5359</v>
      </c>
      <c r="V1417" s="16" t="s">
        <v>2620</v>
      </c>
      <c r="W1417" s="11" t="s">
        <v>14284</v>
      </c>
      <c r="X1417" s="174">
        <v>1223.56</v>
      </c>
      <c r="Y1417" s="174">
        <v>1674</v>
      </c>
    </row>
    <row r="1418" spans="1:25" ht="15" customHeight="1" x14ac:dyDescent="0.25">
      <c r="A1418" s="20" t="s">
        <v>311</v>
      </c>
      <c r="B1418" s="14" t="s">
        <v>312</v>
      </c>
      <c r="C1418" s="71" t="str">
        <f t="shared" si="32"/>
        <v>Product Info</v>
      </c>
      <c r="D1418" s="37" t="s">
        <v>313</v>
      </c>
      <c r="E1418" s="143">
        <v>1</v>
      </c>
      <c r="F1418" s="12" t="s">
        <v>4992</v>
      </c>
      <c r="G1418" s="38">
        <v>1909.44</v>
      </c>
      <c r="H1418" s="38">
        <v>1623.08</v>
      </c>
      <c r="I1418" s="38">
        <v>1336.61</v>
      </c>
      <c r="J1418" s="39"/>
      <c r="K1418" s="143"/>
      <c r="L1418" s="22">
        <v>14</v>
      </c>
      <c r="M1418" s="22" t="s">
        <v>12488</v>
      </c>
      <c r="N1418" s="20" t="s">
        <v>9339</v>
      </c>
      <c r="O1418" s="16" t="s">
        <v>12608</v>
      </c>
      <c r="P1418" s="143">
        <v>750</v>
      </c>
      <c r="Q1418" s="121" t="s">
        <v>14285</v>
      </c>
      <c r="R1418" s="16" t="s">
        <v>9235</v>
      </c>
      <c r="S1418" s="10" t="s">
        <v>1163</v>
      </c>
      <c r="T1418" s="28" t="s">
        <v>10543</v>
      </c>
      <c r="U1418" s="20" t="s">
        <v>5359</v>
      </c>
      <c r="V1418" s="16" t="s">
        <v>311</v>
      </c>
      <c r="W1418" s="11" t="s">
        <v>14284</v>
      </c>
      <c r="X1418" s="174">
        <v>1186.3399999999999</v>
      </c>
      <c r="Y1418" s="174">
        <v>1623.08</v>
      </c>
    </row>
    <row r="1419" spans="1:25" ht="15" customHeight="1" x14ac:dyDescent="0.25">
      <c r="A1419" s="20" t="s">
        <v>14229</v>
      </c>
      <c r="B1419" s="37" t="s">
        <v>14230</v>
      </c>
      <c r="C1419" s="71" t="str">
        <f t="shared" si="32"/>
        <v>Product Info</v>
      </c>
      <c r="D1419" s="37" t="s">
        <v>14884</v>
      </c>
      <c r="E1419" s="143">
        <v>0</v>
      </c>
      <c r="F1419" s="143" t="s">
        <v>4992</v>
      </c>
      <c r="G1419" s="38">
        <v>90.96</v>
      </c>
      <c r="H1419" s="38">
        <v>77.319999999999993</v>
      </c>
      <c r="I1419" s="38">
        <v>63.67</v>
      </c>
      <c r="J1419" s="39"/>
      <c r="K1419" s="143"/>
      <c r="L1419" s="22">
        <v>4</v>
      </c>
      <c r="M1419" s="22" t="s">
        <v>12488</v>
      </c>
      <c r="N1419" s="20" t="s">
        <v>12529</v>
      </c>
      <c r="O1419" s="16" t="s">
        <v>13912</v>
      </c>
      <c r="P1419" s="143">
        <v>751</v>
      </c>
      <c r="Q1419" s="121" t="s">
        <v>14285</v>
      </c>
      <c r="R1419" s="16" t="s">
        <v>8904</v>
      </c>
      <c r="S1419" s="10" t="s">
        <v>1163</v>
      </c>
      <c r="T1419" s="15" t="s">
        <v>14357</v>
      </c>
      <c r="U1419" s="47" t="s">
        <v>5359</v>
      </c>
      <c r="V1419" s="47" t="s">
        <v>14229</v>
      </c>
      <c r="W1419" s="47" t="s">
        <v>14284</v>
      </c>
      <c r="X1419" s="174">
        <v>57.3</v>
      </c>
      <c r="Y1419" s="174">
        <v>71.134399999999999</v>
      </c>
    </row>
    <row r="1420" spans="1:25" ht="15" customHeight="1" x14ac:dyDescent="0.25">
      <c r="A1420" s="20" t="s">
        <v>1040</v>
      </c>
      <c r="B1420" s="14" t="s">
        <v>3751</v>
      </c>
      <c r="C1420" s="71" t="str">
        <f t="shared" si="32"/>
        <v>Product Info</v>
      </c>
      <c r="D1420" s="37" t="s">
        <v>3776</v>
      </c>
      <c r="E1420" s="143">
        <v>1</v>
      </c>
      <c r="F1420" s="12" t="s">
        <v>4992</v>
      </c>
      <c r="G1420" s="38">
        <v>2607.89</v>
      </c>
      <c r="H1420" s="38">
        <v>2216.7800000000002</v>
      </c>
      <c r="I1420" s="38">
        <v>1825.52</v>
      </c>
      <c r="J1420" s="39"/>
      <c r="K1420" s="143"/>
      <c r="L1420" s="22">
        <v>0</v>
      </c>
      <c r="M1420" s="22">
        <v>0</v>
      </c>
      <c r="N1420" s="20" t="s">
        <v>14489</v>
      </c>
      <c r="O1420" s="16">
        <v>0</v>
      </c>
      <c r="P1420" s="143">
        <v>750</v>
      </c>
      <c r="Q1420" s="121" t="s">
        <v>14285</v>
      </c>
      <c r="R1420" s="16" t="s">
        <v>9235</v>
      </c>
      <c r="S1420" s="10" t="s">
        <v>1163</v>
      </c>
      <c r="T1420" s="28" t="s">
        <v>10544</v>
      </c>
      <c r="U1420" s="20" t="s">
        <v>5359</v>
      </c>
      <c r="V1420" s="16" t="s">
        <v>1040</v>
      </c>
      <c r="W1420" s="11" t="s">
        <v>14284</v>
      </c>
      <c r="X1420" s="174">
        <v>1620.29</v>
      </c>
      <c r="Y1420" s="174">
        <v>2216.7800000000002</v>
      </c>
    </row>
    <row r="1421" spans="1:25" ht="15" customHeight="1" x14ac:dyDescent="0.25">
      <c r="A1421" s="20" t="s">
        <v>314</v>
      </c>
      <c r="B1421" s="14" t="s">
        <v>315</v>
      </c>
      <c r="C1421" s="71" t="str">
        <f t="shared" si="32"/>
        <v>Product Info</v>
      </c>
      <c r="D1421" s="37" t="s">
        <v>316</v>
      </c>
      <c r="E1421" s="143">
        <v>1</v>
      </c>
      <c r="F1421" s="12" t="s">
        <v>4992</v>
      </c>
      <c r="G1421" s="38">
        <v>2031.11</v>
      </c>
      <c r="H1421" s="38">
        <v>1726.51</v>
      </c>
      <c r="I1421" s="38">
        <v>1421.78</v>
      </c>
      <c r="J1421" s="39"/>
      <c r="K1421" s="143"/>
      <c r="L1421" s="22">
        <v>14</v>
      </c>
      <c r="M1421" s="22" t="s">
        <v>12488</v>
      </c>
      <c r="N1421" s="20" t="s">
        <v>9339</v>
      </c>
      <c r="O1421" s="16" t="s">
        <v>12608</v>
      </c>
      <c r="P1421" s="143">
        <v>750</v>
      </c>
      <c r="Q1421" s="121" t="s">
        <v>14285</v>
      </c>
      <c r="R1421" s="16" t="s">
        <v>9235</v>
      </c>
      <c r="S1421" s="10" t="s">
        <v>1163</v>
      </c>
      <c r="T1421" s="28" t="s">
        <v>10545</v>
      </c>
      <c r="U1421" s="20" t="s">
        <v>5359</v>
      </c>
      <c r="V1421" s="16" t="s">
        <v>314</v>
      </c>
      <c r="W1421" s="11" t="s">
        <v>14284</v>
      </c>
      <c r="X1421" s="174">
        <v>1261.94</v>
      </c>
      <c r="Y1421" s="174">
        <v>1726.51</v>
      </c>
    </row>
    <row r="1422" spans="1:25" ht="15" customHeight="1" x14ac:dyDescent="0.25">
      <c r="A1422" s="20" t="s">
        <v>1047</v>
      </c>
      <c r="B1422" s="14" t="s">
        <v>3758</v>
      </c>
      <c r="C1422" s="71" t="str">
        <f t="shared" si="32"/>
        <v>Product Info</v>
      </c>
      <c r="D1422" s="37" t="s">
        <v>3783</v>
      </c>
      <c r="E1422" s="143">
        <v>1</v>
      </c>
      <c r="F1422" s="12" t="s">
        <v>4992</v>
      </c>
      <c r="G1422" s="38">
        <v>2719.69</v>
      </c>
      <c r="H1422" s="38">
        <v>2311.8200000000002</v>
      </c>
      <c r="I1422" s="38">
        <v>1903.78</v>
      </c>
      <c r="J1422" s="39"/>
      <c r="K1422" s="143"/>
      <c r="L1422" s="22">
        <v>0</v>
      </c>
      <c r="M1422" s="22">
        <v>0</v>
      </c>
      <c r="N1422" s="20" t="s">
        <v>14489</v>
      </c>
      <c r="O1422" s="16">
        <v>0</v>
      </c>
      <c r="P1422" s="143">
        <v>750</v>
      </c>
      <c r="Q1422" s="121" t="s">
        <v>14285</v>
      </c>
      <c r="R1422" s="16" t="s">
        <v>9235</v>
      </c>
      <c r="S1422" s="10" t="s">
        <v>1163</v>
      </c>
      <c r="T1422" s="28" t="s">
        <v>10546</v>
      </c>
      <c r="U1422" s="20" t="s">
        <v>5359</v>
      </c>
      <c r="V1422" s="16" t="s">
        <v>1047</v>
      </c>
      <c r="W1422" s="11" t="s">
        <v>14284</v>
      </c>
      <c r="X1422" s="174">
        <v>1689.74</v>
      </c>
      <c r="Y1422" s="174">
        <v>2311.8200000000002</v>
      </c>
    </row>
    <row r="1423" spans="1:25" ht="15" customHeight="1" x14ac:dyDescent="0.25">
      <c r="A1423" s="20" t="s">
        <v>2628</v>
      </c>
      <c r="B1423" s="14" t="s">
        <v>2629</v>
      </c>
      <c r="C1423" s="71" t="str">
        <f t="shared" si="32"/>
        <v>Product Info</v>
      </c>
      <c r="D1423" s="37" t="s">
        <v>2648</v>
      </c>
      <c r="E1423" s="143">
        <v>1</v>
      </c>
      <c r="F1423" s="12" t="s">
        <v>4992</v>
      </c>
      <c r="G1423" s="38">
        <v>2672.17</v>
      </c>
      <c r="H1423" s="38">
        <v>2271.4299999999998</v>
      </c>
      <c r="I1423" s="38">
        <v>1870.52</v>
      </c>
      <c r="J1423" s="39"/>
      <c r="K1423" s="143"/>
      <c r="L1423" s="22">
        <v>0</v>
      </c>
      <c r="M1423" s="22">
        <v>0</v>
      </c>
      <c r="N1423" s="20" t="s">
        <v>14489</v>
      </c>
      <c r="O1423" s="16">
        <v>0</v>
      </c>
      <c r="P1423" s="143">
        <v>750</v>
      </c>
      <c r="Q1423" s="121" t="s">
        <v>14285</v>
      </c>
      <c r="R1423" s="16" t="s">
        <v>9235</v>
      </c>
      <c r="S1423" s="10" t="s">
        <v>1163</v>
      </c>
      <c r="T1423" s="28" t="s">
        <v>10547</v>
      </c>
      <c r="U1423" s="20" t="s">
        <v>5359</v>
      </c>
      <c r="V1423" s="16" t="s">
        <v>2628</v>
      </c>
      <c r="W1423" s="11" t="s">
        <v>14284</v>
      </c>
      <c r="X1423" s="174">
        <v>1660.22</v>
      </c>
      <c r="Y1423" s="174">
        <v>2271.4299999999998</v>
      </c>
    </row>
    <row r="1424" spans="1:25" ht="15" customHeight="1" x14ac:dyDescent="0.25">
      <c r="A1424" s="20" t="s">
        <v>317</v>
      </c>
      <c r="B1424" s="14" t="s">
        <v>318</v>
      </c>
      <c r="C1424" s="71" t="str">
        <f t="shared" si="32"/>
        <v>Product Info</v>
      </c>
      <c r="D1424" s="37" t="s">
        <v>319</v>
      </c>
      <c r="E1424" s="143">
        <v>1</v>
      </c>
      <c r="F1424" s="12" t="s">
        <v>4992</v>
      </c>
      <c r="G1424" s="38">
        <v>2048.6999999999998</v>
      </c>
      <c r="H1424" s="38">
        <v>1741.46</v>
      </c>
      <c r="I1424" s="38">
        <v>1434.09</v>
      </c>
      <c r="J1424" s="39"/>
      <c r="K1424" s="143"/>
      <c r="L1424" s="22">
        <v>14</v>
      </c>
      <c r="M1424" s="22" t="s">
        <v>12488</v>
      </c>
      <c r="N1424" s="20" t="s">
        <v>9339</v>
      </c>
      <c r="O1424" s="16" t="s">
        <v>12608</v>
      </c>
      <c r="P1424" s="143">
        <v>750</v>
      </c>
      <c r="Q1424" s="121" t="s">
        <v>14285</v>
      </c>
      <c r="R1424" s="16" t="s">
        <v>9235</v>
      </c>
      <c r="S1424" s="10" t="s">
        <v>1163</v>
      </c>
      <c r="T1424" s="28" t="s">
        <v>10548</v>
      </c>
      <c r="U1424" s="20" t="s">
        <v>5359</v>
      </c>
      <c r="V1424" s="16" t="s">
        <v>317</v>
      </c>
      <c r="W1424" s="11" t="s">
        <v>14284</v>
      </c>
      <c r="X1424" s="174">
        <v>1272.8499999999999</v>
      </c>
      <c r="Y1424" s="174">
        <v>1741.46</v>
      </c>
    </row>
    <row r="1425" spans="1:25" ht="15" customHeight="1" x14ac:dyDescent="0.25">
      <c r="A1425" s="20" t="s">
        <v>1048</v>
      </c>
      <c r="B1425" s="14" t="s">
        <v>3759</v>
      </c>
      <c r="C1425" s="71" t="str">
        <f t="shared" si="32"/>
        <v>Product Info</v>
      </c>
      <c r="D1425" s="37" t="s">
        <v>3784</v>
      </c>
      <c r="E1425" s="143">
        <v>1</v>
      </c>
      <c r="F1425" s="12" t="s">
        <v>4992</v>
      </c>
      <c r="G1425" s="38">
        <v>2743.17</v>
      </c>
      <c r="H1425" s="38">
        <v>2331.7800000000002</v>
      </c>
      <c r="I1425" s="38">
        <v>1920.22</v>
      </c>
      <c r="J1425" s="39"/>
      <c r="K1425" s="143"/>
      <c r="L1425" s="22">
        <v>0</v>
      </c>
      <c r="M1425" s="22">
        <v>0</v>
      </c>
      <c r="N1425" s="20" t="s">
        <v>14489</v>
      </c>
      <c r="O1425" s="16">
        <v>0</v>
      </c>
      <c r="P1425" s="143">
        <v>750</v>
      </c>
      <c r="Q1425" s="121" t="s">
        <v>14285</v>
      </c>
      <c r="R1425" s="16" t="s">
        <v>9235</v>
      </c>
      <c r="S1425" s="10" t="s">
        <v>1163</v>
      </c>
      <c r="T1425" s="28" t="s">
        <v>10549</v>
      </c>
      <c r="U1425" s="20" t="s">
        <v>5359</v>
      </c>
      <c r="V1425" s="16" t="s">
        <v>1048</v>
      </c>
      <c r="W1425" s="11" t="s">
        <v>14284</v>
      </c>
      <c r="X1425" s="174">
        <v>1704.35</v>
      </c>
      <c r="Y1425" s="174">
        <v>2331.7800000000002</v>
      </c>
    </row>
    <row r="1426" spans="1:25" ht="15" customHeight="1" x14ac:dyDescent="0.25">
      <c r="A1426" s="20" t="s">
        <v>2630</v>
      </c>
      <c r="B1426" s="14" t="s">
        <v>2631</v>
      </c>
      <c r="C1426" s="71" t="str">
        <f t="shared" si="32"/>
        <v>Product Info</v>
      </c>
      <c r="D1426" s="37" t="s">
        <v>2649</v>
      </c>
      <c r="E1426" s="143">
        <v>1</v>
      </c>
      <c r="F1426" s="12" t="s">
        <v>4992</v>
      </c>
      <c r="G1426" s="38">
        <v>2695.24</v>
      </c>
      <c r="H1426" s="38">
        <v>2291.04</v>
      </c>
      <c r="I1426" s="38">
        <v>1886.67</v>
      </c>
      <c r="J1426" s="39"/>
      <c r="K1426" s="143"/>
      <c r="L1426" s="22">
        <v>0</v>
      </c>
      <c r="M1426" s="22">
        <v>0</v>
      </c>
      <c r="N1426" s="20" t="s">
        <v>14489</v>
      </c>
      <c r="O1426" s="16">
        <v>0</v>
      </c>
      <c r="P1426" s="143">
        <v>750</v>
      </c>
      <c r="Q1426" s="121" t="s">
        <v>14285</v>
      </c>
      <c r="R1426" s="16" t="s">
        <v>9235</v>
      </c>
      <c r="S1426" s="10" t="s">
        <v>1163</v>
      </c>
      <c r="T1426" s="28" t="s">
        <v>10550</v>
      </c>
      <c r="U1426" s="20" t="s">
        <v>5359</v>
      </c>
      <c r="V1426" s="16" t="s">
        <v>2630</v>
      </c>
      <c r="W1426" s="11" t="s">
        <v>14284</v>
      </c>
      <c r="X1426" s="174">
        <v>1674.57</v>
      </c>
      <c r="Y1426" s="174">
        <v>2291.04</v>
      </c>
    </row>
    <row r="1427" spans="1:25" ht="15" customHeight="1" x14ac:dyDescent="0.25">
      <c r="A1427" s="20" t="s">
        <v>320</v>
      </c>
      <c r="B1427" s="14" t="s">
        <v>321</v>
      </c>
      <c r="C1427" s="71" t="str">
        <f t="shared" si="32"/>
        <v>Product Info</v>
      </c>
      <c r="D1427" s="37" t="s">
        <v>322</v>
      </c>
      <c r="E1427" s="143">
        <v>1</v>
      </c>
      <c r="F1427" s="12" t="s">
        <v>4992</v>
      </c>
      <c r="G1427" s="38">
        <v>1943.09</v>
      </c>
      <c r="H1427" s="38">
        <v>1651.68</v>
      </c>
      <c r="I1427" s="38">
        <v>1360.16</v>
      </c>
      <c r="J1427" s="39"/>
      <c r="K1427" s="143"/>
      <c r="L1427" s="22">
        <v>14</v>
      </c>
      <c r="M1427" s="22" t="s">
        <v>12488</v>
      </c>
      <c r="N1427" s="20" t="s">
        <v>9339</v>
      </c>
      <c r="O1427" s="16" t="s">
        <v>12608</v>
      </c>
      <c r="P1427" s="143">
        <v>750</v>
      </c>
      <c r="Q1427" s="121" t="s">
        <v>14285</v>
      </c>
      <c r="R1427" s="16" t="s">
        <v>9235</v>
      </c>
      <c r="S1427" s="10" t="s">
        <v>1163</v>
      </c>
      <c r="T1427" s="28" t="s">
        <v>10551</v>
      </c>
      <c r="U1427" s="20" t="s">
        <v>5359</v>
      </c>
      <c r="V1427" s="16" t="s">
        <v>320</v>
      </c>
      <c r="W1427" s="11" t="s">
        <v>14284</v>
      </c>
      <c r="X1427" s="174">
        <v>1207.25</v>
      </c>
      <c r="Y1427" s="174">
        <v>1651.68</v>
      </c>
    </row>
    <row r="1428" spans="1:25" ht="15" customHeight="1" x14ac:dyDescent="0.25">
      <c r="A1428" s="20" t="s">
        <v>1056</v>
      </c>
      <c r="B1428" s="14" t="s">
        <v>3767</v>
      </c>
      <c r="C1428" s="71" t="str">
        <f t="shared" si="32"/>
        <v>Product Info</v>
      </c>
      <c r="D1428" s="37" t="s">
        <v>3792</v>
      </c>
      <c r="E1428" s="143">
        <v>1</v>
      </c>
      <c r="F1428" s="12" t="s">
        <v>4992</v>
      </c>
      <c r="G1428" s="38">
        <v>2601.77</v>
      </c>
      <c r="H1428" s="38">
        <v>2211.58</v>
      </c>
      <c r="I1428" s="38">
        <v>1821.24</v>
      </c>
      <c r="J1428" s="39"/>
      <c r="K1428" s="143"/>
      <c r="L1428" s="22">
        <v>0</v>
      </c>
      <c r="M1428" s="22">
        <v>0</v>
      </c>
      <c r="N1428" s="20" t="s">
        <v>14489</v>
      </c>
      <c r="O1428" s="16">
        <v>0</v>
      </c>
      <c r="P1428" s="143">
        <v>750</v>
      </c>
      <c r="Q1428" s="121" t="s">
        <v>14285</v>
      </c>
      <c r="R1428" s="16" t="s">
        <v>9235</v>
      </c>
      <c r="S1428" s="10" t="s">
        <v>1163</v>
      </c>
      <c r="T1428" s="28" t="s">
        <v>10552</v>
      </c>
      <c r="U1428" s="20" t="s">
        <v>5359</v>
      </c>
      <c r="V1428" s="16" t="s">
        <v>1056</v>
      </c>
      <c r="W1428" s="11" t="s">
        <v>14284</v>
      </c>
      <c r="X1428" s="174">
        <v>1616.49</v>
      </c>
      <c r="Y1428" s="174">
        <v>2211.58</v>
      </c>
    </row>
    <row r="1429" spans="1:25" ht="15" customHeight="1" x14ac:dyDescent="0.25">
      <c r="A1429" s="20" t="s">
        <v>2638</v>
      </c>
      <c r="B1429" s="14" t="s">
        <v>2639</v>
      </c>
      <c r="C1429" s="71" t="str">
        <f t="shared" si="32"/>
        <v>Product Info</v>
      </c>
      <c r="D1429" s="37" t="s">
        <v>2653</v>
      </c>
      <c r="E1429" s="143">
        <v>1</v>
      </c>
      <c r="F1429" s="12" t="s">
        <v>4992</v>
      </c>
      <c r="G1429" s="38">
        <v>2556.31</v>
      </c>
      <c r="H1429" s="38">
        <v>2172.94</v>
      </c>
      <c r="I1429" s="38">
        <v>1789.42</v>
      </c>
      <c r="J1429" s="39"/>
      <c r="K1429" s="143"/>
      <c r="L1429" s="22">
        <v>0</v>
      </c>
      <c r="M1429" s="22">
        <v>0</v>
      </c>
      <c r="N1429" s="20" t="s">
        <v>14489</v>
      </c>
      <c r="O1429" s="16">
        <v>0</v>
      </c>
      <c r="P1429" s="143">
        <v>750</v>
      </c>
      <c r="Q1429" s="121" t="s">
        <v>14285</v>
      </c>
      <c r="R1429" s="16" t="s">
        <v>9235</v>
      </c>
      <c r="S1429" s="10" t="s">
        <v>1163</v>
      </c>
      <c r="T1429" s="28" t="s">
        <v>10553</v>
      </c>
      <c r="U1429" s="20" t="s">
        <v>5359</v>
      </c>
      <c r="V1429" s="16" t="s">
        <v>2638</v>
      </c>
      <c r="W1429" s="11" t="s">
        <v>14284</v>
      </c>
      <c r="X1429" s="174">
        <v>1588.24</v>
      </c>
      <c r="Y1429" s="174">
        <v>2172.94</v>
      </c>
    </row>
    <row r="1430" spans="1:25" ht="15" customHeight="1" x14ac:dyDescent="0.25">
      <c r="A1430" s="20" t="s">
        <v>323</v>
      </c>
      <c r="B1430" s="14" t="s">
        <v>324</v>
      </c>
      <c r="C1430" s="71" t="str">
        <f t="shared" si="32"/>
        <v>Product Info</v>
      </c>
      <c r="D1430" s="37" t="s">
        <v>325</v>
      </c>
      <c r="E1430" s="143">
        <v>1</v>
      </c>
      <c r="F1430" s="12" t="s">
        <v>4992</v>
      </c>
      <c r="G1430" s="38">
        <v>2016.5</v>
      </c>
      <c r="H1430" s="38">
        <v>1714.09</v>
      </c>
      <c r="I1430" s="38">
        <v>1411.55</v>
      </c>
      <c r="J1430" s="39"/>
      <c r="K1430" s="143"/>
      <c r="L1430" s="22">
        <v>14</v>
      </c>
      <c r="M1430" s="22" t="s">
        <v>12488</v>
      </c>
      <c r="N1430" s="20" t="s">
        <v>9339</v>
      </c>
      <c r="O1430" s="16" t="s">
        <v>12608</v>
      </c>
      <c r="P1430" s="143">
        <v>750</v>
      </c>
      <c r="Q1430" s="121" t="s">
        <v>14285</v>
      </c>
      <c r="R1430" s="16" t="s">
        <v>9235</v>
      </c>
      <c r="S1430" s="10" t="s">
        <v>1163</v>
      </c>
      <c r="T1430" s="28" t="s">
        <v>10554</v>
      </c>
      <c r="U1430" s="20" t="s">
        <v>5359</v>
      </c>
      <c r="V1430" s="16" t="s">
        <v>323</v>
      </c>
      <c r="W1430" s="11" t="s">
        <v>14284</v>
      </c>
      <c r="X1430" s="174">
        <v>1252.8599999999999</v>
      </c>
      <c r="Y1430" s="174">
        <v>1714.09</v>
      </c>
    </row>
    <row r="1431" spans="1:25" ht="15" customHeight="1" x14ac:dyDescent="0.25">
      <c r="A1431" s="20" t="s">
        <v>1057</v>
      </c>
      <c r="B1431" s="14" t="s">
        <v>3768</v>
      </c>
      <c r="C1431" s="71" t="str">
        <f t="shared" si="32"/>
        <v>Product Info</v>
      </c>
      <c r="D1431" s="37" t="s">
        <v>3793</v>
      </c>
      <c r="E1431" s="143">
        <v>1</v>
      </c>
      <c r="F1431" s="12" t="s">
        <v>4992</v>
      </c>
      <c r="G1431" s="38">
        <v>2700.13</v>
      </c>
      <c r="H1431" s="38">
        <v>2295.19</v>
      </c>
      <c r="I1431" s="38">
        <v>1890.09</v>
      </c>
      <c r="J1431" s="39"/>
      <c r="K1431" s="143"/>
      <c r="L1431" s="22">
        <v>0</v>
      </c>
      <c r="M1431" s="22">
        <v>0</v>
      </c>
      <c r="N1431" s="20" t="s">
        <v>14489</v>
      </c>
      <c r="O1431" s="16">
        <v>0</v>
      </c>
      <c r="P1431" s="143">
        <v>750</v>
      </c>
      <c r="Q1431" s="121" t="s">
        <v>14285</v>
      </c>
      <c r="R1431" s="16" t="s">
        <v>9235</v>
      </c>
      <c r="S1431" s="10" t="s">
        <v>1163</v>
      </c>
      <c r="T1431" s="28" t="s">
        <v>10555</v>
      </c>
      <c r="U1431" s="20" t="s">
        <v>5359</v>
      </c>
      <c r="V1431" s="16" t="s">
        <v>1057</v>
      </c>
      <c r="W1431" s="11" t="s">
        <v>14284</v>
      </c>
      <c r="X1431" s="174">
        <v>1677.59</v>
      </c>
      <c r="Y1431" s="174">
        <v>2295.19</v>
      </c>
    </row>
    <row r="1432" spans="1:25" ht="15" customHeight="1" x14ac:dyDescent="0.25">
      <c r="A1432" s="20" t="s">
        <v>2640</v>
      </c>
      <c r="B1432" s="14" t="s">
        <v>2641</v>
      </c>
      <c r="C1432" s="71" t="str">
        <f t="shared" si="32"/>
        <v>Product Info</v>
      </c>
      <c r="D1432" s="37" t="s">
        <v>2654</v>
      </c>
      <c r="E1432" s="143">
        <v>1</v>
      </c>
      <c r="F1432" s="12" t="s">
        <v>4992</v>
      </c>
      <c r="G1432" s="38">
        <v>2652.97</v>
      </c>
      <c r="H1432" s="38">
        <v>2255.11</v>
      </c>
      <c r="I1432" s="38">
        <v>1857.08</v>
      </c>
      <c r="J1432" s="39"/>
      <c r="K1432" s="143"/>
      <c r="L1432" s="22">
        <v>0</v>
      </c>
      <c r="M1432" s="22">
        <v>0</v>
      </c>
      <c r="N1432" s="20" t="s">
        <v>14489</v>
      </c>
      <c r="O1432" s="16">
        <v>0</v>
      </c>
      <c r="P1432" s="143">
        <v>750</v>
      </c>
      <c r="Q1432" s="121" t="s">
        <v>14285</v>
      </c>
      <c r="R1432" s="16" t="s">
        <v>9235</v>
      </c>
      <c r="S1432" s="10" t="s">
        <v>1163</v>
      </c>
      <c r="T1432" s="28" t="s">
        <v>10556</v>
      </c>
      <c r="U1432" s="20" t="s">
        <v>5359</v>
      </c>
      <c r="V1432" s="16" t="s">
        <v>2640</v>
      </c>
      <c r="W1432" s="11" t="s">
        <v>14284</v>
      </c>
      <c r="X1432" s="174">
        <v>1648.29</v>
      </c>
      <c r="Y1432" s="174">
        <v>2255.11</v>
      </c>
    </row>
    <row r="1433" spans="1:25" ht="15" customHeight="1" x14ac:dyDescent="0.25">
      <c r="A1433" s="20" t="s">
        <v>2622</v>
      </c>
      <c r="B1433" s="14" t="s">
        <v>2623</v>
      </c>
      <c r="C1433" s="71" t="str">
        <f t="shared" si="32"/>
        <v>Product Info</v>
      </c>
      <c r="D1433" s="37" t="s">
        <v>2645</v>
      </c>
      <c r="E1433" s="143">
        <v>1</v>
      </c>
      <c r="F1433" s="12" t="s">
        <v>4992</v>
      </c>
      <c r="G1433" s="38">
        <v>2512.0700000000002</v>
      </c>
      <c r="H1433" s="38">
        <v>2135.34</v>
      </c>
      <c r="I1433" s="38">
        <v>1758.45</v>
      </c>
      <c r="J1433" s="39"/>
      <c r="K1433" s="143"/>
      <c r="L1433" s="22">
        <v>0</v>
      </c>
      <c r="M1433" s="22">
        <v>0</v>
      </c>
      <c r="N1433" s="20" t="s">
        <v>14489</v>
      </c>
      <c r="O1433" s="16">
        <v>0</v>
      </c>
      <c r="P1433" s="143">
        <v>750</v>
      </c>
      <c r="Q1433" s="121" t="s">
        <v>14285</v>
      </c>
      <c r="R1433" s="16" t="s">
        <v>9235</v>
      </c>
      <c r="S1433" s="10" t="s">
        <v>1163</v>
      </c>
      <c r="T1433" s="28" t="s">
        <v>10557</v>
      </c>
      <c r="U1433" s="20" t="s">
        <v>5359</v>
      </c>
      <c r="V1433" s="16" t="s">
        <v>2622</v>
      </c>
      <c r="W1433" s="11" t="s">
        <v>14284</v>
      </c>
      <c r="X1433" s="174">
        <v>1560.76</v>
      </c>
      <c r="Y1433" s="174">
        <v>2135.34</v>
      </c>
    </row>
    <row r="1434" spans="1:25" ht="15" customHeight="1" x14ac:dyDescent="0.25">
      <c r="A1434" s="20" t="s">
        <v>326</v>
      </c>
      <c r="B1434" s="14" t="s">
        <v>327</v>
      </c>
      <c r="C1434" s="71" t="str">
        <f t="shared" si="32"/>
        <v>Product Info</v>
      </c>
      <c r="D1434" s="37" t="s">
        <v>328</v>
      </c>
      <c r="E1434" s="143">
        <v>1</v>
      </c>
      <c r="F1434" s="12" t="s">
        <v>4992</v>
      </c>
      <c r="G1434" s="38">
        <v>2207.67</v>
      </c>
      <c r="H1434" s="38">
        <v>1876.59</v>
      </c>
      <c r="I1434" s="38">
        <v>1545.37</v>
      </c>
      <c r="J1434" s="39"/>
      <c r="K1434" s="143"/>
      <c r="L1434" s="22">
        <v>14</v>
      </c>
      <c r="M1434" s="22" t="s">
        <v>12488</v>
      </c>
      <c r="N1434" s="20" t="s">
        <v>9339</v>
      </c>
      <c r="O1434" s="16" t="s">
        <v>12608</v>
      </c>
      <c r="P1434" s="143">
        <v>750</v>
      </c>
      <c r="Q1434" s="121" t="s">
        <v>14285</v>
      </c>
      <c r="R1434" s="16" t="s">
        <v>9235</v>
      </c>
      <c r="S1434" s="10" t="s">
        <v>1163</v>
      </c>
      <c r="T1434" s="28" t="s">
        <v>10558</v>
      </c>
      <c r="U1434" s="20" t="s">
        <v>5359</v>
      </c>
      <c r="V1434" s="16" t="s">
        <v>326</v>
      </c>
      <c r="W1434" s="11" t="s">
        <v>14284</v>
      </c>
      <c r="X1434" s="174">
        <v>1371.63</v>
      </c>
      <c r="Y1434" s="174">
        <v>1876.59</v>
      </c>
    </row>
    <row r="1435" spans="1:25" ht="15" customHeight="1" x14ac:dyDescent="0.25">
      <c r="A1435" s="20" t="s">
        <v>1041</v>
      </c>
      <c r="B1435" s="14" t="s">
        <v>3752</v>
      </c>
      <c r="C1435" s="71" t="str">
        <f t="shared" si="32"/>
        <v>Product Info</v>
      </c>
      <c r="D1435" s="37" t="s">
        <v>3777</v>
      </c>
      <c r="E1435" s="143">
        <v>1</v>
      </c>
      <c r="F1435" s="12" t="s">
        <v>4992</v>
      </c>
      <c r="G1435" s="38">
        <v>2956.07</v>
      </c>
      <c r="H1435" s="38">
        <v>2512.75</v>
      </c>
      <c r="I1435" s="38">
        <v>2069.25</v>
      </c>
      <c r="J1435" s="39"/>
      <c r="K1435" s="143"/>
      <c r="L1435" s="22">
        <v>0</v>
      </c>
      <c r="M1435" s="22">
        <v>0</v>
      </c>
      <c r="N1435" s="20" t="s">
        <v>14489</v>
      </c>
      <c r="O1435" s="16">
        <v>0</v>
      </c>
      <c r="P1435" s="143">
        <v>750</v>
      </c>
      <c r="Q1435" s="121" t="s">
        <v>14285</v>
      </c>
      <c r="R1435" s="16" t="s">
        <v>9235</v>
      </c>
      <c r="S1435" s="10" t="s">
        <v>1163</v>
      </c>
      <c r="T1435" s="28" t="s">
        <v>10559</v>
      </c>
      <c r="U1435" s="20" t="s">
        <v>5359</v>
      </c>
      <c r="V1435" s="16" t="s">
        <v>1041</v>
      </c>
      <c r="W1435" s="11" t="s">
        <v>14284</v>
      </c>
      <c r="X1435" s="174">
        <v>1836.6</v>
      </c>
      <c r="Y1435" s="174">
        <v>2512.75</v>
      </c>
    </row>
    <row r="1436" spans="1:25" ht="15" customHeight="1" x14ac:dyDescent="0.25">
      <c r="A1436" s="20" t="s">
        <v>329</v>
      </c>
      <c r="B1436" s="14" t="s">
        <v>12462</v>
      </c>
      <c r="C1436" s="71" t="str">
        <f t="shared" si="32"/>
        <v>Product Info</v>
      </c>
      <c r="D1436" s="37" t="s">
        <v>330</v>
      </c>
      <c r="E1436" s="143">
        <v>1</v>
      </c>
      <c r="F1436" s="12" t="s">
        <v>4992</v>
      </c>
      <c r="G1436" s="38">
        <v>2346.9299999999998</v>
      </c>
      <c r="H1436" s="38">
        <v>1994.96</v>
      </c>
      <c r="I1436" s="38">
        <v>1642.85</v>
      </c>
      <c r="J1436" s="39"/>
      <c r="K1436" s="143"/>
      <c r="L1436" s="22">
        <v>14</v>
      </c>
      <c r="M1436" s="22" t="s">
        <v>12488</v>
      </c>
      <c r="N1436" s="20" t="s">
        <v>9339</v>
      </c>
      <c r="O1436" s="16" t="s">
        <v>12608</v>
      </c>
      <c r="P1436" s="143">
        <v>750</v>
      </c>
      <c r="Q1436" s="121" t="s">
        <v>14285</v>
      </c>
      <c r="R1436" s="16" t="s">
        <v>9235</v>
      </c>
      <c r="S1436" s="10" t="s">
        <v>1163</v>
      </c>
      <c r="T1436" s="28" t="s">
        <v>10560</v>
      </c>
      <c r="U1436" s="20" t="s">
        <v>5359</v>
      </c>
      <c r="V1436" s="16" t="s">
        <v>329</v>
      </c>
      <c r="W1436" s="11" t="s">
        <v>14284</v>
      </c>
      <c r="X1436" s="174">
        <v>1458.14</v>
      </c>
      <c r="Y1436" s="174">
        <v>1994.96</v>
      </c>
    </row>
    <row r="1437" spans="1:25" ht="15" customHeight="1" x14ac:dyDescent="0.25">
      <c r="A1437" s="20" t="s">
        <v>1049</v>
      </c>
      <c r="B1437" s="14" t="s">
        <v>3760</v>
      </c>
      <c r="C1437" s="71" t="str">
        <f t="shared" si="32"/>
        <v>Product Info</v>
      </c>
      <c r="D1437" s="37" t="s">
        <v>3785</v>
      </c>
      <c r="E1437" s="143">
        <v>0</v>
      </c>
      <c r="F1437" s="12" t="s">
        <v>4992</v>
      </c>
      <c r="G1437" s="38">
        <v>3142.5</v>
      </c>
      <c r="H1437" s="38">
        <v>2671.22</v>
      </c>
      <c r="I1437" s="38">
        <v>2199.75</v>
      </c>
      <c r="J1437" s="39"/>
      <c r="K1437" s="143"/>
      <c r="L1437" s="22">
        <v>0</v>
      </c>
      <c r="M1437" s="22">
        <v>0</v>
      </c>
      <c r="N1437" s="20" t="s">
        <v>14489</v>
      </c>
      <c r="O1437" s="16">
        <v>0</v>
      </c>
      <c r="P1437" s="143">
        <v>750</v>
      </c>
      <c r="Q1437" s="121" t="s">
        <v>14285</v>
      </c>
      <c r="R1437" s="16" t="s">
        <v>9235</v>
      </c>
      <c r="S1437" s="10" t="s">
        <v>1163</v>
      </c>
      <c r="T1437" s="28" t="s">
        <v>10561</v>
      </c>
      <c r="U1437" s="20" t="s">
        <v>5359</v>
      </c>
      <c r="V1437" s="16" t="s">
        <v>1049</v>
      </c>
      <c r="W1437" s="11" t="s">
        <v>14284</v>
      </c>
      <c r="X1437" s="174">
        <v>1952.44</v>
      </c>
      <c r="Y1437" s="174">
        <v>2671.22</v>
      </c>
    </row>
    <row r="1438" spans="1:25" ht="15" customHeight="1" x14ac:dyDescent="0.25">
      <c r="A1438" s="20" t="s">
        <v>2632</v>
      </c>
      <c r="B1438" s="14" t="s">
        <v>2633</v>
      </c>
      <c r="C1438" s="71" t="str">
        <f t="shared" si="32"/>
        <v>Product Info</v>
      </c>
      <c r="D1438" s="37" t="s">
        <v>2650</v>
      </c>
      <c r="E1438" s="143">
        <v>1</v>
      </c>
      <c r="F1438" s="12" t="s">
        <v>4992</v>
      </c>
      <c r="G1438" s="38">
        <v>3087.6</v>
      </c>
      <c r="H1438" s="38">
        <v>2624.55</v>
      </c>
      <c r="I1438" s="38">
        <v>2161.3200000000002</v>
      </c>
      <c r="J1438" s="39"/>
      <c r="K1438" s="143"/>
      <c r="L1438" s="22">
        <v>0</v>
      </c>
      <c r="M1438" s="22">
        <v>0</v>
      </c>
      <c r="N1438" s="20" t="s">
        <v>14489</v>
      </c>
      <c r="O1438" s="16">
        <v>0</v>
      </c>
      <c r="P1438" s="143">
        <v>750</v>
      </c>
      <c r="Q1438" s="121" t="s">
        <v>14285</v>
      </c>
      <c r="R1438" s="16" t="s">
        <v>9235</v>
      </c>
      <c r="S1438" s="10" t="s">
        <v>1163</v>
      </c>
      <c r="T1438" s="28" t="s">
        <v>10562</v>
      </c>
      <c r="U1438" s="20" t="s">
        <v>5359</v>
      </c>
      <c r="V1438" s="16" t="s">
        <v>2632</v>
      </c>
      <c r="W1438" s="11" t="s">
        <v>14284</v>
      </c>
      <c r="X1438" s="174">
        <v>1918.33</v>
      </c>
      <c r="Y1438" s="174">
        <v>2624.55</v>
      </c>
    </row>
    <row r="1439" spans="1:25" ht="15" customHeight="1" x14ac:dyDescent="0.25">
      <c r="A1439" s="20" t="s">
        <v>331</v>
      </c>
      <c r="B1439" s="14" t="s">
        <v>332</v>
      </c>
      <c r="C1439" s="71" t="str">
        <f t="shared" si="32"/>
        <v>Product Info</v>
      </c>
      <c r="D1439" s="37" t="s">
        <v>333</v>
      </c>
      <c r="E1439" s="143">
        <v>1</v>
      </c>
      <c r="F1439" s="12" t="s">
        <v>4992</v>
      </c>
      <c r="G1439" s="38">
        <v>2291.66</v>
      </c>
      <c r="H1439" s="38">
        <v>1947.98</v>
      </c>
      <c r="I1439" s="38">
        <v>1604.16</v>
      </c>
      <c r="J1439" s="39"/>
      <c r="K1439" s="143"/>
      <c r="L1439" s="22">
        <v>14</v>
      </c>
      <c r="M1439" s="22" t="s">
        <v>12488</v>
      </c>
      <c r="N1439" s="20" t="s">
        <v>9339</v>
      </c>
      <c r="O1439" s="16" t="s">
        <v>12608</v>
      </c>
      <c r="P1439" s="143">
        <v>750</v>
      </c>
      <c r="Q1439" s="121" t="s">
        <v>14285</v>
      </c>
      <c r="R1439" s="16" t="s">
        <v>9235</v>
      </c>
      <c r="S1439" s="10" t="s">
        <v>1163</v>
      </c>
      <c r="T1439" s="28" t="s">
        <v>10563</v>
      </c>
      <c r="U1439" s="20" t="s">
        <v>5359</v>
      </c>
      <c r="V1439" s="16" t="s">
        <v>331</v>
      </c>
      <c r="W1439" s="11" t="s">
        <v>14284</v>
      </c>
      <c r="X1439" s="174">
        <v>1423.8</v>
      </c>
      <c r="Y1439" s="174">
        <v>1947.98</v>
      </c>
    </row>
    <row r="1440" spans="1:25" ht="15" customHeight="1" x14ac:dyDescent="0.25">
      <c r="A1440" s="20" t="s">
        <v>1058</v>
      </c>
      <c r="B1440" s="14" t="s">
        <v>3769</v>
      </c>
      <c r="C1440" s="71" t="str">
        <f t="shared" si="32"/>
        <v>Product Info</v>
      </c>
      <c r="D1440" s="37" t="s">
        <v>3794</v>
      </c>
      <c r="E1440" s="143">
        <v>1</v>
      </c>
      <c r="F1440" s="12" t="s">
        <v>4992</v>
      </c>
      <c r="G1440" s="38">
        <v>3068.5</v>
      </c>
      <c r="H1440" s="38">
        <v>2608.3200000000002</v>
      </c>
      <c r="I1440" s="38">
        <v>2147.9499999999998</v>
      </c>
      <c r="J1440" s="39"/>
      <c r="K1440" s="143"/>
      <c r="L1440" s="22">
        <v>0</v>
      </c>
      <c r="M1440" s="22">
        <v>0</v>
      </c>
      <c r="N1440" s="20" t="s">
        <v>14489</v>
      </c>
      <c r="O1440" s="16">
        <v>0</v>
      </c>
      <c r="P1440" s="143">
        <v>750</v>
      </c>
      <c r="Q1440" s="121" t="s">
        <v>14285</v>
      </c>
      <c r="R1440" s="16" t="s">
        <v>9235</v>
      </c>
      <c r="S1440" s="10" t="s">
        <v>1163</v>
      </c>
      <c r="T1440" s="28" t="s">
        <v>10564</v>
      </c>
      <c r="U1440" s="20" t="s">
        <v>5359</v>
      </c>
      <c r="V1440" s="16" t="s">
        <v>1058</v>
      </c>
      <c r="W1440" s="11" t="s">
        <v>14284</v>
      </c>
      <c r="X1440" s="174">
        <v>1906.46</v>
      </c>
      <c r="Y1440" s="174">
        <v>2608.3200000000002</v>
      </c>
    </row>
    <row r="1441" spans="1:25" ht="15" customHeight="1" x14ac:dyDescent="0.25">
      <c r="A1441" s="20" t="s">
        <v>2642</v>
      </c>
      <c r="B1441" s="14" t="s">
        <v>2643</v>
      </c>
      <c r="C1441" s="71" t="str">
        <f t="shared" si="32"/>
        <v>Product Info</v>
      </c>
      <c r="D1441" s="37" t="s">
        <v>2655</v>
      </c>
      <c r="E1441" s="143">
        <v>1</v>
      </c>
      <c r="F1441" s="12" t="s">
        <v>4992</v>
      </c>
      <c r="G1441" s="38">
        <v>3014.9</v>
      </c>
      <c r="H1441" s="38">
        <v>2562.7600000000002</v>
      </c>
      <c r="I1441" s="38">
        <v>2110.4299999999998</v>
      </c>
      <c r="J1441" s="39"/>
      <c r="K1441" s="143"/>
      <c r="L1441" s="22">
        <v>0</v>
      </c>
      <c r="M1441" s="22">
        <v>0</v>
      </c>
      <c r="N1441" s="20" t="s">
        <v>14489</v>
      </c>
      <c r="O1441" s="16">
        <v>0</v>
      </c>
      <c r="P1441" s="143">
        <v>750</v>
      </c>
      <c r="Q1441" s="121" t="s">
        <v>14285</v>
      </c>
      <c r="R1441" s="16" t="s">
        <v>9235</v>
      </c>
      <c r="S1441" s="10" t="s">
        <v>1163</v>
      </c>
      <c r="T1441" s="28" t="s">
        <v>10565</v>
      </c>
      <c r="U1441" s="20" t="s">
        <v>5359</v>
      </c>
      <c r="V1441" s="16" t="s">
        <v>2642</v>
      </c>
      <c r="W1441" s="11" t="s">
        <v>14284</v>
      </c>
      <c r="X1441" s="174">
        <v>1873.16</v>
      </c>
      <c r="Y1441" s="174">
        <v>2562.7600000000002</v>
      </c>
    </row>
    <row r="1442" spans="1:25" ht="15" customHeight="1" x14ac:dyDescent="0.25">
      <c r="A1442" s="20" t="s">
        <v>2624</v>
      </c>
      <c r="B1442" s="14" t="s">
        <v>2625</v>
      </c>
      <c r="C1442" s="71" t="str">
        <f t="shared" si="32"/>
        <v>Product Info</v>
      </c>
      <c r="D1442" s="37" t="s">
        <v>2646</v>
      </c>
      <c r="E1442" s="143">
        <v>1</v>
      </c>
      <c r="F1442" s="12" t="s">
        <v>4992</v>
      </c>
      <c r="G1442" s="38">
        <v>2904.44</v>
      </c>
      <c r="H1442" s="38">
        <v>2468.86</v>
      </c>
      <c r="I1442" s="38">
        <v>2033.11</v>
      </c>
      <c r="J1442" s="39"/>
      <c r="K1442" s="143"/>
      <c r="L1442" s="22">
        <v>0</v>
      </c>
      <c r="M1442" s="22">
        <v>0</v>
      </c>
      <c r="N1442" s="20" t="s">
        <v>14489</v>
      </c>
      <c r="O1442" s="16">
        <v>0</v>
      </c>
      <c r="P1442" s="143">
        <v>750</v>
      </c>
      <c r="Q1442" s="121" t="s">
        <v>14285</v>
      </c>
      <c r="R1442" s="16" t="s">
        <v>9235</v>
      </c>
      <c r="S1442" s="10" t="s">
        <v>1163</v>
      </c>
      <c r="T1442" s="28" t="s">
        <v>10566</v>
      </c>
      <c r="U1442" s="20" t="s">
        <v>5359</v>
      </c>
      <c r="V1442" s="16" t="s">
        <v>2624</v>
      </c>
      <c r="W1442" s="11" t="s">
        <v>14284</v>
      </c>
      <c r="X1442" s="174">
        <v>1804.53</v>
      </c>
      <c r="Y1442" s="174">
        <v>2468.86</v>
      </c>
    </row>
    <row r="1443" spans="1:25" ht="15" customHeight="1" x14ac:dyDescent="0.25">
      <c r="A1443" s="20" t="s">
        <v>334</v>
      </c>
      <c r="B1443" s="14" t="s">
        <v>335</v>
      </c>
      <c r="C1443" s="71" t="str">
        <f t="shared" si="32"/>
        <v>Product Info</v>
      </c>
      <c r="D1443" s="37" t="s">
        <v>336</v>
      </c>
      <c r="E1443" s="143">
        <v>1</v>
      </c>
      <c r="F1443" s="12" t="s">
        <v>4992</v>
      </c>
      <c r="G1443" s="38">
        <v>2694.43</v>
      </c>
      <c r="H1443" s="38">
        <v>2290.35</v>
      </c>
      <c r="I1443" s="38">
        <v>1886.1</v>
      </c>
      <c r="J1443" s="39"/>
      <c r="K1443" s="143"/>
      <c r="L1443" s="22">
        <v>14</v>
      </c>
      <c r="M1443" s="22" t="s">
        <v>12488</v>
      </c>
      <c r="N1443" s="20" t="s">
        <v>9339</v>
      </c>
      <c r="O1443" s="16" t="s">
        <v>12608</v>
      </c>
      <c r="P1443" s="143">
        <v>750</v>
      </c>
      <c r="Q1443" s="121" t="s">
        <v>14285</v>
      </c>
      <c r="R1443" s="16" t="s">
        <v>9235</v>
      </c>
      <c r="S1443" s="10" t="s">
        <v>1163</v>
      </c>
      <c r="T1443" s="28" t="s">
        <v>10567</v>
      </c>
      <c r="U1443" s="20" t="s">
        <v>5359</v>
      </c>
      <c r="V1443" s="16" t="s">
        <v>334</v>
      </c>
      <c r="W1443" s="11" t="s">
        <v>14284</v>
      </c>
      <c r="X1443" s="174">
        <v>1674.06</v>
      </c>
      <c r="Y1443" s="174">
        <v>2290.35</v>
      </c>
    </row>
    <row r="1444" spans="1:25" ht="15" customHeight="1" x14ac:dyDescent="0.25">
      <c r="A1444" s="20" t="s">
        <v>1042</v>
      </c>
      <c r="B1444" s="14" t="s">
        <v>3753</v>
      </c>
      <c r="C1444" s="71" t="str">
        <f t="shared" si="32"/>
        <v>Product Info</v>
      </c>
      <c r="D1444" s="37" t="s">
        <v>3778</v>
      </c>
      <c r="E1444" s="143">
        <v>1</v>
      </c>
      <c r="F1444" s="12" t="s">
        <v>4992</v>
      </c>
      <c r="G1444" s="38">
        <v>3607.86</v>
      </c>
      <c r="H1444" s="38">
        <v>3066.79</v>
      </c>
      <c r="I1444" s="38">
        <v>2525.5</v>
      </c>
      <c r="J1444" s="39"/>
      <c r="K1444" s="143"/>
      <c r="L1444" s="22">
        <v>0</v>
      </c>
      <c r="M1444" s="22">
        <v>0</v>
      </c>
      <c r="N1444" s="20" t="s">
        <v>14489</v>
      </c>
      <c r="O1444" s="16">
        <v>0</v>
      </c>
      <c r="P1444" s="143">
        <v>750</v>
      </c>
      <c r="Q1444" s="121" t="s">
        <v>14285</v>
      </c>
      <c r="R1444" s="16" t="s">
        <v>9235</v>
      </c>
      <c r="S1444" s="10" t="s">
        <v>1163</v>
      </c>
      <c r="T1444" s="28" t="s">
        <v>10568</v>
      </c>
      <c r="U1444" s="20" t="s">
        <v>5359</v>
      </c>
      <c r="V1444" s="16" t="s">
        <v>1042</v>
      </c>
      <c r="W1444" s="11" t="s">
        <v>14284</v>
      </c>
      <c r="X1444" s="174">
        <v>2241.5700000000002</v>
      </c>
      <c r="Y1444" s="174">
        <v>3066.79</v>
      </c>
    </row>
    <row r="1445" spans="1:25" ht="15" customHeight="1" x14ac:dyDescent="0.25">
      <c r="A1445" s="20" t="s">
        <v>337</v>
      </c>
      <c r="B1445" s="14" t="s">
        <v>338</v>
      </c>
      <c r="C1445" s="71" t="str">
        <f t="shared" si="32"/>
        <v>Product Info</v>
      </c>
      <c r="D1445" s="37" t="s">
        <v>339</v>
      </c>
      <c r="E1445" s="143">
        <v>1</v>
      </c>
      <c r="F1445" s="12" t="s">
        <v>4992</v>
      </c>
      <c r="G1445" s="38">
        <v>2816.11</v>
      </c>
      <c r="H1445" s="38">
        <v>2393.7800000000002</v>
      </c>
      <c r="I1445" s="38">
        <v>1971.28</v>
      </c>
      <c r="J1445" s="39"/>
      <c r="K1445" s="143"/>
      <c r="L1445" s="22">
        <v>14</v>
      </c>
      <c r="M1445" s="22" t="s">
        <v>12488</v>
      </c>
      <c r="N1445" s="20" t="s">
        <v>9339</v>
      </c>
      <c r="O1445" s="16" t="s">
        <v>12608</v>
      </c>
      <c r="P1445" s="143">
        <v>750</v>
      </c>
      <c r="Q1445" s="121" t="s">
        <v>14285</v>
      </c>
      <c r="R1445" s="16" t="s">
        <v>9235</v>
      </c>
      <c r="S1445" s="10" t="s">
        <v>1163</v>
      </c>
      <c r="T1445" s="28" t="s">
        <v>10569</v>
      </c>
      <c r="U1445" s="20" t="s">
        <v>5359</v>
      </c>
      <c r="V1445" s="16" t="s">
        <v>337</v>
      </c>
      <c r="W1445" s="11" t="s">
        <v>14284</v>
      </c>
      <c r="X1445" s="174">
        <v>1749.66</v>
      </c>
      <c r="Y1445" s="174">
        <v>2393.7800000000002</v>
      </c>
    </row>
    <row r="1446" spans="1:25" ht="15" customHeight="1" x14ac:dyDescent="0.25">
      <c r="A1446" s="20" t="s">
        <v>1050</v>
      </c>
      <c r="B1446" s="14" t="s">
        <v>3761</v>
      </c>
      <c r="C1446" s="71" t="str">
        <f t="shared" si="32"/>
        <v>Product Info</v>
      </c>
      <c r="D1446" s="37" t="s">
        <v>3786</v>
      </c>
      <c r="E1446" s="143">
        <v>1</v>
      </c>
      <c r="F1446" s="12" t="s">
        <v>4992</v>
      </c>
      <c r="G1446" s="38">
        <v>3770.79</v>
      </c>
      <c r="H1446" s="38">
        <v>3205.28</v>
      </c>
      <c r="I1446" s="38">
        <v>2639.55</v>
      </c>
      <c r="J1446" s="39"/>
      <c r="K1446" s="143"/>
      <c r="L1446" s="22">
        <v>0</v>
      </c>
      <c r="M1446" s="22">
        <v>0</v>
      </c>
      <c r="N1446" s="20" t="s">
        <v>14489</v>
      </c>
      <c r="O1446" s="16">
        <v>0</v>
      </c>
      <c r="P1446" s="143">
        <v>750</v>
      </c>
      <c r="Q1446" s="121" t="s">
        <v>14285</v>
      </c>
      <c r="R1446" s="16" t="s">
        <v>9235</v>
      </c>
      <c r="S1446" s="10" t="s">
        <v>1163</v>
      </c>
      <c r="T1446" s="28" t="s">
        <v>10570</v>
      </c>
      <c r="U1446" s="20" t="s">
        <v>5359</v>
      </c>
      <c r="V1446" s="16" t="s">
        <v>1050</v>
      </c>
      <c r="W1446" s="11" t="s">
        <v>14284</v>
      </c>
      <c r="X1446" s="174">
        <v>2342.79</v>
      </c>
      <c r="Y1446" s="174">
        <v>3205.28</v>
      </c>
    </row>
    <row r="1447" spans="1:25" ht="15" customHeight="1" x14ac:dyDescent="0.25">
      <c r="A1447" s="20" t="s">
        <v>340</v>
      </c>
      <c r="B1447" s="14" t="s">
        <v>341</v>
      </c>
      <c r="C1447" s="71" t="str">
        <f t="shared" si="32"/>
        <v>Product Info</v>
      </c>
      <c r="D1447" s="37" t="s">
        <v>342</v>
      </c>
      <c r="E1447" s="143">
        <v>1</v>
      </c>
      <c r="F1447" s="12" t="s">
        <v>4992</v>
      </c>
      <c r="G1447" s="38">
        <v>2759.26</v>
      </c>
      <c r="H1447" s="38">
        <v>2345.4499999999998</v>
      </c>
      <c r="I1447" s="38">
        <v>1931.48</v>
      </c>
      <c r="J1447" s="39"/>
      <c r="K1447" s="143"/>
      <c r="L1447" s="22">
        <v>14</v>
      </c>
      <c r="M1447" s="22" t="s">
        <v>12488</v>
      </c>
      <c r="N1447" s="20" t="s">
        <v>9339</v>
      </c>
      <c r="O1447" s="16" t="s">
        <v>12608</v>
      </c>
      <c r="P1447" s="143">
        <v>750</v>
      </c>
      <c r="Q1447" s="121" t="s">
        <v>14285</v>
      </c>
      <c r="R1447" s="16" t="s">
        <v>9235</v>
      </c>
      <c r="S1447" s="10" t="s">
        <v>1163</v>
      </c>
      <c r="T1447" s="28" t="s">
        <v>10571</v>
      </c>
      <c r="U1447" s="20" t="s">
        <v>5359</v>
      </c>
      <c r="V1447" s="16" t="s">
        <v>340</v>
      </c>
      <c r="W1447" s="11" t="s">
        <v>14284</v>
      </c>
      <c r="X1447" s="174">
        <v>1714.33</v>
      </c>
      <c r="Y1447" s="174">
        <v>2345.4499999999998</v>
      </c>
    </row>
    <row r="1448" spans="1:25" ht="15" customHeight="1" x14ac:dyDescent="0.25">
      <c r="A1448" s="20" t="s">
        <v>1059</v>
      </c>
      <c r="B1448" s="14" t="s">
        <v>3770</v>
      </c>
      <c r="C1448" s="71" t="str">
        <f t="shared" si="32"/>
        <v>Product Info</v>
      </c>
      <c r="D1448" s="37" t="s">
        <v>3795</v>
      </c>
      <c r="E1448" s="143">
        <v>1</v>
      </c>
      <c r="F1448" s="12" t="s">
        <v>4992</v>
      </c>
      <c r="G1448" s="38">
        <v>3694.66</v>
      </c>
      <c r="H1448" s="38">
        <v>3140.57</v>
      </c>
      <c r="I1448" s="38">
        <v>2586.2600000000002</v>
      </c>
      <c r="J1448" s="39"/>
      <c r="K1448" s="143"/>
      <c r="L1448" s="22">
        <v>0</v>
      </c>
      <c r="M1448" s="22">
        <v>0</v>
      </c>
      <c r="N1448" s="20" t="s">
        <v>14489</v>
      </c>
      <c r="O1448" s="16">
        <v>0</v>
      </c>
      <c r="P1448" s="143">
        <v>750</v>
      </c>
      <c r="Q1448" s="121" t="s">
        <v>14285</v>
      </c>
      <c r="R1448" s="16" t="s">
        <v>9235</v>
      </c>
      <c r="S1448" s="10" t="s">
        <v>1163</v>
      </c>
      <c r="T1448" s="28" t="s">
        <v>10572</v>
      </c>
      <c r="U1448" s="20" t="s">
        <v>5359</v>
      </c>
      <c r="V1448" s="16" t="s">
        <v>1059</v>
      </c>
      <c r="W1448" s="11" t="s">
        <v>14284</v>
      </c>
      <c r="X1448" s="174">
        <v>2295.4899999999998</v>
      </c>
      <c r="Y1448" s="174">
        <v>3140.57</v>
      </c>
    </row>
    <row r="1449" spans="1:25" ht="15" customHeight="1" x14ac:dyDescent="0.25">
      <c r="A1449" s="20" t="s">
        <v>343</v>
      </c>
      <c r="B1449" s="14" t="s">
        <v>344</v>
      </c>
      <c r="C1449" s="71" t="str">
        <f t="shared" si="32"/>
        <v>Product Info</v>
      </c>
      <c r="D1449" s="37" t="s">
        <v>345</v>
      </c>
      <c r="E1449" s="143">
        <v>1</v>
      </c>
      <c r="F1449" s="12" t="s">
        <v>4992</v>
      </c>
      <c r="G1449" s="38">
        <v>2728.09</v>
      </c>
      <c r="H1449" s="38">
        <v>2318.96</v>
      </c>
      <c r="I1449" s="38">
        <v>1909.66</v>
      </c>
      <c r="J1449" s="39"/>
      <c r="K1449" s="143"/>
      <c r="L1449" s="22">
        <v>14</v>
      </c>
      <c r="M1449" s="22" t="s">
        <v>12488</v>
      </c>
      <c r="N1449" s="20" t="s">
        <v>9339</v>
      </c>
      <c r="O1449" s="16" t="s">
        <v>12608</v>
      </c>
      <c r="P1449" s="143">
        <v>750</v>
      </c>
      <c r="Q1449" s="121" t="s">
        <v>14285</v>
      </c>
      <c r="R1449" s="16" t="s">
        <v>9235</v>
      </c>
      <c r="S1449" s="10" t="s">
        <v>1163</v>
      </c>
      <c r="T1449" s="28" t="s">
        <v>10573</v>
      </c>
      <c r="U1449" s="20" t="s">
        <v>5359</v>
      </c>
      <c r="V1449" s="16" t="s">
        <v>343</v>
      </c>
      <c r="W1449" s="11" t="s">
        <v>14284</v>
      </c>
      <c r="X1449" s="174">
        <v>1694.97</v>
      </c>
      <c r="Y1449" s="174">
        <v>2318.96</v>
      </c>
    </row>
    <row r="1450" spans="1:25" ht="15" customHeight="1" x14ac:dyDescent="0.25">
      <c r="A1450" s="20" t="s">
        <v>1060</v>
      </c>
      <c r="B1450" s="14" t="s">
        <v>3771</v>
      </c>
      <c r="C1450" s="71" t="str">
        <f t="shared" si="32"/>
        <v>Product Info</v>
      </c>
      <c r="D1450" s="37" t="s">
        <v>3796</v>
      </c>
      <c r="E1450" s="143">
        <v>1</v>
      </c>
      <c r="F1450" s="12" t="s">
        <v>4992</v>
      </c>
      <c r="G1450" s="38">
        <v>3652.89</v>
      </c>
      <c r="H1450" s="38">
        <v>3105.06</v>
      </c>
      <c r="I1450" s="38">
        <v>2557.02</v>
      </c>
      <c r="J1450" s="39"/>
      <c r="K1450" s="143"/>
      <c r="L1450" s="22">
        <v>0</v>
      </c>
      <c r="M1450" s="22">
        <v>0</v>
      </c>
      <c r="N1450" s="20" t="s">
        <v>14489</v>
      </c>
      <c r="O1450" s="16">
        <v>0</v>
      </c>
      <c r="P1450" s="143">
        <v>750</v>
      </c>
      <c r="Q1450" s="121" t="s">
        <v>14285</v>
      </c>
      <c r="R1450" s="16" t="s">
        <v>9235</v>
      </c>
      <c r="S1450" s="10" t="s">
        <v>1163</v>
      </c>
      <c r="T1450" s="28" t="s">
        <v>10574</v>
      </c>
      <c r="U1450" s="20" t="s">
        <v>5359</v>
      </c>
      <c r="V1450" s="16" t="s">
        <v>1060</v>
      </c>
      <c r="W1450" s="11" t="s">
        <v>14284</v>
      </c>
      <c r="X1450" s="174">
        <v>2269.5500000000002</v>
      </c>
      <c r="Y1450" s="174">
        <v>3105.06</v>
      </c>
    </row>
    <row r="1451" spans="1:25" ht="15" customHeight="1" x14ac:dyDescent="0.25">
      <c r="A1451" s="20" t="s">
        <v>346</v>
      </c>
      <c r="B1451" s="14" t="s">
        <v>347</v>
      </c>
      <c r="C1451" s="71" t="str">
        <f t="shared" si="32"/>
        <v>Product Info</v>
      </c>
      <c r="D1451" s="37" t="s">
        <v>348</v>
      </c>
      <c r="E1451" s="143">
        <v>1</v>
      </c>
      <c r="F1451" s="12" t="s">
        <v>4992</v>
      </c>
      <c r="G1451" s="38">
        <v>3437.03</v>
      </c>
      <c r="H1451" s="38">
        <v>2921.58</v>
      </c>
      <c r="I1451" s="38">
        <v>2405.92</v>
      </c>
      <c r="J1451" s="39"/>
      <c r="K1451" s="143"/>
      <c r="L1451" s="22">
        <v>14</v>
      </c>
      <c r="M1451" s="22" t="s">
        <v>12488</v>
      </c>
      <c r="N1451" s="20" t="s">
        <v>9339</v>
      </c>
      <c r="O1451" s="16" t="s">
        <v>12608</v>
      </c>
      <c r="P1451" s="143">
        <v>750</v>
      </c>
      <c r="Q1451" s="121" t="s">
        <v>14285</v>
      </c>
      <c r="R1451" s="16" t="s">
        <v>9235</v>
      </c>
      <c r="S1451" s="10" t="s">
        <v>1163</v>
      </c>
      <c r="T1451" s="28" t="s">
        <v>10575</v>
      </c>
      <c r="U1451" s="20" t="s">
        <v>5359</v>
      </c>
      <c r="V1451" s="16" t="s">
        <v>346</v>
      </c>
      <c r="W1451" s="11" t="s">
        <v>14284</v>
      </c>
      <c r="X1451" s="174">
        <v>2135.42</v>
      </c>
      <c r="Y1451" s="174">
        <v>2921.58</v>
      </c>
    </row>
    <row r="1452" spans="1:25" ht="15" customHeight="1" x14ac:dyDescent="0.25">
      <c r="A1452" s="20" t="s">
        <v>1043</v>
      </c>
      <c r="B1452" s="14" t="s">
        <v>3754</v>
      </c>
      <c r="C1452" s="71" t="str">
        <f t="shared" si="32"/>
        <v>Product Info</v>
      </c>
      <c r="D1452" s="37" t="s">
        <v>3779</v>
      </c>
      <c r="E1452" s="143">
        <v>1</v>
      </c>
      <c r="F1452" s="12" t="s">
        <v>4992</v>
      </c>
      <c r="G1452" s="38">
        <v>4602.17</v>
      </c>
      <c r="H1452" s="38">
        <v>3911.99</v>
      </c>
      <c r="I1452" s="38">
        <v>3221.52</v>
      </c>
      <c r="J1452" s="39"/>
      <c r="K1452" s="143"/>
      <c r="L1452" s="22">
        <v>0</v>
      </c>
      <c r="M1452" s="22">
        <v>0</v>
      </c>
      <c r="N1452" s="20" t="s">
        <v>14489</v>
      </c>
      <c r="O1452" s="16">
        <v>0</v>
      </c>
      <c r="P1452" s="143">
        <v>750</v>
      </c>
      <c r="Q1452" s="121" t="s">
        <v>14285</v>
      </c>
      <c r="R1452" s="16" t="s">
        <v>9235</v>
      </c>
      <c r="S1452" s="10" t="s">
        <v>1163</v>
      </c>
      <c r="T1452" s="28" t="s">
        <v>10576</v>
      </c>
      <c r="U1452" s="20" t="s">
        <v>5359</v>
      </c>
      <c r="V1452" s="16" t="s">
        <v>1043</v>
      </c>
      <c r="W1452" s="11" t="s">
        <v>14284</v>
      </c>
      <c r="X1452" s="174">
        <v>2859.34</v>
      </c>
      <c r="Y1452" s="174">
        <v>3911.99</v>
      </c>
    </row>
    <row r="1453" spans="1:25" ht="15" customHeight="1" x14ac:dyDescent="0.25">
      <c r="A1453" s="20" t="s">
        <v>349</v>
      </c>
      <c r="B1453" s="14" t="s">
        <v>350</v>
      </c>
      <c r="C1453" s="71" t="str">
        <f t="shared" si="32"/>
        <v>Product Info</v>
      </c>
      <c r="D1453" s="37" t="s">
        <v>351</v>
      </c>
      <c r="E1453" s="143">
        <v>1</v>
      </c>
      <c r="F1453" s="12" t="s">
        <v>4992</v>
      </c>
      <c r="G1453" s="38">
        <v>3576.26</v>
      </c>
      <c r="H1453" s="38">
        <v>3039.93</v>
      </c>
      <c r="I1453" s="38">
        <v>2503.38</v>
      </c>
      <c r="J1453" s="39"/>
      <c r="K1453" s="143"/>
      <c r="L1453" s="22">
        <v>14</v>
      </c>
      <c r="M1453" s="22" t="s">
        <v>12488</v>
      </c>
      <c r="N1453" s="20" t="s">
        <v>9339</v>
      </c>
      <c r="O1453" s="16" t="s">
        <v>12608</v>
      </c>
      <c r="P1453" s="143">
        <v>750</v>
      </c>
      <c r="Q1453" s="121" t="s">
        <v>14285</v>
      </c>
      <c r="R1453" s="16" t="s">
        <v>9235</v>
      </c>
      <c r="S1453" s="10" t="s">
        <v>1163</v>
      </c>
      <c r="T1453" s="28" t="s">
        <v>10577</v>
      </c>
      <c r="U1453" s="20" t="s">
        <v>5359</v>
      </c>
      <c r="V1453" s="16" t="s">
        <v>349</v>
      </c>
      <c r="W1453" s="11" t="s">
        <v>14284</v>
      </c>
      <c r="X1453" s="174">
        <v>2221.94</v>
      </c>
      <c r="Y1453" s="174">
        <v>3039.93</v>
      </c>
    </row>
    <row r="1454" spans="1:25" ht="15" customHeight="1" x14ac:dyDescent="0.25">
      <c r="A1454" s="20" t="s">
        <v>1051</v>
      </c>
      <c r="B1454" s="14" t="s">
        <v>3762</v>
      </c>
      <c r="C1454" s="71" t="str">
        <f t="shared" si="32"/>
        <v>Product Info</v>
      </c>
      <c r="D1454" s="37" t="s">
        <v>3787</v>
      </c>
      <c r="E1454" s="143">
        <v>1</v>
      </c>
      <c r="F1454" s="12" t="s">
        <v>4992</v>
      </c>
      <c r="G1454" s="38">
        <v>4788.6000000000004</v>
      </c>
      <c r="H1454" s="38">
        <v>4070.46</v>
      </c>
      <c r="I1454" s="38">
        <v>3352.02</v>
      </c>
      <c r="J1454" s="39"/>
      <c r="K1454" s="143"/>
      <c r="L1454" s="22">
        <v>0</v>
      </c>
      <c r="M1454" s="22">
        <v>0</v>
      </c>
      <c r="N1454" s="20" t="s">
        <v>14489</v>
      </c>
      <c r="O1454" s="16">
        <v>0</v>
      </c>
      <c r="P1454" s="143">
        <v>750</v>
      </c>
      <c r="Q1454" s="121" t="s">
        <v>14285</v>
      </c>
      <c r="R1454" s="16" t="s">
        <v>9235</v>
      </c>
      <c r="S1454" s="10" t="s">
        <v>1163</v>
      </c>
      <c r="T1454" s="28" t="s">
        <v>10578</v>
      </c>
      <c r="U1454" s="20" t="s">
        <v>5359</v>
      </c>
      <c r="V1454" s="16" t="s">
        <v>1051</v>
      </c>
      <c r="W1454" s="11" t="s">
        <v>14284</v>
      </c>
      <c r="X1454" s="174">
        <v>2975.16</v>
      </c>
      <c r="Y1454" s="174">
        <v>4070.46</v>
      </c>
    </row>
    <row r="1455" spans="1:25" ht="15" customHeight="1" x14ac:dyDescent="0.25">
      <c r="A1455" s="20" t="s">
        <v>352</v>
      </c>
      <c r="B1455" s="14" t="s">
        <v>353</v>
      </c>
      <c r="C1455" s="71" t="str">
        <f t="shared" si="32"/>
        <v>Product Info</v>
      </c>
      <c r="D1455" s="37" t="s">
        <v>354</v>
      </c>
      <c r="E1455" s="143">
        <v>1</v>
      </c>
      <c r="F1455" s="12" t="s">
        <v>4992</v>
      </c>
      <c r="G1455" s="38">
        <v>3520.99</v>
      </c>
      <c r="H1455" s="38">
        <v>2992.94</v>
      </c>
      <c r="I1455" s="38">
        <v>2464.69</v>
      </c>
      <c r="J1455" s="39"/>
      <c r="K1455" s="143"/>
      <c r="L1455" s="22">
        <v>14</v>
      </c>
      <c r="M1455" s="22" t="s">
        <v>12488</v>
      </c>
      <c r="N1455" s="20" t="s">
        <v>9339</v>
      </c>
      <c r="O1455" s="16" t="s">
        <v>12608</v>
      </c>
      <c r="P1455" s="143">
        <v>750</v>
      </c>
      <c r="Q1455" s="121" t="s">
        <v>14285</v>
      </c>
      <c r="R1455" s="16" t="s">
        <v>9235</v>
      </c>
      <c r="S1455" s="10" t="s">
        <v>1163</v>
      </c>
      <c r="T1455" s="28" t="s">
        <v>10579</v>
      </c>
      <c r="U1455" s="20" t="s">
        <v>5359</v>
      </c>
      <c r="V1455" s="16" t="s">
        <v>352</v>
      </c>
      <c r="W1455" s="11" t="s">
        <v>14284</v>
      </c>
      <c r="X1455" s="174">
        <v>2187.59</v>
      </c>
      <c r="Y1455" s="174">
        <v>2992.94</v>
      </c>
    </row>
    <row r="1456" spans="1:25" ht="15" customHeight="1" x14ac:dyDescent="0.25">
      <c r="A1456" s="20" t="s">
        <v>1061</v>
      </c>
      <c r="B1456" s="14" t="s">
        <v>3772</v>
      </c>
      <c r="C1456" s="71" t="str">
        <f t="shared" si="32"/>
        <v>Product Info</v>
      </c>
      <c r="D1456" s="37" t="s">
        <v>3797</v>
      </c>
      <c r="E1456" s="143">
        <v>1</v>
      </c>
      <c r="F1456" s="12" t="s">
        <v>4992</v>
      </c>
      <c r="G1456" s="38">
        <v>4714.6000000000004</v>
      </c>
      <c r="H1456" s="38">
        <v>4007.55</v>
      </c>
      <c r="I1456" s="38">
        <v>3300.22</v>
      </c>
      <c r="J1456" s="39"/>
      <c r="K1456" s="143"/>
      <c r="L1456" s="22">
        <v>0</v>
      </c>
      <c r="M1456" s="22" t="s">
        <v>14396</v>
      </c>
      <c r="N1456" s="20" t="s">
        <v>14489</v>
      </c>
      <c r="O1456" s="16" t="s">
        <v>13914</v>
      </c>
      <c r="P1456" s="143">
        <v>750</v>
      </c>
      <c r="Q1456" s="121" t="s">
        <v>14285</v>
      </c>
      <c r="R1456" s="16" t="s">
        <v>9235</v>
      </c>
      <c r="S1456" s="10" t="s">
        <v>1163</v>
      </c>
      <c r="T1456" s="28" t="s">
        <v>10580</v>
      </c>
      <c r="U1456" s="20" t="s">
        <v>5359</v>
      </c>
      <c r="V1456" s="16" t="s">
        <v>1061</v>
      </c>
      <c r="W1456" s="11" t="s">
        <v>14284</v>
      </c>
      <c r="X1456" s="174">
        <v>2929.19</v>
      </c>
      <c r="Y1456" s="174">
        <v>4007.55</v>
      </c>
    </row>
    <row r="1457" spans="1:25" ht="15" customHeight="1" x14ac:dyDescent="0.25">
      <c r="A1457" s="20" t="s">
        <v>355</v>
      </c>
      <c r="B1457" s="14" t="s">
        <v>356</v>
      </c>
      <c r="C1457" s="71" t="str">
        <f t="shared" si="32"/>
        <v>Product Info</v>
      </c>
      <c r="D1457" s="37" t="s">
        <v>357</v>
      </c>
      <c r="E1457" s="143">
        <v>1</v>
      </c>
      <c r="F1457" s="12" t="s">
        <v>4992</v>
      </c>
      <c r="G1457" s="38">
        <v>4041.66</v>
      </c>
      <c r="H1457" s="38">
        <v>3435.53</v>
      </c>
      <c r="I1457" s="38">
        <v>2829.16</v>
      </c>
      <c r="J1457" s="39"/>
      <c r="K1457" s="143"/>
      <c r="L1457" s="22">
        <v>16</v>
      </c>
      <c r="M1457" s="22" t="s">
        <v>12488</v>
      </c>
      <c r="N1457" s="20" t="s">
        <v>9339</v>
      </c>
      <c r="O1457" s="16" t="s">
        <v>12608</v>
      </c>
      <c r="P1457" s="143">
        <v>750</v>
      </c>
      <c r="Q1457" s="121" t="s">
        <v>14285</v>
      </c>
      <c r="R1457" s="16" t="s">
        <v>9235</v>
      </c>
      <c r="S1457" s="10" t="s">
        <v>1163</v>
      </c>
      <c r="T1457" s="28" t="s">
        <v>10581</v>
      </c>
      <c r="U1457" s="20" t="s">
        <v>5359</v>
      </c>
      <c r="V1457" s="16" t="s">
        <v>355</v>
      </c>
      <c r="W1457" s="11" t="s">
        <v>14284</v>
      </c>
      <c r="X1457" s="174">
        <v>2511.09</v>
      </c>
      <c r="Y1457" s="174">
        <v>3435.53</v>
      </c>
    </row>
    <row r="1458" spans="1:25" ht="15" customHeight="1" x14ac:dyDescent="0.25">
      <c r="A1458" s="20" t="s">
        <v>1044</v>
      </c>
      <c r="B1458" s="14" t="s">
        <v>3755</v>
      </c>
      <c r="C1458" s="71" t="str">
        <f t="shared" si="32"/>
        <v>Product Info</v>
      </c>
      <c r="D1458" s="37" t="s">
        <v>3780</v>
      </c>
      <c r="E1458" s="143">
        <v>1</v>
      </c>
      <c r="F1458" s="12" t="s">
        <v>4992</v>
      </c>
      <c r="G1458" s="38">
        <v>5411.77</v>
      </c>
      <c r="H1458" s="38">
        <v>4600.17</v>
      </c>
      <c r="I1458" s="38">
        <v>3788.24</v>
      </c>
      <c r="J1458" s="39"/>
      <c r="K1458" s="143"/>
      <c r="L1458" s="22">
        <v>0</v>
      </c>
      <c r="M1458" s="22">
        <v>0</v>
      </c>
      <c r="N1458" s="20" t="s">
        <v>14489</v>
      </c>
      <c r="O1458" s="16">
        <v>0</v>
      </c>
      <c r="P1458" s="143">
        <v>750</v>
      </c>
      <c r="Q1458" s="121" t="s">
        <v>14285</v>
      </c>
      <c r="R1458" s="16" t="s">
        <v>9235</v>
      </c>
      <c r="S1458" s="10" t="s">
        <v>1163</v>
      </c>
      <c r="T1458" s="28" t="s">
        <v>10582</v>
      </c>
      <c r="U1458" s="20" t="s">
        <v>5359</v>
      </c>
      <c r="V1458" s="16" t="s">
        <v>1044</v>
      </c>
      <c r="W1458" s="11" t="s">
        <v>14284</v>
      </c>
      <c r="X1458" s="174">
        <v>3362.34</v>
      </c>
      <c r="Y1458" s="174">
        <v>4600.17</v>
      </c>
    </row>
    <row r="1459" spans="1:25" ht="15" customHeight="1" x14ac:dyDescent="0.25">
      <c r="A1459" s="20" t="s">
        <v>358</v>
      </c>
      <c r="B1459" s="14" t="s">
        <v>359</v>
      </c>
      <c r="C1459" s="71" t="str">
        <f t="shared" si="32"/>
        <v>Product Info</v>
      </c>
      <c r="D1459" s="37" t="s">
        <v>360</v>
      </c>
      <c r="E1459" s="143">
        <v>1</v>
      </c>
      <c r="F1459" s="12" t="s">
        <v>4992</v>
      </c>
      <c r="G1459" s="38">
        <v>4163.34</v>
      </c>
      <c r="H1459" s="38">
        <v>3538.97</v>
      </c>
      <c r="I1459" s="38">
        <v>2914.34</v>
      </c>
      <c r="J1459" s="39"/>
      <c r="K1459" s="143"/>
      <c r="L1459" s="22">
        <v>16</v>
      </c>
      <c r="M1459" s="22" t="s">
        <v>12488</v>
      </c>
      <c r="N1459" s="20" t="s">
        <v>9339</v>
      </c>
      <c r="O1459" s="16" t="s">
        <v>12608</v>
      </c>
      <c r="P1459" s="143">
        <v>750</v>
      </c>
      <c r="Q1459" s="121" t="s">
        <v>14285</v>
      </c>
      <c r="R1459" s="16" t="s">
        <v>9235</v>
      </c>
      <c r="S1459" s="10" t="s">
        <v>1163</v>
      </c>
      <c r="T1459" s="28" t="s">
        <v>10583</v>
      </c>
      <c r="U1459" s="20" t="s">
        <v>5359</v>
      </c>
      <c r="V1459" s="16" t="s">
        <v>358</v>
      </c>
      <c r="W1459" s="11" t="s">
        <v>14284</v>
      </c>
      <c r="X1459" s="174">
        <v>2586.69</v>
      </c>
      <c r="Y1459" s="174">
        <v>3538.97</v>
      </c>
    </row>
    <row r="1460" spans="1:25" ht="15" customHeight="1" x14ac:dyDescent="0.25">
      <c r="A1460" s="20" t="s">
        <v>1052</v>
      </c>
      <c r="B1460" s="14" t="s">
        <v>3763</v>
      </c>
      <c r="C1460" s="71" t="str">
        <f t="shared" si="32"/>
        <v>Product Info</v>
      </c>
      <c r="D1460" s="37" t="s">
        <v>3788</v>
      </c>
      <c r="E1460" s="143">
        <v>1</v>
      </c>
      <c r="F1460" s="12" t="s">
        <v>4992</v>
      </c>
      <c r="G1460" s="38">
        <v>5686.21</v>
      </c>
      <c r="H1460" s="38">
        <v>4833.45</v>
      </c>
      <c r="I1460" s="38">
        <v>3980.35</v>
      </c>
      <c r="J1460" s="39"/>
      <c r="K1460" s="143"/>
      <c r="L1460" s="22">
        <v>0</v>
      </c>
      <c r="M1460" s="22">
        <v>0</v>
      </c>
      <c r="N1460" s="20" t="s">
        <v>14489</v>
      </c>
      <c r="O1460" s="16">
        <v>0</v>
      </c>
      <c r="P1460" s="143">
        <v>750</v>
      </c>
      <c r="Q1460" s="121" t="s">
        <v>14285</v>
      </c>
      <c r="R1460" s="16" t="s">
        <v>9235</v>
      </c>
      <c r="S1460" s="10" t="s">
        <v>1163</v>
      </c>
      <c r="T1460" s="28" t="s">
        <v>10584</v>
      </c>
      <c r="U1460" s="20" t="s">
        <v>5359</v>
      </c>
      <c r="V1460" s="16" t="s">
        <v>1052</v>
      </c>
      <c r="W1460" s="11" t="s">
        <v>14284</v>
      </c>
      <c r="X1460" s="174">
        <v>3532.86</v>
      </c>
      <c r="Y1460" s="174">
        <v>4833.45</v>
      </c>
    </row>
    <row r="1461" spans="1:25" ht="15" customHeight="1" x14ac:dyDescent="0.25">
      <c r="A1461" s="20" t="s">
        <v>361</v>
      </c>
      <c r="B1461" s="14" t="s">
        <v>362</v>
      </c>
      <c r="C1461" s="71" t="str">
        <f t="shared" si="32"/>
        <v>Product Info</v>
      </c>
      <c r="D1461" s="37" t="s">
        <v>363</v>
      </c>
      <c r="E1461" s="143">
        <v>1</v>
      </c>
      <c r="F1461" s="12" t="s">
        <v>4992</v>
      </c>
      <c r="G1461" s="38">
        <v>4106.5</v>
      </c>
      <c r="H1461" s="38">
        <v>3490.65</v>
      </c>
      <c r="I1461" s="38">
        <v>2874.55</v>
      </c>
      <c r="J1461" s="39"/>
      <c r="K1461" s="143"/>
      <c r="L1461" s="22">
        <v>16</v>
      </c>
      <c r="M1461" s="22" t="s">
        <v>12488</v>
      </c>
      <c r="N1461" s="20" t="s">
        <v>9339</v>
      </c>
      <c r="O1461" s="16" t="s">
        <v>12608</v>
      </c>
      <c r="P1461" s="143">
        <v>750</v>
      </c>
      <c r="Q1461" s="121" t="s">
        <v>14285</v>
      </c>
      <c r="R1461" s="16" t="s">
        <v>9235</v>
      </c>
      <c r="S1461" s="10" t="s">
        <v>1163</v>
      </c>
      <c r="T1461" s="28" t="s">
        <v>10585</v>
      </c>
      <c r="U1461" s="20" t="s">
        <v>5359</v>
      </c>
      <c r="V1461" s="16" t="s">
        <v>361</v>
      </c>
      <c r="W1461" s="11" t="s">
        <v>14284</v>
      </c>
      <c r="X1461" s="174">
        <v>2551.37</v>
      </c>
      <c r="Y1461" s="174">
        <v>3490.65</v>
      </c>
    </row>
    <row r="1462" spans="1:25" ht="15" customHeight="1" x14ac:dyDescent="0.25">
      <c r="A1462" s="20" t="s">
        <v>1062</v>
      </c>
      <c r="B1462" s="14" t="s">
        <v>3773</v>
      </c>
      <c r="C1462" s="71" t="str">
        <f t="shared" si="32"/>
        <v>Product Info</v>
      </c>
      <c r="D1462" s="37" t="s">
        <v>3798</v>
      </c>
      <c r="E1462" s="143">
        <v>1</v>
      </c>
      <c r="F1462" s="12" t="s">
        <v>4992</v>
      </c>
      <c r="G1462" s="38">
        <v>5498.57</v>
      </c>
      <c r="H1462" s="38">
        <v>4673.95</v>
      </c>
      <c r="I1462" s="38">
        <v>3849</v>
      </c>
      <c r="J1462" s="39"/>
      <c r="K1462" s="143"/>
      <c r="L1462" s="22">
        <v>0</v>
      </c>
      <c r="M1462" s="22">
        <v>0</v>
      </c>
      <c r="N1462" s="20" t="s">
        <v>14489</v>
      </c>
      <c r="O1462" s="16">
        <v>0</v>
      </c>
      <c r="P1462" s="143">
        <v>750</v>
      </c>
      <c r="Q1462" s="121" t="s">
        <v>14285</v>
      </c>
      <c r="R1462" s="16" t="s">
        <v>9235</v>
      </c>
      <c r="S1462" s="10" t="s">
        <v>1163</v>
      </c>
      <c r="T1462" s="28" t="s">
        <v>10586</v>
      </c>
      <c r="U1462" s="20" t="s">
        <v>5359</v>
      </c>
      <c r="V1462" s="16" t="s">
        <v>1062</v>
      </c>
      <c r="W1462" s="11" t="s">
        <v>14284</v>
      </c>
      <c r="X1462" s="174">
        <v>3416.28</v>
      </c>
      <c r="Y1462" s="174">
        <v>4673.95</v>
      </c>
    </row>
    <row r="1463" spans="1:25" ht="15" customHeight="1" x14ac:dyDescent="0.25">
      <c r="A1463" s="20" t="s">
        <v>364</v>
      </c>
      <c r="B1463" s="14" t="s">
        <v>365</v>
      </c>
      <c r="C1463" s="71" t="str">
        <f t="shared" si="32"/>
        <v>Product Info</v>
      </c>
      <c r="D1463" s="37" t="s">
        <v>366</v>
      </c>
      <c r="E1463" s="143">
        <v>1</v>
      </c>
      <c r="F1463" s="12" t="s">
        <v>4992</v>
      </c>
      <c r="G1463" s="38">
        <v>5155.53</v>
      </c>
      <c r="H1463" s="38">
        <v>4382.3599999999997</v>
      </c>
      <c r="I1463" s="38">
        <v>3608.87</v>
      </c>
      <c r="J1463" s="39"/>
      <c r="K1463" s="143"/>
      <c r="L1463" s="22">
        <v>16</v>
      </c>
      <c r="M1463" s="22" t="s">
        <v>12488</v>
      </c>
      <c r="N1463" s="20" t="s">
        <v>9339</v>
      </c>
      <c r="O1463" s="16" t="s">
        <v>12608</v>
      </c>
      <c r="P1463" s="143">
        <v>750</v>
      </c>
      <c r="Q1463" s="121" t="s">
        <v>14285</v>
      </c>
      <c r="R1463" s="16" t="s">
        <v>8904</v>
      </c>
      <c r="S1463" s="10" t="s">
        <v>1163</v>
      </c>
      <c r="T1463" s="28" t="s">
        <v>10587</v>
      </c>
      <c r="U1463" s="20" t="s">
        <v>5359</v>
      </c>
      <c r="V1463" s="16" t="s">
        <v>364</v>
      </c>
      <c r="W1463" s="11" t="s">
        <v>14284</v>
      </c>
      <c r="X1463" s="174">
        <v>3203.15</v>
      </c>
      <c r="Y1463" s="174">
        <v>4382.3599999999997</v>
      </c>
    </row>
    <row r="1464" spans="1:25" ht="15" customHeight="1" x14ac:dyDescent="0.25">
      <c r="A1464" s="20" t="s">
        <v>1045</v>
      </c>
      <c r="B1464" s="14" t="s">
        <v>3756</v>
      </c>
      <c r="C1464" s="71" t="str">
        <f t="shared" si="32"/>
        <v>Product Info</v>
      </c>
      <c r="D1464" s="37" t="s">
        <v>3781</v>
      </c>
      <c r="E1464" s="143">
        <v>1</v>
      </c>
      <c r="F1464" s="12" t="s">
        <v>4992</v>
      </c>
      <c r="G1464" s="38">
        <v>6903.27</v>
      </c>
      <c r="H1464" s="38">
        <v>5867.99</v>
      </c>
      <c r="I1464" s="38">
        <v>4832.29</v>
      </c>
      <c r="J1464" s="39"/>
      <c r="K1464" s="143"/>
      <c r="L1464" s="22">
        <v>0</v>
      </c>
      <c r="M1464" s="22">
        <v>0</v>
      </c>
      <c r="N1464" s="20" t="s">
        <v>14489</v>
      </c>
      <c r="O1464" s="16" t="s">
        <v>13917</v>
      </c>
      <c r="P1464" s="143">
        <v>750</v>
      </c>
      <c r="Q1464" s="121" t="s">
        <v>14285</v>
      </c>
      <c r="R1464" s="16" t="s">
        <v>8904</v>
      </c>
      <c r="S1464" s="10" t="s">
        <v>1163</v>
      </c>
      <c r="T1464" s="28" t="s">
        <v>10588</v>
      </c>
      <c r="U1464" s="20" t="s">
        <v>5359</v>
      </c>
      <c r="V1464" s="16" t="s">
        <v>1045</v>
      </c>
      <c r="W1464" s="11" t="s">
        <v>14284</v>
      </c>
      <c r="X1464" s="174">
        <v>4289.01</v>
      </c>
      <c r="Y1464" s="174">
        <v>5867.99</v>
      </c>
    </row>
    <row r="1465" spans="1:25" ht="15" customHeight="1" x14ac:dyDescent="0.25">
      <c r="A1465" s="20" t="s">
        <v>367</v>
      </c>
      <c r="B1465" s="14" t="s">
        <v>368</v>
      </c>
      <c r="C1465" s="71" t="str">
        <f t="shared" si="32"/>
        <v>Product Info</v>
      </c>
      <c r="D1465" s="37" t="s">
        <v>369</v>
      </c>
      <c r="E1465" s="143">
        <v>1</v>
      </c>
      <c r="F1465" s="12" t="s">
        <v>4992</v>
      </c>
      <c r="G1465" s="38">
        <v>5294.77</v>
      </c>
      <c r="H1465" s="38">
        <v>4500.72</v>
      </c>
      <c r="I1465" s="38">
        <v>3706.34</v>
      </c>
      <c r="J1465" s="39"/>
      <c r="K1465" s="143"/>
      <c r="L1465" s="22">
        <v>16</v>
      </c>
      <c r="M1465" s="22" t="s">
        <v>12488</v>
      </c>
      <c r="N1465" s="20" t="s">
        <v>9339</v>
      </c>
      <c r="O1465" s="16" t="s">
        <v>12608</v>
      </c>
      <c r="P1465" s="143">
        <v>750</v>
      </c>
      <c r="Q1465" s="121" t="s">
        <v>14285</v>
      </c>
      <c r="R1465" s="16" t="s">
        <v>8904</v>
      </c>
      <c r="S1465" s="10" t="s">
        <v>1163</v>
      </c>
      <c r="T1465" s="28" t="s">
        <v>10589</v>
      </c>
      <c r="U1465" s="20" t="s">
        <v>5359</v>
      </c>
      <c r="V1465" s="16" t="s">
        <v>367</v>
      </c>
      <c r="W1465" s="11" t="s">
        <v>14284</v>
      </c>
      <c r="X1465" s="174">
        <v>3289.65</v>
      </c>
      <c r="Y1465" s="174">
        <v>4500.72</v>
      </c>
    </row>
    <row r="1466" spans="1:25" ht="15" customHeight="1" x14ac:dyDescent="0.25">
      <c r="A1466" s="20" t="s">
        <v>1053</v>
      </c>
      <c r="B1466" s="14" t="s">
        <v>3764</v>
      </c>
      <c r="C1466" s="71" t="str">
        <f t="shared" si="32"/>
        <v>Product Info</v>
      </c>
      <c r="D1466" s="37" t="s">
        <v>3789</v>
      </c>
      <c r="E1466" s="143">
        <v>1</v>
      </c>
      <c r="F1466" s="12" t="s">
        <v>4992</v>
      </c>
      <c r="G1466" s="38">
        <v>7089.69</v>
      </c>
      <c r="H1466" s="38">
        <v>6026.45</v>
      </c>
      <c r="I1466" s="38">
        <v>4962.78</v>
      </c>
      <c r="J1466" s="39"/>
      <c r="K1466" s="143"/>
      <c r="L1466" s="22">
        <v>0</v>
      </c>
      <c r="M1466" s="22">
        <v>0</v>
      </c>
      <c r="N1466" s="20" t="s">
        <v>14489</v>
      </c>
      <c r="O1466" s="16">
        <v>0</v>
      </c>
      <c r="P1466" s="143">
        <v>750</v>
      </c>
      <c r="Q1466" s="121" t="s">
        <v>14285</v>
      </c>
      <c r="R1466" s="16" t="s">
        <v>8904</v>
      </c>
      <c r="S1466" s="10" t="s">
        <v>1163</v>
      </c>
      <c r="T1466" s="28" t="s">
        <v>10590</v>
      </c>
      <c r="U1466" s="20" t="s">
        <v>5359</v>
      </c>
      <c r="V1466" s="16" t="s">
        <v>1053</v>
      </c>
      <c r="W1466" s="11" t="s">
        <v>14284</v>
      </c>
      <c r="X1466" s="174">
        <v>4404.84</v>
      </c>
      <c r="Y1466" s="174">
        <v>6026.45</v>
      </c>
    </row>
    <row r="1467" spans="1:25" ht="15" customHeight="1" x14ac:dyDescent="0.25">
      <c r="A1467" s="20" t="s">
        <v>370</v>
      </c>
      <c r="B1467" s="14" t="s">
        <v>371</v>
      </c>
      <c r="C1467" s="71" t="str">
        <f t="shared" si="32"/>
        <v>Product Info</v>
      </c>
      <c r="D1467" s="37" t="s">
        <v>372</v>
      </c>
      <c r="E1467" s="143">
        <v>1</v>
      </c>
      <c r="F1467" s="12" t="s">
        <v>4992</v>
      </c>
      <c r="G1467" s="38">
        <v>5239.49</v>
      </c>
      <c r="H1467" s="38">
        <v>4453.72</v>
      </c>
      <c r="I1467" s="38">
        <v>3667.64</v>
      </c>
      <c r="J1467" s="39"/>
      <c r="K1467" s="143"/>
      <c r="L1467" s="22">
        <v>16</v>
      </c>
      <c r="M1467" s="22" t="s">
        <v>12488</v>
      </c>
      <c r="N1467" s="20" t="s">
        <v>9339</v>
      </c>
      <c r="O1467" s="16" t="s">
        <v>12608</v>
      </c>
      <c r="P1467" s="143">
        <v>750</v>
      </c>
      <c r="Q1467" s="121" t="s">
        <v>14285</v>
      </c>
      <c r="R1467" s="16" t="s">
        <v>8904</v>
      </c>
      <c r="S1467" s="10" t="s">
        <v>1163</v>
      </c>
      <c r="T1467" s="28" t="s">
        <v>10591</v>
      </c>
      <c r="U1467" s="20" t="s">
        <v>5359</v>
      </c>
      <c r="V1467" s="16" t="s">
        <v>370</v>
      </c>
      <c r="W1467" s="11" t="s">
        <v>14284</v>
      </c>
      <c r="X1467" s="174">
        <v>3255.3</v>
      </c>
      <c r="Y1467" s="174">
        <v>4453.72</v>
      </c>
    </row>
    <row r="1468" spans="1:25" ht="15" customHeight="1" x14ac:dyDescent="0.25">
      <c r="A1468" s="20" t="s">
        <v>1063</v>
      </c>
      <c r="B1468" s="14" t="s">
        <v>3774</v>
      </c>
      <c r="C1468" s="71" t="str">
        <f t="shared" si="32"/>
        <v>Product Info</v>
      </c>
      <c r="D1468" s="37" t="s">
        <v>3799</v>
      </c>
      <c r="E1468" s="143">
        <v>1</v>
      </c>
      <c r="F1468" s="12" t="s">
        <v>4992</v>
      </c>
      <c r="G1468" s="38">
        <v>7015.69</v>
      </c>
      <c r="H1468" s="38">
        <v>5963.55</v>
      </c>
      <c r="I1468" s="38">
        <v>4910.9799999999996</v>
      </c>
      <c r="J1468" s="39"/>
      <c r="K1468" s="143"/>
      <c r="L1468" s="22">
        <v>0</v>
      </c>
      <c r="M1468" s="22">
        <v>0</v>
      </c>
      <c r="N1468" s="20" t="s">
        <v>14489</v>
      </c>
      <c r="O1468" s="16">
        <v>0</v>
      </c>
      <c r="P1468" s="143">
        <v>750</v>
      </c>
      <c r="Q1468" s="121" t="s">
        <v>14285</v>
      </c>
      <c r="R1468" s="16" t="s">
        <v>8904</v>
      </c>
      <c r="S1468" s="10" t="s">
        <v>1163</v>
      </c>
      <c r="T1468" s="28" t="s">
        <v>10592</v>
      </c>
      <c r="U1468" s="20" t="s">
        <v>5359</v>
      </c>
      <c r="V1468" s="16" t="s">
        <v>1063</v>
      </c>
      <c r="W1468" s="11" t="s">
        <v>14284</v>
      </c>
      <c r="X1468" s="174">
        <v>4358.8599999999997</v>
      </c>
      <c r="Y1468" s="174">
        <v>5963.55</v>
      </c>
    </row>
    <row r="1469" spans="1:25" ht="15" customHeight="1" x14ac:dyDescent="0.25">
      <c r="A1469" s="20" t="s">
        <v>2923</v>
      </c>
      <c r="B1469" s="14" t="s">
        <v>2924</v>
      </c>
      <c r="C1469" s="71" t="str">
        <f t="shared" si="32"/>
        <v>Product Info</v>
      </c>
      <c r="D1469" s="37" t="s">
        <v>5199</v>
      </c>
      <c r="E1469" s="143">
        <v>1</v>
      </c>
      <c r="F1469" s="12" t="s">
        <v>4992</v>
      </c>
      <c r="G1469" s="38">
        <v>698.86</v>
      </c>
      <c r="H1469" s="38">
        <v>594.04999999999995</v>
      </c>
      <c r="I1469" s="38">
        <v>489.2</v>
      </c>
      <c r="J1469" s="39"/>
      <c r="K1469" s="143"/>
      <c r="L1469" s="22">
        <v>6</v>
      </c>
      <c r="M1469" s="22" t="s">
        <v>12488</v>
      </c>
      <c r="N1469" s="20" t="s">
        <v>9336</v>
      </c>
      <c r="O1469" s="16" t="s">
        <v>12608</v>
      </c>
      <c r="P1469" s="143">
        <v>750</v>
      </c>
      <c r="Q1469" s="121" t="s">
        <v>14285</v>
      </c>
      <c r="R1469" s="16" t="s">
        <v>9235</v>
      </c>
      <c r="S1469" s="10" t="s">
        <v>1163</v>
      </c>
      <c r="T1469" s="28" t="s">
        <v>10593</v>
      </c>
      <c r="U1469" s="20" t="s">
        <v>5359</v>
      </c>
      <c r="V1469" s="16" t="s">
        <v>2923</v>
      </c>
      <c r="W1469" s="11" t="s">
        <v>14284</v>
      </c>
      <c r="X1469" s="174">
        <v>434.2</v>
      </c>
      <c r="Y1469" s="174">
        <v>594.04999999999995</v>
      </c>
    </row>
    <row r="1470" spans="1:25" ht="15" customHeight="1" x14ac:dyDescent="0.25">
      <c r="A1470" s="20" t="s">
        <v>2925</v>
      </c>
      <c r="B1470" s="14" t="s">
        <v>2926</v>
      </c>
      <c r="C1470" s="71" t="str">
        <f t="shared" si="32"/>
        <v>Product Info</v>
      </c>
      <c r="D1470" s="37" t="s">
        <v>7815</v>
      </c>
      <c r="E1470" s="143">
        <v>1</v>
      </c>
      <c r="F1470" s="12" t="s">
        <v>4992</v>
      </c>
      <c r="G1470" s="38">
        <v>826.04</v>
      </c>
      <c r="H1470" s="38">
        <v>702.16</v>
      </c>
      <c r="I1470" s="38">
        <v>578.23</v>
      </c>
      <c r="J1470" s="39"/>
      <c r="K1470" s="143"/>
      <c r="L1470" s="22">
        <v>0</v>
      </c>
      <c r="M1470" s="22" t="s">
        <v>12488</v>
      </c>
      <c r="N1470" s="20" t="s">
        <v>14489</v>
      </c>
      <c r="O1470" s="16" t="s">
        <v>4992</v>
      </c>
      <c r="P1470" s="143">
        <v>750</v>
      </c>
      <c r="Q1470" s="121" t="s">
        <v>14285</v>
      </c>
      <c r="R1470" s="16" t="s">
        <v>9235</v>
      </c>
      <c r="S1470" s="10" t="s">
        <v>1163</v>
      </c>
      <c r="T1470" s="28" t="s">
        <v>10594</v>
      </c>
      <c r="U1470" s="20" t="s">
        <v>5359</v>
      </c>
      <c r="V1470" s="16" t="s">
        <v>2925</v>
      </c>
      <c r="W1470" s="11" t="s">
        <v>14284</v>
      </c>
      <c r="X1470" s="174">
        <v>513.23</v>
      </c>
      <c r="Y1470" s="174">
        <v>702.16</v>
      </c>
    </row>
    <row r="1471" spans="1:25" ht="15" customHeight="1" x14ac:dyDescent="0.25">
      <c r="A1471" s="20" t="s">
        <v>5593</v>
      </c>
      <c r="B1471" s="14" t="s">
        <v>373</v>
      </c>
      <c r="C1471" s="71" t="str">
        <f t="shared" si="32"/>
        <v>Product Info</v>
      </c>
      <c r="D1471" s="37" t="s">
        <v>5592</v>
      </c>
      <c r="E1471" s="143">
        <v>1</v>
      </c>
      <c r="F1471" s="12" t="s">
        <v>4992</v>
      </c>
      <c r="G1471" s="38">
        <v>796.77</v>
      </c>
      <c r="H1471" s="38">
        <v>677.28</v>
      </c>
      <c r="I1471" s="38">
        <v>557.74</v>
      </c>
      <c r="J1471" s="39"/>
      <c r="K1471" s="143"/>
      <c r="L1471" s="22">
        <v>0.18</v>
      </c>
      <c r="M1471" s="22" t="s">
        <v>12488</v>
      </c>
      <c r="N1471" s="20" t="s">
        <v>8884</v>
      </c>
      <c r="O1471" s="16" t="s">
        <v>12608</v>
      </c>
      <c r="P1471" s="143">
        <v>750</v>
      </c>
      <c r="Q1471" s="122" t="s">
        <v>12421</v>
      </c>
      <c r="R1471" s="16" t="s">
        <v>9235</v>
      </c>
      <c r="S1471" s="10" t="s">
        <v>1163</v>
      </c>
      <c r="T1471" s="28" t="s">
        <v>10595</v>
      </c>
      <c r="U1471" s="20" t="s">
        <v>5359</v>
      </c>
      <c r="V1471" s="16" t="s">
        <v>5593</v>
      </c>
      <c r="W1471" s="11" t="s">
        <v>14284</v>
      </c>
      <c r="X1471" s="174">
        <v>495.03</v>
      </c>
      <c r="Y1471" s="174">
        <v>677.28</v>
      </c>
    </row>
    <row r="1472" spans="1:25" ht="15" customHeight="1" x14ac:dyDescent="0.25">
      <c r="A1472" s="20" t="s">
        <v>2927</v>
      </c>
      <c r="B1472" s="14" t="s">
        <v>2928</v>
      </c>
      <c r="C1472" s="71" t="str">
        <f t="shared" si="32"/>
        <v>Product Info</v>
      </c>
      <c r="D1472" s="37" t="s">
        <v>5200</v>
      </c>
      <c r="E1472" s="143">
        <v>1</v>
      </c>
      <c r="F1472" s="12" t="s">
        <v>4992</v>
      </c>
      <c r="G1472" s="38">
        <v>948.31</v>
      </c>
      <c r="H1472" s="38">
        <v>806.1</v>
      </c>
      <c r="I1472" s="38">
        <v>663.82</v>
      </c>
      <c r="J1472" s="39"/>
      <c r="K1472" s="143"/>
      <c r="L1472" s="22">
        <v>0</v>
      </c>
      <c r="M1472" s="22" t="s">
        <v>12488</v>
      </c>
      <c r="N1472" s="20" t="s">
        <v>14489</v>
      </c>
      <c r="O1472" s="16" t="s">
        <v>4992</v>
      </c>
      <c r="P1472" s="143">
        <v>750</v>
      </c>
      <c r="Q1472" s="122" t="s">
        <v>12421</v>
      </c>
      <c r="R1472" s="16" t="s">
        <v>9235</v>
      </c>
      <c r="S1472" s="10" t="s">
        <v>1163</v>
      </c>
      <c r="T1472" s="28" t="s">
        <v>10596</v>
      </c>
      <c r="U1472" s="20" t="s">
        <v>5359</v>
      </c>
      <c r="V1472" s="16" t="s">
        <v>2927</v>
      </c>
      <c r="W1472" s="11" t="s">
        <v>14284</v>
      </c>
      <c r="X1472" s="174">
        <v>589.19000000000005</v>
      </c>
      <c r="Y1472" s="174">
        <v>806.1</v>
      </c>
    </row>
    <row r="1473" spans="1:25" ht="15" customHeight="1" x14ac:dyDescent="0.25">
      <c r="A1473" s="20" t="s">
        <v>2929</v>
      </c>
      <c r="B1473" s="14" t="s">
        <v>2930</v>
      </c>
      <c r="C1473" s="71" t="str">
        <f t="shared" si="32"/>
        <v>Product Info</v>
      </c>
      <c r="D1473" s="37" t="s">
        <v>7816</v>
      </c>
      <c r="E1473" s="143">
        <v>1</v>
      </c>
      <c r="F1473" s="12" t="s">
        <v>4992</v>
      </c>
      <c r="G1473" s="38">
        <v>1148.67</v>
      </c>
      <c r="H1473" s="38">
        <v>976.41</v>
      </c>
      <c r="I1473" s="38">
        <v>804.07</v>
      </c>
      <c r="J1473" s="39"/>
      <c r="K1473" s="143"/>
      <c r="L1473" s="22">
        <v>0</v>
      </c>
      <c r="M1473" s="22" t="s">
        <v>12488</v>
      </c>
      <c r="N1473" s="20" t="s">
        <v>14489</v>
      </c>
      <c r="O1473" s="16" t="s">
        <v>4992</v>
      </c>
      <c r="P1473" s="143">
        <v>750</v>
      </c>
      <c r="Q1473" s="122" t="s">
        <v>12421</v>
      </c>
      <c r="R1473" s="16" t="s">
        <v>9235</v>
      </c>
      <c r="S1473" s="10" t="s">
        <v>1163</v>
      </c>
      <c r="T1473" s="28" t="s">
        <v>10597</v>
      </c>
      <c r="U1473" s="20" t="s">
        <v>5359</v>
      </c>
      <c r="V1473" s="16" t="s">
        <v>2929</v>
      </c>
      <c r="W1473" s="11" t="s">
        <v>14284</v>
      </c>
      <c r="X1473" s="174">
        <v>713.66</v>
      </c>
      <c r="Y1473" s="174">
        <v>976.41</v>
      </c>
    </row>
    <row r="1474" spans="1:25" ht="15" customHeight="1" x14ac:dyDescent="0.25">
      <c r="A1474" s="20" t="s">
        <v>6949</v>
      </c>
      <c r="B1474" s="14" t="s">
        <v>6950</v>
      </c>
      <c r="C1474" s="71" t="str">
        <f t="shared" si="32"/>
        <v>Product Info</v>
      </c>
      <c r="D1474" s="37" t="s">
        <v>7817</v>
      </c>
      <c r="E1474" s="143">
        <v>1</v>
      </c>
      <c r="F1474" s="12" t="s">
        <v>4992</v>
      </c>
      <c r="G1474" s="38">
        <v>998.97</v>
      </c>
      <c r="H1474" s="38">
        <v>849.16</v>
      </c>
      <c r="I1474" s="38">
        <v>699.28</v>
      </c>
      <c r="J1474" s="39"/>
      <c r="K1474" s="143"/>
      <c r="L1474" s="22">
        <v>0</v>
      </c>
      <c r="M1474" s="22" t="s">
        <v>12488</v>
      </c>
      <c r="N1474" s="20" t="s">
        <v>14489</v>
      </c>
      <c r="O1474" s="16" t="s">
        <v>4992</v>
      </c>
      <c r="P1474" s="143">
        <v>750</v>
      </c>
      <c r="Q1474" s="122" t="s">
        <v>12421</v>
      </c>
      <c r="R1474" s="16" t="s">
        <v>9235</v>
      </c>
      <c r="S1474" s="10" t="s">
        <v>1163</v>
      </c>
      <c r="T1474" s="28" t="s">
        <v>10598</v>
      </c>
      <c r="U1474" s="20" t="s">
        <v>5359</v>
      </c>
      <c r="V1474" s="16" t="s">
        <v>6949</v>
      </c>
      <c r="W1474" s="11" t="s">
        <v>14284</v>
      </c>
      <c r="X1474" s="174">
        <v>620.66</v>
      </c>
      <c r="Y1474" s="174">
        <v>849.16</v>
      </c>
    </row>
    <row r="1475" spans="1:25" ht="15" customHeight="1" x14ac:dyDescent="0.25">
      <c r="A1475" s="20" t="s">
        <v>5504</v>
      </c>
      <c r="B1475" s="14" t="s">
        <v>5505</v>
      </c>
      <c r="C1475" s="71" t="str">
        <f t="shared" si="32"/>
        <v>Product Info</v>
      </c>
      <c r="D1475" s="37" t="s">
        <v>374</v>
      </c>
      <c r="E1475" s="143">
        <v>1</v>
      </c>
      <c r="F1475" s="12" t="s">
        <v>4992</v>
      </c>
      <c r="G1475" s="38">
        <v>1103.44</v>
      </c>
      <c r="H1475" s="38">
        <v>937.96</v>
      </c>
      <c r="I1475" s="38">
        <v>772.41</v>
      </c>
      <c r="J1475" s="39"/>
      <c r="K1475" s="143"/>
      <c r="L1475" s="22">
        <v>0</v>
      </c>
      <c r="M1475" s="22" t="s">
        <v>12488</v>
      </c>
      <c r="N1475" s="20" t="s">
        <v>14489</v>
      </c>
      <c r="O1475" s="16" t="s">
        <v>4992</v>
      </c>
      <c r="P1475" s="143">
        <v>750</v>
      </c>
      <c r="Q1475" s="121" t="s">
        <v>14285</v>
      </c>
      <c r="R1475" s="16" t="s">
        <v>9235</v>
      </c>
      <c r="S1475" s="10" t="s">
        <v>1163</v>
      </c>
      <c r="T1475" s="28" t="s">
        <v>10599</v>
      </c>
      <c r="U1475" s="20" t="s">
        <v>5359</v>
      </c>
      <c r="V1475" s="16" t="s">
        <v>5504</v>
      </c>
      <c r="W1475" s="11" t="s">
        <v>14284</v>
      </c>
      <c r="X1475" s="174">
        <v>685.56</v>
      </c>
      <c r="Y1475" s="174">
        <v>937.96</v>
      </c>
    </row>
    <row r="1476" spans="1:25" ht="15" customHeight="1" x14ac:dyDescent="0.25">
      <c r="A1476" s="20" t="s">
        <v>12669</v>
      </c>
      <c r="B1476" s="14" t="s">
        <v>13154</v>
      </c>
      <c r="C1476" s="71" t="str">
        <f t="shared" si="32"/>
        <v>Product Info</v>
      </c>
      <c r="D1476" s="37" t="s">
        <v>13156</v>
      </c>
      <c r="E1476" s="143">
        <v>1</v>
      </c>
      <c r="F1476" s="12" t="s">
        <v>4992</v>
      </c>
      <c r="G1476" s="38">
        <v>1141.8599999999999</v>
      </c>
      <c r="H1476" s="38">
        <v>970.61</v>
      </c>
      <c r="I1476" s="38">
        <v>799.3</v>
      </c>
      <c r="J1476" s="39"/>
      <c r="K1476" s="143"/>
      <c r="L1476" s="22">
        <v>0</v>
      </c>
      <c r="M1476" s="22" t="s">
        <v>12488</v>
      </c>
      <c r="N1476" s="20" t="s">
        <v>14489</v>
      </c>
      <c r="O1476" s="16" t="s">
        <v>13912</v>
      </c>
      <c r="P1476" s="143">
        <v>750</v>
      </c>
      <c r="Q1476" s="121" t="s">
        <v>14285</v>
      </c>
      <c r="R1476" s="16" t="s">
        <v>9235</v>
      </c>
      <c r="S1476" s="10" t="s">
        <v>1163</v>
      </c>
      <c r="T1476" s="28" t="s">
        <v>13155</v>
      </c>
      <c r="U1476" s="20" t="s">
        <v>5359</v>
      </c>
      <c r="V1476" s="16" t="s">
        <v>12669</v>
      </c>
      <c r="W1476" s="11" t="s">
        <v>14284</v>
      </c>
      <c r="X1476" s="174">
        <v>767.33</v>
      </c>
      <c r="Y1476" s="174">
        <v>970.61</v>
      </c>
    </row>
    <row r="1477" spans="1:25" ht="15" customHeight="1" x14ac:dyDescent="0.25">
      <c r="A1477" s="20" t="s">
        <v>1077</v>
      </c>
      <c r="B1477" s="14" t="s">
        <v>1078</v>
      </c>
      <c r="C1477" s="71" t="str">
        <f t="shared" si="32"/>
        <v>Product Info</v>
      </c>
      <c r="D1477" s="37" t="s">
        <v>375</v>
      </c>
      <c r="E1477" s="143">
        <v>1</v>
      </c>
      <c r="F1477" s="12" t="s">
        <v>4992</v>
      </c>
      <c r="G1477" s="38">
        <v>339.43</v>
      </c>
      <c r="H1477" s="38">
        <v>288.52</v>
      </c>
      <c r="I1477" s="38">
        <v>237.6</v>
      </c>
      <c r="J1477" s="39"/>
      <c r="K1477" s="143"/>
      <c r="L1477" s="22">
        <v>0</v>
      </c>
      <c r="M1477" s="22" t="s">
        <v>12488</v>
      </c>
      <c r="N1477" s="20" t="s">
        <v>14489</v>
      </c>
      <c r="O1477" s="16" t="s">
        <v>4992</v>
      </c>
      <c r="P1477" s="143">
        <v>750</v>
      </c>
      <c r="Q1477" s="121" t="s">
        <v>14285</v>
      </c>
      <c r="R1477" s="16" t="s">
        <v>9235</v>
      </c>
      <c r="S1477" s="10" t="s">
        <v>1163</v>
      </c>
      <c r="T1477" s="28" t="s">
        <v>10600</v>
      </c>
      <c r="U1477" s="20" t="s">
        <v>5359</v>
      </c>
      <c r="V1477" s="16" t="s">
        <v>1077</v>
      </c>
      <c r="W1477" s="11" t="s">
        <v>14284</v>
      </c>
      <c r="X1477" s="174">
        <v>210.88</v>
      </c>
      <c r="Y1477" s="174">
        <v>288.52</v>
      </c>
    </row>
    <row r="1478" spans="1:25" ht="15" customHeight="1" x14ac:dyDescent="0.25">
      <c r="A1478" s="20" t="s">
        <v>3040</v>
      </c>
      <c r="B1478" s="14" t="s">
        <v>3041</v>
      </c>
      <c r="C1478" s="71" t="str">
        <f t="shared" ref="C1478:C1541" si="33">HYPERLINK(T1478,U1478)</f>
        <v>Product Info</v>
      </c>
      <c r="D1478" s="37" t="s">
        <v>7818</v>
      </c>
      <c r="E1478" s="143">
        <v>1</v>
      </c>
      <c r="F1478" s="12" t="s">
        <v>4992</v>
      </c>
      <c r="G1478" s="38">
        <v>316.02999999999997</v>
      </c>
      <c r="H1478" s="38">
        <v>268.63</v>
      </c>
      <c r="I1478" s="38">
        <v>221.22</v>
      </c>
      <c r="J1478" s="39"/>
      <c r="K1478" s="143"/>
      <c r="L1478" s="22">
        <v>0.25</v>
      </c>
      <c r="M1478" s="22" t="s">
        <v>12488</v>
      </c>
      <c r="N1478" s="20" t="s">
        <v>9340</v>
      </c>
      <c r="O1478" s="16" t="s">
        <v>13914</v>
      </c>
      <c r="P1478" s="143">
        <v>750</v>
      </c>
      <c r="Q1478" s="122" t="s">
        <v>12421</v>
      </c>
      <c r="R1478" s="16" t="s">
        <v>9235</v>
      </c>
      <c r="S1478" s="10" t="s">
        <v>1163</v>
      </c>
      <c r="T1478" s="28" t="s">
        <v>10601</v>
      </c>
      <c r="U1478" s="20" t="s">
        <v>5359</v>
      </c>
      <c r="V1478" s="16" t="s">
        <v>3040</v>
      </c>
      <c r="W1478" s="11" t="s">
        <v>14284</v>
      </c>
      <c r="X1478" s="174">
        <v>196.35</v>
      </c>
      <c r="Y1478" s="174">
        <v>268.63</v>
      </c>
    </row>
    <row r="1479" spans="1:25" ht="15" customHeight="1" x14ac:dyDescent="0.25">
      <c r="A1479" s="20" t="s">
        <v>5506</v>
      </c>
      <c r="B1479" s="14" t="s">
        <v>6211</v>
      </c>
      <c r="C1479" s="71" t="str">
        <f t="shared" si="33"/>
        <v>Product Info</v>
      </c>
      <c r="D1479" s="37" t="s">
        <v>1490</v>
      </c>
      <c r="E1479" s="143">
        <v>1</v>
      </c>
      <c r="F1479" s="12" t="s">
        <v>4992</v>
      </c>
      <c r="G1479" s="38">
        <v>387.71</v>
      </c>
      <c r="H1479" s="38">
        <v>329.57</v>
      </c>
      <c r="I1479" s="38">
        <v>271.39999999999998</v>
      </c>
      <c r="J1479" s="39"/>
      <c r="K1479" s="143"/>
      <c r="L1479" s="22">
        <v>0</v>
      </c>
      <c r="M1479" s="22" t="s">
        <v>12488</v>
      </c>
      <c r="N1479" s="20" t="s">
        <v>14489</v>
      </c>
      <c r="O1479" s="16" t="s">
        <v>4992</v>
      </c>
      <c r="P1479" s="143">
        <v>750</v>
      </c>
      <c r="Q1479" s="121" t="s">
        <v>14285</v>
      </c>
      <c r="R1479" s="16" t="s">
        <v>9235</v>
      </c>
      <c r="S1479" s="10" t="s">
        <v>1163</v>
      </c>
      <c r="T1479" s="28" t="s">
        <v>10602</v>
      </c>
      <c r="U1479" s="20" t="s">
        <v>5359</v>
      </c>
      <c r="V1479" s="16" t="s">
        <v>5506</v>
      </c>
      <c r="W1479" s="11" t="s">
        <v>14284</v>
      </c>
      <c r="X1479" s="174">
        <v>240.88</v>
      </c>
      <c r="Y1479" s="174">
        <v>329.57</v>
      </c>
    </row>
    <row r="1480" spans="1:25" ht="15" customHeight="1" x14ac:dyDescent="0.25">
      <c r="A1480" s="20" t="s">
        <v>3042</v>
      </c>
      <c r="B1480" s="14" t="s">
        <v>3043</v>
      </c>
      <c r="C1480" s="71" t="str">
        <f t="shared" si="33"/>
        <v>Product Info</v>
      </c>
      <c r="D1480" s="37" t="s">
        <v>7826</v>
      </c>
      <c r="E1480" s="143">
        <v>1</v>
      </c>
      <c r="F1480" s="12" t="s">
        <v>4992</v>
      </c>
      <c r="G1480" s="38">
        <v>328.7</v>
      </c>
      <c r="H1480" s="38">
        <v>279.39999999999998</v>
      </c>
      <c r="I1480" s="38">
        <v>230.09</v>
      </c>
      <c r="J1480" s="39"/>
      <c r="K1480" s="143"/>
      <c r="L1480" s="22">
        <v>0</v>
      </c>
      <c r="M1480" s="22" t="s">
        <v>12488</v>
      </c>
      <c r="N1480" s="20" t="s">
        <v>14489</v>
      </c>
      <c r="O1480" s="16" t="s">
        <v>4992</v>
      </c>
      <c r="P1480" s="143">
        <v>750</v>
      </c>
      <c r="Q1480" s="121" t="s">
        <v>14285</v>
      </c>
      <c r="R1480" s="16" t="s">
        <v>9235</v>
      </c>
      <c r="S1480" s="10" t="s">
        <v>1163</v>
      </c>
      <c r="T1480" s="28" t="s">
        <v>10603</v>
      </c>
      <c r="U1480" s="20" t="s">
        <v>5359</v>
      </c>
      <c r="V1480" s="16" t="s">
        <v>3042</v>
      </c>
      <c r="W1480" s="11" t="s">
        <v>14284</v>
      </c>
      <c r="X1480" s="174">
        <v>204.22</v>
      </c>
      <c r="Y1480" s="174">
        <v>279.39999999999998</v>
      </c>
    </row>
    <row r="1481" spans="1:25" ht="15" customHeight="1" x14ac:dyDescent="0.25">
      <c r="A1481" s="20" t="s">
        <v>3044</v>
      </c>
      <c r="B1481" s="14" t="s">
        <v>3045</v>
      </c>
      <c r="C1481" s="71" t="str">
        <f t="shared" si="33"/>
        <v>Product Info</v>
      </c>
      <c r="D1481" s="37" t="s">
        <v>7827</v>
      </c>
      <c r="E1481" s="143">
        <v>1</v>
      </c>
      <c r="F1481" s="12" t="s">
        <v>4992</v>
      </c>
      <c r="G1481" s="38">
        <v>357.06</v>
      </c>
      <c r="H1481" s="38">
        <v>303.51</v>
      </c>
      <c r="I1481" s="38">
        <v>249.94</v>
      </c>
      <c r="J1481" s="39"/>
      <c r="K1481" s="143"/>
      <c r="L1481" s="22">
        <v>0</v>
      </c>
      <c r="M1481" s="22" t="s">
        <v>12488</v>
      </c>
      <c r="N1481" s="20" t="s">
        <v>14489</v>
      </c>
      <c r="O1481" s="16" t="s">
        <v>4992</v>
      </c>
      <c r="P1481" s="143">
        <v>750</v>
      </c>
      <c r="Q1481" s="121" t="s">
        <v>14285</v>
      </c>
      <c r="R1481" s="16" t="s">
        <v>9235</v>
      </c>
      <c r="S1481" s="10" t="s">
        <v>1163</v>
      </c>
      <c r="T1481" s="28" t="s">
        <v>10604</v>
      </c>
      <c r="U1481" s="20" t="s">
        <v>5359</v>
      </c>
      <c r="V1481" s="16" t="s">
        <v>3044</v>
      </c>
      <c r="W1481" s="11" t="s">
        <v>14284</v>
      </c>
      <c r="X1481" s="174">
        <v>221.85</v>
      </c>
      <c r="Y1481" s="174">
        <v>303.51</v>
      </c>
    </row>
    <row r="1482" spans="1:25" ht="15" customHeight="1" x14ac:dyDescent="0.25">
      <c r="A1482" s="20" t="s">
        <v>3046</v>
      </c>
      <c r="B1482" s="14" t="s">
        <v>3047</v>
      </c>
      <c r="C1482" s="71" t="str">
        <f t="shared" si="33"/>
        <v>Product Info</v>
      </c>
      <c r="D1482" s="37" t="s">
        <v>7819</v>
      </c>
      <c r="E1482" s="143">
        <v>1</v>
      </c>
      <c r="F1482" s="12" t="s">
        <v>4992</v>
      </c>
      <c r="G1482" s="38">
        <v>326.39</v>
      </c>
      <c r="H1482" s="38">
        <v>277.44</v>
      </c>
      <c r="I1482" s="38">
        <v>228.47</v>
      </c>
      <c r="J1482" s="39"/>
      <c r="K1482" s="143"/>
      <c r="L1482" s="22">
        <v>4</v>
      </c>
      <c r="M1482" s="22" t="s">
        <v>12488</v>
      </c>
      <c r="N1482" s="20" t="s">
        <v>9336</v>
      </c>
      <c r="O1482" s="16" t="s">
        <v>4992</v>
      </c>
      <c r="P1482" s="143">
        <v>750</v>
      </c>
      <c r="Q1482" s="121" t="s">
        <v>14285</v>
      </c>
      <c r="R1482" s="16" t="s">
        <v>9235</v>
      </c>
      <c r="S1482" s="10" t="s">
        <v>1163</v>
      </c>
      <c r="T1482" s="28" t="s">
        <v>10605</v>
      </c>
      <c r="U1482" s="20" t="s">
        <v>5359</v>
      </c>
      <c r="V1482" s="16" t="s">
        <v>3046</v>
      </c>
      <c r="W1482" s="11" t="s">
        <v>14284</v>
      </c>
      <c r="X1482" s="174">
        <v>202.78</v>
      </c>
      <c r="Y1482" s="174">
        <v>277.44</v>
      </c>
    </row>
    <row r="1483" spans="1:25" ht="15" customHeight="1" x14ac:dyDescent="0.25">
      <c r="A1483" s="20" t="s">
        <v>6212</v>
      </c>
      <c r="B1483" s="14" t="s">
        <v>6213</v>
      </c>
      <c r="C1483" s="71" t="str">
        <f t="shared" si="33"/>
        <v>Product Info</v>
      </c>
      <c r="D1483" s="37" t="s">
        <v>1491</v>
      </c>
      <c r="E1483" s="143">
        <v>1</v>
      </c>
      <c r="F1483" s="12" t="s">
        <v>4992</v>
      </c>
      <c r="G1483" s="38">
        <v>384.06</v>
      </c>
      <c r="H1483" s="38">
        <v>326.45999999999998</v>
      </c>
      <c r="I1483" s="38">
        <v>268.83999999999997</v>
      </c>
      <c r="J1483" s="39"/>
      <c r="K1483" s="143"/>
      <c r="L1483" s="22">
        <v>0</v>
      </c>
      <c r="M1483" s="22" t="s">
        <v>12488</v>
      </c>
      <c r="N1483" s="20" t="s">
        <v>14489</v>
      </c>
      <c r="O1483" s="16" t="s">
        <v>4992</v>
      </c>
      <c r="P1483" s="143">
        <v>750</v>
      </c>
      <c r="Q1483" s="121" t="s">
        <v>14285</v>
      </c>
      <c r="R1483" s="16" t="s">
        <v>9235</v>
      </c>
      <c r="S1483" s="10" t="s">
        <v>1163</v>
      </c>
      <c r="T1483" s="28" t="s">
        <v>10606</v>
      </c>
      <c r="U1483" s="20" t="s">
        <v>5359</v>
      </c>
      <c r="V1483" s="16" t="s">
        <v>6212</v>
      </c>
      <c r="W1483" s="11" t="s">
        <v>14284</v>
      </c>
      <c r="X1483" s="174">
        <v>238.62</v>
      </c>
      <c r="Y1483" s="174">
        <v>326.45999999999998</v>
      </c>
    </row>
    <row r="1484" spans="1:25" ht="15" customHeight="1" x14ac:dyDescent="0.25">
      <c r="A1484" s="20" t="s">
        <v>6214</v>
      </c>
      <c r="B1484" s="14" t="s">
        <v>6215</v>
      </c>
      <c r="C1484" s="71" t="str">
        <f t="shared" si="33"/>
        <v>Product Info</v>
      </c>
      <c r="D1484" s="37" t="s">
        <v>1492</v>
      </c>
      <c r="E1484" s="143">
        <v>1</v>
      </c>
      <c r="F1484" s="12" t="s">
        <v>4992</v>
      </c>
      <c r="G1484" s="38">
        <v>392.44</v>
      </c>
      <c r="H1484" s="38">
        <v>333.59</v>
      </c>
      <c r="I1484" s="38">
        <v>274.70999999999998</v>
      </c>
      <c r="J1484" s="39"/>
      <c r="K1484" s="143"/>
      <c r="L1484" s="22">
        <v>0</v>
      </c>
      <c r="M1484" s="22" t="s">
        <v>12488</v>
      </c>
      <c r="N1484" s="20" t="s">
        <v>14489</v>
      </c>
      <c r="O1484" s="16" t="s">
        <v>4992</v>
      </c>
      <c r="P1484" s="143">
        <v>750</v>
      </c>
      <c r="Q1484" s="121" t="s">
        <v>14285</v>
      </c>
      <c r="R1484" s="16" t="s">
        <v>9235</v>
      </c>
      <c r="S1484" s="10" t="s">
        <v>1163</v>
      </c>
      <c r="T1484" s="28" t="s">
        <v>10607</v>
      </c>
      <c r="U1484" s="20" t="s">
        <v>5359</v>
      </c>
      <c r="V1484" s="16" t="s">
        <v>6214</v>
      </c>
      <c r="W1484" s="11" t="s">
        <v>14284</v>
      </c>
      <c r="X1484" s="174">
        <v>243.82</v>
      </c>
      <c r="Y1484" s="174">
        <v>333.59</v>
      </c>
    </row>
    <row r="1485" spans="1:25" ht="15" customHeight="1" x14ac:dyDescent="0.25">
      <c r="A1485" s="20" t="s">
        <v>3048</v>
      </c>
      <c r="B1485" s="14" t="s">
        <v>3244</v>
      </c>
      <c r="C1485" s="71" t="str">
        <f t="shared" si="33"/>
        <v>Product Info</v>
      </c>
      <c r="D1485" s="37" t="s">
        <v>7828</v>
      </c>
      <c r="E1485" s="143">
        <v>1</v>
      </c>
      <c r="F1485" s="12" t="s">
        <v>4992</v>
      </c>
      <c r="G1485" s="38">
        <v>344.4</v>
      </c>
      <c r="H1485" s="38">
        <v>292.75</v>
      </c>
      <c r="I1485" s="38">
        <v>241.08</v>
      </c>
      <c r="J1485" s="39"/>
      <c r="K1485" s="143"/>
      <c r="L1485" s="22">
        <v>0</v>
      </c>
      <c r="M1485" s="22" t="s">
        <v>12488</v>
      </c>
      <c r="N1485" s="20" t="s">
        <v>14489</v>
      </c>
      <c r="O1485" s="16" t="s">
        <v>4992</v>
      </c>
      <c r="P1485" s="143">
        <v>750</v>
      </c>
      <c r="Q1485" s="121" t="s">
        <v>14285</v>
      </c>
      <c r="R1485" s="16" t="s">
        <v>9235</v>
      </c>
      <c r="S1485" s="10" t="s">
        <v>1163</v>
      </c>
      <c r="T1485" s="28" t="s">
        <v>10608</v>
      </c>
      <c r="U1485" s="20" t="s">
        <v>5359</v>
      </c>
      <c r="V1485" s="16" t="s">
        <v>3048</v>
      </c>
      <c r="W1485" s="11" t="s">
        <v>14284</v>
      </c>
      <c r="X1485" s="174">
        <v>213.97</v>
      </c>
      <c r="Y1485" s="174">
        <v>292.75</v>
      </c>
    </row>
    <row r="1486" spans="1:25" ht="15" customHeight="1" x14ac:dyDescent="0.25">
      <c r="A1486" s="20" t="s">
        <v>3245</v>
      </c>
      <c r="B1486" s="14" t="s">
        <v>3246</v>
      </c>
      <c r="C1486" s="71" t="str">
        <f t="shared" si="33"/>
        <v>Product Info</v>
      </c>
      <c r="D1486" s="37" t="s">
        <v>7820</v>
      </c>
      <c r="E1486" s="143">
        <v>1</v>
      </c>
      <c r="F1486" s="12" t="s">
        <v>4992</v>
      </c>
      <c r="G1486" s="38">
        <v>410.53</v>
      </c>
      <c r="H1486" s="38">
        <v>348.96</v>
      </c>
      <c r="I1486" s="38">
        <v>287.37</v>
      </c>
      <c r="J1486" s="39"/>
      <c r="K1486" s="143"/>
      <c r="L1486" s="22">
        <v>0.25</v>
      </c>
      <c r="M1486" s="22" t="s">
        <v>12488</v>
      </c>
      <c r="N1486" s="20" t="s">
        <v>9341</v>
      </c>
      <c r="O1486" s="16" t="s">
        <v>12608</v>
      </c>
      <c r="P1486" s="143">
        <v>750</v>
      </c>
      <c r="Q1486" s="121" t="s">
        <v>14285</v>
      </c>
      <c r="R1486" s="16" t="s">
        <v>9235</v>
      </c>
      <c r="S1486" s="10" t="s">
        <v>1163</v>
      </c>
      <c r="T1486" s="28" t="s">
        <v>10609</v>
      </c>
      <c r="U1486" s="20" t="s">
        <v>5359</v>
      </c>
      <c r="V1486" s="16" t="s">
        <v>3245</v>
      </c>
      <c r="W1486" s="11" t="s">
        <v>14284</v>
      </c>
      <c r="X1486" s="174">
        <v>255.06</v>
      </c>
      <c r="Y1486" s="174">
        <v>348.96</v>
      </c>
    </row>
    <row r="1487" spans="1:25" ht="15" customHeight="1" x14ac:dyDescent="0.25">
      <c r="A1487" s="20" t="s">
        <v>3247</v>
      </c>
      <c r="B1487" s="14" t="s">
        <v>3248</v>
      </c>
      <c r="C1487" s="71" t="str">
        <f t="shared" si="33"/>
        <v>Product Info</v>
      </c>
      <c r="D1487" s="37" t="s">
        <v>7829</v>
      </c>
      <c r="E1487" s="143">
        <v>1</v>
      </c>
      <c r="F1487" s="12" t="s">
        <v>4992</v>
      </c>
      <c r="G1487" s="38">
        <v>466.79</v>
      </c>
      <c r="H1487" s="38">
        <v>396.78</v>
      </c>
      <c r="I1487" s="38">
        <v>326.75</v>
      </c>
      <c r="J1487" s="39"/>
      <c r="K1487" s="143"/>
      <c r="L1487" s="22">
        <v>0</v>
      </c>
      <c r="M1487" s="22" t="s">
        <v>12488</v>
      </c>
      <c r="N1487" s="20" t="s">
        <v>14489</v>
      </c>
      <c r="O1487" s="16" t="s">
        <v>4992</v>
      </c>
      <c r="P1487" s="143">
        <v>750</v>
      </c>
      <c r="Q1487" s="121" t="s">
        <v>14285</v>
      </c>
      <c r="R1487" s="16" t="s">
        <v>9235</v>
      </c>
      <c r="S1487" s="10" t="s">
        <v>1163</v>
      </c>
      <c r="T1487" s="28" t="s">
        <v>10610</v>
      </c>
      <c r="U1487" s="20" t="s">
        <v>5359</v>
      </c>
      <c r="V1487" s="16" t="s">
        <v>3247</v>
      </c>
      <c r="W1487" s="11" t="s">
        <v>14284</v>
      </c>
      <c r="X1487" s="174">
        <v>290.02</v>
      </c>
      <c r="Y1487" s="174">
        <v>396.78</v>
      </c>
    </row>
    <row r="1488" spans="1:25" ht="15" customHeight="1" x14ac:dyDescent="0.25">
      <c r="A1488" s="20" t="s">
        <v>3249</v>
      </c>
      <c r="B1488" s="14" t="s">
        <v>3250</v>
      </c>
      <c r="C1488" s="71" t="str">
        <f t="shared" si="33"/>
        <v>Product Info</v>
      </c>
      <c r="D1488" s="37" t="s">
        <v>7821</v>
      </c>
      <c r="E1488" s="143">
        <v>1</v>
      </c>
      <c r="F1488" s="12" t="s">
        <v>4992</v>
      </c>
      <c r="G1488" s="38">
        <v>463.69</v>
      </c>
      <c r="H1488" s="38">
        <v>394.15</v>
      </c>
      <c r="I1488" s="38">
        <v>324.58</v>
      </c>
      <c r="J1488" s="39"/>
      <c r="K1488" s="143"/>
      <c r="L1488" s="22">
        <v>0</v>
      </c>
      <c r="M1488" s="22" t="s">
        <v>12488</v>
      </c>
      <c r="N1488" s="20" t="s">
        <v>14489</v>
      </c>
      <c r="O1488" s="16" t="s">
        <v>4992</v>
      </c>
      <c r="P1488" s="143">
        <v>750</v>
      </c>
      <c r="Q1488" s="121" t="s">
        <v>14285</v>
      </c>
      <c r="R1488" s="16" t="s">
        <v>9235</v>
      </c>
      <c r="S1488" s="10" t="s">
        <v>1163</v>
      </c>
      <c r="T1488" s="28" t="s">
        <v>10611</v>
      </c>
      <c r="U1488" s="20" t="s">
        <v>5359</v>
      </c>
      <c r="V1488" s="16" t="s">
        <v>3249</v>
      </c>
      <c r="W1488" s="11" t="s">
        <v>14284</v>
      </c>
      <c r="X1488" s="174">
        <v>288.10000000000002</v>
      </c>
      <c r="Y1488" s="174">
        <v>394.15</v>
      </c>
    </row>
    <row r="1489" spans="1:25" ht="15" customHeight="1" x14ac:dyDescent="0.25">
      <c r="A1489" s="20" t="s">
        <v>3251</v>
      </c>
      <c r="B1489" s="14" t="s">
        <v>3252</v>
      </c>
      <c r="C1489" s="71" t="str">
        <f t="shared" si="33"/>
        <v>Product Info</v>
      </c>
      <c r="D1489" s="37" t="s">
        <v>7830</v>
      </c>
      <c r="E1489" s="143">
        <v>1</v>
      </c>
      <c r="F1489" s="12" t="s">
        <v>4992</v>
      </c>
      <c r="G1489" s="38">
        <v>518.61</v>
      </c>
      <c r="H1489" s="38">
        <v>440.84</v>
      </c>
      <c r="I1489" s="38">
        <v>363.03</v>
      </c>
      <c r="J1489" s="39"/>
      <c r="K1489" s="143"/>
      <c r="L1489" s="22">
        <v>0</v>
      </c>
      <c r="M1489" s="22" t="s">
        <v>12488</v>
      </c>
      <c r="N1489" s="20" t="s">
        <v>14489</v>
      </c>
      <c r="O1489" s="16" t="s">
        <v>4992</v>
      </c>
      <c r="P1489" s="143">
        <v>750</v>
      </c>
      <c r="Q1489" s="121" t="s">
        <v>14285</v>
      </c>
      <c r="R1489" s="16" t="s">
        <v>9235</v>
      </c>
      <c r="S1489" s="10" t="s">
        <v>1163</v>
      </c>
      <c r="T1489" s="28" t="s">
        <v>10612</v>
      </c>
      <c r="U1489" s="20" t="s">
        <v>5359</v>
      </c>
      <c r="V1489" s="16" t="s">
        <v>3251</v>
      </c>
      <c r="W1489" s="11" t="s">
        <v>14284</v>
      </c>
      <c r="X1489" s="174">
        <v>322.20999999999998</v>
      </c>
      <c r="Y1489" s="174">
        <v>440.84</v>
      </c>
    </row>
    <row r="1490" spans="1:25" ht="15" customHeight="1" x14ac:dyDescent="0.25">
      <c r="A1490" s="20" t="s">
        <v>3253</v>
      </c>
      <c r="B1490" s="14" t="s">
        <v>3254</v>
      </c>
      <c r="C1490" s="71" t="str">
        <f t="shared" si="33"/>
        <v>Product Info</v>
      </c>
      <c r="D1490" s="37" t="s">
        <v>7822</v>
      </c>
      <c r="E1490" s="143">
        <v>1</v>
      </c>
      <c r="F1490" s="12" t="s">
        <v>4992</v>
      </c>
      <c r="G1490" s="38">
        <v>338.73</v>
      </c>
      <c r="H1490" s="38">
        <v>287.93</v>
      </c>
      <c r="I1490" s="38">
        <v>237.11</v>
      </c>
      <c r="J1490" s="39"/>
      <c r="K1490" s="143"/>
      <c r="L1490" s="22">
        <v>0</v>
      </c>
      <c r="M1490" s="22" t="s">
        <v>12488</v>
      </c>
      <c r="N1490" s="20" t="s">
        <v>14489</v>
      </c>
      <c r="O1490" s="16" t="s">
        <v>4992</v>
      </c>
      <c r="P1490" s="143">
        <v>750</v>
      </c>
      <c r="Q1490" s="121" t="s">
        <v>14285</v>
      </c>
      <c r="R1490" s="16" t="s">
        <v>9235</v>
      </c>
      <c r="S1490" s="10" t="s">
        <v>1163</v>
      </c>
      <c r="T1490" s="28" t="s">
        <v>10613</v>
      </c>
      <c r="U1490" s="20" t="s">
        <v>5359</v>
      </c>
      <c r="V1490" s="16" t="s">
        <v>3253</v>
      </c>
      <c r="W1490" s="11" t="s">
        <v>14284</v>
      </c>
      <c r="X1490" s="174">
        <v>210.45</v>
      </c>
      <c r="Y1490" s="174">
        <v>287.93</v>
      </c>
    </row>
    <row r="1491" spans="1:25" ht="15" customHeight="1" x14ac:dyDescent="0.25">
      <c r="A1491" s="20" t="s">
        <v>3255</v>
      </c>
      <c r="B1491" s="14" t="s">
        <v>3256</v>
      </c>
      <c r="C1491" s="71" t="str">
        <f t="shared" si="33"/>
        <v>Product Info</v>
      </c>
      <c r="D1491" s="37" t="s">
        <v>7831</v>
      </c>
      <c r="E1491" s="143">
        <v>1</v>
      </c>
      <c r="F1491" s="12" t="s">
        <v>4992</v>
      </c>
      <c r="G1491" s="38">
        <v>380.2</v>
      </c>
      <c r="H1491" s="38">
        <v>323.18</v>
      </c>
      <c r="I1491" s="38">
        <v>266.14</v>
      </c>
      <c r="J1491" s="39"/>
      <c r="K1491" s="143"/>
      <c r="L1491" s="22">
        <v>0</v>
      </c>
      <c r="M1491" s="22" t="s">
        <v>12488</v>
      </c>
      <c r="N1491" s="20" t="s">
        <v>14489</v>
      </c>
      <c r="O1491" s="16" t="s">
        <v>4992</v>
      </c>
      <c r="P1491" s="143">
        <v>750</v>
      </c>
      <c r="Q1491" s="121" t="s">
        <v>14285</v>
      </c>
      <c r="R1491" s="16" t="s">
        <v>9235</v>
      </c>
      <c r="S1491" s="10" t="s">
        <v>1163</v>
      </c>
      <c r="T1491" s="28" t="s">
        <v>10614</v>
      </c>
      <c r="U1491" s="20" t="s">
        <v>5359</v>
      </c>
      <c r="V1491" s="16" t="s">
        <v>3255</v>
      </c>
      <c r="W1491" s="11" t="s">
        <v>14284</v>
      </c>
      <c r="X1491" s="174">
        <v>236.22</v>
      </c>
      <c r="Y1491" s="174">
        <v>323.18</v>
      </c>
    </row>
    <row r="1492" spans="1:25" ht="15" customHeight="1" x14ac:dyDescent="0.25">
      <c r="A1492" s="20" t="s">
        <v>3257</v>
      </c>
      <c r="B1492" s="14" t="s">
        <v>3258</v>
      </c>
      <c r="C1492" s="71" t="str">
        <f t="shared" si="33"/>
        <v>Product Info</v>
      </c>
      <c r="D1492" s="37" t="s">
        <v>7832</v>
      </c>
      <c r="E1492" s="143">
        <v>1</v>
      </c>
      <c r="F1492" s="12" t="s">
        <v>4992</v>
      </c>
      <c r="G1492" s="38">
        <v>356.36</v>
      </c>
      <c r="H1492" s="38">
        <v>302.91000000000003</v>
      </c>
      <c r="I1492" s="38">
        <v>249.45</v>
      </c>
      <c r="J1492" s="39"/>
      <c r="K1492" s="143"/>
      <c r="L1492" s="22">
        <v>0</v>
      </c>
      <c r="M1492" s="22" t="s">
        <v>12488</v>
      </c>
      <c r="N1492" s="20" t="s">
        <v>14489</v>
      </c>
      <c r="O1492" s="16" t="s">
        <v>4992</v>
      </c>
      <c r="P1492" s="143">
        <v>750</v>
      </c>
      <c r="Q1492" s="121" t="s">
        <v>14285</v>
      </c>
      <c r="R1492" s="16" t="s">
        <v>9235</v>
      </c>
      <c r="S1492" s="10" t="s">
        <v>1163</v>
      </c>
      <c r="T1492" s="28" t="s">
        <v>10615</v>
      </c>
      <c r="U1492" s="20" t="s">
        <v>5359</v>
      </c>
      <c r="V1492" s="16" t="s">
        <v>3257</v>
      </c>
      <c r="W1492" s="11" t="s">
        <v>14284</v>
      </c>
      <c r="X1492" s="174">
        <v>221.4</v>
      </c>
      <c r="Y1492" s="174">
        <v>302.91000000000003</v>
      </c>
    </row>
    <row r="1493" spans="1:25" ht="15" customHeight="1" x14ac:dyDescent="0.25">
      <c r="A1493" s="20" t="s">
        <v>12660</v>
      </c>
      <c r="B1493" s="16" t="s">
        <v>12661</v>
      </c>
      <c r="C1493" s="71" t="str">
        <f t="shared" si="33"/>
        <v>Product Info</v>
      </c>
      <c r="D1493" s="37" t="s">
        <v>12921</v>
      </c>
      <c r="E1493" s="143">
        <v>1</v>
      </c>
      <c r="F1493" s="12" t="s">
        <v>4992</v>
      </c>
      <c r="G1493" s="38">
        <v>426.24</v>
      </c>
      <c r="H1493" s="38">
        <v>362.32</v>
      </c>
      <c r="I1493" s="38">
        <v>298.37</v>
      </c>
      <c r="J1493" s="39"/>
      <c r="K1493" s="143"/>
      <c r="L1493" s="22">
        <v>0</v>
      </c>
      <c r="M1493" s="22" t="s">
        <v>12488</v>
      </c>
      <c r="N1493" s="20" t="s">
        <v>14489</v>
      </c>
      <c r="O1493" s="16" t="s">
        <v>4992</v>
      </c>
      <c r="P1493" s="143">
        <v>750</v>
      </c>
      <c r="Q1493" s="121" t="s">
        <v>14285</v>
      </c>
      <c r="R1493" s="16" t="s">
        <v>9235</v>
      </c>
      <c r="S1493" s="10" t="s">
        <v>1163</v>
      </c>
      <c r="T1493" s="28" t="s">
        <v>12977</v>
      </c>
      <c r="U1493" s="20" t="s">
        <v>5359</v>
      </c>
      <c r="V1493" s="16" t="s">
        <v>12660</v>
      </c>
      <c r="W1493" s="11" t="s">
        <v>14284</v>
      </c>
      <c r="X1493" s="174">
        <v>264.83</v>
      </c>
      <c r="Y1493" s="174">
        <v>362.32</v>
      </c>
    </row>
    <row r="1494" spans="1:25" ht="15" customHeight="1" x14ac:dyDescent="0.25">
      <c r="A1494" s="20" t="s">
        <v>6216</v>
      </c>
      <c r="B1494" s="14" t="s">
        <v>6217</v>
      </c>
      <c r="C1494" s="71" t="str">
        <f t="shared" si="33"/>
        <v>Product Info</v>
      </c>
      <c r="D1494" s="37" t="s">
        <v>1493</v>
      </c>
      <c r="E1494" s="143">
        <v>1</v>
      </c>
      <c r="F1494" s="12" t="s">
        <v>4992</v>
      </c>
      <c r="G1494" s="38">
        <v>516.39</v>
      </c>
      <c r="H1494" s="38">
        <v>438.94</v>
      </c>
      <c r="I1494" s="38">
        <v>361.47</v>
      </c>
      <c r="J1494" s="39"/>
      <c r="K1494" s="143"/>
      <c r="L1494" s="22">
        <v>0</v>
      </c>
      <c r="M1494" s="22" t="s">
        <v>12488</v>
      </c>
      <c r="N1494" s="20" t="s">
        <v>14489</v>
      </c>
      <c r="O1494" s="16" t="s">
        <v>4992</v>
      </c>
      <c r="P1494" s="143">
        <v>750</v>
      </c>
      <c r="Q1494" s="121" t="s">
        <v>14285</v>
      </c>
      <c r="R1494" s="16" t="s">
        <v>9235</v>
      </c>
      <c r="S1494" s="10" t="s">
        <v>1163</v>
      </c>
      <c r="T1494" s="28" t="s">
        <v>10616</v>
      </c>
      <c r="U1494" s="20" t="s">
        <v>5359</v>
      </c>
      <c r="V1494" s="16" t="s">
        <v>6216</v>
      </c>
      <c r="W1494" s="11" t="s">
        <v>14284</v>
      </c>
      <c r="X1494" s="174">
        <v>320.83</v>
      </c>
      <c r="Y1494" s="174">
        <v>438.94</v>
      </c>
    </row>
    <row r="1495" spans="1:25" ht="15" customHeight="1" x14ac:dyDescent="0.25">
      <c r="A1495" s="20" t="s">
        <v>3259</v>
      </c>
      <c r="B1495" s="14" t="s">
        <v>3260</v>
      </c>
      <c r="C1495" s="71" t="str">
        <f t="shared" si="33"/>
        <v>Product Info</v>
      </c>
      <c r="D1495" s="37" t="s">
        <v>7833</v>
      </c>
      <c r="E1495" s="143">
        <v>1</v>
      </c>
      <c r="F1495" s="12" t="s">
        <v>4992</v>
      </c>
      <c r="G1495" s="38">
        <v>510.23</v>
      </c>
      <c r="H1495" s="38">
        <v>433.71</v>
      </c>
      <c r="I1495" s="38">
        <v>357.16</v>
      </c>
      <c r="J1495" s="39"/>
      <c r="K1495" s="143"/>
      <c r="L1495" s="22">
        <v>0</v>
      </c>
      <c r="M1495" s="22" t="s">
        <v>12488</v>
      </c>
      <c r="N1495" s="20" t="s">
        <v>14489</v>
      </c>
      <c r="O1495" s="16" t="s">
        <v>4992</v>
      </c>
      <c r="P1495" s="143">
        <v>750</v>
      </c>
      <c r="Q1495" s="121" t="s">
        <v>14285</v>
      </c>
      <c r="R1495" s="16" t="s">
        <v>9235</v>
      </c>
      <c r="S1495" s="10" t="s">
        <v>1163</v>
      </c>
      <c r="T1495" s="28" t="s">
        <v>10617</v>
      </c>
      <c r="U1495" s="20" t="s">
        <v>5359</v>
      </c>
      <c r="V1495" s="16" t="s">
        <v>3259</v>
      </c>
      <c r="W1495" s="11" t="s">
        <v>14284</v>
      </c>
      <c r="X1495" s="174">
        <v>317</v>
      </c>
      <c r="Y1495" s="174">
        <v>433.71</v>
      </c>
    </row>
    <row r="1496" spans="1:25" ht="15" customHeight="1" x14ac:dyDescent="0.25">
      <c r="A1496" s="20" t="s">
        <v>3261</v>
      </c>
      <c r="B1496" s="14" t="s">
        <v>3262</v>
      </c>
      <c r="C1496" s="71" t="str">
        <f t="shared" si="33"/>
        <v>Product Info</v>
      </c>
      <c r="D1496" s="37" t="s">
        <v>7823</v>
      </c>
      <c r="E1496" s="143">
        <v>1</v>
      </c>
      <c r="F1496" s="12" t="s">
        <v>4992</v>
      </c>
      <c r="G1496" s="38">
        <v>479.34</v>
      </c>
      <c r="H1496" s="38">
        <v>407.46</v>
      </c>
      <c r="I1496" s="38">
        <v>335.54</v>
      </c>
      <c r="J1496" s="39"/>
      <c r="K1496" s="143"/>
      <c r="L1496" s="22">
        <v>0</v>
      </c>
      <c r="M1496" s="22" t="s">
        <v>12488</v>
      </c>
      <c r="N1496" s="20" t="s">
        <v>14489</v>
      </c>
      <c r="O1496" s="16" t="s">
        <v>4992</v>
      </c>
      <c r="P1496" s="143">
        <v>750</v>
      </c>
      <c r="Q1496" s="121" t="s">
        <v>14285</v>
      </c>
      <c r="R1496" s="16" t="s">
        <v>9235</v>
      </c>
      <c r="S1496" s="10" t="s">
        <v>1163</v>
      </c>
      <c r="T1496" s="28" t="s">
        <v>10618</v>
      </c>
      <c r="U1496" s="20" t="s">
        <v>5359</v>
      </c>
      <c r="V1496" s="16" t="s">
        <v>3261</v>
      </c>
      <c r="W1496" s="11" t="s">
        <v>14284</v>
      </c>
      <c r="X1496" s="174">
        <v>297.81</v>
      </c>
      <c r="Y1496" s="174">
        <v>407.46</v>
      </c>
    </row>
    <row r="1497" spans="1:25" ht="15" customHeight="1" x14ac:dyDescent="0.25">
      <c r="A1497" s="20" t="s">
        <v>4602</v>
      </c>
      <c r="B1497" s="14" t="s">
        <v>4603</v>
      </c>
      <c r="C1497" s="71" t="str">
        <f t="shared" si="33"/>
        <v>Product Info</v>
      </c>
      <c r="D1497" s="37" t="s">
        <v>7824</v>
      </c>
      <c r="E1497" s="143">
        <v>1</v>
      </c>
      <c r="F1497" s="12" t="s">
        <v>4992</v>
      </c>
      <c r="G1497" s="38">
        <v>526.26</v>
      </c>
      <c r="H1497" s="38">
        <v>447.33</v>
      </c>
      <c r="I1497" s="38">
        <v>368.38</v>
      </c>
      <c r="J1497" s="39"/>
      <c r="K1497" s="143"/>
      <c r="L1497" s="22">
        <v>5.8949999999999996</v>
      </c>
      <c r="M1497" s="22" t="s">
        <v>14396</v>
      </c>
      <c r="N1497" s="20" t="s">
        <v>9335</v>
      </c>
      <c r="O1497" s="16" t="s">
        <v>13914</v>
      </c>
      <c r="P1497" s="143">
        <v>750</v>
      </c>
      <c r="Q1497" s="121" t="s">
        <v>14285</v>
      </c>
      <c r="R1497" s="16" t="s">
        <v>9235</v>
      </c>
      <c r="S1497" s="10" t="s">
        <v>1163</v>
      </c>
      <c r="T1497" s="28" t="s">
        <v>10619</v>
      </c>
      <c r="U1497" s="20" t="s">
        <v>5359</v>
      </c>
      <c r="V1497" s="16" t="s">
        <v>4602</v>
      </c>
      <c r="W1497" s="11" t="s">
        <v>14284</v>
      </c>
      <c r="X1497" s="174">
        <v>326.97000000000003</v>
      </c>
      <c r="Y1497" s="174">
        <v>447.33</v>
      </c>
    </row>
    <row r="1498" spans="1:25" ht="15" customHeight="1" x14ac:dyDescent="0.25">
      <c r="A1498" s="20" t="s">
        <v>4604</v>
      </c>
      <c r="B1498" s="14" t="s">
        <v>4605</v>
      </c>
      <c r="C1498" s="71" t="str">
        <f t="shared" si="33"/>
        <v>Product Info</v>
      </c>
      <c r="D1498" s="37" t="s">
        <v>7834</v>
      </c>
      <c r="E1498" s="143">
        <v>1</v>
      </c>
      <c r="F1498" s="12" t="s">
        <v>4992</v>
      </c>
      <c r="G1498" s="38">
        <v>563.74</v>
      </c>
      <c r="H1498" s="38">
        <v>479.2</v>
      </c>
      <c r="I1498" s="38">
        <v>394.62</v>
      </c>
      <c r="J1498" s="39"/>
      <c r="K1498" s="143"/>
      <c r="L1498" s="22">
        <v>0</v>
      </c>
      <c r="M1498" s="22" t="s">
        <v>12488</v>
      </c>
      <c r="N1498" s="20" t="s">
        <v>14489</v>
      </c>
      <c r="O1498" s="16" t="s">
        <v>4992</v>
      </c>
      <c r="P1498" s="143">
        <v>750</v>
      </c>
      <c r="Q1498" s="122" t="s">
        <v>12421</v>
      </c>
      <c r="R1498" s="16" t="s">
        <v>9235</v>
      </c>
      <c r="S1498" s="10" t="s">
        <v>1163</v>
      </c>
      <c r="T1498" s="28" t="s">
        <v>10620</v>
      </c>
      <c r="U1498" s="20" t="s">
        <v>5359</v>
      </c>
      <c r="V1498" s="16" t="s">
        <v>4604</v>
      </c>
      <c r="W1498" s="11" t="s">
        <v>14284</v>
      </c>
      <c r="X1498" s="174">
        <v>350.26</v>
      </c>
      <c r="Y1498" s="174">
        <v>479.2</v>
      </c>
    </row>
    <row r="1499" spans="1:25" ht="15" customHeight="1" x14ac:dyDescent="0.25">
      <c r="A1499" s="20" t="s">
        <v>4606</v>
      </c>
      <c r="B1499" s="14" t="s">
        <v>4607</v>
      </c>
      <c r="C1499" s="71" t="str">
        <f t="shared" si="33"/>
        <v>Product Info</v>
      </c>
      <c r="D1499" s="37" t="s">
        <v>7825</v>
      </c>
      <c r="E1499" s="143">
        <v>1</v>
      </c>
      <c r="F1499" s="12" t="s">
        <v>4992</v>
      </c>
      <c r="G1499" s="38">
        <v>687</v>
      </c>
      <c r="H1499" s="38">
        <v>583.97</v>
      </c>
      <c r="I1499" s="38">
        <v>480.9</v>
      </c>
      <c r="J1499" s="39"/>
      <c r="K1499" s="143"/>
      <c r="L1499" s="22">
        <v>0</v>
      </c>
      <c r="M1499" s="22" t="s">
        <v>12488</v>
      </c>
      <c r="N1499" s="20" t="s">
        <v>14489</v>
      </c>
      <c r="O1499" s="16" t="s">
        <v>4992</v>
      </c>
      <c r="P1499" s="143">
        <v>750</v>
      </c>
      <c r="Q1499" s="121" t="s">
        <v>14285</v>
      </c>
      <c r="R1499" s="16" t="s">
        <v>9235</v>
      </c>
      <c r="S1499" s="10" t="s">
        <v>1163</v>
      </c>
      <c r="T1499" s="28" t="s">
        <v>10621</v>
      </c>
      <c r="U1499" s="20" t="s">
        <v>5359</v>
      </c>
      <c r="V1499" s="16" t="s">
        <v>4606</v>
      </c>
      <c r="W1499" s="11" t="s">
        <v>14284</v>
      </c>
      <c r="X1499" s="174">
        <v>426.84</v>
      </c>
      <c r="Y1499" s="174">
        <v>583.97</v>
      </c>
    </row>
    <row r="1500" spans="1:25" ht="15" customHeight="1" x14ac:dyDescent="0.25">
      <c r="A1500" s="20" t="s">
        <v>4608</v>
      </c>
      <c r="B1500" s="14" t="s">
        <v>4609</v>
      </c>
      <c r="C1500" s="71" t="str">
        <f t="shared" si="33"/>
        <v>Product Info</v>
      </c>
      <c r="D1500" s="37" t="s">
        <v>7835</v>
      </c>
      <c r="E1500" s="143">
        <v>1</v>
      </c>
      <c r="F1500" s="12" t="s">
        <v>4992</v>
      </c>
      <c r="G1500" s="38">
        <v>750.73</v>
      </c>
      <c r="H1500" s="38">
        <v>638.14</v>
      </c>
      <c r="I1500" s="38">
        <v>525.51</v>
      </c>
      <c r="J1500" s="39"/>
      <c r="K1500" s="143"/>
      <c r="L1500" s="22">
        <v>0</v>
      </c>
      <c r="M1500" s="22" t="s">
        <v>12488</v>
      </c>
      <c r="N1500" s="20" t="s">
        <v>14489</v>
      </c>
      <c r="O1500" s="16" t="s">
        <v>4992</v>
      </c>
      <c r="P1500" s="143">
        <v>750</v>
      </c>
      <c r="Q1500" s="122" t="s">
        <v>12421</v>
      </c>
      <c r="R1500" s="16" t="s">
        <v>9235</v>
      </c>
      <c r="S1500" s="10" t="s">
        <v>1163</v>
      </c>
      <c r="T1500" s="28" t="s">
        <v>10622</v>
      </c>
      <c r="U1500" s="20" t="s">
        <v>5359</v>
      </c>
      <c r="V1500" s="16" t="s">
        <v>4608</v>
      </c>
      <c r="W1500" s="11" t="s">
        <v>14284</v>
      </c>
      <c r="X1500" s="174">
        <v>466.44</v>
      </c>
      <c r="Y1500" s="174">
        <v>638.14</v>
      </c>
    </row>
    <row r="1501" spans="1:25" ht="15" customHeight="1" x14ac:dyDescent="0.25">
      <c r="A1501" s="20" t="s">
        <v>4610</v>
      </c>
      <c r="B1501" s="14" t="s">
        <v>4611</v>
      </c>
      <c r="C1501" s="71" t="str">
        <f t="shared" si="33"/>
        <v>Product Info</v>
      </c>
      <c r="D1501" s="37" t="s">
        <v>7836</v>
      </c>
      <c r="E1501" s="143">
        <v>1</v>
      </c>
      <c r="F1501" s="12" t="s">
        <v>4992</v>
      </c>
      <c r="G1501" s="38">
        <v>741.71</v>
      </c>
      <c r="H1501" s="38">
        <v>630.48</v>
      </c>
      <c r="I1501" s="38">
        <v>519.20000000000005</v>
      </c>
      <c r="J1501" s="39"/>
      <c r="K1501" s="143"/>
      <c r="L1501" s="22">
        <v>0</v>
      </c>
      <c r="M1501" s="22" t="s">
        <v>12488</v>
      </c>
      <c r="N1501" s="20" t="s">
        <v>14489</v>
      </c>
      <c r="O1501" s="16" t="s">
        <v>4992</v>
      </c>
      <c r="P1501" s="143">
        <v>750</v>
      </c>
      <c r="Q1501" s="121" t="s">
        <v>14285</v>
      </c>
      <c r="R1501" s="16" t="s">
        <v>9235</v>
      </c>
      <c r="S1501" s="10" t="s">
        <v>1163</v>
      </c>
      <c r="T1501" s="28" t="s">
        <v>10623</v>
      </c>
      <c r="U1501" s="20" t="s">
        <v>5359</v>
      </c>
      <c r="V1501" s="16" t="s">
        <v>4610</v>
      </c>
      <c r="W1501" s="11" t="s">
        <v>14284</v>
      </c>
      <c r="X1501" s="174">
        <v>460.83</v>
      </c>
      <c r="Y1501" s="174">
        <v>630.48</v>
      </c>
    </row>
    <row r="1502" spans="1:25" ht="15" customHeight="1" x14ac:dyDescent="0.25">
      <c r="A1502" s="20" t="s">
        <v>1079</v>
      </c>
      <c r="B1502" s="14" t="s">
        <v>376</v>
      </c>
      <c r="C1502" s="71" t="str">
        <f t="shared" si="33"/>
        <v>Product Info</v>
      </c>
      <c r="D1502" s="37" t="s">
        <v>377</v>
      </c>
      <c r="E1502" s="143">
        <v>1</v>
      </c>
      <c r="F1502" s="12" t="s">
        <v>4992</v>
      </c>
      <c r="G1502" s="38">
        <v>852.06</v>
      </c>
      <c r="H1502" s="38">
        <v>724.27</v>
      </c>
      <c r="I1502" s="38">
        <v>596.44000000000005</v>
      </c>
      <c r="J1502" s="39"/>
      <c r="K1502" s="143"/>
      <c r="L1502" s="22">
        <v>0</v>
      </c>
      <c r="M1502" s="22" t="s">
        <v>12488</v>
      </c>
      <c r="N1502" s="20" t="s">
        <v>14489</v>
      </c>
      <c r="O1502" s="16" t="s">
        <v>4992</v>
      </c>
      <c r="P1502" s="143">
        <v>750</v>
      </c>
      <c r="Q1502" s="121" t="s">
        <v>14285</v>
      </c>
      <c r="R1502" s="16" t="s">
        <v>9235</v>
      </c>
      <c r="S1502" s="10" t="s">
        <v>1163</v>
      </c>
      <c r="T1502" s="28" t="s">
        <v>10624</v>
      </c>
      <c r="U1502" s="20" t="s">
        <v>5359</v>
      </c>
      <c r="V1502" s="16" t="s">
        <v>1079</v>
      </c>
      <c r="W1502" s="11" t="s">
        <v>14284</v>
      </c>
      <c r="X1502" s="174">
        <v>529.38</v>
      </c>
      <c r="Y1502" s="174">
        <v>724.27</v>
      </c>
    </row>
    <row r="1503" spans="1:25" ht="15" customHeight="1" x14ac:dyDescent="0.25">
      <c r="A1503" s="20" t="s">
        <v>1080</v>
      </c>
      <c r="B1503" s="14" t="s">
        <v>1081</v>
      </c>
      <c r="C1503" s="71" t="str">
        <f t="shared" si="33"/>
        <v>Product Info</v>
      </c>
      <c r="D1503" s="37" t="s">
        <v>1082</v>
      </c>
      <c r="E1503" s="143">
        <v>1</v>
      </c>
      <c r="F1503" s="12" t="s">
        <v>4992</v>
      </c>
      <c r="G1503" s="38">
        <v>927.71</v>
      </c>
      <c r="H1503" s="38">
        <v>788.59</v>
      </c>
      <c r="I1503" s="38">
        <v>649.4</v>
      </c>
      <c r="J1503" s="39"/>
      <c r="K1503" s="143"/>
      <c r="L1503" s="22">
        <v>0</v>
      </c>
      <c r="M1503" s="22" t="s">
        <v>12488</v>
      </c>
      <c r="N1503" s="20" t="s">
        <v>14489</v>
      </c>
      <c r="O1503" s="16" t="s">
        <v>4992</v>
      </c>
      <c r="P1503" s="143">
        <v>750</v>
      </c>
      <c r="Q1503" s="122" t="s">
        <v>12421</v>
      </c>
      <c r="R1503" s="16" t="s">
        <v>9235</v>
      </c>
      <c r="S1503" s="10" t="s">
        <v>1163</v>
      </c>
      <c r="T1503" s="28" t="s">
        <v>10625</v>
      </c>
      <c r="U1503" s="20" t="s">
        <v>5359</v>
      </c>
      <c r="V1503" s="16" t="s">
        <v>1080</v>
      </c>
      <c r="W1503" s="11" t="s">
        <v>14284</v>
      </c>
      <c r="X1503" s="174">
        <v>576.38</v>
      </c>
      <c r="Y1503" s="174">
        <v>788.59</v>
      </c>
    </row>
    <row r="1504" spans="1:25" ht="15" customHeight="1" x14ac:dyDescent="0.25">
      <c r="A1504" s="20" t="s">
        <v>8965</v>
      </c>
      <c r="B1504" s="14" t="s">
        <v>8973</v>
      </c>
      <c r="C1504" s="71" t="str">
        <f t="shared" si="33"/>
        <v>Product Info</v>
      </c>
      <c r="D1504" s="37" t="s">
        <v>8981</v>
      </c>
      <c r="E1504" s="143">
        <v>1</v>
      </c>
      <c r="F1504" s="12" t="s">
        <v>4992</v>
      </c>
      <c r="G1504" s="38">
        <v>392.34</v>
      </c>
      <c r="H1504" s="38">
        <v>333.5</v>
      </c>
      <c r="I1504" s="38">
        <v>274.64</v>
      </c>
      <c r="J1504" s="39"/>
      <c r="K1504" s="143"/>
      <c r="L1504" s="22">
        <v>1.702</v>
      </c>
      <c r="M1504" s="22" t="s">
        <v>12488</v>
      </c>
      <c r="N1504" s="20" t="s">
        <v>9342</v>
      </c>
      <c r="O1504" s="16" t="s">
        <v>13912</v>
      </c>
      <c r="P1504" s="143">
        <v>750</v>
      </c>
      <c r="Q1504" s="122" t="s">
        <v>12421</v>
      </c>
      <c r="R1504" s="16" t="s">
        <v>8904</v>
      </c>
      <c r="S1504" s="10" t="s">
        <v>1163</v>
      </c>
      <c r="T1504" s="28" t="s">
        <v>13139</v>
      </c>
      <c r="U1504" s="20" t="s">
        <v>5359</v>
      </c>
      <c r="V1504" s="16" t="s">
        <v>8965</v>
      </c>
      <c r="W1504" s="11" t="s">
        <v>14284</v>
      </c>
      <c r="X1504" s="174">
        <v>243.76</v>
      </c>
      <c r="Y1504" s="174">
        <v>333.5</v>
      </c>
    </row>
    <row r="1505" spans="1:25" ht="15" customHeight="1" x14ac:dyDescent="0.25">
      <c r="A1505" s="20" t="s">
        <v>8989</v>
      </c>
      <c r="B1505" s="14" t="s">
        <v>8997</v>
      </c>
      <c r="C1505" s="71" t="str">
        <f t="shared" si="33"/>
        <v>Product Info</v>
      </c>
      <c r="D1505" s="37" t="s">
        <v>9005</v>
      </c>
      <c r="E1505" s="143">
        <v>1</v>
      </c>
      <c r="F1505" s="12" t="s">
        <v>4992</v>
      </c>
      <c r="G1505" s="38">
        <v>411.93</v>
      </c>
      <c r="H1505" s="38">
        <v>350.15</v>
      </c>
      <c r="I1505" s="38">
        <v>288.35000000000002</v>
      </c>
      <c r="J1505" s="39"/>
      <c r="K1505" s="143"/>
      <c r="L1505" s="22">
        <v>1.702</v>
      </c>
      <c r="M1505" s="22" t="s">
        <v>12488</v>
      </c>
      <c r="N1505" s="20" t="s">
        <v>9342</v>
      </c>
      <c r="O1505" s="16" t="s">
        <v>13912</v>
      </c>
      <c r="P1505" s="143">
        <v>750</v>
      </c>
      <c r="Q1505" s="121" t="s">
        <v>14285</v>
      </c>
      <c r="R1505" s="16" t="s">
        <v>8904</v>
      </c>
      <c r="S1505" s="10" t="s">
        <v>1163</v>
      </c>
      <c r="T1505" s="28" t="s">
        <v>13149</v>
      </c>
      <c r="U1505" s="20" t="s">
        <v>5359</v>
      </c>
      <c r="V1505" s="16" t="s">
        <v>8989</v>
      </c>
      <c r="W1505" s="11" t="s">
        <v>14284</v>
      </c>
      <c r="X1505" s="174">
        <v>255.94</v>
      </c>
      <c r="Y1505" s="174">
        <v>350.15</v>
      </c>
    </row>
    <row r="1506" spans="1:25" ht="15" customHeight="1" x14ac:dyDescent="0.25">
      <c r="A1506" s="20" t="s">
        <v>8990</v>
      </c>
      <c r="B1506" s="14" t="s">
        <v>8998</v>
      </c>
      <c r="C1506" s="71" t="str">
        <f t="shared" si="33"/>
        <v>Product Info</v>
      </c>
      <c r="D1506" s="37" t="s">
        <v>9006</v>
      </c>
      <c r="E1506" s="143">
        <v>1</v>
      </c>
      <c r="F1506" s="12" t="s">
        <v>4992</v>
      </c>
      <c r="G1506" s="38">
        <v>414.99</v>
      </c>
      <c r="H1506" s="38">
        <v>352.75</v>
      </c>
      <c r="I1506" s="38">
        <v>290.49</v>
      </c>
      <c r="J1506" s="39"/>
      <c r="K1506" s="143"/>
      <c r="L1506" s="22">
        <v>1.702</v>
      </c>
      <c r="M1506" s="22" t="s">
        <v>12488</v>
      </c>
      <c r="N1506" s="20" t="s">
        <v>9342</v>
      </c>
      <c r="O1506" s="16" t="s">
        <v>13912</v>
      </c>
      <c r="P1506" s="143">
        <v>750</v>
      </c>
      <c r="Q1506" s="121" t="s">
        <v>14285</v>
      </c>
      <c r="R1506" s="16" t="s">
        <v>8904</v>
      </c>
      <c r="S1506" s="10" t="s">
        <v>1163</v>
      </c>
      <c r="T1506" s="28" t="s">
        <v>13144</v>
      </c>
      <c r="U1506" s="20" t="s">
        <v>5359</v>
      </c>
      <c r="V1506" s="16" t="s">
        <v>8990</v>
      </c>
      <c r="W1506" s="11" t="s">
        <v>14284</v>
      </c>
      <c r="X1506" s="174">
        <v>257.83999999999997</v>
      </c>
      <c r="Y1506" s="174">
        <v>352.75</v>
      </c>
    </row>
    <row r="1507" spans="1:25" ht="15" customHeight="1" x14ac:dyDescent="0.25">
      <c r="A1507" s="20" t="s">
        <v>8966</v>
      </c>
      <c r="B1507" s="14" t="s">
        <v>8974</v>
      </c>
      <c r="C1507" s="71" t="str">
        <f t="shared" si="33"/>
        <v>Product Info</v>
      </c>
      <c r="D1507" s="37" t="s">
        <v>8982</v>
      </c>
      <c r="E1507" s="143">
        <v>1</v>
      </c>
      <c r="F1507" s="12" t="s">
        <v>4992</v>
      </c>
      <c r="G1507" s="38">
        <v>395.21</v>
      </c>
      <c r="H1507" s="38">
        <v>335.94</v>
      </c>
      <c r="I1507" s="38">
        <v>276.64999999999998</v>
      </c>
      <c r="J1507" s="39"/>
      <c r="K1507" s="143"/>
      <c r="L1507" s="22">
        <v>1.702</v>
      </c>
      <c r="M1507" s="22" t="s">
        <v>12488</v>
      </c>
      <c r="N1507" s="20" t="s">
        <v>9342</v>
      </c>
      <c r="O1507" s="16" t="s">
        <v>13912</v>
      </c>
      <c r="P1507" s="143">
        <v>750</v>
      </c>
      <c r="Q1507" s="122" t="s">
        <v>12421</v>
      </c>
      <c r="R1507" s="16" t="s">
        <v>8904</v>
      </c>
      <c r="S1507" s="10" t="s">
        <v>1163</v>
      </c>
      <c r="T1507" s="28" t="s">
        <v>13140</v>
      </c>
      <c r="U1507" s="20" t="s">
        <v>5359</v>
      </c>
      <c r="V1507" s="16" t="s">
        <v>8966</v>
      </c>
      <c r="W1507" s="11" t="s">
        <v>14284</v>
      </c>
      <c r="X1507" s="174">
        <v>245.55</v>
      </c>
      <c r="Y1507" s="174">
        <v>335.94</v>
      </c>
    </row>
    <row r="1508" spans="1:25" ht="15" customHeight="1" x14ac:dyDescent="0.25">
      <c r="A1508" s="20" t="s">
        <v>8991</v>
      </c>
      <c r="B1508" s="14" t="s">
        <v>8999</v>
      </c>
      <c r="C1508" s="71" t="str">
        <f t="shared" si="33"/>
        <v>Product Info</v>
      </c>
      <c r="D1508" s="37" t="s">
        <v>9007</v>
      </c>
      <c r="E1508" s="143">
        <v>1</v>
      </c>
      <c r="F1508" s="12" t="s">
        <v>4992</v>
      </c>
      <c r="G1508" s="38">
        <v>439.2</v>
      </c>
      <c r="H1508" s="38">
        <v>373.33</v>
      </c>
      <c r="I1508" s="38">
        <v>307.44</v>
      </c>
      <c r="J1508" s="39"/>
      <c r="K1508" s="143"/>
      <c r="L1508" s="22">
        <v>1.702</v>
      </c>
      <c r="M1508" s="22" t="s">
        <v>12488</v>
      </c>
      <c r="N1508" s="20" t="s">
        <v>9342</v>
      </c>
      <c r="O1508" s="16" t="s">
        <v>13912</v>
      </c>
      <c r="P1508" s="143">
        <v>750</v>
      </c>
      <c r="Q1508" s="122" t="s">
        <v>12421</v>
      </c>
      <c r="R1508" s="16" t="s">
        <v>8904</v>
      </c>
      <c r="S1508" s="10" t="s">
        <v>1163</v>
      </c>
      <c r="T1508" s="28" t="s">
        <v>13147</v>
      </c>
      <c r="U1508" s="20" t="s">
        <v>5359</v>
      </c>
      <c r="V1508" s="16" t="s">
        <v>8991</v>
      </c>
      <c r="W1508" s="11" t="s">
        <v>14284</v>
      </c>
      <c r="X1508" s="174">
        <v>272.88</v>
      </c>
      <c r="Y1508" s="174">
        <v>373.33</v>
      </c>
    </row>
    <row r="1509" spans="1:25" ht="15" customHeight="1" x14ac:dyDescent="0.25">
      <c r="A1509" s="20" t="s">
        <v>8967</v>
      </c>
      <c r="B1509" s="14" t="s">
        <v>8975</v>
      </c>
      <c r="C1509" s="71" t="str">
        <f t="shared" si="33"/>
        <v>Product Info</v>
      </c>
      <c r="D1509" s="37" t="s">
        <v>8983</v>
      </c>
      <c r="E1509" s="143">
        <v>1</v>
      </c>
      <c r="F1509" s="12" t="s">
        <v>4992</v>
      </c>
      <c r="G1509" s="38">
        <v>418.29</v>
      </c>
      <c r="H1509" s="38">
        <v>355.56</v>
      </c>
      <c r="I1509" s="38">
        <v>292.8</v>
      </c>
      <c r="J1509" s="39"/>
      <c r="K1509" s="143"/>
      <c r="L1509" s="22">
        <v>1.702</v>
      </c>
      <c r="M1509" s="22" t="s">
        <v>12488</v>
      </c>
      <c r="N1509" s="20" t="s">
        <v>9342</v>
      </c>
      <c r="O1509" s="16" t="s">
        <v>13912</v>
      </c>
      <c r="P1509" s="143">
        <v>750</v>
      </c>
      <c r="Q1509" s="122" t="s">
        <v>12421</v>
      </c>
      <c r="R1509" s="16" t="s">
        <v>8904</v>
      </c>
      <c r="S1509" s="10" t="s">
        <v>1163</v>
      </c>
      <c r="T1509" s="28" t="s">
        <v>13141</v>
      </c>
      <c r="U1509" s="20" t="s">
        <v>5359</v>
      </c>
      <c r="V1509" s="16" t="s">
        <v>8967</v>
      </c>
      <c r="W1509" s="11" t="s">
        <v>14284</v>
      </c>
      <c r="X1509" s="174">
        <v>259.88</v>
      </c>
      <c r="Y1509" s="174">
        <v>355.56</v>
      </c>
    </row>
    <row r="1510" spans="1:25" ht="15" customHeight="1" x14ac:dyDescent="0.25">
      <c r="A1510" s="20" t="s">
        <v>8992</v>
      </c>
      <c r="B1510" s="14" t="s">
        <v>9000</v>
      </c>
      <c r="C1510" s="71" t="str">
        <f t="shared" si="33"/>
        <v>Product Info</v>
      </c>
      <c r="D1510" s="37" t="s">
        <v>9008</v>
      </c>
      <c r="E1510" s="143">
        <v>1</v>
      </c>
      <c r="F1510" s="12" t="s">
        <v>4992</v>
      </c>
      <c r="G1510" s="38">
        <v>411.93</v>
      </c>
      <c r="H1510" s="38">
        <v>350.15</v>
      </c>
      <c r="I1510" s="38">
        <v>288.35000000000002</v>
      </c>
      <c r="J1510" s="39"/>
      <c r="K1510" s="143"/>
      <c r="L1510" s="22">
        <v>1.702</v>
      </c>
      <c r="M1510" s="22" t="s">
        <v>12488</v>
      </c>
      <c r="N1510" s="20" t="s">
        <v>9342</v>
      </c>
      <c r="O1510" s="16" t="s">
        <v>13912</v>
      </c>
      <c r="P1510" s="143">
        <v>750</v>
      </c>
      <c r="Q1510" s="121" t="s">
        <v>14285</v>
      </c>
      <c r="R1510" s="16" t="s">
        <v>8904</v>
      </c>
      <c r="S1510" s="10" t="s">
        <v>1163</v>
      </c>
      <c r="T1510" s="28" t="s">
        <v>13148</v>
      </c>
      <c r="U1510" s="20" t="s">
        <v>5359</v>
      </c>
      <c r="V1510" s="16" t="s">
        <v>8992</v>
      </c>
      <c r="W1510" s="11" t="s">
        <v>14284</v>
      </c>
      <c r="X1510" s="174">
        <v>255.94</v>
      </c>
      <c r="Y1510" s="174">
        <v>350.15</v>
      </c>
    </row>
    <row r="1511" spans="1:25" ht="15" customHeight="1" x14ac:dyDescent="0.25">
      <c r="A1511" s="20" t="s">
        <v>8968</v>
      </c>
      <c r="B1511" s="14" t="s">
        <v>8976</v>
      </c>
      <c r="C1511" s="71" t="str">
        <f t="shared" si="33"/>
        <v>Product Info</v>
      </c>
      <c r="D1511" s="37" t="s">
        <v>8984</v>
      </c>
      <c r="E1511" s="143">
        <v>1</v>
      </c>
      <c r="F1511" s="12" t="s">
        <v>4992</v>
      </c>
      <c r="G1511" s="38">
        <v>392.34</v>
      </c>
      <c r="H1511" s="38">
        <v>333.5</v>
      </c>
      <c r="I1511" s="38">
        <v>274.64</v>
      </c>
      <c r="J1511" s="39"/>
      <c r="K1511" s="143"/>
      <c r="L1511" s="22">
        <v>1.702</v>
      </c>
      <c r="M1511" s="22" t="s">
        <v>12488</v>
      </c>
      <c r="N1511" s="20" t="s">
        <v>9342</v>
      </c>
      <c r="O1511" s="16" t="s">
        <v>13912</v>
      </c>
      <c r="P1511" s="143">
        <v>750</v>
      </c>
      <c r="Q1511" s="122" t="s">
        <v>12421</v>
      </c>
      <c r="R1511" s="16" t="s">
        <v>8904</v>
      </c>
      <c r="S1511" s="10" t="s">
        <v>1163</v>
      </c>
      <c r="T1511" s="28" t="s">
        <v>13137</v>
      </c>
      <c r="U1511" s="20" t="s">
        <v>5359</v>
      </c>
      <c r="V1511" s="16" t="s">
        <v>8968</v>
      </c>
      <c r="W1511" s="11" t="s">
        <v>14284</v>
      </c>
      <c r="X1511" s="174">
        <v>243.76</v>
      </c>
      <c r="Y1511" s="174">
        <v>333.5</v>
      </c>
    </row>
    <row r="1512" spans="1:25" ht="15" customHeight="1" x14ac:dyDescent="0.25">
      <c r="A1512" s="20" t="s">
        <v>8993</v>
      </c>
      <c r="B1512" s="14" t="s">
        <v>9001</v>
      </c>
      <c r="C1512" s="71" t="str">
        <f t="shared" si="33"/>
        <v>Product Info</v>
      </c>
      <c r="D1512" s="37" t="s">
        <v>9009</v>
      </c>
      <c r="E1512" s="143">
        <v>1</v>
      </c>
      <c r="F1512" s="12" t="s">
        <v>4992</v>
      </c>
      <c r="G1512" s="38">
        <v>408.93</v>
      </c>
      <c r="H1512" s="38">
        <v>347.6</v>
      </c>
      <c r="I1512" s="38">
        <v>286.25</v>
      </c>
      <c r="J1512" s="39"/>
      <c r="K1512" s="143"/>
      <c r="L1512" s="22">
        <v>1.702</v>
      </c>
      <c r="M1512" s="22" t="s">
        <v>12488</v>
      </c>
      <c r="N1512" s="20" t="s">
        <v>9342</v>
      </c>
      <c r="O1512" s="16" t="s">
        <v>13912</v>
      </c>
      <c r="P1512" s="143">
        <v>750</v>
      </c>
      <c r="Q1512" s="122" t="s">
        <v>12421</v>
      </c>
      <c r="R1512" s="16" t="s">
        <v>8904</v>
      </c>
      <c r="S1512" s="10" t="s">
        <v>1163</v>
      </c>
      <c r="T1512" s="28" t="s">
        <v>13142</v>
      </c>
      <c r="U1512" s="20" t="s">
        <v>5359</v>
      </c>
      <c r="V1512" s="16" t="s">
        <v>8993</v>
      </c>
      <c r="W1512" s="11" t="s">
        <v>14284</v>
      </c>
      <c r="X1512" s="174">
        <v>254.06</v>
      </c>
      <c r="Y1512" s="174">
        <v>347.6</v>
      </c>
    </row>
    <row r="1513" spans="1:25" ht="15" customHeight="1" x14ac:dyDescent="0.25">
      <c r="A1513" s="20" t="s">
        <v>8969</v>
      </c>
      <c r="B1513" s="14" t="s">
        <v>8977</v>
      </c>
      <c r="C1513" s="71" t="str">
        <f t="shared" si="33"/>
        <v>Product Info</v>
      </c>
      <c r="D1513" s="37" t="s">
        <v>8985</v>
      </c>
      <c r="E1513" s="143">
        <v>1</v>
      </c>
      <c r="F1513" s="12" t="s">
        <v>4992</v>
      </c>
      <c r="G1513" s="38">
        <v>389.43</v>
      </c>
      <c r="H1513" s="38">
        <v>331.03</v>
      </c>
      <c r="I1513" s="38">
        <v>272.60000000000002</v>
      </c>
      <c r="J1513" s="39"/>
      <c r="K1513" s="143"/>
      <c r="L1513" s="22">
        <v>1.702</v>
      </c>
      <c r="M1513" s="22" t="s">
        <v>12488</v>
      </c>
      <c r="N1513" s="20" t="s">
        <v>9342</v>
      </c>
      <c r="O1513" s="16" t="s">
        <v>13912</v>
      </c>
      <c r="P1513" s="143">
        <v>750</v>
      </c>
      <c r="Q1513" s="122" t="s">
        <v>12421</v>
      </c>
      <c r="R1513" s="16" t="s">
        <v>8904</v>
      </c>
      <c r="S1513" s="10" t="s">
        <v>1163</v>
      </c>
      <c r="T1513" s="28" t="s">
        <v>13153</v>
      </c>
      <c r="U1513" s="20" t="s">
        <v>5359</v>
      </c>
      <c r="V1513" s="16" t="s">
        <v>8969</v>
      </c>
      <c r="W1513" s="11" t="s">
        <v>14284</v>
      </c>
      <c r="X1513" s="174">
        <v>241.96</v>
      </c>
      <c r="Y1513" s="174">
        <v>331.03</v>
      </c>
    </row>
    <row r="1514" spans="1:25" ht="15" customHeight="1" x14ac:dyDescent="0.25">
      <c r="A1514" s="20" t="s">
        <v>8970</v>
      </c>
      <c r="B1514" s="14" t="s">
        <v>8978</v>
      </c>
      <c r="C1514" s="71" t="str">
        <f t="shared" si="33"/>
        <v>Product Info</v>
      </c>
      <c r="D1514" s="37" t="s">
        <v>8986</v>
      </c>
      <c r="E1514" s="143">
        <v>1</v>
      </c>
      <c r="F1514" s="12" t="s">
        <v>4992</v>
      </c>
      <c r="G1514" s="38">
        <v>395.21</v>
      </c>
      <c r="H1514" s="38">
        <v>335.94</v>
      </c>
      <c r="I1514" s="38">
        <v>276.64999999999998</v>
      </c>
      <c r="J1514" s="39"/>
      <c r="K1514" s="143"/>
      <c r="L1514" s="22">
        <v>1.702</v>
      </c>
      <c r="M1514" s="22" t="s">
        <v>12488</v>
      </c>
      <c r="N1514" s="20" t="s">
        <v>9342</v>
      </c>
      <c r="O1514" s="16" t="s">
        <v>13912</v>
      </c>
      <c r="P1514" s="143">
        <v>750</v>
      </c>
      <c r="Q1514" s="122" t="s">
        <v>12421</v>
      </c>
      <c r="R1514" s="16" t="s">
        <v>8904</v>
      </c>
      <c r="S1514" s="10" t="s">
        <v>1163</v>
      </c>
      <c r="T1514" s="28" t="s">
        <v>13152</v>
      </c>
      <c r="U1514" s="20" t="s">
        <v>5359</v>
      </c>
      <c r="V1514" s="16" t="s">
        <v>8970</v>
      </c>
      <c r="W1514" s="11" t="s">
        <v>14284</v>
      </c>
      <c r="X1514" s="174">
        <v>245.55</v>
      </c>
      <c r="Y1514" s="174">
        <v>335.94</v>
      </c>
    </row>
    <row r="1515" spans="1:25" ht="15" customHeight="1" x14ac:dyDescent="0.25">
      <c r="A1515" s="20" t="s">
        <v>8994</v>
      </c>
      <c r="B1515" s="14" t="s">
        <v>9002</v>
      </c>
      <c r="C1515" s="71" t="str">
        <f t="shared" si="33"/>
        <v>Product Info</v>
      </c>
      <c r="D1515" s="37" t="s">
        <v>9010</v>
      </c>
      <c r="E1515" s="143">
        <v>1</v>
      </c>
      <c r="F1515" s="12" t="s">
        <v>4992</v>
      </c>
      <c r="G1515" s="38">
        <v>414.99</v>
      </c>
      <c r="H1515" s="38">
        <v>352.75</v>
      </c>
      <c r="I1515" s="38">
        <v>290.49</v>
      </c>
      <c r="J1515" s="39"/>
      <c r="K1515" s="143"/>
      <c r="L1515" s="22">
        <v>1.702</v>
      </c>
      <c r="M1515" s="22" t="s">
        <v>12488</v>
      </c>
      <c r="N1515" s="20" t="s">
        <v>9342</v>
      </c>
      <c r="O1515" s="16" t="s">
        <v>13912</v>
      </c>
      <c r="P1515" s="143">
        <v>750</v>
      </c>
      <c r="Q1515" s="121" t="s">
        <v>14285</v>
      </c>
      <c r="R1515" s="16" t="s">
        <v>8904</v>
      </c>
      <c r="S1515" s="10" t="s">
        <v>1163</v>
      </c>
      <c r="T1515" s="28" t="s">
        <v>13143</v>
      </c>
      <c r="U1515" s="20" t="s">
        <v>5359</v>
      </c>
      <c r="V1515" s="16" t="s">
        <v>8994</v>
      </c>
      <c r="W1515" s="11" t="s">
        <v>14284</v>
      </c>
      <c r="X1515" s="174">
        <v>257.83999999999997</v>
      </c>
      <c r="Y1515" s="174">
        <v>352.75</v>
      </c>
    </row>
    <row r="1516" spans="1:25" ht="15" customHeight="1" x14ac:dyDescent="0.25">
      <c r="A1516" s="20" t="s">
        <v>8995</v>
      </c>
      <c r="B1516" s="14" t="s">
        <v>9003</v>
      </c>
      <c r="C1516" s="71" t="str">
        <f t="shared" si="33"/>
        <v>Product Info</v>
      </c>
      <c r="D1516" s="37" t="s">
        <v>9011</v>
      </c>
      <c r="E1516" s="143">
        <v>1</v>
      </c>
      <c r="F1516" s="12" t="s">
        <v>4992</v>
      </c>
      <c r="G1516" s="38">
        <v>439.2</v>
      </c>
      <c r="H1516" s="38">
        <v>373.33</v>
      </c>
      <c r="I1516" s="38">
        <v>307.44</v>
      </c>
      <c r="J1516" s="39"/>
      <c r="K1516" s="143"/>
      <c r="L1516" s="22">
        <v>1.702</v>
      </c>
      <c r="M1516" s="22" t="s">
        <v>12488</v>
      </c>
      <c r="N1516" s="20" t="s">
        <v>9342</v>
      </c>
      <c r="O1516" s="16" t="s">
        <v>13912</v>
      </c>
      <c r="P1516" s="143">
        <v>750</v>
      </c>
      <c r="Q1516" s="121" t="s">
        <v>14285</v>
      </c>
      <c r="R1516" s="16" t="s">
        <v>8904</v>
      </c>
      <c r="S1516" s="10" t="s">
        <v>1163</v>
      </c>
      <c r="T1516" s="28" t="s">
        <v>13145</v>
      </c>
      <c r="U1516" s="20" t="s">
        <v>5359</v>
      </c>
      <c r="V1516" s="16" t="s">
        <v>8995</v>
      </c>
      <c r="W1516" s="11" t="s">
        <v>14284</v>
      </c>
      <c r="X1516" s="174">
        <v>272.88</v>
      </c>
      <c r="Y1516" s="174">
        <v>373.33</v>
      </c>
    </row>
    <row r="1517" spans="1:25" ht="15" customHeight="1" x14ac:dyDescent="0.25">
      <c r="A1517" s="20" t="s">
        <v>8971</v>
      </c>
      <c r="B1517" s="14" t="s">
        <v>8979</v>
      </c>
      <c r="C1517" s="71" t="str">
        <f t="shared" si="33"/>
        <v>Product Info</v>
      </c>
      <c r="D1517" s="37" t="s">
        <v>8987</v>
      </c>
      <c r="E1517" s="143">
        <v>1</v>
      </c>
      <c r="F1517" s="12" t="s">
        <v>4992</v>
      </c>
      <c r="G1517" s="38">
        <v>418.29</v>
      </c>
      <c r="H1517" s="38">
        <v>355.56</v>
      </c>
      <c r="I1517" s="38">
        <v>292.8</v>
      </c>
      <c r="J1517" s="39"/>
      <c r="K1517" s="143"/>
      <c r="L1517" s="22">
        <v>1.702</v>
      </c>
      <c r="M1517" s="22" t="s">
        <v>12488</v>
      </c>
      <c r="N1517" s="20" t="s">
        <v>9342</v>
      </c>
      <c r="O1517" s="16" t="s">
        <v>13912</v>
      </c>
      <c r="P1517" s="143">
        <v>750</v>
      </c>
      <c r="Q1517" s="122" t="s">
        <v>12421</v>
      </c>
      <c r="R1517" s="16" t="s">
        <v>8904</v>
      </c>
      <c r="S1517" s="10" t="s">
        <v>1163</v>
      </c>
      <c r="T1517" s="28" t="s">
        <v>13151</v>
      </c>
      <c r="U1517" s="20" t="s">
        <v>5359</v>
      </c>
      <c r="V1517" s="16" t="s">
        <v>8971</v>
      </c>
      <c r="W1517" s="11" t="s">
        <v>14284</v>
      </c>
      <c r="X1517" s="174">
        <v>259.88</v>
      </c>
      <c r="Y1517" s="174">
        <v>355.56</v>
      </c>
    </row>
    <row r="1518" spans="1:25" ht="15" customHeight="1" x14ac:dyDescent="0.25">
      <c r="A1518" s="20" t="s">
        <v>8972</v>
      </c>
      <c r="B1518" s="14" t="s">
        <v>8980</v>
      </c>
      <c r="C1518" s="71" t="str">
        <f t="shared" si="33"/>
        <v>Product Info</v>
      </c>
      <c r="D1518" s="37" t="s">
        <v>8988</v>
      </c>
      <c r="E1518" s="143">
        <v>1</v>
      </c>
      <c r="F1518" s="12" t="s">
        <v>4992</v>
      </c>
      <c r="G1518" s="38">
        <v>418.29</v>
      </c>
      <c r="H1518" s="38">
        <v>355.56</v>
      </c>
      <c r="I1518" s="38">
        <v>292.8</v>
      </c>
      <c r="J1518" s="39"/>
      <c r="K1518" s="143"/>
      <c r="L1518" s="22">
        <v>1.702</v>
      </c>
      <c r="M1518" s="22" t="s">
        <v>12488</v>
      </c>
      <c r="N1518" s="20" t="s">
        <v>9342</v>
      </c>
      <c r="O1518" s="16" t="s">
        <v>13912</v>
      </c>
      <c r="P1518" s="143">
        <v>750</v>
      </c>
      <c r="Q1518" s="122" t="s">
        <v>12421</v>
      </c>
      <c r="R1518" s="16" t="s">
        <v>8904</v>
      </c>
      <c r="S1518" s="10" t="s">
        <v>1163</v>
      </c>
      <c r="T1518" s="28" t="s">
        <v>13150</v>
      </c>
      <c r="U1518" s="20" t="s">
        <v>5359</v>
      </c>
      <c r="V1518" s="16" t="s">
        <v>8972</v>
      </c>
      <c r="W1518" s="11" t="s">
        <v>14284</v>
      </c>
      <c r="X1518" s="174">
        <v>259.88</v>
      </c>
      <c r="Y1518" s="174">
        <v>355.56</v>
      </c>
    </row>
    <row r="1519" spans="1:25" ht="15" customHeight="1" x14ac:dyDescent="0.25">
      <c r="A1519" s="20" t="s">
        <v>8996</v>
      </c>
      <c r="B1519" s="14" t="s">
        <v>9004</v>
      </c>
      <c r="C1519" s="71" t="str">
        <f t="shared" si="33"/>
        <v>Product Info</v>
      </c>
      <c r="D1519" s="37" t="s">
        <v>9012</v>
      </c>
      <c r="E1519" s="143">
        <v>1</v>
      </c>
      <c r="F1519" s="12" t="s">
        <v>4992</v>
      </c>
      <c r="G1519" s="38">
        <v>439.2</v>
      </c>
      <c r="H1519" s="38">
        <v>373.33</v>
      </c>
      <c r="I1519" s="38">
        <v>307.44</v>
      </c>
      <c r="J1519" s="39"/>
      <c r="K1519" s="143"/>
      <c r="L1519" s="22">
        <v>1.702</v>
      </c>
      <c r="M1519" s="22" t="s">
        <v>12488</v>
      </c>
      <c r="N1519" s="20" t="s">
        <v>9342</v>
      </c>
      <c r="O1519" s="16" t="s">
        <v>13912</v>
      </c>
      <c r="P1519" s="143">
        <v>750</v>
      </c>
      <c r="Q1519" s="122" t="s">
        <v>12421</v>
      </c>
      <c r="R1519" s="16" t="s">
        <v>8904</v>
      </c>
      <c r="S1519" s="10" t="s">
        <v>1163</v>
      </c>
      <c r="T1519" s="28" t="s">
        <v>13146</v>
      </c>
      <c r="U1519" s="20" t="s">
        <v>5359</v>
      </c>
      <c r="V1519" s="16" t="s">
        <v>8996</v>
      </c>
      <c r="W1519" s="11" t="s">
        <v>14284</v>
      </c>
      <c r="X1519" s="174">
        <v>272.88</v>
      </c>
      <c r="Y1519" s="174">
        <v>373.33</v>
      </c>
    </row>
    <row r="1520" spans="1:25" ht="15" customHeight="1" x14ac:dyDescent="0.25">
      <c r="A1520" s="20" t="s">
        <v>4612</v>
      </c>
      <c r="B1520" s="14" t="s">
        <v>4613</v>
      </c>
      <c r="C1520" s="71" t="str">
        <f t="shared" si="33"/>
        <v>Product Info</v>
      </c>
      <c r="D1520" s="37" t="s">
        <v>4230</v>
      </c>
      <c r="E1520" s="143">
        <v>1</v>
      </c>
      <c r="F1520" s="12" t="s">
        <v>4992</v>
      </c>
      <c r="G1520" s="38">
        <v>29.64</v>
      </c>
      <c r="H1520" s="38">
        <v>25.2</v>
      </c>
      <c r="I1520" s="38">
        <v>20.75</v>
      </c>
      <c r="J1520" s="39"/>
      <c r="K1520" s="143"/>
      <c r="L1520" s="22">
        <v>0</v>
      </c>
      <c r="M1520" s="22" t="s">
        <v>12488</v>
      </c>
      <c r="N1520" s="20" t="s">
        <v>14489</v>
      </c>
      <c r="O1520" s="16" t="s">
        <v>4992</v>
      </c>
      <c r="P1520" s="143">
        <v>750</v>
      </c>
      <c r="Q1520" s="121" t="s">
        <v>14285</v>
      </c>
      <c r="R1520" s="16" t="s">
        <v>8904</v>
      </c>
      <c r="S1520" s="10" t="s">
        <v>1163</v>
      </c>
      <c r="T1520" s="28" t="s">
        <v>10627</v>
      </c>
      <c r="U1520" s="20" t="s">
        <v>5359</v>
      </c>
      <c r="V1520" s="16" t="s">
        <v>4612</v>
      </c>
      <c r="W1520" s="11" t="s">
        <v>14284</v>
      </c>
      <c r="X1520" s="174">
        <v>18.41</v>
      </c>
      <c r="Y1520" s="174">
        <v>25.2</v>
      </c>
    </row>
    <row r="1521" spans="1:25" ht="15" customHeight="1" x14ac:dyDescent="0.25">
      <c r="A1521" s="20" t="s">
        <v>8005</v>
      </c>
      <c r="B1521" s="14" t="s">
        <v>8006</v>
      </c>
      <c r="C1521" s="71" t="str">
        <f t="shared" si="33"/>
        <v>Product Info</v>
      </c>
      <c r="D1521" s="37" t="s">
        <v>7843</v>
      </c>
      <c r="E1521" s="143">
        <v>1</v>
      </c>
      <c r="F1521" s="12" t="s">
        <v>4992</v>
      </c>
      <c r="G1521" s="38">
        <v>33.729999999999997</v>
      </c>
      <c r="H1521" s="38">
        <v>28.67</v>
      </c>
      <c r="I1521" s="38">
        <v>23.61</v>
      </c>
      <c r="J1521" s="39"/>
      <c r="K1521" s="143"/>
      <c r="L1521" s="22">
        <v>0</v>
      </c>
      <c r="M1521" s="22" t="s">
        <v>12488</v>
      </c>
      <c r="N1521" s="20" t="s">
        <v>14489</v>
      </c>
      <c r="O1521" s="16" t="s">
        <v>4992</v>
      </c>
      <c r="P1521" s="143">
        <v>750</v>
      </c>
      <c r="Q1521" s="121" t="s">
        <v>14285</v>
      </c>
      <c r="R1521" s="16" t="s">
        <v>8904</v>
      </c>
      <c r="S1521" s="10" t="s">
        <v>1163</v>
      </c>
      <c r="T1521" s="28" t="s">
        <v>10628</v>
      </c>
      <c r="U1521" s="20" t="s">
        <v>5359</v>
      </c>
      <c r="V1521" s="16" t="s">
        <v>8005</v>
      </c>
      <c r="W1521" s="11" t="s">
        <v>14284</v>
      </c>
      <c r="X1521" s="174">
        <v>20.96</v>
      </c>
      <c r="Y1521" s="174">
        <v>28.67</v>
      </c>
    </row>
    <row r="1522" spans="1:25" ht="15" customHeight="1" x14ac:dyDescent="0.25">
      <c r="A1522" s="20" t="s">
        <v>8007</v>
      </c>
      <c r="B1522" s="14" t="s">
        <v>8008</v>
      </c>
      <c r="C1522" s="71" t="str">
        <f t="shared" si="33"/>
        <v>Product Info</v>
      </c>
      <c r="D1522" s="37" t="s">
        <v>7844</v>
      </c>
      <c r="E1522" s="143">
        <v>1</v>
      </c>
      <c r="F1522" s="12" t="s">
        <v>4992</v>
      </c>
      <c r="G1522" s="38">
        <v>34.04</v>
      </c>
      <c r="H1522" s="38">
        <v>28.94</v>
      </c>
      <c r="I1522" s="38">
        <v>23.83</v>
      </c>
      <c r="J1522" s="39"/>
      <c r="K1522" s="143"/>
      <c r="L1522" s="22">
        <v>0</v>
      </c>
      <c r="M1522" s="22" t="s">
        <v>12488</v>
      </c>
      <c r="N1522" s="20" t="s">
        <v>14489</v>
      </c>
      <c r="O1522" s="16" t="s">
        <v>4992</v>
      </c>
      <c r="P1522" s="143">
        <v>750</v>
      </c>
      <c r="Q1522" s="121" t="s">
        <v>14285</v>
      </c>
      <c r="R1522" s="16" t="s">
        <v>8904</v>
      </c>
      <c r="S1522" s="10" t="s">
        <v>1163</v>
      </c>
      <c r="T1522" s="28" t="s">
        <v>10629</v>
      </c>
      <c r="U1522" s="20" t="s">
        <v>5359</v>
      </c>
      <c r="V1522" s="16" t="s">
        <v>8007</v>
      </c>
      <c r="W1522" s="11" t="s">
        <v>14284</v>
      </c>
      <c r="X1522" s="174">
        <v>21.15</v>
      </c>
      <c r="Y1522" s="174">
        <v>28.94</v>
      </c>
    </row>
    <row r="1523" spans="1:25" ht="15" customHeight="1" x14ac:dyDescent="0.25">
      <c r="A1523" s="20" t="s">
        <v>12635</v>
      </c>
      <c r="B1523" s="16" t="s">
        <v>12636</v>
      </c>
      <c r="C1523" s="71" t="str">
        <f t="shared" si="33"/>
        <v>Product Info</v>
      </c>
      <c r="D1523" s="37" t="s">
        <v>13083</v>
      </c>
      <c r="E1523" s="143">
        <v>1</v>
      </c>
      <c r="F1523" s="12" t="s">
        <v>4992</v>
      </c>
      <c r="G1523" s="38">
        <v>39.69</v>
      </c>
      <c r="H1523" s="38">
        <v>33.729999999999997</v>
      </c>
      <c r="I1523" s="38">
        <v>27.78</v>
      </c>
      <c r="J1523" s="39"/>
      <c r="K1523" s="143"/>
      <c r="L1523" s="22">
        <v>0</v>
      </c>
      <c r="M1523" s="22" t="s">
        <v>12488</v>
      </c>
      <c r="N1523" s="20" t="s">
        <v>14489</v>
      </c>
      <c r="O1523" s="16" t="s">
        <v>4992</v>
      </c>
      <c r="P1523" s="143">
        <v>750</v>
      </c>
      <c r="Q1523" s="121" t="s">
        <v>14285</v>
      </c>
      <c r="R1523" s="16" t="s">
        <v>8904</v>
      </c>
      <c r="S1523" s="10" t="s">
        <v>1163</v>
      </c>
      <c r="T1523" s="28" t="s">
        <v>12983</v>
      </c>
      <c r="U1523" s="20" t="s">
        <v>5359</v>
      </c>
      <c r="V1523" s="16" t="s">
        <v>12635</v>
      </c>
      <c r="W1523" s="11" t="s">
        <v>14284</v>
      </c>
      <c r="X1523" s="174">
        <v>24.65</v>
      </c>
      <c r="Y1523" s="174">
        <v>33.729999999999997</v>
      </c>
    </row>
    <row r="1524" spans="1:25" ht="15" customHeight="1" x14ac:dyDescent="0.25">
      <c r="A1524" s="20" t="s">
        <v>12658</v>
      </c>
      <c r="B1524" s="19" t="s">
        <v>12659</v>
      </c>
      <c r="C1524" s="71" t="str">
        <f t="shared" si="33"/>
        <v>Product Info</v>
      </c>
      <c r="D1524" s="37" t="s">
        <v>12698</v>
      </c>
      <c r="E1524" s="143">
        <v>1</v>
      </c>
      <c r="F1524" s="12" t="s">
        <v>4992</v>
      </c>
      <c r="G1524" s="38">
        <v>378.2</v>
      </c>
      <c r="H1524" s="38">
        <v>321.48</v>
      </c>
      <c r="I1524" s="38">
        <v>264.74</v>
      </c>
      <c r="J1524" s="39"/>
      <c r="K1524" s="143"/>
      <c r="L1524" s="22">
        <v>0</v>
      </c>
      <c r="M1524" s="22" t="s">
        <v>12488</v>
      </c>
      <c r="N1524" s="20" t="s">
        <v>14489</v>
      </c>
      <c r="O1524" s="16" t="s">
        <v>4992</v>
      </c>
      <c r="P1524" s="143">
        <v>750</v>
      </c>
      <c r="Q1524" s="121" t="s">
        <v>14285</v>
      </c>
      <c r="R1524" s="16" t="s">
        <v>8904</v>
      </c>
      <c r="S1524" s="10" t="s">
        <v>1163</v>
      </c>
      <c r="T1524" s="28" t="s">
        <v>12699</v>
      </c>
      <c r="U1524" s="20" t="s">
        <v>5359</v>
      </c>
      <c r="V1524" s="16" t="s">
        <v>12658</v>
      </c>
      <c r="W1524" s="11" t="s">
        <v>14284</v>
      </c>
      <c r="X1524" s="174">
        <v>234.98</v>
      </c>
      <c r="Y1524" s="174">
        <v>321.48</v>
      </c>
    </row>
    <row r="1525" spans="1:25" ht="15" customHeight="1" x14ac:dyDescent="0.25">
      <c r="A1525" s="20" t="s">
        <v>5067</v>
      </c>
      <c r="B1525" s="14" t="s">
        <v>5068</v>
      </c>
      <c r="C1525" s="71" t="str">
        <f t="shared" si="33"/>
        <v>Product Info</v>
      </c>
      <c r="D1525" s="37" t="s">
        <v>5069</v>
      </c>
      <c r="E1525" s="143">
        <v>1</v>
      </c>
      <c r="F1525" s="12" t="s">
        <v>4992</v>
      </c>
      <c r="G1525" s="38">
        <v>418.37</v>
      </c>
      <c r="H1525" s="38">
        <v>355.63</v>
      </c>
      <c r="I1525" s="38">
        <v>292.86</v>
      </c>
      <c r="J1525" s="39"/>
      <c r="K1525" s="143"/>
      <c r="L1525" s="22">
        <v>0</v>
      </c>
      <c r="M1525" s="22" t="s">
        <v>12488</v>
      </c>
      <c r="N1525" s="20" t="s">
        <v>14489</v>
      </c>
      <c r="O1525" s="16" t="s">
        <v>4992</v>
      </c>
      <c r="P1525" s="143">
        <v>750</v>
      </c>
      <c r="Q1525" s="121" t="s">
        <v>14285</v>
      </c>
      <c r="R1525" s="16" t="s">
        <v>8904</v>
      </c>
      <c r="S1525" s="10" t="s">
        <v>1163</v>
      </c>
      <c r="T1525" s="28" t="s">
        <v>10630</v>
      </c>
      <c r="U1525" s="20" t="s">
        <v>5359</v>
      </c>
      <c r="V1525" s="16" t="s">
        <v>5067</v>
      </c>
      <c r="W1525" s="11" t="s">
        <v>14284</v>
      </c>
      <c r="X1525" s="174">
        <v>259.94</v>
      </c>
      <c r="Y1525" s="174">
        <v>355.63</v>
      </c>
    </row>
    <row r="1526" spans="1:25" ht="15" customHeight="1" x14ac:dyDescent="0.25">
      <c r="A1526" s="20" t="s">
        <v>4342</v>
      </c>
      <c r="B1526" s="14" t="s">
        <v>4343</v>
      </c>
      <c r="C1526" s="71" t="str">
        <f t="shared" si="33"/>
        <v>Product Info</v>
      </c>
      <c r="D1526" s="37" t="s">
        <v>4344</v>
      </c>
      <c r="E1526" s="143">
        <v>1</v>
      </c>
      <c r="F1526" s="12" t="s">
        <v>4992</v>
      </c>
      <c r="G1526" s="38">
        <v>462.47</v>
      </c>
      <c r="H1526" s="38">
        <v>393.11</v>
      </c>
      <c r="I1526" s="38">
        <v>323.73</v>
      </c>
      <c r="J1526" s="39"/>
      <c r="K1526" s="143"/>
      <c r="L1526" s="22">
        <v>0</v>
      </c>
      <c r="M1526" s="22" t="s">
        <v>12488</v>
      </c>
      <c r="N1526" s="20" t="s">
        <v>14489</v>
      </c>
      <c r="O1526" s="16" t="s">
        <v>4992</v>
      </c>
      <c r="P1526" s="143">
        <v>750</v>
      </c>
      <c r="Q1526" s="121" t="s">
        <v>14285</v>
      </c>
      <c r="R1526" s="16" t="s">
        <v>8904</v>
      </c>
      <c r="S1526" s="10" t="s">
        <v>1163</v>
      </c>
      <c r="T1526" s="28" t="s">
        <v>10631</v>
      </c>
      <c r="U1526" s="20" t="s">
        <v>5359</v>
      </c>
      <c r="V1526" s="16" t="s">
        <v>4342</v>
      </c>
      <c r="W1526" s="11" t="s">
        <v>14284</v>
      </c>
      <c r="X1526" s="174">
        <v>287.33999999999997</v>
      </c>
      <c r="Y1526" s="174">
        <v>393.11</v>
      </c>
    </row>
    <row r="1527" spans="1:25" ht="15" customHeight="1" x14ac:dyDescent="0.25">
      <c r="A1527" s="20" t="s">
        <v>4345</v>
      </c>
      <c r="B1527" s="14" t="s">
        <v>4346</v>
      </c>
      <c r="C1527" s="71" t="str">
        <f t="shared" si="33"/>
        <v>Product Info</v>
      </c>
      <c r="D1527" s="37" t="s">
        <v>4347</v>
      </c>
      <c r="E1527" s="143">
        <v>1</v>
      </c>
      <c r="F1527" s="12" t="s">
        <v>4992</v>
      </c>
      <c r="G1527" s="38">
        <v>499.91</v>
      </c>
      <c r="H1527" s="38">
        <v>424.94</v>
      </c>
      <c r="I1527" s="38">
        <v>349.94</v>
      </c>
      <c r="J1527" s="39"/>
      <c r="K1527" s="143"/>
      <c r="L1527" s="22">
        <v>0</v>
      </c>
      <c r="M1527" s="22" t="s">
        <v>12488</v>
      </c>
      <c r="N1527" s="20" t="s">
        <v>14489</v>
      </c>
      <c r="O1527" s="16" t="s">
        <v>4992</v>
      </c>
      <c r="P1527" s="143">
        <v>750</v>
      </c>
      <c r="Q1527" s="121" t="s">
        <v>14285</v>
      </c>
      <c r="R1527" s="16" t="s">
        <v>8904</v>
      </c>
      <c r="S1527" s="10" t="s">
        <v>1163</v>
      </c>
      <c r="T1527" s="28" t="s">
        <v>10632</v>
      </c>
      <c r="U1527" s="20" t="s">
        <v>5359</v>
      </c>
      <c r="V1527" s="16" t="s">
        <v>4345</v>
      </c>
      <c r="W1527" s="11" t="s">
        <v>14284</v>
      </c>
      <c r="X1527" s="174">
        <v>310.60000000000002</v>
      </c>
      <c r="Y1527" s="174">
        <v>424.94</v>
      </c>
    </row>
    <row r="1528" spans="1:25" ht="15" customHeight="1" x14ac:dyDescent="0.25">
      <c r="A1528" s="20" t="s">
        <v>7725</v>
      </c>
      <c r="B1528" s="14" t="s">
        <v>7726</v>
      </c>
      <c r="C1528" s="71" t="str">
        <f t="shared" si="33"/>
        <v>Product Info</v>
      </c>
      <c r="D1528" s="37" t="s">
        <v>5833</v>
      </c>
      <c r="E1528" s="143">
        <v>1</v>
      </c>
      <c r="F1528" s="12" t="s">
        <v>4992</v>
      </c>
      <c r="G1528" s="38">
        <v>838.17</v>
      </c>
      <c r="H1528" s="38">
        <v>712.47</v>
      </c>
      <c r="I1528" s="38">
        <v>586.72</v>
      </c>
      <c r="J1528" s="39"/>
      <c r="K1528" s="143"/>
      <c r="L1528" s="22">
        <v>0</v>
      </c>
      <c r="M1528" s="22" t="s">
        <v>12488</v>
      </c>
      <c r="N1528" s="20" t="s">
        <v>14489</v>
      </c>
      <c r="O1528" s="16" t="s">
        <v>4992</v>
      </c>
      <c r="P1528" s="143">
        <v>750</v>
      </c>
      <c r="Q1528" s="121" t="s">
        <v>14285</v>
      </c>
      <c r="R1528" s="16" t="s">
        <v>8904</v>
      </c>
      <c r="S1528" s="10" t="s">
        <v>1163</v>
      </c>
      <c r="T1528" s="28" t="s">
        <v>10633</v>
      </c>
      <c r="U1528" s="20" t="s">
        <v>5359</v>
      </c>
      <c r="V1528" s="16" t="s">
        <v>7725</v>
      </c>
      <c r="W1528" s="11" t="s">
        <v>14284</v>
      </c>
      <c r="X1528" s="174">
        <v>520.75</v>
      </c>
      <c r="Y1528" s="174">
        <v>712.47</v>
      </c>
    </row>
    <row r="1529" spans="1:25" ht="15" customHeight="1" x14ac:dyDescent="0.25">
      <c r="A1529" s="20" t="s">
        <v>5834</v>
      </c>
      <c r="B1529" s="14" t="s">
        <v>5835</v>
      </c>
      <c r="C1529" s="71" t="str">
        <f t="shared" si="33"/>
        <v>Product Info</v>
      </c>
      <c r="D1529" s="37" t="s">
        <v>5836</v>
      </c>
      <c r="E1529" s="143">
        <v>1</v>
      </c>
      <c r="F1529" s="12" t="s">
        <v>4992</v>
      </c>
      <c r="G1529" s="38">
        <v>858.83</v>
      </c>
      <c r="H1529" s="38">
        <v>730.03</v>
      </c>
      <c r="I1529" s="38">
        <v>601.17999999999995</v>
      </c>
      <c r="J1529" s="39"/>
      <c r="K1529" s="143"/>
      <c r="L1529" s="22">
        <v>0</v>
      </c>
      <c r="M1529" s="22" t="s">
        <v>12488</v>
      </c>
      <c r="N1529" s="20" t="s">
        <v>14489</v>
      </c>
      <c r="O1529" s="16" t="s">
        <v>4992</v>
      </c>
      <c r="P1529" s="143">
        <v>750</v>
      </c>
      <c r="Q1529" s="121" t="s">
        <v>14285</v>
      </c>
      <c r="R1529" s="16" t="s">
        <v>8904</v>
      </c>
      <c r="S1529" s="10" t="s">
        <v>1163</v>
      </c>
      <c r="T1529" s="28" t="s">
        <v>10634</v>
      </c>
      <c r="U1529" s="20" t="s">
        <v>5359</v>
      </c>
      <c r="V1529" s="16" t="s">
        <v>5834</v>
      </c>
      <c r="W1529" s="11" t="s">
        <v>14284</v>
      </c>
      <c r="X1529" s="174">
        <v>533.6</v>
      </c>
      <c r="Y1529" s="174">
        <v>730.03</v>
      </c>
    </row>
    <row r="1530" spans="1:25" ht="15" customHeight="1" x14ac:dyDescent="0.25">
      <c r="A1530" s="20" t="s">
        <v>12637</v>
      </c>
      <c r="B1530" s="10" t="s">
        <v>12638</v>
      </c>
      <c r="C1530" s="71" t="str">
        <f t="shared" si="33"/>
        <v>Product Info</v>
      </c>
      <c r="D1530" s="37" t="s">
        <v>13159</v>
      </c>
      <c r="E1530" s="143">
        <v>1</v>
      </c>
      <c r="F1530" s="12" t="s">
        <v>4992</v>
      </c>
      <c r="G1530" s="38">
        <v>1436.07</v>
      </c>
      <c r="H1530" s="38">
        <v>1220.7</v>
      </c>
      <c r="I1530" s="38">
        <v>1005.25</v>
      </c>
      <c r="J1530" s="39"/>
      <c r="K1530" s="143"/>
      <c r="L1530" s="22">
        <v>0</v>
      </c>
      <c r="M1530" s="22" t="s">
        <v>12488</v>
      </c>
      <c r="N1530" s="20" t="s">
        <v>14489</v>
      </c>
      <c r="O1530" s="16" t="s">
        <v>4992</v>
      </c>
      <c r="P1530" s="143">
        <v>750</v>
      </c>
      <c r="Q1530" s="121" t="s">
        <v>14285</v>
      </c>
      <c r="R1530" s="16" t="s">
        <v>8904</v>
      </c>
      <c r="S1530" s="10" t="s">
        <v>1163</v>
      </c>
      <c r="T1530" s="28" t="s">
        <v>14437</v>
      </c>
      <c r="U1530" s="20" t="s">
        <v>5359</v>
      </c>
      <c r="V1530" s="14" t="s">
        <v>12637</v>
      </c>
      <c r="W1530" s="11" t="s">
        <v>14284</v>
      </c>
      <c r="X1530" s="174">
        <v>965.04</v>
      </c>
      <c r="Y1530" s="174">
        <v>1220.7</v>
      </c>
    </row>
    <row r="1531" spans="1:25" ht="15" customHeight="1" x14ac:dyDescent="0.25">
      <c r="A1531" s="20" t="s">
        <v>378</v>
      </c>
      <c r="B1531" s="14" t="s">
        <v>379</v>
      </c>
      <c r="C1531" s="71" t="str">
        <f t="shared" si="33"/>
        <v>Product Info</v>
      </c>
      <c r="D1531" s="37" t="s">
        <v>103</v>
      </c>
      <c r="E1531" s="143">
        <v>1</v>
      </c>
      <c r="F1531" s="12" t="s">
        <v>4992</v>
      </c>
      <c r="G1531" s="38">
        <v>1347.61</v>
      </c>
      <c r="H1531" s="38">
        <v>1145.51</v>
      </c>
      <c r="I1531" s="38">
        <v>943.33</v>
      </c>
      <c r="J1531" s="39"/>
      <c r="K1531" s="143"/>
      <c r="L1531" s="22">
        <v>0</v>
      </c>
      <c r="M1531" s="22" t="s">
        <v>12488</v>
      </c>
      <c r="N1531" s="20" t="s">
        <v>14489</v>
      </c>
      <c r="O1531" s="16" t="s">
        <v>4992</v>
      </c>
      <c r="P1531" s="143">
        <v>750</v>
      </c>
      <c r="Q1531" s="121" t="s">
        <v>14285</v>
      </c>
      <c r="R1531" s="16" t="s">
        <v>8904</v>
      </c>
      <c r="S1531" s="10" t="s">
        <v>1163</v>
      </c>
      <c r="T1531" s="28" t="s">
        <v>10635</v>
      </c>
      <c r="U1531" s="20" t="s">
        <v>5359</v>
      </c>
      <c r="V1531" s="16" t="s">
        <v>378</v>
      </c>
      <c r="W1531" s="11" t="s">
        <v>14284</v>
      </c>
      <c r="X1531" s="174">
        <v>837.27</v>
      </c>
      <c r="Y1531" s="174">
        <v>1145.51</v>
      </c>
    </row>
    <row r="1532" spans="1:25" ht="15" customHeight="1" x14ac:dyDescent="0.25">
      <c r="A1532" s="20" t="s">
        <v>12845</v>
      </c>
      <c r="B1532" s="16" t="s">
        <v>12887</v>
      </c>
      <c r="C1532" s="71" t="str">
        <f t="shared" si="33"/>
        <v>Product Info</v>
      </c>
      <c r="D1532" s="37" t="s">
        <v>13106</v>
      </c>
      <c r="E1532" s="143">
        <v>1</v>
      </c>
      <c r="F1532" s="143" t="s">
        <v>4992</v>
      </c>
      <c r="G1532" s="38">
        <v>74.959999999999994</v>
      </c>
      <c r="H1532" s="38">
        <v>63.72</v>
      </c>
      <c r="I1532" s="38">
        <v>52.47</v>
      </c>
      <c r="J1532" s="39"/>
      <c r="K1532" s="143"/>
      <c r="L1532" s="22">
        <v>4</v>
      </c>
      <c r="M1532" s="22" t="s">
        <v>12488</v>
      </c>
      <c r="N1532" s="20" t="s">
        <v>12529</v>
      </c>
      <c r="O1532" s="16" t="s">
        <v>13912</v>
      </c>
      <c r="P1532" s="143">
        <v>751</v>
      </c>
      <c r="Q1532" s="122" t="s">
        <v>12421</v>
      </c>
      <c r="R1532" s="16" t="s">
        <v>8904</v>
      </c>
      <c r="S1532" s="10" t="s">
        <v>1163</v>
      </c>
      <c r="T1532" s="28" t="s">
        <v>12954</v>
      </c>
      <c r="U1532" s="20" t="s">
        <v>5359</v>
      </c>
      <c r="V1532" s="20" t="s">
        <v>12845</v>
      </c>
      <c r="W1532" s="20" t="s">
        <v>14284</v>
      </c>
      <c r="X1532" s="174">
        <v>47.22</v>
      </c>
      <c r="Y1532" s="174">
        <v>58.622399999999999</v>
      </c>
    </row>
    <row r="1533" spans="1:25" ht="15" customHeight="1" x14ac:dyDescent="0.25">
      <c r="A1533" s="20" t="s">
        <v>12853</v>
      </c>
      <c r="B1533" s="16" t="s">
        <v>12895</v>
      </c>
      <c r="C1533" s="71" t="str">
        <f t="shared" si="33"/>
        <v>Product Info</v>
      </c>
      <c r="D1533" s="37" t="s">
        <v>13114</v>
      </c>
      <c r="E1533" s="143">
        <v>1</v>
      </c>
      <c r="F1533" s="143" t="s">
        <v>4992</v>
      </c>
      <c r="G1533" s="38">
        <v>56.83</v>
      </c>
      <c r="H1533" s="38">
        <v>48.31</v>
      </c>
      <c r="I1533" s="38">
        <v>39.78</v>
      </c>
      <c r="J1533" s="39"/>
      <c r="K1533" s="143"/>
      <c r="L1533" s="22">
        <v>4</v>
      </c>
      <c r="M1533" s="22" t="s">
        <v>12488</v>
      </c>
      <c r="N1533" s="20" t="s">
        <v>12529</v>
      </c>
      <c r="O1533" s="16" t="s">
        <v>13912</v>
      </c>
      <c r="P1533" s="143">
        <v>751</v>
      </c>
      <c r="Q1533" s="122" t="s">
        <v>12421</v>
      </c>
      <c r="R1533" s="16" t="s">
        <v>8904</v>
      </c>
      <c r="S1533" s="10" t="s">
        <v>1163</v>
      </c>
      <c r="T1533" s="28" t="s">
        <v>12946</v>
      </c>
      <c r="U1533" s="20" t="s">
        <v>5359</v>
      </c>
      <c r="V1533" s="20" t="s">
        <v>12853</v>
      </c>
      <c r="W1533" s="20" t="s">
        <v>14284</v>
      </c>
      <c r="X1533" s="174">
        <v>35.799999999999997</v>
      </c>
      <c r="Y1533" s="174">
        <v>44.445200000000007</v>
      </c>
    </row>
    <row r="1534" spans="1:25" ht="15" customHeight="1" x14ac:dyDescent="0.25">
      <c r="A1534" s="20" t="s">
        <v>12835</v>
      </c>
      <c r="B1534" s="45" t="s">
        <v>12878</v>
      </c>
      <c r="C1534" s="71" t="str">
        <f t="shared" si="33"/>
        <v>Product Info</v>
      </c>
      <c r="D1534" s="37" t="s">
        <v>13097</v>
      </c>
      <c r="E1534" s="143">
        <v>0</v>
      </c>
      <c r="F1534" s="143" t="s">
        <v>4992</v>
      </c>
      <c r="G1534" s="38">
        <v>95</v>
      </c>
      <c r="H1534" s="38">
        <v>80.75</v>
      </c>
      <c r="I1534" s="38">
        <v>66.5</v>
      </c>
      <c r="J1534" s="39"/>
      <c r="K1534" s="143"/>
      <c r="L1534" s="22">
        <v>4</v>
      </c>
      <c r="M1534" s="22" t="s">
        <v>12488</v>
      </c>
      <c r="N1534" s="20" t="s">
        <v>12529</v>
      </c>
      <c r="O1534" s="16" t="s">
        <v>13912</v>
      </c>
      <c r="P1534" s="143">
        <v>751</v>
      </c>
      <c r="Q1534" s="122" t="s">
        <v>12421</v>
      </c>
      <c r="R1534" s="16" t="s">
        <v>8904</v>
      </c>
      <c r="S1534" s="10" t="s">
        <v>1163</v>
      </c>
      <c r="T1534" s="28" t="s">
        <v>12963</v>
      </c>
      <c r="U1534" s="20" t="s">
        <v>5359</v>
      </c>
      <c r="V1534" s="20" t="s">
        <v>12835</v>
      </c>
      <c r="W1534" s="20" t="s">
        <v>14284</v>
      </c>
      <c r="X1534" s="174">
        <v>59.85</v>
      </c>
      <c r="Y1534" s="174">
        <v>74.290000000000006</v>
      </c>
    </row>
    <row r="1535" spans="1:25" ht="15" customHeight="1" x14ac:dyDescent="0.25">
      <c r="A1535" s="20" t="s">
        <v>12854</v>
      </c>
      <c r="B1535" s="16" t="s">
        <v>12896</v>
      </c>
      <c r="C1535" s="71" t="str">
        <f t="shared" si="33"/>
        <v>Product Info</v>
      </c>
      <c r="D1535" s="37" t="s">
        <v>13115</v>
      </c>
      <c r="E1535" s="143">
        <v>1</v>
      </c>
      <c r="F1535" s="143" t="s">
        <v>4992</v>
      </c>
      <c r="G1535" s="38">
        <v>73.77</v>
      </c>
      <c r="H1535" s="38">
        <v>62.71</v>
      </c>
      <c r="I1535" s="38">
        <v>51.64</v>
      </c>
      <c r="J1535" s="39"/>
      <c r="K1535" s="143"/>
      <c r="L1535" s="22">
        <v>4</v>
      </c>
      <c r="M1535" s="22" t="s">
        <v>12488</v>
      </c>
      <c r="N1535" s="20" t="s">
        <v>12529</v>
      </c>
      <c r="O1535" s="16" t="s">
        <v>13912</v>
      </c>
      <c r="P1535" s="143">
        <v>751</v>
      </c>
      <c r="Q1535" s="122" t="s">
        <v>12421</v>
      </c>
      <c r="R1535" s="16" t="s">
        <v>8904</v>
      </c>
      <c r="S1535" s="10" t="s">
        <v>1163</v>
      </c>
      <c r="T1535" s="28" t="s">
        <v>12945</v>
      </c>
      <c r="U1535" s="20" t="s">
        <v>5359</v>
      </c>
      <c r="V1535" s="20" t="s">
        <v>12854</v>
      </c>
      <c r="W1535" s="20" t="s">
        <v>14284</v>
      </c>
      <c r="X1535" s="174">
        <v>46.48</v>
      </c>
      <c r="Y1535" s="174">
        <v>57.693200000000004</v>
      </c>
    </row>
    <row r="1536" spans="1:25" ht="15" customHeight="1" x14ac:dyDescent="0.25">
      <c r="A1536" s="20" t="s">
        <v>12852</v>
      </c>
      <c r="B1536" s="16" t="s">
        <v>12894</v>
      </c>
      <c r="C1536" s="71" t="str">
        <f t="shared" si="33"/>
        <v>Product Info</v>
      </c>
      <c r="D1536" s="37" t="s">
        <v>13113</v>
      </c>
      <c r="E1536" s="143">
        <v>1</v>
      </c>
      <c r="F1536" s="143" t="s">
        <v>4992</v>
      </c>
      <c r="G1536" s="38">
        <v>118.1</v>
      </c>
      <c r="H1536" s="38">
        <v>100.39</v>
      </c>
      <c r="I1536" s="38">
        <v>82.67</v>
      </c>
      <c r="J1536" s="39"/>
      <c r="K1536" s="143"/>
      <c r="L1536" s="22">
        <v>4</v>
      </c>
      <c r="M1536" s="22" t="s">
        <v>12488</v>
      </c>
      <c r="N1536" s="20" t="s">
        <v>12529</v>
      </c>
      <c r="O1536" s="16" t="s">
        <v>13912</v>
      </c>
      <c r="P1536" s="143">
        <v>751</v>
      </c>
      <c r="Q1536" s="122" t="s">
        <v>12421</v>
      </c>
      <c r="R1536" s="16" t="s">
        <v>8904</v>
      </c>
      <c r="S1536" s="10" t="s">
        <v>1163</v>
      </c>
      <c r="T1536" s="28" t="s">
        <v>12947</v>
      </c>
      <c r="U1536" s="20" t="s">
        <v>5359</v>
      </c>
      <c r="V1536" s="20" t="s">
        <v>12852</v>
      </c>
      <c r="W1536" s="20" t="s">
        <v>14284</v>
      </c>
      <c r="X1536" s="174">
        <v>74.400000000000006</v>
      </c>
      <c r="Y1536" s="174">
        <v>92.358800000000002</v>
      </c>
    </row>
    <row r="1537" spans="1:25" ht="15" customHeight="1" x14ac:dyDescent="0.25">
      <c r="A1537" s="20" t="s">
        <v>12855</v>
      </c>
      <c r="B1537" s="16" t="s">
        <v>12897</v>
      </c>
      <c r="C1537" s="71" t="str">
        <f t="shared" si="33"/>
        <v>Product Info</v>
      </c>
      <c r="D1537" s="37" t="s">
        <v>13116</v>
      </c>
      <c r="E1537" s="143">
        <v>1</v>
      </c>
      <c r="F1537" s="143" t="s">
        <v>4992</v>
      </c>
      <c r="G1537" s="38">
        <v>112.96</v>
      </c>
      <c r="H1537" s="38">
        <v>96.02</v>
      </c>
      <c r="I1537" s="38">
        <v>79.069999999999993</v>
      </c>
      <c r="J1537" s="39"/>
      <c r="K1537" s="143"/>
      <c r="L1537" s="22">
        <v>4</v>
      </c>
      <c r="M1537" s="22" t="s">
        <v>12488</v>
      </c>
      <c r="N1537" s="20" t="s">
        <v>12529</v>
      </c>
      <c r="O1537" s="16" t="s">
        <v>13912</v>
      </c>
      <c r="P1537" s="143">
        <v>751</v>
      </c>
      <c r="Q1537" s="122" t="s">
        <v>12421</v>
      </c>
      <c r="R1537" s="16" t="s">
        <v>8904</v>
      </c>
      <c r="S1537" s="10" t="s">
        <v>1163</v>
      </c>
      <c r="T1537" s="28" t="s">
        <v>12944</v>
      </c>
      <c r="U1537" s="20" t="s">
        <v>5359</v>
      </c>
      <c r="V1537" s="20" t="s">
        <v>12855</v>
      </c>
      <c r="W1537" s="20" t="s">
        <v>14284</v>
      </c>
      <c r="X1537" s="174">
        <v>71.16</v>
      </c>
      <c r="Y1537" s="174">
        <v>88.338400000000007</v>
      </c>
    </row>
    <row r="1538" spans="1:25" ht="15" customHeight="1" x14ac:dyDescent="0.25">
      <c r="A1538" s="20" t="s">
        <v>12856</v>
      </c>
      <c r="B1538" s="16" t="s">
        <v>12898</v>
      </c>
      <c r="C1538" s="71" t="str">
        <f t="shared" si="33"/>
        <v>Product Info</v>
      </c>
      <c r="D1538" s="37" t="s">
        <v>13117</v>
      </c>
      <c r="E1538" s="143">
        <v>1</v>
      </c>
      <c r="F1538" s="143" t="s">
        <v>4992</v>
      </c>
      <c r="G1538" s="38">
        <v>155.41</v>
      </c>
      <c r="H1538" s="38">
        <v>132.11000000000001</v>
      </c>
      <c r="I1538" s="38">
        <v>108.79</v>
      </c>
      <c r="J1538" s="39"/>
      <c r="K1538" s="143"/>
      <c r="L1538" s="22">
        <v>4</v>
      </c>
      <c r="M1538" s="22" t="s">
        <v>12488</v>
      </c>
      <c r="N1538" s="20" t="s">
        <v>12529</v>
      </c>
      <c r="O1538" s="16" t="s">
        <v>13912</v>
      </c>
      <c r="P1538" s="143">
        <v>751</v>
      </c>
      <c r="Q1538" s="122" t="s">
        <v>12421</v>
      </c>
      <c r="R1538" s="16" t="s">
        <v>8904</v>
      </c>
      <c r="S1538" s="10" t="s">
        <v>1163</v>
      </c>
      <c r="T1538" s="28" t="s">
        <v>12943</v>
      </c>
      <c r="U1538" s="20" t="s">
        <v>5359</v>
      </c>
      <c r="V1538" s="20" t="s">
        <v>12856</v>
      </c>
      <c r="W1538" s="20" t="s">
        <v>14284</v>
      </c>
      <c r="X1538" s="174">
        <v>97.91</v>
      </c>
      <c r="Y1538" s="174">
        <v>121.54120000000002</v>
      </c>
    </row>
    <row r="1539" spans="1:25" ht="15" customHeight="1" x14ac:dyDescent="0.25">
      <c r="A1539" s="20" t="s">
        <v>12859</v>
      </c>
      <c r="B1539" s="16" t="s">
        <v>12901</v>
      </c>
      <c r="C1539" s="71" t="str">
        <f t="shared" si="33"/>
        <v>Product Info</v>
      </c>
      <c r="D1539" s="37" t="s">
        <v>13120</v>
      </c>
      <c r="E1539" s="143">
        <v>1</v>
      </c>
      <c r="F1539" s="143" t="s">
        <v>4992</v>
      </c>
      <c r="G1539" s="38">
        <v>87.54</v>
      </c>
      <c r="H1539" s="38">
        <v>74.41</v>
      </c>
      <c r="I1539" s="38">
        <v>61.28</v>
      </c>
      <c r="J1539" s="39"/>
      <c r="K1539" s="143"/>
      <c r="L1539" s="22">
        <v>4</v>
      </c>
      <c r="M1539" s="22" t="s">
        <v>12488</v>
      </c>
      <c r="N1539" s="20" t="s">
        <v>12529</v>
      </c>
      <c r="O1539" s="16" t="s">
        <v>13912</v>
      </c>
      <c r="P1539" s="143">
        <v>751</v>
      </c>
      <c r="Q1539" s="122" t="s">
        <v>12421</v>
      </c>
      <c r="R1539" s="16" t="s">
        <v>8904</v>
      </c>
      <c r="S1539" s="10" t="s">
        <v>1163</v>
      </c>
      <c r="T1539" s="28" t="s">
        <v>12940</v>
      </c>
      <c r="U1539" s="20" t="s">
        <v>5359</v>
      </c>
      <c r="V1539" s="20" t="s">
        <v>12859</v>
      </c>
      <c r="W1539" s="20" t="s">
        <v>14284</v>
      </c>
      <c r="X1539" s="174">
        <v>55.15</v>
      </c>
      <c r="Y1539" s="174">
        <v>68.4572</v>
      </c>
    </row>
    <row r="1540" spans="1:25" ht="15" customHeight="1" x14ac:dyDescent="0.25">
      <c r="A1540" s="20" t="s">
        <v>12857</v>
      </c>
      <c r="B1540" s="16" t="s">
        <v>12899</v>
      </c>
      <c r="C1540" s="71" t="str">
        <f t="shared" si="33"/>
        <v>Product Info</v>
      </c>
      <c r="D1540" s="37" t="s">
        <v>13118</v>
      </c>
      <c r="E1540" s="143">
        <v>1</v>
      </c>
      <c r="F1540" s="143" t="s">
        <v>4992</v>
      </c>
      <c r="G1540" s="38">
        <v>163.01</v>
      </c>
      <c r="H1540" s="38">
        <v>138.57</v>
      </c>
      <c r="I1540" s="38">
        <v>114.11</v>
      </c>
      <c r="J1540" s="39"/>
      <c r="K1540" s="143"/>
      <c r="L1540" s="22">
        <v>4</v>
      </c>
      <c r="M1540" s="22" t="s">
        <v>12488</v>
      </c>
      <c r="N1540" s="20" t="s">
        <v>12529</v>
      </c>
      <c r="O1540" s="16" t="s">
        <v>13912</v>
      </c>
      <c r="P1540" s="143">
        <v>751</v>
      </c>
      <c r="Q1540" s="122" t="s">
        <v>12421</v>
      </c>
      <c r="R1540" s="16" t="s">
        <v>8904</v>
      </c>
      <c r="S1540" s="10" t="s">
        <v>1163</v>
      </c>
      <c r="T1540" s="28" t="s">
        <v>12942</v>
      </c>
      <c r="U1540" s="20" t="s">
        <v>5359</v>
      </c>
      <c r="V1540" s="20" t="s">
        <v>12857</v>
      </c>
      <c r="W1540" s="20" t="s">
        <v>14284</v>
      </c>
      <c r="X1540" s="174">
        <v>102.7</v>
      </c>
      <c r="Y1540" s="174">
        <v>127.48439999999999</v>
      </c>
    </row>
    <row r="1541" spans="1:25" ht="15" customHeight="1" x14ac:dyDescent="0.25">
      <c r="A1541" s="20" t="s">
        <v>12860</v>
      </c>
      <c r="B1541" s="16" t="s">
        <v>12902</v>
      </c>
      <c r="C1541" s="71" t="str">
        <f t="shared" si="33"/>
        <v>Product Info</v>
      </c>
      <c r="D1541" s="37" t="s">
        <v>13121</v>
      </c>
      <c r="E1541" s="143">
        <v>1</v>
      </c>
      <c r="F1541" s="143" t="s">
        <v>4992</v>
      </c>
      <c r="G1541" s="38">
        <v>91.79</v>
      </c>
      <c r="H1541" s="38">
        <v>78.02</v>
      </c>
      <c r="I1541" s="38">
        <v>64.25</v>
      </c>
      <c r="J1541" s="39"/>
      <c r="K1541" s="143"/>
      <c r="L1541" s="22">
        <v>4</v>
      </c>
      <c r="M1541" s="22" t="s">
        <v>12488</v>
      </c>
      <c r="N1541" s="20" t="s">
        <v>12529</v>
      </c>
      <c r="O1541" s="16" t="s">
        <v>13912</v>
      </c>
      <c r="P1541" s="143">
        <v>751</v>
      </c>
      <c r="Q1541" s="122" t="s">
        <v>12421</v>
      </c>
      <c r="R1541" s="16" t="s">
        <v>8904</v>
      </c>
      <c r="S1541" s="10" t="s">
        <v>1163</v>
      </c>
      <c r="T1541" s="28" t="s">
        <v>12939</v>
      </c>
      <c r="U1541" s="20" t="s">
        <v>5359</v>
      </c>
      <c r="V1541" s="20" t="s">
        <v>12860</v>
      </c>
      <c r="W1541" s="20" t="s">
        <v>14284</v>
      </c>
      <c r="X1541" s="174">
        <v>57.83</v>
      </c>
      <c r="Y1541" s="174">
        <v>71.778400000000005</v>
      </c>
    </row>
    <row r="1542" spans="1:25" ht="15" customHeight="1" x14ac:dyDescent="0.25">
      <c r="A1542" s="20" t="s">
        <v>12858</v>
      </c>
      <c r="B1542" s="16" t="s">
        <v>12900</v>
      </c>
      <c r="C1542" s="71" t="str">
        <f t="shared" ref="C1542:C1605" si="34">HYPERLINK(T1542,U1542)</f>
        <v>Product Info</v>
      </c>
      <c r="D1542" s="37" t="s">
        <v>13119</v>
      </c>
      <c r="E1542" s="143">
        <v>1</v>
      </c>
      <c r="F1542" s="143" t="s">
        <v>4992</v>
      </c>
      <c r="G1542" s="38">
        <v>256.33999999999997</v>
      </c>
      <c r="H1542" s="38">
        <v>217.9</v>
      </c>
      <c r="I1542" s="38">
        <v>179.44</v>
      </c>
      <c r="J1542" s="39"/>
      <c r="K1542" s="143"/>
      <c r="L1542" s="22">
        <v>4</v>
      </c>
      <c r="M1542" s="22" t="s">
        <v>12488</v>
      </c>
      <c r="N1542" s="20" t="s">
        <v>12529</v>
      </c>
      <c r="O1542" s="16" t="s">
        <v>13912</v>
      </c>
      <c r="P1542" s="143">
        <v>751</v>
      </c>
      <c r="Q1542" s="122" t="s">
        <v>12421</v>
      </c>
      <c r="R1542" s="16" t="s">
        <v>8904</v>
      </c>
      <c r="S1542" s="10" t="s">
        <v>1163</v>
      </c>
      <c r="T1542" s="28" t="s">
        <v>12941</v>
      </c>
      <c r="U1542" s="20" t="s">
        <v>5359</v>
      </c>
      <c r="V1542" s="20" t="s">
        <v>12858</v>
      </c>
      <c r="W1542" s="20" t="s">
        <v>14284</v>
      </c>
      <c r="X1542" s="174">
        <v>161.5</v>
      </c>
      <c r="Y1542" s="174">
        <v>200.46800000000002</v>
      </c>
    </row>
    <row r="1543" spans="1:25" ht="15" customHeight="1" x14ac:dyDescent="0.25">
      <c r="A1543" s="20" t="s">
        <v>12861</v>
      </c>
      <c r="B1543" s="16" t="s">
        <v>12903</v>
      </c>
      <c r="C1543" s="71" t="str">
        <f t="shared" si="34"/>
        <v>Product Info</v>
      </c>
      <c r="D1543" s="37" t="s">
        <v>13122</v>
      </c>
      <c r="E1543" s="143">
        <v>1</v>
      </c>
      <c r="F1543" s="143" t="s">
        <v>4992</v>
      </c>
      <c r="G1543" s="38">
        <v>122.84</v>
      </c>
      <c r="H1543" s="38">
        <v>104.42</v>
      </c>
      <c r="I1543" s="38">
        <v>85.99</v>
      </c>
      <c r="J1543" s="39"/>
      <c r="K1543" s="143"/>
      <c r="L1543" s="22">
        <v>4</v>
      </c>
      <c r="M1543" s="22" t="s">
        <v>12488</v>
      </c>
      <c r="N1543" s="20" t="s">
        <v>12529</v>
      </c>
      <c r="O1543" s="16" t="s">
        <v>13912</v>
      </c>
      <c r="P1543" s="143">
        <v>751</v>
      </c>
      <c r="Q1543" s="122" t="s">
        <v>12421</v>
      </c>
      <c r="R1543" s="16" t="s">
        <v>8904</v>
      </c>
      <c r="S1543" s="10" t="s">
        <v>1163</v>
      </c>
      <c r="T1543" s="28" t="s">
        <v>12938</v>
      </c>
      <c r="U1543" s="20" t="s">
        <v>5359</v>
      </c>
      <c r="V1543" s="20" t="s">
        <v>12861</v>
      </c>
      <c r="W1543" s="20" t="s">
        <v>14284</v>
      </c>
      <c r="X1543" s="174">
        <v>77.39</v>
      </c>
      <c r="Y1543" s="174">
        <v>96.066400000000002</v>
      </c>
    </row>
    <row r="1544" spans="1:25" ht="15" customHeight="1" x14ac:dyDescent="0.25">
      <c r="A1544" s="20" t="s">
        <v>12862</v>
      </c>
      <c r="B1544" s="16" t="s">
        <v>12904</v>
      </c>
      <c r="C1544" s="71" t="str">
        <f t="shared" si="34"/>
        <v>Product Info</v>
      </c>
      <c r="D1544" s="37" t="s">
        <v>13123</v>
      </c>
      <c r="E1544" s="143">
        <v>1</v>
      </c>
      <c r="F1544" s="12" t="s">
        <v>4992</v>
      </c>
      <c r="G1544" s="38">
        <v>128.37</v>
      </c>
      <c r="H1544" s="38">
        <v>109.12</v>
      </c>
      <c r="I1544" s="38">
        <v>89.86</v>
      </c>
      <c r="J1544" s="39"/>
      <c r="K1544" s="143"/>
      <c r="L1544" s="22">
        <v>4</v>
      </c>
      <c r="M1544" s="22" t="s">
        <v>12488</v>
      </c>
      <c r="N1544" s="20" t="s">
        <v>12529</v>
      </c>
      <c r="O1544" s="16" t="s">
        <v>13912</v>
      </c>
      <c r="P1544" s="143">
        <v>751</v>
      </c>
      <c r="Q1544" s="121" t="s">
        <v>14285</v>
      </c>
      <c r="R1544" s="16" t="s">
        <v>8904</v>
      </c>
      <c r="S1544" s="10" t="s">
        <v>1163</v>
      </c>
      <c r="T1544" s="28" t="s">
        <v>12937</v>
      </c>
      <c r="U1544" s="20" t="s">
        <v>5359</v>
      </c>
      <c r="V1544" s="16" t="s">
        <v>12862</v>
      </c>
      <c r="W1544" s="11" t="s">
        <v>14284</v>
      </c>
      <c r="X1544" s="174">
        <v>80.87</v>
      </c>
      <c r="Y1544" s="174">
        <v>100.39040000000001</v>
      </c>
    </row>
    <row r="1545" spans="1:25" ht="15" customHeight="1" x14ac:dyDescent="0.25">
      <c r="A1545" s="20" t="s">
        <v>12866</v>
      </c>
      <c r="B1545" s="16" t="s">
        <v>12908</v>
      </c>
      <c r="C1545" s="71" t="str">
        <f t="shared" si="34"/>
        <v>Product Info</v>
      </c>
      <c r="D1545" s="37" t="s">
        <v>13127</v>
      </c>
      <c r="E1545" s="143">
        <v>1</v>
      </c>
      <c r="F1545" s="12" t="s">
        <v>4992</v>
      </c>
      <c r="G1545" s="38">
        <v>101.81</v>
      </c>
      <c r="H1545" s="38">
        <v>86.55</v>
      </c>
      <c r="I1545" s="38">
        <v>71.27</v>
      </c>
      <c r="J1545" s="39"/>
      <c r="K1545" s="143"/>
      <c r="L1545" s="22">
        <v>4</v>
      </c>
      <c r="M1545" s="22" t="s">
        <v>12488</v>
      </c>
      <c r="N1545" s="20" t="s">
        <v>13078</v>
      </c>
      <c r="O1545" s="16" t="s">
        <v>13912</v>
      </c>
      <c r="P1545" s="143">
        <v>751</v>
      </c>
      <c r="Q1545" s="121" t="s">
        <v>14285</v>
      </c>
      <c r="R1545" s="16" t="s">
        <v>8904</v>
      </c>
      <c r="S1545" s="10" t="s">
        <v>1163</v>
      </c>
      <c r="T1545" s="28" t="s">
        <v>12933</v>
      </c>
      <c r="U1545" s="20" t="s">
        <v>5359</v>
      </c>
      <c r="V1545" s="16" t="s">
        <v>12866</v>
      </c>
      <c r="W1545" s="11" t="s">
        <v>14284</v>
      </c>
      <c r="X1545" s="174">
        <v>64.14</v>
      </c>
      <c r="Y1545" s="174">
        <v>79.626000000000005</v>
      </c>
    </row>
    <row r="1546" spans="1:25" ht="15" customHeight="1" x14ac:dyDescent="0.25">
      <c r="A1546" s="20" t="s">
        <v>12865</v>
      </c>
      <c r="B1546" s="16" t="s">
        <v>12907</v>
      </c>
      <c r="C1546" s="71" t="str">
        <f t="shared" si="34"/>
        <v>Product Info</v>
      </c>
      <c r="D1546" s="37" t="s">
        <v>13126</v>
      </c>
      <c r="E1546" s="143">
        <v>1</v>
      </c>
      <c r="F1546" s="12" t="s">
        <v>4992</v>
      </c>
      <c r="G1546" s="38">
        <v>272.51</v>
      </c>
      <c r="H1546" s="38">
        <v>231.65</v>
      </c>
      <c r="I1546" s="38">
        <v>190.76</v>
      </c>
      <c r="J1546" s="39"/>
      <c r="K1546" s="143"/>
      <c r="L1546" s="22">
        <v>4</v>
      </c>
      <c r="M1546" s="22" t="s">
        <v>12488</v>
      </c>
      <c r="N1546" s="20" t="s">
        <v>13078</v>
      </c>
      <c r="O1546" s="16" t="s">
        <v>13912</v>
      </c>
      <c r="P1546" s="143">
        <v>751</v>
      </c>
      <c r="Q1546" s="121" t="s">
        <v>14285</v>
      </c>
      <c r="R1546" s="16" t="s">
        <v>8904</v>
      </c>
      <c r="S1546" s="10" t="s">
        <v>1163</v>
      </c>
      <c r="T1546" s="28" t="s">
        <v>12934</v>
      </c>
      <c r="U1546" s="20" t="s">
        <v>5359</v>
      </c>
      <c r="V1546" s="16" t="s">
        <v>12865</v>
      </c>
      <c r="W1546" s="11" t="s">
        <v>14284</v>
      </c>
      <c r="X1546" s="174">
        <v>171.68</v>
      </c>
      <c r="Y1546" s="174">
        <v>213.11800000000002</v>
      </c>
    </row>
    <row r="1547" spans="1:25" ht="15" customHeight="1" x14ac:dyDescent="0.25">
      <c r="A1547" s="20" t="s">
        <v>12867</v>
      </c>
      <c r="B1547" s="16" t="s">
        <v>12909</v>
      </c>
      <c r="C1547" s="71" t="str">
        <f t="shared" si="34"/>
        <v>Product Info</v>
      </c>
      <c r="D1547" s="37" t="s">
        <v>13128</v>
      </c>
      <c r="E1547" s="143">
        <v>1</v>
      </c>
      <c r="F1547" s="12" t="s">
        <v>4992</v>
      </c>
      <c r="G1547" s="38">
        <v>135.74</v>
      </c>
      <c r="H1547" s="38">
        <v>115.39</v>
      </c>
      <c r="I1547" s="38">
        <v>95.02</v>
      </c>
      <c r="J1547" s="39"/>
      <c r="K1547" s="143"/>
      <c r="L1547" s="22">
        <v>4</v>
      </c>
      <c r="M1547" s="22" t="s">
        <v>12488</v>
      </c>
      <c r="N1547" s="20" t="s">
        <v>13078</v>
      </c>
      <c r="O1547" s="16" t="s">
        <v>13912</v>
      </c>
      <c r="P1547" s="143">
        <v>751</v>
      </c>
      <c r="Q1547" s="121" t="s">
        <v>14285</v>
      </c>
      <c r="R1547" s="16" t="s">
        <v>8904</v>
      </c>
      <c r="S1547" s="10" t="s">
        <v>1163</v>
      </c>
      <c r="T1547" s="28" t="s">
        <v>12932</v>
      </c>
      <c r="U1547" s="20" t="s">
        <v>5359</v>
      </c>
      <c r="V1547" s="16" t="s">
        <v>12867</v>
      </c>
      <c r="W1547" s="11" t="s">
        <v>14284</v>
      </c>
      <c r="X1547" s="174">
        <v>85.52</v>
      </c>
      <c r="Y1547" s="174">
        <v>106.1588</v>
      </c>
    </row>
    <row r="1548" spans="1:25" ht="15" customHeight="1" x14ac:dyDescent="0.25">
      <c r="A1548" s="20" t="s">
        <v>12527</v>
      </c>
      <c r="B1548" s="16" t="s">
        <v>12528</v>
      </c>
      <c r="C1548" s="71" t="str">
        <f t="shared" si="34"/>
        <v>Product Info</v>
      </c>
      <c r="D1548" s="37" t="s">
        <v>12686</v>
      </c>
      <c r="E1548" s="143">
        <v>1</v>
      </c>
      <c r="F1548" s="12" t="s">
        <v>4992</v>
      </c>
      <c r="G1548" s="38">
        <v>101.07</v>
      </c>
      <c r="H1548" s="38">
        <v>85.91</v>
      </c>
      <c r="I1548" s="38">
        <v>70.75</v>
      </c>
      <c r="J1548" s="39"/>
      <c r="K1548" s="143"/>
      <c r="L1548" s="22">
        <v>4</v>
      </c>
      <c r="M1548" s="22" t="s">
        <v>12488</v>
      </c>
      <c r="N1548" s="20" t="s">
        <v>12529</v>
      </c>
      <c r="O1548" s="16" t="s">
        <v>13912</v>
      </c>
      <c r="P1548" s="143">
        <v>751</v>
      </c>
      <c r="Q1548" s="122" t="s">
        <v>12421</v>
      </c>
      <c r="R1548" s="16" t="s">
        <v>8904</v>
      </c>
      <c r="S1548" s="10" t="s">
        <v>1163</v>
      </c>
      <c r="T1548" s="28" t="s">
        <v>12557</v>
      </c>
      <c r="U1548" s="20" t="s">
        <v>5359</v>
      </c>
      <c r="V1548" s="16" t="s">
        <v>12527</v>
      </c>
      <c r="W1548" s="11" t="s">
        <v>14284</v>
      </c>
      <c r="X1548" s="174">
        <v>63.68</v>
      </c>
      <c r="Y1548" s="174">
        <v>79.037199999999999</v>
      </c>
    </row>
    <row r="1549" spans="1:25" ht="15" customHeight="1" x14ac:dyDescent="0.25">
      <c r="A1549" s="20" t="s">
        <v>12725</v>
      </c>
      <c r="B1549" s="10" t="s">
        <v>12747</v>
      </c>
      <c r="C1549" s="71" t="str">
        <f t="shared" si="34"/>
        <v>Product Info</v>
      </c>
      <c r="D1549" s="37" t="s">
        <v>12795</v>
      </c>
      <c r="E1549" s="143">
        <v>1</v>
      </c>
      <c r="F1549" s="12" t="s">
        <v>4992</v>
      </c>
      <c r="G1549" s="38">
        <v>103.17</v>
      </c>
      <c r="H1549" s="38">
        <v>87.7</v>
      </c>
      <c r="I1549" s="38">
        <v>72.22</v>
      </c>
      <c r="J1549" s="39"/>
      <c r="K1549" s="143"/>
      <c r="L1549" s="22">
        <v>4</v>
      </c>
      <c r="M1549" s="22" t="s">
        <v>12488</v>
      </c>
      <c r="N1549" s="20" t="s">
        <v>12529</v>
      </c>
      <c r="O1549" s="16" t="s">
        <v>13912</v>
      </c>
      <c r="P1549" s="143">
        <v>751</v>
      </c>
      <c r="Q1549" s="122" t="s">
        <v>12421</v>
      </c>
      <c r="R1549" s="16" t="s">
        <v>8904</v>
      </c>
      <c r="S1549" s="10" t="s">
        <v>1163</v>
      </c>
      <c r="T1549" s="28" t="s">
        <v>12769</v>
      </c>
      <c r="U1549" s="20" t="s">
        <v>5359</v>
      </c>
      <c r="V1549" s="16" t="s">
        <v>12725</v>
      </c>
      <c r="W1549" s="11" t="s">
        <v>14284</v>
      </c>
      <c r="X1549" s="174">
        <v>65</v>
      </c>
      <c r="Y1549" s="174">
        <v>80.684000000000012</v>
      </c>
    </row>
    <row r="1550" spans="1:25" ht="15" customHeight="1" x14ac:dyDescent="0.25">
      <c r="A1550" s="20" t="s">
        <v>12726</v>
      </c>
      <c r="B1550" s="10" t="s">
        <v>12748</v>
      </c>
      <c r="C1550" s="71" t="str">
        <f t="shared" si="34"/>
        <v>Product Info</v>
      </c>
      <c r="D1550" s="37" t="s">
        <v>12796</v>
      </c>
      <c r="E1550" s="143">
        <v>1</v>
      </c>
      <c r="F1550" s="12" t="s">
        <v>4992</v>
      </c>
      <c r="G1550" s="38">
        <v>102.66</v>
      </c>
      <c r="H1550" s="38">
        <v>87.26</v>
      </c>
      <c r="I1550" s="38">
        <v>71.86</v>
      </c>
      <c r="J1550" s="39"/>
      <c r="K1550" s="143"/>
      <c r="L1550" s="22">
        <v>4</v>
      </c>
      <c r="M1550" s="22" t="s">
        <v>12488</v>
      </c>
      <c r="N1550" s="20" t="s">
        <v>12529</v>
      </c>
      <c r="O1550" s="16" t="s">
        <v>13912</v>
      </c>
      <c r="P1550" s="143">
        <v>751</v>
      </c>
      <c r="Q1550" s="122" t="s">
        <v>12421</v>
      </c>
      <c r="R1550" s="16" t="s">
        <v>8904</v>
      </c>
      <c r="S1550" s="10" t="s">
        <v>1163</v>
      </c>
      <c r="T1550" s="28" t="s">
        <v>12770</v>
      </c>
      <c r="U1550" s="20" t="s">
        <v>5359</v>
      </c>
      <c r="V1550" s="16" t="s">
        <v>12726</v>
      </c>
      <c r="W1550" s="11" t="s">
        <v>14284</v>
      </c>
      <c r="X1550" s="174">
        <v>64.67</v>
      </c>
      <c r="Y1550" s="174">
        <v>80.279200000000003</v>
      </c>
    </row>
    <row r="1551" spans="1:25" ht="15" customHeight="1" x14ac:dyDescent="0.25">
      <c r="A1551" s="20" t="s">
        <v>12727</v>
      </c>
      <c r="B1551" s="10" t="s">
        <v>12749</v>
      </c>
      <c r="C1551" s="71" t="str">
        <f t="shared" si="34"/>
        <v>Product Info</v>
      </c>
      <c r="D1551" s="37" t="s">
        <v>12797</v>
      </c>
      <c r="E1551" s="143">
        <v>1</v>
      </c>
      <c r="F1551" s="12" t="s">
        <v>4992</v>
      </c>
      <c r="G1551" s="38">
        <v>102.63</v>
      </c>
      <c r="H1551" s="38">
        <v>87.24</v>
      </c>
      <c r="I1551" s="38">
        <v>71.84</v>
      </c>
      <c r="J1551" s="39"/>
      <c r="K1551" s="143"/>
      <c r="L1551" s="22">
        <v>4</v>
      </c>
      <c r="M1551" s="22" t="s">
        <v>12488</v>
      </c>
      <c r="N1551" s="20" t="s">
        <v>12529</v>
      </c>
      <c r="O1551" s="16" t="s">
        <v>13912</v>
      </c>
      <c r="P1551" s="143">
        <v>751</v>
      </c>
      <c r="Q1551" s="122" t="s">
        <v>12421</v>
      </c>
      <c r="R1551" s="16" t="s">
        <v>8904</v>
      </c>
      <c r="S1551" s="10" t="s">
        <v>1163</v>
      </c>
      <c r="T1551" s="28" t="s">
        <v>12771</v>
      </c>
      <c r="U1551" s="20" t="s">
        <v>5359</v>
      </c>
      <c r="V1551" s="16" t="s">
        <v>12727</v>
      </c>
      <c r="W1551" s="11" t="s">
        <v>14284</v>
      </c>
      <c r="X1551" s="174">
        <v>64.66</v>
      </c>
      <c r="Y1551" s="174">
        <v>80.260800000000003</v>
      </c>
    </row>
    <row r="1552" spans="1:25" ht="15" customHeight="1" x14ac:dyDescent="0.25">
      <c r="A1552" s="20" t="s">
        <v>12728</v>
      </c>
      <c r="B1552" s="10" t="s">
        <v>12750</v>
      </c>
      <c r="C1552" s="71" t="str">
        <f t="shared" si="34"/>
        <v>Product Info</v>
      </c>
      <c r="D1552" s="37" t="s">
        <v>12798</v>
      </c>
      <c r="E1552" s="143">
        <v>1</v>
      </c>
      <c r="F1552" s="12" t="s">
        <v>4992</v>
      </c>
      <c r="G1552" s="38">
        <v>103.67</v>
      </c>
      <c r="H1552" s="38">
        <v>88.12</v>
      </c>
      <c r="I1552" s="38">
        <v>72.569999999999993</v>
      </c>
      <c r="J1552" s="39"/>
      <c r="K1552" s="143"/>
      <c r="L1552" s="22">
        <v>4</v>
      </c>
      <c r="M1552" s="22" t="s">
        <v>12488</v>
      </c>
      <c r="N1552" s="20" t="s">
        <v>12529</v>
      </c>
      <c r="O1552" s="16" t="s">
        <v>13912</v>
      </c>
      <c r="P1552" s="143">
        <v>751</v>
      </c>
      <c r="Q1552" s="122" t="s">
        <v>12421</v>
      </c>
      <c r="R1552" s="16" t="s">
        <v>8904</v>
      </c>
      <c r="S1552" s="10" t="s">
        <v>1163</v>
      </c>
      <c r="T1552" s="28" t="s">
        <v>12772</v>
      </c>
      <c r="U1552" s="20" t="s">
        <v>5359</v>
      </c>
      <c r="V1552" s="16" t="s">
        <v>12728</v>
      </c>
      <c r="W1552" s="11" t="s">
        <v>14284</v>
      </c>
      <c r="X1552" s="174">
        <v>65.31</v>
      </c>
      <c r="Y1552" s="174">
        <v>81.070400000000006</v>
      </c>
    </row>
    <row r="1553" spans="1:25" ht="15" customHeight="1" x14ac:dyDescent="0.25">
      <c r="A1553" s="20" t="s">
        <v>12729</v>
      </c>
      <c r="B1553" s="10" t="s">
        <v>12751</v>
      </c>
      <c r="C1553" s="71" t="str">
        <f t="shared" si="34"/>
        <v>Product Info</v>
      </c>
      <c r="D1553" s="37" t="s">
        <v>12799</v>
      </c>
      <c r="E1553" s="143">
        <v>1</v>
      </c>
      <c r="F1553" s="12" t="s">
        <v>4992</v>
      </c>
      <c r="G1553" s="38">
        <v>103.97</v>
      </c>
      <c r="H1553" s="38">
        <v>88.38</v>
      </c>
      <c r="I1553" s="38">
        <v>72.78</v>
      </c>
      <c r="J1553" s="39"/>
      <c r="K1553" s="143"/>
      <c r="L1553" s="22">
        <v>4</v>
      </c>
      <c r="M1553" s="22" t="s">
        <v>12488</v>
      </c>
      <c r="N1553" s="20" t="s">
        <v>12529</v>
      </c>
      <c r="O1553" s="16" t="s">
        <v>13912</v>
      </c>
      <c r="P1553" s="143">
        <v>751</v>
      </c>
      <c r="Q1553" s="122" t="s">
        <v>12421</v>
      </c>
      <c r="R1553" s="16" t="s">
        <v>8904</v>
      </c>
      <c r="S1553" s="10" t="s">
        <v>1163</v>
      </c>
      <c r="T1553" s="28" t="s">
        <v>12773</v>
      </c>
      <c r="U1553" s="20" t="s">
        <v>5359</v>
      </c>
      <c r="V1553" s="16" t="s">
        <v>12729</v>
      </c>
      <c r="W1553" s="11" t="s">
        <v>14284</v>
      </c>
      <c r="X1553" s="174">
        <v>65.5</v>
      </c>
      <c r="Y1553" s="174">
        <v>81.309600000000003</v>
      </c>
    </row>
    <row r="1554" spans="1:25" ht="15" customHeight="1" x14ac:dyDescent="0.25">
      <c r="A1554" s="20" t="s">
        <v>12846</v>
      </c>
      <c r="B1554" s="16" t="s">
        <v>12888</v>
      </c>
      <c r="C1554" s="71" t="str">
        <f t="shared" si="34"/>
        <v>Product Info</v>
      </c>
      <c r="D1554" s="37" t="s">
        <v>13107</v>
      </c>
      <c r="E1554" s="143">
        <v>1</v>
      </c>
      <c r="F1554" s="12" t="s">
        <v>4992</v>
      </c>
      <c r="G1554" s="38">
        <v>108.5</v>
      </c>
      <c r="H1554" s="38">
        <v>92.23</v>
      </c>
      <c r="I1554" s="38">
        <v>75.95</v>
      </c>
      <c r="J1554" s="39"/>
      <c r="K1554" s="143"/>
      <c r="L1554" s="22">
        <v>4</v>
      </c>
      <c r="M1554" s="22" t="s">
        <v>12488</v>
      </c>
      <c r="N1554" s="20" t="s">
        <v>12529</v>
      </c>
      <c r="O1554" s="16" t="s">
        <v>13912</v>
      </c>
      <c r="P1554" s="143">
        <v>751</v>
      </c>
      <c r="Q1554" s="122" t="s">
        <v>12421</v>
      </c>
      <c r="R1554" s="16" t="s">
        <v>8904</v>
      </c>
      <c r="S1554" s="10" t="s">
        <v>1163</v>
      </c>
      <c r="T1554" s="28" t="s">
        <v>12953</v>
      </c>
      <c r="U1554" s="20" t="s">
        <v>5359</v>
      </c>
      <c r="V1554" s="16" t="s">
        <v>12846</v>
      </c>
      <c r="W1554" s="11" t="s">
        <v>14284</v>
      </c>
      <c r="X1554" s="174">
        <v>68.36</v>
      </c>
      <c r="Y1554" s="174">
        <v>84.851600000000005</v>
      </c>
    </row>
    <row r="1555" spans="1:25" ht="15" customHeight="1" x14ac:dyDescent="0.25">
      <c r="A1555" s="20" t="s">
        <v>12530</v>
      </c>
      <c r="B1555" s="16" t="s">
        <v>12531</v>
      </c>
      <c r="C1555" s="71" t="str">
        <f t="shared" si="34"/>
        <v>Product Info</v>
      </c>
      <c r="D1555" s="37" t="s">
        <v>12687</v>
      </c>
      <c r="E1555" s="143">
        <v>1</v>
      </c>
      <c r="F1555" s="12" t="s">
        <v>4992</v>
      </c>
      <c r="G1555" s="38">
        <v>59.83</v>
      </c>
      <c r="H1555" s="38">
        <v>50.86</v>
      </c>
      <c r="I1555" s="38">
        <v>41.88</v>
      </c>
      <c r="J1555" s="39"/>
      <c r="K1555" s="143"/>
      <c r="L1555" s="22">
        <v>4</v>
      </c>
      <c r="M1555" s="22" t="s">
        <v>12488</v>
      </c>
      <c r="N1555" s="20" t="s">
        <v>12529</v>
      </c>
      <c r="O1555" s="16" t="s">
        <v>13912</v>
      </c>
      <c r="P1555" s="143">
        <v>751</v>
      </c>
      <c r="Q1555" s="122" t="s">
        <v>12421</v>
      </c>
      <c r="R1555" s="16" t="s">
        <v>8904</v>
      </c>
      <c r="S1555" s="10" t="s">
        <v>1163</v>
      </c>
      <c r="T1555" s="28" t="s">
        <v>12558</v>
      </c>
      <c r="U1555" s="20" t="s">
        <v>5359</v>
      </c>
      <c r="V1555" s="16" t="s">
        <v>12530</v>
      </c>
      <c r="W1555" s="11" t="s">
        <v>14284</v>
      </c>
      <c r="X1555" s="174">
        <v>37.69</v>
      </c>
      <c r="Y1555" s="174">
        <v>46.791200000000003</v>
      </c>
    </row>
    <row r="1556" spans="1:25" ht="15" customHeight="1" x14ac:dyDescent="0.25">
      <c r="A1556" s="20" t="s">
        <v>12718</v>
      </c>
      <c r="B1556" s="10" t="s">
        <v>12740</v>
      </c>
      <c r="C1556" s="71" t="str">
        <f t="shared" si="34"/>
        <v>Product Info</v>
      </c>
      <c r="D1556" s="37" t="s">
        <v>12810</v>
      </c>
      <c r="E1556" s="143">
        <v>1</v>
      </c>
      <c r="F1556" s="12" t="s">
        <v>4992</v>
      </c>
      <c r="G1556" s="38">
        <v>67.959999999999994</v>
      </c>
      <c r="H1556" s="38">
        <v>57.77</v>
      </c>
      <c r="I1556" s="38">
        <v>47.57</v>
      </c>
      <c r="J1556" s="39"/>
      <c r="K1556" s="143"/>
      <c r="L1556" s="22">
        <v>4</v>
      </c>
      <c r="M1556" s="22" t="s">
        <v>12488</v>
      </c>
      <c r="N1556" s="20" t="s">
        <v>12529</v>
      </c>
      <c r="O1556" s="16" t="s">
        <v>13912</v>
      </c>
      <c r="P1556" s="143">
        <v>751</v>
      </c>
      <c r="Q1556" s="122" t="s">
        <v>12421</v>
      </c>
      <c r="R1556" s="16" t="s">
        <v>8904</v>
      </c>
      <c r="S1556" s="10" t="s">
        <v>1163</v>
      </c>
      <c r="T1556" s="28" t="s">
        <v>12762</v>
      </c>
      <c r="U1556" s="20" t="s">
        <v>5359</v>
      </c>
      <c r="V1556" s="16" t="s">
        <v>12718</v>
      </c>
      <c r="W1556" s="11" t="s">
        <v>14284</v>
      </c>
      <c r="X1556" s="174">
        <v>42.81</v>
      </c>
      <c r="Y1556" s="174">
        <v>53.148400000000002</v>
      </c>
    </row>
    <row r="1557" spans="1:25" ht="15" customHeight="1" x14ac:dyDescent="0.25">
      <c r="A1557" s="20" t="s">
        <v>12719</v>
      </c>
      <c r="B1557" s="10" t="s">
        <v>12741</v>
      </c>
      <c r="C1557" s="71" t="str">
        <f t="shared" si="34"/>
        <v>Product Info</v>
      </c>
      <c r="D1557" s="37" t="s">
        <v>12789</v>
      </c>
      <c r="E1557" s="143">
        <v>1</v>
      </c>
      <c r="F1557" s="12" t="s">
        <v>4992</v>
      </c>
      <c r="G1557" s="38">
        <v>67.2</v>
      </c>
      <c r="H1557" s="38">
        <v>57.12</v>
      </c>
      <c r="I1557" s="38">
        <v>47.04</v>
      </c>
      <c r="J1557" s="39"/>
      <c r="K1557" s="143"/>
      <c r="L1557" s="22">
        <v>4</v>
      </c>
      <c r="M1557" s="22" t="s">
        <v>12488</v>
      </c>
      <c r="N1557" s="20" t="s">
        <v>12529</v>
      </c>
      <c r="O1557" s="16" t="s">
        <v>13912</v>
      </c>
      <c r="P1557" s="143">
        <v>751</v>
      </c>
      <c r="Q1557" s="122" t="s">
        <v>12421</v>
      </c>
      <c r="R1557" s="16" t="s">
        <v>8904</v>
      </c>
      <c r="S1557" s="10" t="s">
        <v>1163</v>
      </c>
      <c r="T1557" s="28" t="s">
        <v>12763</v>
      </c>
      <c r="U1557" s="20" t="s">
        <v>5359</v>
      </c>
      <c r="V1557" s="16" t="s">
        <v>12719</v>
      </c>
      <c r="W1557" s="11" t="s">
        <v>14284</v>
      </c>
      <c r="X1557" s="174">
        <v>42.34</v>
      </c>
      <c r="Y1557" s="174">
        <v>52.550400000000003</v>
      </c>
    </row>
    <row r="1558" spans="1:25" ht="15" customHeight="1" x14ac:dyDescent="0.25">
      <c r="A1558" s="20" t="s">
        <v>12834</v>
      </c>
      <c r="B1558" s="16" t="s">
        <v>12877</v>
      </c>
      <c r="C1558" s="71" t="str">
        <f t="shared" si="34"/>
        <v>Product Info</v>
      </c>
      <c r="D1558" s="37" t="s">
        <v>13096</v>
      </c>
      <c r="E1558" s="143">
        <v>1</v>
      </c>
      <c r="F1558" s="12" t="s">
        <v>4992</v>
      </c>
      <c r="G1558" s="38">
        <v>92.14</v>
      </c>
      <c r="H1558" s="38">
        <v>78.319999999999993</v>
      </c>
      <c r="I1558" s="38">
        <v>64.5</v>
      </c>
      <c r="J1558" s="39"/>
      <c r="K1558" s="143"/>
      <c r="L1558" s="22">
        <v>4</v>
      </c>
      <c r="M1558" s="22" t="s">
        <v>12488</v>
      </c>
      <c r="N1558" s="20" t="s">
        <v>12529</v>
      </c>
      <c r="O1558" s="16" t="s">
        <v>13912</v>
      </c>
      <c r="P1558" s="143">
        <v>751</v>
      </c>
      <c r="Q1558" s="122" t="s">
        <v>12421</v>
      </c>
      <c r="R1558" s="16" t="s">
        <v>8904</v>
      </c>
      <c r="S1558" s="10" t="s">
        <v>1163</v>
      </c>
      <c r="T1558" s="28" t="s">
        <v>12964</v>
      </c>
      <c r="U1558" s="20" t="s">
        <v>5359</v>
      </c>
      <c r="V1558" s="16" t="s">
        <v>12834</v>
      </c>
      <c r="W1558" s="11" t="s">
        <v>14284</v>
      </c>
      <c r="X1558" s="174">
        <v>58.05</v>
      </c>
      <c r="Y1558" s="174">
        <v>72.054400000000001</v>
      </c>
    </row>
    <row r="1559" spans="1:25" ht="15" customHeight="1" x14ac:dyDescent="0.25">
      <c r="A1559" s="20" t="s">
        <v>12720</v>
      </c>
      <c r="B1559" s="10" t="s">
        <v>12742</v>
      </c>
      <c r="C1559" s="71" t="str">
        <f t="shared" si="34"/>
        <v>Product Info</v>
      </c>
      <c r="D1559" s="37" t="s">
        <v>12790</v>
      </c>
      <c r="E1559" s="143">
        <v>1</v>
      </c>
      <c r="F1559" s="12" t="s">
        <v>4992</v>
      </c>
      <c r="G1559" s="38">
        <v>72.27</v>
      </c>
      <c r="H1559" s="38">
        <v>61.43</v>
      </c>
      <c r="I1559" s="38">
        <v>50.59</v>
      </c>
      <c r="J1559" s="39"/>
      <c r="K1559" s="143"/>
      <c r="L1559" s="22">
        <v>4</v>
      </c>
      <c r="M1559" s="22" t="s">
        <v>12488</v>
      </c>
      <c r="N1559" s="20" t="s">
        <v>12529</v>
      </c>
      <c r="O1559" s="16" t="s">
        <v>13912</v>
      </c>
      <c r="P1559" s="143">
        <v>751</v>
      </c>
      <c r="Q1559" s="122" t="s">
        <v>12421</v>
      </c>
      <c r="R1559" s="16" t="s">
        <v>8904</v>
      </c>
      <c r="S1559" s="10" t="s">
        <v>1163</v>
      </c>
      <c r="T1559" s="28" t="s">
        <v>12764</v>
      </c>
      <c r="U1559" s="20" t="s">
        <v>5359</v>
      </c>
      <c r="V1559" s="16" t="s">
        <v>12720</v>
      </c>
      <c r="W1559" s="11" t="s">
        <v>14284</v>
      </c>
      <c r="X1559" s="174">
        <v>45.53</v>
      </c>
      <c r="Y1559" s="174">
        <v>56.515599999999999</v>
      </c>
    </row>
    <row r="1560" spans="1:25" ht="15" customHeight="1" x14ac:dyDescent="0.25">
      <c r="A1560" s="20" t="s">
        <v>12722</v>
      </c>
      <c r="B1560" s="10" t="s">
        <v>12744</v>
      </c>
      <c r="C1560" s="71" t="str">
        <f t="shared" si="34"/>
        <v>Product Info</v>
      </c>
      <c r="D1560" s="37" t="s">
        <v>12792</v>
      </c>
      <c r="E1560" s="143">
        <v>1</v>
      </c>
      <c r="F1560" s="12" t="s">
        <v>4992</v>
      </c>
      <c r="G1560" s="38">
        <v>72.27</v>
      </c>
      <c r="H1560" s="38">
        <v>61.43</v>
      </c>
      <c r="I1560" s="38">
        <v>50.59</v>
      </c>
      <c r="J1560" s="39"/>
      <c r="K1560" s="143"/>
      <c r="L1560" s="22">
        <v>4</v>
      </c>
      <c r="M1560" s="22" t="s">
        <v>12488</v>
      </c>
      <c r="N1560" s="20" t="s">
        <v>12529</v>
      </c>
      <c r="O1560" s="16" t="s">
        <v>13912</v>
      </c>
      <c r="P1560" s="143">
        <v>751</v>
      </c>
      <c r="Q1560" s="122" t="s">
        <v>12421</v>
      </c>
      <c r="R1560" s="16" t="s">
        <v>8904</v>
      </c>
      <c r="S1560" s="10" t="s">
        <v>1163</v>
      </c>
      <c r="T1560" s="28" t="s">
        <v>12766</v>
      </c>
      <c r="U1560" s="20" t="s">
        <v>5359</v>
      </c>
      <c r="V1560" s="16" t="s">
        <v>12722</v>
      </c>
      <c r="W1560" s="11" t="s">
        <v>14284</v>
      </c>
      <c r="X1560" s="174">
        <v>45.53</v>
      </c>
      <c r="Y1560" s="174">
        <v>56.515599999999999</v>
      </c>
    </row>
    <row r="1561" spans="1:25" ht="15" customHeight="1" x14ac:dyDescent="0.25">
      <c r="A1561" s="20" t="s">
        <v>12721</v>
      </c>
      <c r="B1561" s="10" t="s">
        <v>12743</v>
      </c>
      <c r="C1561" s="71" t="str">
        <f t="shared" si="34"/>
        <v>Product Info</v>
      </c>
      <c r="D1561" s="37" t="s">
        <v>12791</v>
      </c>
      <c r="E1561" s="143">
        <v>1</v>
      </c>
      <c r="F1561" s="12" t="s">
        <v>4992</v>
      </c>
      <c r="G1561" s="38">
        <v>72.27</v>
      </c>
      <c r="H1561" s="38">
        <v>61.43</v>
      </c>
      <c r="I1561" s="38">
        <v>50.59</v>
      </c>
      <c r="J1561" s="39"/>
      <c r="K1561" s="143"/>
      <c r="L1561" s="22">
        <v>4</v>
      </c>
      <c r="M1561" s="22" t="s">
        <v>12488</v>
      </c>
      <c r="N1561" s="20" t="s">
        <v>12529</v>
      </c>
      <c r="O1561" s="16" t="s">
        <v>13912</v>
      </c>
      <c r="P1561" s="143">
        <v>751</v>
      </c>
      <c r="Q1561" s="122" t="s">
        <v>12421</v>
      </c>
      <c r="R1561" s="16" t="s">
        <v>8904</v>
      </c>
      <c r="S1561" s="10" t="s">
        <v>1163</v>
      </c>
      <c r="T1561" s="28" t="s">
        <v>12765</v>
      </c>
      <c r="U1561" s="20" t="s">
        <v>5359</v>
      </c>
      <c r="V1561" s="16" t="s">
        <v>12721</v>
      </c>
      <c r="W1561" s="11" t="s">
        <v>14284</v>
      </c>
      <c r="X1561" s="174">
        <v>45.53</v>
      </c>
      <c r="Y1561" s="174">
        <v>56.515599999999999</v>
      </c>
    </row>
    <row r="1562" spans="1:25" ht="15" customHeight="1" x14ac:dyDescent="0.25">
      <c r="A1562" s="20" t="s">
        <v>12532</v>
      </c>
      <c r="B1562" s="16" t="s">
        <v>12533</v>
      </c>
      <c r="C1562" s="71" t="str">
        <f t="shared" si="34"/>
        <v>Product Info</v>
      </c>
      <c r="D1562" s="37" t="s">
        <v>12688</v>
      </c>
      <c r="E1562" s="143">
        <v>1</v>
      </c>
      <c r="F1562" s="12" t="s">
        <v>4992</v>
      </c>
      <c r="G1562" s="38">
        <v>111.47</v>
      </c>
      <c r="H1562" s="38">
        <v>94.75</v>
      </c>
      <c r="I1562" s="38">
        <v>78.03</v>
      </c>
      <c r="J1562" s="39"/>
      <c r="K1562" s="143"/>
      <c r="L1562" s="22">
        <v>4</v>
      </c>
      <c r="M1562" s="22" t="s">
        <v>12488</v>
      </c>
      <c r="N1562" s="20" t="s">
        <v>12529</v>
      </c>
      <c r="O1562" s="16" t="s">
        <v>13912</v>
      </c>
      <c r="P1562" s="143">
        <v>751</v>
      </c>
      <c r="Q1562" s="122" t="s">
        <v>12421</v>
      </c>
      <c r="R1562" s="16" t="s">
        <v>8904</v>
      </c>
      <c r="S1562" s="10" t="s">
        <v>1163</v>
      </c>
      <c r="T1562" s="28" t="s">
        <v>12559</v>
      </c>
      <c r="U1562" s="20" t="s">
        <v>5359</v>
      </c>
      <c r="V1562" s="16" t="s">
        <v>12532</v>
      </c>
      <c r="W1562" s="11" t="s">
        <v>14284</v>
      </c>
      <c r="X1562" s="174">
        <v>70.23</v>
      </c>
      <c r="Y1562" s="174">
        <v>87.17</v>
      </c>
    </row>
    <row r="1563" spans="1:25" ht="15" customHeight="1" x14ac:dyDescent="0.25">
      <c r="A1563" s="20" t="s">
        <v>12730</v>
      </c>
      <c r="B1563" s="10" t="s">
        <v>12752</v>
      </c>
      <c r="C1563" s="71" t="str">
        <f t="shared" si="34"/>
        <v>Product Info</v>
      </c>
      <c r="D1563" s="37" t="s">
        <v>12800</v>
      </c>
      <c r="E1563" s="143">
        <v>1</v>
      </c>
      <c r="F1563" s="12" t="s">
        <v>4992</v>
      </c>
      <c r="G1563" s="38">
        <v>116.83</v>
      </c>
      <c r="H1563" s="38">
        <v>99.31</v>
      </c>
      <c r="I1563" s="38">
        <v>81.78</v>
      </c>
      <c r="J1563" s="39"/>
      <c r="K1563" s="143"/>
      <c r="L1563" s="22">
        <v>4</v>
      </c>
      <c r="M1563" s="22" t="s">
        <v>12488</v>
      </c>
      <c r="N1563" s="20" t="s">
        <v>12529</v>
      </c>
      <c r="O1563" s="16" t="s">
        <v>13912</v>
      </c>
      <c r="P1563" s="143">
        <v>751</v>
      </c>
      <c r="Q1563" s="122" t="s">
        <v>12421</v>
      </c>
      <c r="R1563" s="16" t="s">
        <v>8904</v>
      </c>
      <c r="S1563" s="10" t="s">
        <v>1163</v>
      </c>
      <c r="T1563" s="28" t="s">
        <v>12774</v>
      </c>
      <c r="U1563" s="20" t="s">
        <v>5359</v>
      </c>
      <c r="V1563" s="16" t="s">
        <v>12730</v>
      </c>
      <c r="W1563" s="11" t="s">
        <v>14284</v>
      </c>
      <c r="X1563" s="174">
        <v>73.599999999999994</v>
      </c>
      <c r="Y1563" s="174">
        <v>91.365200000000002</v>
      </c>
    </row>
    <row r="1564" spans="1:25" ht="15" customHeight="1" x14ac:dyDescent="0.25">
      <c r="A1564" s="20" t="s">
        <v>12731</v>
      </c>
      <c r="B1564" s="10" t="s">
        <v>12753</v>
      </c>
      <c r="C1564" s="71" t="str">
        <f t="shared" si="34"/>
        <v>Product Info</v>
      </c>
      <c r="D1564" s="37" t="s">
        <v>12801</v>
      </c>
      <c r="E1564" s="143">
        <v>1</v>
      </c>
      <c r="F1564" s="12" t="s">
        <v>4992</v>
      </c>
      <c r="G1564" s="38">
        <v>120.34</v>
      </c>
      <c r="H1564" s="38">
        <v>102.3</v>
      </c>
      <c r="I1564" s="38">
        <v>84.24</v>
      </c>
      <c r="J1564" s="39"/>
      <c r="K1564" s="143"/>
      <c r="L1564" s="22">
        <v>4</v>
      </c>
      <c r="M1564" s="22" t="s">
        <v>12488</v>
      </c>
      <c r="N1564" s="20" t="s">
        <v>12529</v>
      </c>
      <c r="O1564" s="16" t="s">
        <v>13912</v>
      </c>
      <c r="P1564" s="143">
        <v>751</v>
      </c>
      <c r="Q1564" s="122" t="s">
        <v>12421</v>
      </c>
      <c r="R1564" s="16" t="s">
        <v>8904</v>
      </c>
      <c r="S1564" s="10" t="s">
        <v>1163</v>
      </c>
      <c r="T1564" s="28" t="s">
        <v>12775</v>
      </c>
      <c r="U1564" s="20" t="s">
        <v>5359</v>
      </c>
      <c r="V1564" s="16" t="s">
        <v>12731</v>
      </c>
      <c r="W1564" s="11" t="s">
        <v>14284</v>
      </c>
      <c r="X1564" s="174">
        <v>75.819999999999993</v>
      </c>
      <c r="Y1564" s="174">
        <v>94.116</v>
      </c>
    </row>
    <row r="1565" spans="1:25" ht="15" customHeight="1" x14ac:dyDescent="0.25">
      <c r="A1565" s="20" t="s">
        <v>12847</v>
      </c>
      <c r="B1565" s="16" t="s">
        <v>12889</v>
      </c>
      <c r="C1565" s="71" t="str">
        <f t="shared" si="34"/>
        <v>Product Info</v>
      </c>
      <c r="D1565" s="37" t="s">
        <v>13108</v>
      </c>
      <c r="E1565" s="143">
        <v>1</v>
      </c>
      <c r="F1565" s="12" t="s">
        <v>4992</v>
      </c>
      <c r="G1565" s="38">
        <v>118.9</v>
      </c>
      <c r="H1565" s="38">
        <v>101.07</v>
      </c>
      <c r="I1565" s="38">
        <v>83.23</v>
      </c>
      <c r="J1565" s="39"/>
      <c r="K1565" s="143"/>
      <c r="L1565" s="22">
        <v>4</v>
      </c>
      <c r="M1565" s="22" t="s">
        <v>12488</v>
      </c>
      <c r="N1565" s="20" t="s">
        <v>12529</v>
      </c>
      <c r="O1565" s="16" t="s">
        <v>13912</v>
      </c>
      <c r="P1565" s="143">
        <v>751</v>
      </c>
      <c r="Q1565" s="122" t="s">
        <v>12421</v>
      </c>
      <c r="R1565" s="16" t="s">
        <v>8904</v>
      </c>
      <c r="S1565" s="10" t="s">
        <v>1163</v>
      </c>
      <c r="T1565" s="28" t="s">
        <v>12952</v>
      </c>
      <c r="U1565" s="20" t="s">
        <v>5359</v>
      </c>
      <c r="V1565" s="16" t="s">
        <v>12847</v>
      </c>
      <c r="W1565" s="11" t="s">
        <v>14284</v>
      </c>
      <c r="X1565" s="174">
        <v>74.91</v>
      </c>
      <c r="Y1565" s="174">
        <v>92.984399999999994</v>
      </c>
    </row>
    <row r="1566" spans="1:25" ht="15" customHeight="1" x14ac:dyDescent="0.25">
      <c r="A1566" s="20" t="s">
        <v>12534</v>
      </c>
      <c r="B1566" s="16" t="s">
        <v>12535</v>
      </c>
      <c r="C1566" s="71" t="str">
        <f t="shared" si="34"/>
        <v>Product Info</v>
      </c>
      <c r="D1566" s="37" t="s">
        <v>12689</v>
      </c>
      <c r="E1566" s="143">
        <v>1</v>
      </c>
      <c r="F1566" s="12" t="s">
        <v>4992</v>
      </c>
      <c r="G1566" s="38">
        <v>77.67</v>
      </c>
      <c r="H1566" s="38">
        <v>66.02</v>
      </c>
      <c r="I1566" s="38">
        <v>54.37</v>
      </c>
      <c r="J1566" s="39"/>
      <c r="K1566" s="143"/>
      <c r="L1566" s="22">
        <v>4</v>
      </c>
      <c r="M1566" s="22" t="s">
        <v>12488</v>
      </c>
      <c r="N1566" s="20" t="s">
        <v>12529</v>
      </c>
      <c r="O1566" s="16" t="s">
        <v>13912</v>
      </c>
      <c r="P1566" s="143">
        <v>751</v>
      </c>
      <c r="Q1566" s="122" t="s">
        <v>12421</v>
      </c>
      <c r="R1566" s="16" t="s">
        <v>8904</v>
      </c>
      <c r="S1566" s="10" t="s">
        <v>1163</v>
      </c>
      <c r="T1566" s="28" t="s">
        <v>12560</v>
      </c>
      <c r="U1566" s="20" t="s">
        <v>5359</v>
      </c>
      <c r="V1566" s="16" t="s">
        <v>12534</v>
      </c>
      <c r="W1566" s="11" t="s">
        <v>14284</v>
      </c>
      <c r="X1566" s="174">
        <v>48.93</v>
      </c>
      <c r="Y1566" s="174">
        <v>60.738399999999999</v>
      </c>
    </row>
    <row r="1567" spans="1:25" ht="15" customHeight="1" x14ac:dyDescent="0.25">
      <c r="A1567" s="20" t="s">
        <v>12536</v>
      </c>
      <c r="B1567" s="16" t="s">
        <v>12537</v>
      </c>
      <c r="C1567" s="71" t="str">
        <f t="shared" si="34"/>
        <v>Product Info</v>
      </c>
      <c r="D1567" s="37" t="s">
        <v>12690</v>
      </c>
      <c r="E1567" s="143">
        <v>1</v>
      </c>
      <c r="F1567" s="12" t="s">
        <v>4992</v>
      </c>
      <c r="G1567" s="38">
        <v>142.69</v>
      </c>
      <c r="H1567" s="38">
        <v>121.29</v>
      </c>
      <c r="I1567" s="38">
        <v>99.88</v>
      </c>
      <c r="J1567" s="39"/>
      <c r="K1567" s="143"/>
      <c r="L1567" s="22">
        <v>4</v>
      </c>
      <c r="M1567" s="22" t="s">
        <v>12488</v>
      </c>
      <c r="N1567" s="20" t="s">
        <v>12529</v>
      </c>
      <c r="O1567" s="16" t="s">
        <v>13912</v>
      </c>
      <c r="P1567" s="143">
        <v>751</v>
      </c>
      <c r="Q1567" s="122" t="s">
        <v>12421</v>
      </c>
      <c r="R1567" s="16" t="s">
        <v>8904</v>
      </c>
      <c r="S1567" s="10" t="s">
        <v>1163</v>
      </c>
      <c r="T1567" s="28" t="s">
        <v>12561</v>
      </c>
      <c r="U1567" s="20" t="s">
        <v>5359</v>
      </c>
      <c r="V1567" s="16" t="s">
        <v>12536</v>
      </c>
      <c r="W1567" s="11" t="s">
        <v>14284</v>
      </c>
      <c r="X1567" s="174">
        <v>89.89</v>
      </c>
      <c r="Y1567" s="174">
        <v>111.58680000000001</v>
      </c>
    </row>
    <row r="1568" spans="1:25" ht="15" customHeight="1" x14ac:dyDescent="0.25">
      <c r="A1568" s="20" t="s">
        <v>12732</v>
      </c>
      <c r="B1568" s="10" t="s">
        <v>12754</v>
      </c>
      <c r="C1568" s="71" t="str">
        <f t="shared" si="34"/>
        <v>Product Info</v>
      </c>
      <c r="D1568" s="37" t="s">
        <v>12802</v>
      </c>
      <c r="E1568" s="143">
        <v>1</v>
      </c>
      <c r="F1568" s="12" t="s">
        <v>4992</v>
      </c>
      <c r="G1568" s="38">
        <v>158.47</v>
      </c>
      <c r="H1568" s="38">
        <v>134.71</v>
      </c>
      <c r="I1568" s="38">
        <v>110.93</v>
      </c>
      <c r="J1568" s="39"/>
      <c r="K1568" s="143"/>
      <c r="L1568" s="22">
        <v>4</v>
      </c>
      <c r="M1568" s="22" t="s">
        <v>12488</v>
      </c>
      <c r="N1568" s="20" t="s">
        <v>12529</v>
      </c>
      <c r="O1568" s="16" t="s">
        <v>13912</v>
      </c>
      <c r="P1568" s="143">
        <v>751</v>
      </c>
      <c r="Q1568" s="122" t="s">
        <v>12421</v>
      </c>
      <c r="R1568" s="16" t="s">
        <v>8904</v>
      </c>
      <c r="S1568" s="10" t="s">
        <v>1163</v>
      </c>
      <c r="T1568" s="28" t="s">
        <v>12776</v>
      </c>
      <c r="U1568" s="20" t="s">
        <v>5359</v>
      </c>
      <c r="V1568" s="16" t="s">
        <v>12732</v>
      </c>
      <c r="W1568" s="11" t="s">
        <v>14284</v>
      </c>
      <c r="X1568" s="174">
        <v>99.84</v>
      </c>
      <c r="Y1568" s="174">
        <v>123.93320000000001</v>
      </c>
    </row>
    <row r="1569" spans="1:25" ht="15" customHeight="1" x14ac:dyDescent="0.25">
      <c r="A1569" s="20" t="s">
        <v>12733</v>
      </c>
      <c r="B1569" s="10" t="s">
        <v>12755</v>
      </c>
      <c r="C1569" s="71" t="str">
        <f t="shared" si="34"/>
        <v>Product Info</v>
      </c>
      <c r="D1569" s="37" t="s">
        <v>12803</v>
      </c>
      <c r="E1569" s="143">
        <v>1</v>
      </c>
      <c r="F1569" s="12" t="s">
        <v>4992</v>
      </c>
      <c r="G1569" s="38">
        <v>193.19</v>
      </c>
      <c r="H1569" s="38">
        <v>164.21</v>
      </c>
      <c r="I1569" s="38">
        <v>135.22999999999999</v>
      </c>
      <c r="J1569" s="39"/>
      <c r="K1569" s="143"/>
      <c r="L1569" s="22">
        <v>4</v>
      </c>
      <c r="M1569" s="22" t="s">
        <v>12488</v>
      </c>
      <c r="N1569" s="20" t="s">
        <v>12529</v>
      </c>
      <c r="O1569" s="16" t="s">
        <v>13912</v>
      </c>
      <c r="P1569" s="143">
        <v>751</v>
      </c>
      <c r="Q1569" s="122" t="s">
        <v>12421</v>
      </c>
      <c r="R1569" s="16" t="s">
        <v>8904</v>
      </c>
      <c r="S1569" s="10" t="s">
        <v>1163</v>
      </c>
      <c r="T1569" s="28" t="s">
        <v>12777</v>
      </c>
      <c r="U1569" s="20" t="s">
        <v>5359</v>
      </c>
      <c r="V1569" s="16" t="s">
        <v>12733</v>
      </c>
      <c r="W1569" s="11" t="s">
        <v>14284</v>
      </c>
      <c r="X1569" s="174">
        <v>121.71</v>
      </c>
      <c r="Y1569" s="174">
        <v>151.07320000000001</v>
      </c>
    </row>
    <row r="1570" spans="1:25" ht="15" customHeight="1" x14ac:dyDescent="0.25">
      <c r="A1570" s="20" t="s">
        <v>12848</v>
      </c>
      <c r="B1570" s="16" t="s">
        <v>12890</v>
      </c>
      <c r="C1570" s="71" t="str">
        <f t="shared" si="34"/>
        <v>Product Info</v>
      </c>
      <c r="D1570" s="37" t="s">
        <v>13109</v>
      </c>
      <c r="E1570" s="143">
        <v>1</v>
      </c>
      <c r="F1570" s="12" t="s">
        <v>4992</v>
      </c>
      <c r="G1570" s="38">
        <v>150.11000000000001</v>
      </c>
      <c r="H1570" s="38">
        <v>127.6</v>
      </c>
      <c r="I1570" s="38">
        <v>105.08</v>
      </c>
      <c r="J1570" s="39"/>
      <c r="K1570" s="143"/>
      <c r="L1570" s="22">
        <v>4</v>
      </c>
      <c r="M1570" s="22" t="s">
        <v>12488</v>
      </c>
      <c r="N1570" s="20" t="s">
        <v>12529</v>
      </c>
      <c r="O1570" s="16" t="s">
        <v>13912</v>
      </c>
      <c r="P1570" s="143">
        <v>751</v>
      </c>
      <c r="Q1570" s="122" t="s">
        <v>12421</v>
      </c>
      <c r="R1570" s="16" t="s">
        <v>8904</v>
      </c>
      <c r="S1570" s="10" t="s">
        <v>1163</v>
      </c>
      <c r="T1570" s="28" t="s">
        <v>12951</v>
      </c>
      <c r="U1570" s="20" t="s">
        <v>5359</v>
      </c>
      <c r="V1570" s="16" t="s">
        <v>12848</v>
      </c>
      <c r="W1570" s="11" t="s">
        <v>14284</v>
      </c>
      <c r="X1570" s="174">
        <v>94.57</v>
      </c>
      <c r="Y1570" s="174">
        <v>117.392</v>
      </c>
    </row>
    <row r="1571" spans="1:25" ht="15" customHeight="1" x14ac:dyDescent="0.25">
      <c r="A1571" s="20" t="s">
        <v>12538</v>
      </c>
      <c r="B1571" s="16" t="s">
        <v>12539</v>
      </c>
      <c r="C1571" s="71" t="str">
        <f t="shared" si="34"/>
        <v>Product Info</v>
      </c>
      <c r="D1571" s="37" t="s">
        <v>12691</v>
      </c>
      <c r="E1571" s="143">
        <v>1</v>
      </c>
      <c r="F1571" s="12" t="s">
        <v>4992</v>
      </c>
      <c r="G1571" s="38">
        <v>118.9</v>
      </c>
      <c r="H1571" s="38">
        <v>101.07</v>
      </c>
      <c r="I1571" s="38">
        <v>83.23</v>
      </c>
      <c r="J1571" s="39"/>
      <c r="K1571" s="143"/>
      <c r="L1571" s="22">
        <v>4</v>
      </c>
      <c r="M1571" s="22" t="s">
        <v>12488</v>
      </c>
      <c r="N1571" s="20" t="s">
        <v>12529</v>
      </c>
      <c r="O1571" s="16" t="s">
        <v>13912</v>
      </c>
      <c r="P1571" s="143">
        <v>751</v>
      </c>
      <c r="Q1571" s="122" t="s">
        <v>12421</v>
      </c>
      <c r="R1571" s="16" t="s">
        <v>8904</v>
      </c>
      <c r="S1571" s="10" t="s">
        <v>1163</v>
      </c>
      <c r="T1571" s="28" t="s">
        <v>12562</v>
      </c>
      <c r="U1571" s="20" t="s">
        <v>5359</v>
      </c>
      <c r="V1571" s="16" t="s">
        <v>12538</v>
      </c>
      <c r="W1571" s="11" t="s">
        <v>14284</v>
      </c>
      <c r="X1571" s="174">
        <v>74.91</v>
      </c>
      <c r="Y1571" s="174">
        <v>92.984399999999994</v>
      </c>
    </row>
    <row r="1572" spans="1:25" ht="15" customHeight="1" x14ac:dyDescent="0.25">
      <c r="A1572" s="20" t="s">
        <v>12540</v>
      </c>
      <c r="B1572" s="16" t="s">
        <v>12541</v>
      </c>
      <c r="C1572" s="71" t="str">
        <f t="shared" si="34"/>
        <v>Product Info</v>
      </c>
      <c r="D1572" s="37" t="s">
        <v>12692</v>
      </c>
      <c r="E1572" s="143">
        <v>1</v>
      </c>
      <c r="F1572" s="12" t="s">
        <v>4992</v>
      </c>
      <c r="G1572" s="38">
        <v>164.97</v>
      </c>
      <c r="H1572" s="38">
        <v>140.22999999999999</v>
      </c>
      <c r="I1572" s="38">
        <v>115.48</v>
      </c>
      <c r="J1572" s="39"/>
      <c r="K1572" s="143"/>
      <c r="L1572" s="22">
        <v>4</v>
      </c>
      <c r="M1572" s="22" t="s">
        <v>12488</v>
      </c>
      <c r="N1572" s="20" t="s">
        <v>12529</v>
      </c>
      <c r="O1572" s="16" t="s">
        <v>13912</v>
      </c>
      <c r="P1572" s="143">
        <v>751</v>
      </c>
      <c r="Q1572" s="122" t="s">
        <v>12421</v>
      </c>
      <c r="R1572" s="16" t="s">
        <v>8904</v>
      </c>
      <c r="S1572" s="10" t="s">
        <v>1163</v>
      </c>
      <c r="T1572" s="28" t="s">
        <v>12563</v>
      </c>
      <c r="U1572" s="20" t="s">
        <v>5359</v>
      </c>
      <c r="V1572" s="16" t="s">
        <v>12540</v>
      </c>
      <c r="W1572" s="11" t="s">
        <v>14284</v>
      </c>
      <c r="X1572" s="174">
        <v>103.93</v>
      </c>
      <c r="Y1572" s="174">
        <v>129.01159999999999</v>
      </c>
    </row>
    <row r="1573" spans="1:25" ht="15" customHeight="1" x14ac:dyDescent="0.25">
      <c r="A1573" s="20" t="s">
        <v>12734</v>
      </c>
      <c r="B1573" s="10" t="s">
        <v>12756</v>
      </c>
      <c r="C1573" s="71" t="str">
        <f t="shared" si="34"/>
        <v>Product Info</v>
      </c>
      <c r="D1573" s="37" t="s">
        <v>12804</v>
      </c>
      <c r="E1573" s="143">
        <v>1</v>
      </c>
      <c r="F1573" s="12" t="s">
        <v>4992</v>
      </c>
      <c r="G1573" s="38">
        <v>166.07</v>
      </c>
      <c r="H1573" s="38">
        <v>141.16999999999999</v>
      </c>
      <c r="I1573" s="38">
        <v>116.25</v>
      </c>
      <c r="J1573" s="39"/>
      <c r="K1573" s="143"/>
      <c r="L1573" s="22">
        <v>4</v>
      </c>
      <c r="M1573" s="22" t="s">
        <v>12488</v>
      </c>
      <c r="N1573" s="20" t="s">
        <v>12529</v>
      </c>
      <c r="O1573" s="16" t="s">
        <v>13912</v>
      </c>
      <c r="P1573" s="143">
        <v>751</v>
      </c>
      <c r="Q1573" s="122" t="s">
        <v>12421</v>
      </c>
      <c r="R1573" s="16" t="s">
        <v>8904</v>
      </c>
      <c r="S1573" s="10" t="s">
        <v>1163</v>
      </c>
      <c r="T1573" s="28" t="s">
        <v>12778</v>
      </c>
      <c r="U1573" s="20" t="s">
        <v>5359</v>
      </c>
      <c r="V1573" s="16" t="s">
        <v>12734</v>
      </c>
      <c r="W1573" s="11" t="s">
        <v>14284</v>
      </c>
      <c r="X1573" s="174">
        <v>104.63</v>
      </c>
      <c r="Y1573" s="174">
        <v>129.87639999999999</v>
      </c>
    </row>
    <row r="1574" spans="1:25" ht="15" customHeight="1" x14ac:dyDescent="0.25">
      <c r="A1574" s="20" t="s">
        <v>12736</v>
      </c>
      <c r="B1574" s="10" t="s">
        <v>12758</v>
      </c>
      <c r="C1574" s="71" t="str">
        <f t="shared" si="34"/>
        <v>Product Info</v>
      </c>
      <c r="D1574" s="37" t="s">
        <v>12806</v>
      </c>
      <c r="E1574" s="143">
        <v>1</v>
      </c>
      <c r="F1574" s="12" t="s">
        <v>4992</v>
      </c>
      <c r="G1574" s="38">
        <v>164.96</v>
      </c>
      <c r="H1574" s="38">
        <v>140.22</v>
      </c>
      <c r="I1574" s="38">
        <v>115.47</v>
      </c>
      <c r="J1574" s="39"/>
      <c r="K1574" s="143"/>
      <c r="L1574" s="22">
        <v>4</v>
      </c>
      <c r="M1574" s="22" t="s">
        <v>12488</v>
      </c>
      <c r="N1574" s="20" t="s">
        <v>12529</v>
      </c>
      <c r="O1574" s="16" t="s">
        <v>13912</v>
      </c>
      <c r="P1574" s="143">
        <v>751</v>
      </c>
      <c r="Q1574" s="122" t="s">
        <v>12421</v>
      </c>
      <c r="R1574" s="16" t="s">
        <v>8904</v>
      </c>
      <c r="S1574" s="10" t="s">
        <v>1163</v>
      </c>
      <c r="T1574" s="28" t="s">
        <v>12780</v>
      </c>
      <c r="U1574" s="20" t="s">
        <v>5359</v>
      </c>
      <c r="V1574" s="16" t="s">
        <v>12736</v>
      </c>
      <c r="W1574" s="11" t="s">
        <v>14284</v>
      </c>
      <c r="X1574" s="174">
        <v>103.92</v>
      </c>
      <c r="Y1574" s="174">
        <v>129.00239999999999</v>
      </c>
    </row>
    <row r="1575" spans="1:25" ht="15" customHeight="1" x14ac:dyDescent="0.25">
      <c r="A1575" s="20" t="s">
        <v>12735</v>
      </c>
      <c r="B1575" s="10" t="s">
        <v>12757</v>
      </c>
      <c r="C1575" s="71" t="str">
        <f t="shared" si="34"/>
        <v>Product Info</v>
      </c>
      <c r="D1575" s="37" t="s">
        <v>12805</v>
      </c>
      <c r="E1575" s="143">
        <v>1</v>
      </c>
      <c r="F1575" s="12" t="s">
        <v>4992</v>
      </c>
      <c r="G1575" s="38">
        <v>164.93</v>
      </c>
      <c r="H1575" s="38">
        <v>140.19</v>
      </c>
      <c r="I1575" s="38">
        <v>115.45</v>
      </c>
      <c r="J1575" s="39"/>
      <c r="K1575" s="143"/>
      <c r="L1575" s="22">
        <v>4</v>
      </c>
      <c r="M1575" s="22" t="s">
        <v>12488</v>
      </c>
      <c r="N1575" s="20" t="s">
        <v>12529</v>
      </c>
      <c r="O1575" s="16" t="s">
        <v>13912</v>
      </c>
      <c r="P1575" s="143">
        <v>751</v>
      </c>
      <c r="Q1575" s="122" t="s">
        <v>12421</v>
      </c>
      <c r="R1575" s="16" t="s">
        <v>8904</v>
      </c>
      <c r="S1575" s="10" t="s">
        <v>1163</v>
      </c>
      <c r="T1575" s="28" t="s">
        <v>12779</v>
      </c>
      <c r="U1575" s="20" t="s">
        <v>5359</v>
      </c>
      <c r="V1575" s="16" t="s">
        <v>12735</v>
      </c>
      <c r="W1575" s="11" t="s">
        <v>14284</v>
      </c>
      <c r="X1575" s="174">
        <v>103.91</v>
      </c>
      <c r="Y1575" s="174">
        <v>128.97480000000002</v>
      </c>
    </row>
    <row r="1576" spans="1:25" ht="15" customHeight="1" x14ac:dyDescent="0.25">
      <c r="A1576" s="20" t="s">
        <v>12851</v>
      </c>
      <c r="B1576" s="16" t="s">
        <v>12893</v>
      </c>
      <c r="C1576" s="71" t="str">
        <f t="shared" si="34"/>
        <v>Product Info</v>
      </c>
      <c r="D1576" s="37" t="s">
        <v>13112</v>
      </c>
      <c r="E1576" s="143">
        <v>1</v>
      </c>
      <c r="F1576" s="12" t="s">
        <v>4992</v>
      </c>
      <c r="G1576" s="38">
        <v>172.41</v>
      </c>
      <c r="H1576" s="38">
        <v>146.56</v>
      </c>
      <c r="I1576" s="38">
        <v>120.69</v>
      </c>
      <c r="J1576" s="39"/>
      <c r="K1576" s="143"/>
      <c r="L1576" s="22">
        <v>4</v>
      </c>
      <c r="M1576" s="22" t="s">
        <v>12488</v>
      </c>
      <c r="N1576" s="20" t="s">
        <v>12529</v>
      </c>
      <c r="O1576" s="16" t="s">
        <v>13912</v>
      </c>
      <c r="P1576" s="143">
        <v>751</v>
      </c>
      <c r="Q1576" s="122" t="s">
        <v>12421</v>
      </c>
      <c r="R1576" s="16" t="s">
        <v>8904</v>
      </c>
      <c r="S1576" s="10" t="s">
        <v>1163</v>
      </c>
      <c r="T1576" s="28" t="s">
        <v>12948</v>
      </c>
      <c r="U1576" s="20" t="s">
        <v>5359</v>
      </c>
      <c r="V1576" s="16" t="s">
        <v>12851</v>
      </c>
      <c r="W1576" s="11" t="s">
        <v>14284</v>
      </c>
      <c r="X1576" s="174">
        <v>108.62</v>
      </c>
      <c r="Y1576" s="174">
        <v>134.83520000000001</v>
      </c>
    </row>
    <row r="1577" spans="1:25" ht="15" customHeight="1" x14ac:dyDescent="0.25">
      <c r="A1577" s="20" t="s">
        <v>12542</v>
      </c>
      <c r="B1577" s="16" t="s">
        <v>12543</v>
      </c>
      <c r="C1577" s="71" t="str">
        <f t="shared" si="34"/>
        <v>Product Info</v>
      </c>
      <c r="D1577" s="37" t="s">
        <v>12693</v>
      </c>
      <c r="E1577" s="143">
        <v>1</v>
      </c>
      <c r="F1577" s="12" t="s">
        <v>4992</v>
      </c>
      <c r="G1577" s="38">
        <v>92.14</v>
      </c>
      <c r="H1577" s="38">
        <v>78.319999999999993</v>
      </c>
      <c r="I1577" s="38">
        <v>64.5</v>
      </c>
      <c r="J1577" s="39"/>
      <c r="K1577" s="143"/>
      <c r="L1577" s="22">
        <v>4</v>
      </c>
      <c r="M1577" s="22" t="s">
        <v>12488</v>
      </c>
      <c r="N1577" s="20" t="s">
        <v>12529</v>
      </c>
      <c r="O1577" s="16" t="s">
        <v>13912</v>
      </c>
      <c r="P1577" s="143">
        <v>751</v>
      </c>
      <c r="Q1577" s="122" t="s">
        <v>12421</v>
      </c>
      <c r="R1577" s="16" t="s">
        <v>8904</v>
      </c>
      <c r="S1577" s="10" t="s">
        <v>1163</v>
      </c>
      <c r="T1577" s="28" t="s">
        <v>12564</v>
      </c>
      <c r="U1577" s="20" t="s">
        <v>5359</v>
      </c>
      <c r="V1577" s="16" t="s">
        <v>12542</v>
      </c>
      <c r="W1577" s="11" t="s">
        <v>14284</v>
      </c>
      <c r="X1577" s="174">
        <v>58.05</v>
      </c>
      <c r="Y1577" s="174">
        <v>72.054400000000001</v>
      </c>
    </row>
    <row r="1578" spans="1:25" ht="15" customHeight="1" x14ac:dyDescent="0.25">
      <c r="A1578" s="20" t="s">
        <v>12826</v>
      </c>
      <c r="B1578" s="16" t="s">
        <v>12871</v>
      </c>
      <c r="C1578" s="71" t="str">
        <f t="shared" si="34"/>
        <v>Product Info</v>
      </c>
      <c r="D1578" s="37" t="s">
        <v>13090</v>
      </c>
      <c r="E1578" s="143">
        <v>1</v>
      </c>
      <c r="F1578" s="12" t="s">
        <v>4992</v>
      </c>
      <c r="G1578" s="38">
        <v>99.49</v>
      </c>
      <c r="H1578" s="38">
        <v>84.57</v>
      </c>
      <c r="I1578" s="38">
        <v>69.64</v>
      </c>
      <c r="J1578" s="39"/>
      <c r="K1578" s="143"/>
      <c r="L1578" s="22">
        <v>4</v>
      </c>
      <c r="M1578" s="22" t="s">
        <v>12488</v>
      </c>
      <c r="N1578" s="20" t="s">
        <v>12529</v>
      </c>
      <c r="O1578" s="16" t="s">
        <v>13912</v>
      </c>
      <c r="P1578" s="143">
        <v>751</v>
      </c>
      <c r="Q1578" s="122" t="s">
        <v>12421</v>
      </c>
      <c r="R1578" s="16" t="s">
        <v>8904</v>
      </c>
      <c r="S1578" s="10" t="s">
        <v>1163</v>
      </c>
      <c r="T1578" s="28" t="s">
        <v>12970</v>
      </c>
      <c r="U1578" s="20" t="s">
        <v>5359</v>
      </c>
      <c r="V1578" s="16" t="s">
        <v>12826</v>
      </c>
      <c r="W1578" s="11" t="s">
        <v>14284</v>
      </c>
      <c r="X1578" s="174">
        <v>62.68</v>
      </c>
      <c r="Y1578" s="174">
        <v>77.804400000000001</v>
      </c>
    </row>
    <row r="1579" spans="1:25" ht="15" customHeight="1" x14ac:dyDescent="0.25">
      <c r="A1579" s="20" t="s">
        <v>12827</v>
      </c>
      <c r="B1579" s="16" t="s">
        <v>12872</v>
      </c>
      <c r="C1579" s="71" t="str">
        <f t="shared" si="34"/>
        <v>Product Info</v>
      </c>
      <c r="D1579" s="37" t="s">
        <v>13091</v>
      </c>
      <c r="E1579" s="143">
        <v>1</v>
      </c>
      <c r="F1579" s="12" t="s">
        <v>4992</v>
      </c>
      <c r="G1579" s="38">
        <v>101.16</v>
      </c>
      <c r="H1579" s="38">
        <v>85.99</v>
      </c>
      <c r="I1579" s="38">
        <v>70.81</v>
      </c>
      <c r="J1579" s="39"/>
      <c r="K1579" s="143"/>
      <c r="L1579" s="22">
        <v>4</v>
      </c>
      <c r="M1579" s="22" t="s">
        <v>12488</v>
      </c>
      <c r="N1579" s="20" t="s">
        <v>12529</v>
      </c>
      <c r="O1579" s="16" t="s">
        <v>13912</v>
      </c>
      <c r="P1579" s="143">
        <v>751</v>
      </c>
      <c r="Q1579" s="122" t="s">
        <v>12421</v>
      </c>
      <c r="R1579" s="16" t="s">
        <v>8904</v>
      </c>
      <c r="S1579" s="10" t="s">
        <v>1163</v>
      </c>
      <c r="T1579" s="28" t="s">
        <v>12969</v>
      </c>
      <c r="U1579" s="20" t="s">
        <v>5359</v>
      </c>
      <c r="V1579" s="16" t="s">
        <v>12827</v>
      </c>
      <c r="W1579" s="11" t="s">
        <v>14284</v>
      </c>
      <c r="X1579" s="174">
        <v>63.73</v>
      </c>
      <c r="Y1579" s="174">
        <v>79.110799999999998</v>
      </c>
    </row>
    <row r="1580" spans="1:25" ht="15" customHeight="1" x14ac:dyDescent="0.25">
      <c r="A1580" s="20" t="s">
        <v>12828</v>
      </c>
      <c r="B1580" s="16" t="s">
        <v>12873</v>
      </c>
      <c r="C1580" s="71" t="str">
        <f t="shared" si="34"/>
        <v>Product Info</v>
      </c>
      <c r="D1580" s="37" t="s">
        <v>13092</v>
      </c>
      <c r="E1580" s="143">
        <v>1</v>
      </c>
      <c r="F1580" s="12" t="s">
        <v>4992</v>
      </c>
      <c r="G1580" s="38">
        <v>98.74</v>
      </c>
      <c r="H1580" s="38">
        <v>83.93</v>
      </c>
      <c r="I1580" s="38">
        <v>69.12</v>
      </c>
      <c r="J1580" s="39"/>
      <c r="K1580" s="143"/>
      <c r="L1580" s="22">
        <v>4</v>
      </c>
      <c r="M1580" s="22" t="s">
        <v>12488</v>
      </c>
      <c r="N1580" s="20" t="s">
        <v>12529</v>
      </c>
      <c r="O1580" s="16" t="s">
        <v>13912</v>
      </c>
      <c r="P1580" s="143">
        <v>751</v>
      </c>
      <c r="Q1580" s="122" t="s">
        <v>12421</v>
      </c>
      <c r="R1580" s="16" t="s">
        <v>8904</v>
      </c>
      <c r="S1580" s="10" t="s">
        <v>1163</v>
      </c>
      <c r="T1580" s="28" t="s">
        <v>12968</v>
      </c>
      <c r="U1580" s="20" t="s">
        <v>5359</v>
      </c>
      <c r="V1580" s="16" t="s">
        <v>12828</v>
      </c>
      <c r="W1580" s="11" t="s">
        <v>14284</v>
      </c>
      <c r="X1580" s="174">
        <v>62.21</v>
      </c>
      <c r="Y1580" s="174">
        <v>77.215600000000009</v>
      </c>
    </row>
    <row r="1581" spans="1:25" ht="15" customHeight="1" x14ac:dyDescent="0.25">
      <c r="A1581" s="20" t="s">
        <v>12829</v>
      </c>
      <c r="B1581" s="16" t="s">
        <v>12874</v>
      </c>
      <c r="C1581" s="71" t="str">
        <f t="shared" si="34"/>
        <v>Product Info</v>
      </c>
      <c r="D1581" s="37" t="s">
        <v>13093</v>
      </c>
      <c r="E1581" s="143">
        <v>1</v>
      </c>
      <c r="F1581" s="12" t="s">
        <v>4992</v>
      </c>
      <c r="G1581" s="38">
        <v>103.8</v>
      </c>
      <c r="H1581" s="38">
        <v>88.23</v>
      </c>
      <c r="I1581" s="38">
        <v>72.66</v>
      </c>
      <c r="J1581" s="39"/>
      <c r="K1581" s="143"/>
      <c r="L1581" s="22">
        <v>4</v>
      </c>
      <c r="M1581" s="22" t="s">
        <v>12488</v>
      </c>
      <c r="N1581" s="20" t="s">
        <v>12529</v>
      </c>
      <c r="O1581" s="16" t="s">
        <v>13912</v>
      </c>
      <c r="P1581" s="143">
        <v>751</v>
      </c>
      <c r="Q1581" s="122" t="s">
        <v>12421</v>
      </c>
      <c r="R1581" s="16" t="s">
        <v>8904</v>
      </c>
      <c r="S1581" s="10" t="s">
        <v>1163</v>
      </c>
      <c r="T1581" s="28" t="s">
        <v>12967</v>
      </c>
      <c r="U1581" s="20" t="s">
        <v>5359</v>
      </c>
      <c r="V1581" s="16" t="s">
        <v>12829</v>
      </c>
      <c r="W1581" s="11" t="s">
        <v>14284</v>
      </c>
      <c r="X1581" s="174">
        <v>65.39</v>
      </c>
      <c r="Y1581" s="174">
        <v>81.171600000000012</v>
      </c>
    </row>
    <row r="1582" spans="1:25" ht="15" customHeight="1" x14ac:dyDescent="0.25">
      <c r="A1582" s="20" t="s">
        <v>12544</v>
      </c>
      <c r="B1582" s="16" t="s">
        <v>12545</v>
      </c>
      <c r="C1582" s="71" t="str">
        <f t="shared" si="34"/>
        <v>Product Info</v>
      </c>
      <c r="D1582" s="37" t="s">
        <v>12694</v>
      </c>
      <c r="E1582" s="143">
        <v>1</v>
      </c>
      <c r="F1582" s="12" t="s">
        <v>4992</v>
      </c>
      <c r="G1582" s="38">
        <v>196.19</v>
      </c>
      <c r="H1582" s="38">
        <v>166.76</v>
      </c>
      <c r="I1582" s="38">
        <v>137.33000000000001</v>
      </c>
      <c r="J1582" s="39"/>
      <c r="K1582" s="143"/>
      <c r="L1582" s="22">
        <v>4</v>
      </c>
      <c r="M1582" s="22" t="s">
        <v>12488</v>
      </c>
      <c r="N1582" s="20" t="s">
        <v>12529</v>
      </c>
      <c r="O1582" s="16" t="s">
        <v>13912</v>
      </c>
      <c r="P1582" s="143">
        <v>751</v>
      </c>
      <c r="Q1582" s="122" t="s">
        <v>12421</v>
      </c>
      <c r="R1582" s="16" t="s">
        <v>8904</v>
      </c>
      <c r="S1582" s="10" t="s">
        <v>1163</v>
      </c>
      <c r="T1582" s="28" t="s">
        <v>12565</v>
      </c>
      <c r="U1582" s="20" t="s">
        <v>5359</v>
      </c>
      <c r="V1582" s="16" t="s">
        <v>12544</v>
      </c>
      <c r="W1582" s="11" t="s">
        <v>14284</v>
      </c>
      <c r="X1582" s="174">
        <v>123.6</v>
      </c>
      <c r="Y1582" s="174">
        <v>153.41919999999999</v>
      </c>
    </row>
    <row r="1583" spans="1:25" ht="15" customHeight="1" x14ac:dyDescent="0.25">
      <c r="A1583" s="20" t="s">
        <v>12830</v>
      </c>
      <c r="B1583" s="16" t="s">
        <v>12875</v>
      </c>
      <c r="C1583" s="71" t="str">
        <f t="shared" si="34"/>
        <v>Product Info</v>
      </c>
      <c r="D1583" s="37" t="s">
        <v>13094</v>
      </c>
      <c r="E1583" s="143">
        <v>1</v>
      </c>
      <c r="F1583" s="12" t="s">
        <v>4992</v>
      </c>
      <c r="G1583" s="38">
        <v>196.41</v>
      </c>
      <c r="H1583" s="38">
        <v>166.96</v>
      </c>
      <c r="I1583" s="38">
        <v>137.49</v>
      </c>
      <c r="J1583" s="39"/>
      <c r="K1583" s="143"/>
      <c r="L1583" s="22">
        <v>4</v>
      </c>
      <c r="M1583" s="22" t="s">
        <v>12488</v>
      </c>
      <c r="N1583" s="20" t="s">
        <v>12529</v>
      </c>
      <c r="O1583" s="16" t="s">
        <v>13912</v>
      </c>
      <c r="P1583" s="143">
        <v>751</v>
      </c>
      <c r="Q1583" s="122" t="s">
        <v>12421</v>
      </c>
      <c r="R1583" s="16" t="s">
        <v>8904</v>
      </c>
      <c r="S1583" s="10" t="s">
        <v>1163</v>
      </c>
      <c r="T1583" s="28" t="s">
        <v>12966</v>
      </c>
      <c r="U1583" s="20" t="s">
        <v>5359</v>
      </c>
      <c r="V1583" s="16" t="s">
        <v>12830</v>
      </c>
      <c r="W1583" s="11" t="s">
        <v>14284</v>
      </c>
      <c r="X1583" s="174">
        <v>123.74</v>
      </c>
      <c r="Y1583" s="174">
        <v>153.60320000000002</v>
      </c>
    </row>
    <row r="1584" spans="1:25" ht="15" customHeight="1" x14ac:dyDescent="0.25">
      <c r="A1584" s="20" t="s">
        <v>12831</v>
      </c>
      <c r="B1584" s="16" t="s">
        <v>12876</v>
      </c>
      <c r="C1584" s="71" t="str">
        <f t="shared" si="34"/>
        <v>Product Info</v>
      </c>
      <c r="D1584" s="37" t="s">
        <v>13095</v>
      </c>
      <c r="E1584" s="143">
        <v>1</v>
      </c>
      <c r="F1584" s="12" t="s">
        <v>4992</v>
      </c>
      <c r="G1584" s="38">
        <v>196.91</v>
      </c>
      <c r="H1584" s="38">
        <v>167.38</v>
      </c>
      <c r="I1584" s="38">
        <v>137.84</v>
      </c>
      <c r="J1584" s="39"/>
      <c r="K1584" s="143"/>
      <c r="L1584" s="22">
        <v>4</v>
      </c>
      <c r="M1584" s="22" t="s">
        <v>12488</v>
      </c>
      <c r="N1584" s="20" t="s">
        <v>12529</v>
      </c>
      <c r="O1584" s="16" t="s">
        <v>13912</v>
      </c>
      <c r="P1584" s="143">
        <v>751</v>
      </c>
      <c r="Q1584" s="122" t="s">
        <v>12421</v>
      </c>
      <c r="R1584" s="16" t="s">
        <v>8904</v>
      </c>
      <c r="S1584" s="10" t="s">
        <v>1163</v>
      </c>
      <c r="T1584" s="28" t="s">
        <v>12965</v>
      </c>
      <c r="U1584" s="20" t="s">
        <v>5359</v>
      </c>
      <c r="V1584" s="16" t="s">
        <v>12831</v>
      </c>
      <c r="W1584" s="11" t="s">
        <v>14284</v>
      </c>
      <c r="X1584" s="174">
        <v>124.06</v>
      </c>
      <c r="Y1584" s="174">
        <v>153.9896</v>
      </c>
    </row>
    <row r="1585" spans="1:25" ht="15" customHeight="1" x14ac:dyDescent="0.25">
      <c r="A1585" s="20" t="s">
        <v>12849</v>
      </c>
      <c r="B1585" s="16" t="s">
        <v>12891</v>
      </c>
      <c r="C1585" s="71" t="str">
        <f t="shared" si="34"/>
        <v>Product Info</v>
      </c>
      <c r="D1585" s="37" t="s">
        <v>13110</v>
      </c>
      <c r="E1585" s="143">
        <v>1</v>
      </c>
      <c r="F1585" s="12" t="s">
        <v>4992</v>
      </c>
      <c r="G1585" s="38">
        <v>203.61</v>
      </c>
      <c r="H1585" s="38">
        <v>173.08</v>
      </c>
      <c r="I1585" s="38">
        <v>142.53</v>
      </c>
      <c r="J1585" s="39"/>
      <c r="K1585" s="143"/>
      <c r="L1585" s="22">
        <v>4</v>
      </c>
      <c r="M1585" s="22" t="s">
        <v>12488</v>
      </c>
      <c r="N1585" s="20" t="s">
        <v>12529</v>
      </c>
      <c r="O1585" s="16" t="s">
        <v>13912</v>
      </c>
      <c r="P1585" s="143">
        <v>751</v>
      </c>
      <c r="Q1585" s="122" t="s">
        <v>12421</v>
      </c>
      <c r="R1585" s="16" t="s">
        <v>8904</v>
      </c>
      <c r="S1585" s="10" t="s">
        <v>1163</v>
      </c>
      <c r="T1585" s="28" t="s">
        <v>12950</v>
      </c>
      <c r="U1585" s="20" t="s">
        <v>5359</v>
      </c>
      <c r="V1585" s="16" t="s">
        <v>12849</v>
      </c>
      <c r="W1585" s="11" t="s">
        <v>14284</v>
      </c>
      <c r="X1585" s="174">
        <v>128.28</v>
      </c>
      <c r="Y1585" s="174">
        <v>159.23360000000002</v>
      </c>
    </row>
    <row r="1586" spans="1:25" ht="15" customHeight="1" x14ac:dyDescent="0.25">
      <c r="A1586" s="20" t="s">
        <v>12546</v>
      </c>
      <c r="B1586" s="16" t="s">
        <v>12547</v>
      </c>
      <c r="C1586" s="71" t="str">
        <f t="shared" si="34"/>
        <v>Product Info</v>
      </c>
      <c r="D1586" s="37" t="s">
        <v>12695</v>
      </c>
      <c r="E1586" s="143">
        <v>1</v>
      </c>
      <c r="F1586" s="12" t="s">
        <v>4992</v>
      </c>
      <c r="G1586" s="38">
        <v>96.61</v>
      </c>
      <c r="H1586" s="38">
        <v>82.13</v>
      </c>
      <c r="I1586" s="38">
        <v>67.63</v>
      </c>
      <c r="J1586" s="39"/>
      <c r="K1586" s="143"/>
      <c r="L1586" s="22">
        <v>4</v>
      </c>
      <c r="M1586" s="22" t="s">
        <v>12488</v>
      </c>
      <c r="N1586" s="20" t="s">
        <v>12529</v>
      </c>
      <c r="O1586" s="16" t="s">
        <v>13912</v>
      </c>
      <c r="P1586" s="143">
        <v>751</v>
      </c>
      <c r="Q1586" s="122" t="s">
        <v>12421</v>
      </c>
      <c r="R1586" s="16" t="s">
        <v>8904</v>
      </c>
      <c r="S1586" s="10" t="s">
        <v>1163</v>
      </c>
      <c r="T1586" s="28" t="s">
        <v>12566</v>
      </c>
      <c r="U1586" s="20" t="s">
        <v>5359</v>
      </c>
      <c r="V1586" s="16" t="s">
        <v>12546</v>
      </c>
      <c r="W1586" s="11" t="s">
        <v>14284</v>
      </c>
      <c r="X1586" s="174">
        <v>60.87</v>
      </c>
      <c r="Y1586" s="174">
        <v>75.559600000000003</v>
      </c>
    </row>
    <row r="1587" spans="1:25" ht="15" customHeight="1" x14ac:dyDescent="0.25">
      <c r="A1587" s="20" t="s">
        <v>12723</v>
      </c>
      <c r="B1587" s="10" t="s">
        <v>12745</v>
      </c>
      <c r="C1587" s="71" t="str">
        <f t="shared" si="34"/>
        <v>Product Info</v>
      </c>
      <c r="D1587" s="37" t="s">
        <v>12793</v>
      </c>
      <c r="E1587" s="143">
        <v>1</v>
      </c>
      <c r="F1587" s="12" t="s">
        <v>4992</v>
      </c>
      <c r="G1587" s="38">
        <v>108.14</v>
      </c>
      <c r="H1587" s="38">
        <v>91.92</v>
      </c>
      <c r="I1587" s="38">
        <v>75.7</v>
      </c>
      <c r="J1587" s="39"/>
      <c r="K1587" s="143"/>
      <c r="L1587" s="22">
        <v>4</v>
      </c>
      <c r="M1587" s="22" t="s">
        <v>12488</v>
      </c>
      <c r="N1587" s="20" t="s">
        <v>12529</v>
      </c>
      <c r="O1587" s="16" t="s">
        <v>13912</v>
      </c>
      <c r="P1587" s="143">
        <v>751</v>
      </c>
      <c r="Q1587" s="122" t="s">
        <v>12421</v>
      </c>
      <c r="R1587" s="16" t="s">
        <v>8904</v>
      </c>
      <c r="S1587" s="10" t="s">
        <v>1163</v>
      </c>
      <c r="T1587" s="28" t="s">
        <v>12767</v>
      </c>
      <c r="U1587" s="20" t="s">
        <v>5359</v>
      </c>
      <c r="V1587" s="16" t="s">
        <v>12723</v>
      </c>
      <c r="W1587" s="11" t="s">
        <v>14284</v>
      </c>
      <c r="X1587" s="174">
        <v>68.13</v>
      </c>
      <c r="Y1587" s="174">
        <v>84.566400000000002</v>
      </c>
    </row>
    <row r="1588" spans="1:25" ht="15" customHeight="1" x14ac:dyDescent="0.25">
      <c r="A1588" s="20" t="s">
        <v>12724</v>
      </c>
      <c r="B1588" s="10" t="s">
        <v>12746</v>
      </c>
      <c r="C1588" s="71" t="str">
        <f t="shared" si="34"/>
        <v>Product Info</v>
      </c>
      <c r="D1588" s="37" t="s">
        <v>12794</v>
      </c>
      <c r="E1588" s="143">
        <v>1</v>
      </c>
      <c r="F1588" s="12" t="s">
        <v>4992</v>
      </c>
      <c r="G1588" s="38">
        <v>119.4</v>
      </c>
      <c r="H1588" s="38">
        <v>101.49</v>
      </c>
      <c r="I1588" s="38">
        <v>83.58</v>
      </c>
      <c r="J1588" s="39"/>
      <c r="K1588" s="143"/>
      <c r="L1588" s="22">
        <v>4</v>
      </c>
      <c r="M1588" s="22" t="s">
        <v>12488</v>
      </c>
      <c r="N1588" s="20" t="s">
        <v>12529</v>
      </c>
      <c r="O1588" s="16" t="s">
        <v>13912</v>
      </c>
      <c r="P1588" s="143">
        <v>751</v>
      </c>
      <c r="Q1588" s="122" t="s">
        <v>12421</v>
      </c>
      <c r="R1588" s="16" t="s">
        <v>8904</v>
      </c>
      <c r="S1588" s="10" t="s">
        <v>1163</v>
      </c>
      <c r="T1588" s="28" t="s">
        <v>12768</v>
      </c>
      <c r="U1588" s="20" t="s">
        <v>5359</v>
      </c>
      <c r="V1588" s="16" t="s">
        <v>12724</v>
      </c>
      <c r="W1588" s="11" t="s">
        <v>14284</v>
      </c>
      <c r="X1588" s="174">
        <v>75.22</v>
      </c>
      <c r="Y1588" s="174">
        <v>93.370800000000003</v>
      </c>
    </row>
    <row r="1589" spans="1:25" ht="15" customHeight="1" x14ac:dyDescent="0.25">
      <c r="A1589" s="20" t="s">
        <v>12548</v>
      </c>
      <c r="B1589" s="16" t="s">
        <v>12549</v>
      </c>
      <c r="C1589" s="71" t="str">
        <f t="shared" si="34"/>
        <v>Product Info</v>
      </c>
      <c r="D1589" s="37" t="s">
        <v>12696</v>
      </c>
      <c r="E1589" s="143">
        <v>1</v>
      </c>
      <c r="F1589" s="12" t="s">
        <v>4992</v>
      </c>
      <c r="G1589" s="38">
        <v>271.99</v>
      </c>
      <c r="H1589" s="38">
        <v>231.2</v>
      </c>
      <c r="I1589" s="38">
        <v>190.39</v>
      </c>
      <c r="J1589" s="39"/>
      <c r="K1589" s="143"/>
      <c r="L1589" s="22">
        <v>4</v>
      </c>
      <c r="M1589" s="22" t="s">
        <v>12488</v>
      </c>
      <c r="N1589" s="20" t="s">
        <v>12529</v>
      </c>
      <c r="O1589" s="16" t="s">
        <v>13912</v>
      </c>
      <c r="P1589" s="143">
        <v>751</v>
      </c>
      <c r="Q1589" s="122" t="s">
        <v>12421</v>
      </c>
      <c r="R1589" s="16" t="s">
        <v>8904</v>
      </c>
      <c r="S1589" s="10" t="s">
        <v>1163</v>
      </c>
      <c r="T1589" s="28" t="s">
        <v>12567</v>
      </c>
      <c r="U1589" s="20" t="s">
        <v>5359</v>
      </c>
      <c r="V1589" s="16" t="s">
        <v>12548</v>
      </c>
      <c r="W1589" s="11" t="s">
        <v>14284</v>
      </c>
      <c r="X1589" s="174">
        <v>171.35</v>
      </c>
      <c r="Y1589" s="174">
        <v>212.70400000000001</v>
      </c>
    </row>
    <row r="1590" spans="1:25" ht="15" customHeight="1" x14ac:dyDescent="0.25">
      <c r="A1590" s="20" t="s">
        <v>12737</v>
      </c>
      <c r="B1590" s="10" t="s">
        <v>12759</v>
      </c>
      <c r="C1590" s="71" t="str">
        <f t="shared" si="34"/>
        <v>Product Info</v>
      </c>
      <c r="D1590" s="37" t="s">
        <v>12807</v>
      </c>
      <c r="E1590" s="143">
        <v>1</v>
      </c>
      <c r="F1590" s="12" t="s">
        <v>4992</v>
      </c>
      <c r="G1590" s="38">
        <v>276.86</v>
      </c>
      <c r="H1590" s="38">
        <v>235.34</v>
      </c>
      <c r="I1590" s="38">
        <v>193.8</v>
      </c>
      <c r="J1590" s="39"/>
      <c r="K1590" s="143"/>
      <c r="L1590" s="22">
        <v>4</v>
      </c>
      <c r="M1590" s="22" t="s">
        <v>12488</v>
      </c>
      <c r="N1590" s="20" t="s">
        <v>12529</v>
      </c>
      <c r="O1590" s="16" t="s">
        <v>13912</v>
      </c>
      <c r="P1590" s="143">
        <v>751</v>
      </c>
      <c r="Q1590" s="122" t="s">
        <v>12421</v>
      </c>
      <c r="R1590" s="16" t="s">
        <v>8904</v>
      </c>
      <c r="S1590" s="10" t="s">
        <v>1163</v>
      </c>
      <c r="T1590" s="28" t="s">
        <v>12781</v>
      </c>
      <c r="U1590" s="20" t="s">
        <v>5359</v>
      </c>
      <c r="V1590" s="16" t="s">
        <v>12737</v>
      </c>
      <c r="W1590" s="11" t="s">
        <v>14284</v>
      </c>
      <c r="X1590" s="174">
        <v>174.42</v>
      </c>
      <c r="Y1590" s="174">
        <v>216.5128</v>
      </c>
    </row>
    <row r="1591" spans="1:25" ht="15" customHeight="1" x14ac:dyDescent="0.25">
      <c r="A1591" s="20" t="s">
        <v>12738</v>
      </c>
      <c r="B1591" s="10" t="s">
        <v>12760</v>
      </c>
      <c r="C1591" s="71" t="str">
        <f t="shared" si="34"/>
        <v>Product Info</v>
      </c>
      <c r="D1591" s="37" t="s">
        <v>12808</v>
      </c>
      <c r="E1591" s="143">
        <v>1</v>
      </c>
      <c r="F1591" s="12" t="s">
        <v>4992</v>
      </c>
      <c r="G1591" s="38">
        <v>289.27</v>
      </c>
      <c r="H1591" s="38">
        <v>245.89</v>
      </c>
      <c r="I1591" s="38">
        <v>202.49</v>
      </c>
      <c r="J1591" s="39"/>
      <c r="K1591" s="143"/>
      <c r="L1591" s="22">
        <v>4</v>
      </c>
      <c r="M1591" s="22" t="s">
        <v>12488</v>
      </c>
      <c r="N1591" s="20" t="s">
        <v>12529</v>
      </c>
      <c r="O1591" s="16" t="s">
        <v>13912</v>
      </c>
      <c r="P1591" s="143">
        <v>751</v>
      </c>
      <c r="Q1591" s="122" t="s">
        <v>12421</v>
      </c>
      <c r="R1591" s="16" t="s">
        <v>8904</v>
      </c>
      <c r="S1591" s="10" t="s">
        <v>1163</v>
      </c>
      <c r="T1591" s="28" t="s">
        <v>12782</v>
      </c>
      <c r="U1591" s="20" t="s">
        <v>5359</v>
      </c>
      <c r="V1591" s="16" t="s">
        <v>12738</v>
      </c>
      <c r="W1591" s="11" t="s">
        <v>14284</v>
      </c>
      <c r="X1591" s="174">
        <v>182.24</v>
      </c>
      <c r="Y1591" s="174">
        <v>226.21879999999999</v>
      </c>
    </row>
    <row r="1592" spans="1:25" ht="15" customHeight="1" x14ac:dyDescent="0.25">
      <c r="A1592" s="20" t="s">
        <v>12739</v>
      </c>
      <c r="B1592" s="10" t="s">
        <v>12761</v>
      </c>
      <c r="C1592" s="71" t="str">
        <f t="shared" si="34"/>
        <v>Product Info</v>
      </c>
      <c r="D1592" s="37" t="s">
        <v>12809</v>
      </c>
      <c r="E1592" s="143">
        <v>1</v>
      </c>
      <c r="F1592" s="12" t="s">
        <v>4992</v>
      </c>
      <c r="G1592" s="38">
        <v>320.74</v>
      </c>
      <c r="H1592" s="38">
        <v>272.64</v>
      </c>
      <c r="I1592" s="38">
        <v>224.52</v>
      </c>
      <c r="J1592" s="39"/>
      <c r="K1592" s="143"/>
      <c r="L1592" s="22">
        <v>4</v>
      </c>
      <c r="M1592" s="22" t="s">
        <v>12488</v>
      </c>
      <c r="N1592" s="20" t="s">
        <v>12529</v>
      </c>
      <c r="O1592" s="16" t="s">
        <v>13912</v>
      </c>
      <c r="P1592" s="143">
        <v>751</v>
      </c>
      <c r="Q1592" s="122" t="s">
        <v>12421</v>
      </c>
      <c r="R1592" s="16" t="s">
        <v>8904</v>
      </c>
      <c r="S1592" s="10" t="s">
        <v>1163</v>
      </c>
      <c r="T1592" s="28" t="s">
        <v>12783</v>
      </c>
      <c r="U1592" s="20" t="s">
        <v>5359</v>
      </c>
      <c r="V1592" s="16" t="s">
        <v>12739</v>
      </c>
      <c r="W1592" s="11" t="s">
        <v>14284</v>
      </c>
      <c r="X1592" s="174">
        <v>202.07</v>
      </c>
      <c r="Y1592" s="174">
        <v>250.8288</v>
      </c>
    </row>
    <row r="1593" spans="1:25" ht="15" customHeight="1" x14ac:dyDescent="0.25">
      <c r="A1593" s="20" t="s">
        <v>12850</v>
      </c>
      <c r="B1593" s="16" t="s">
        <v>12892</v>
      </c>
      <c r="C1593" s="71" t="str">
        <f t="shared" si="34"/>
        <v>Product Info</v>
      </c>
      <c r="D1593" s="37" t="s">
        <v>13111</v>
      </c>
      <c r="E1593" s="143">
        <v>1</v>
      </c>
      <c r="F1593" s="12" t="s">
        <v>4992</v>
      </c>
      <c r="G1593" s="38">
        <v>279.43</v>
      </c>
      <c r="H1593" s="38">
        <v>237.52</v>
      </c>
      <c r="I1593" s="38">
        <v>195.6</v>
      </c>
      <c r="J1593" s="39"/>
      <c r="K1593" s="143"/>
      <c r="L1593" s="22">
        <v>4</v>
      </c>
      <c r="M1593" s="22" t="s">
        <v>12488</v>
      </c>
      <c r="N1593" s="20" t="s">
        <v>12529</v>
      </c>
      <c r="O1593" s="16" t="s">
        <v>13912</v>
      </c>
      <c r="P1593" s="143">
        <v>751</v>
      </c>
      <c r="Q1593" s="122" t="s">
        <v>12421</v>
      </c>
      <c r="R1593" s="16" t="s">
        <v>8904</v>
      </c>
      <c r="S1593" s="10" t="s">
        <v>1163</v>
      </c>
      <c r="T1593" s="28" t="s">
        <v>12949</v>
      </c>
      <c r="U1593" s="20" t="s">
        <v>5359</v>
      </c>
      <c r="V1593" s="16" t="s">
        <v>12850</v>
      </c>
      <c r="W1593" s="11" t="s">
        <v>14284</v>
      </c>
      <c r="X1593" s="174">
        <v>176.04</v>
      </c>
      <c r="Y1593" s="174">
        <v>218.51840000000001</v>
      </c>
    </row>
    <row r="1594" spans="1:25" ht="15" customHeight="1" x14ac:dyDescent="0.25">
      <c r="A1594" s="20" t="s">
        <v>12550</v>
      </c>
      <c r="B1594" s="16" t="s">
        <v>12551</v>
      </c>
      <c r="C1594" s="71" t="str">
        <f t="shared" si="34"/>
        <v>Product Info</v>
      </c>
      <c r="D1594" s="37" t="s">
        <v>12697</v>
      </c>
      <c r="E1594" s="143">
        <v>1</v>
      </c>
      <c r="F1594" s="12" t="s">
        <v>4992</v>
      </c>
      <c r="G1594" s="38">
        <v>129.30000000000001</v>
      </c>
      <c r="H1594" s="38">
        <v>109.91</v>
      </c>
      <c r="I1594" s="38">
        <v>90.51</v>
      </c>
      <c r="J1594" s="39"/>
      <c r="K1594" s="143"/>
      <c r="L1594" s="22">
        <v>4</v>
      </c>
      <c r="M1594" s="22" t="s">
        <v>12488</v>
      </c>
      <c r="N1594" s="20" t="s">
        <v>12529</v>
      </c>
      <c r="O1594" s="16" t="s">
        <v>13912</v>
      </c>
      <c r="P1594" s="143">
        <v>751</v>
      </c>
      <c r="Q1594" s="122" t="s">
        <v>12421</v>
      </c>
      <c r="R1594" s="16" t="s">
        <v>8904</v>
      </c>
      <c r="S1594" s="10" t="s">
        <v>1163</v>
      </c>
      <c r="T1594" s="28" t="s">
        <v>12568</v>
      </c>
      <c r="U1594" s="20" t="s">
        <v>5359</v>
      </c>
      <c r="V1594" s="16" t="s">
        <v>12550</v>
      </c>
      <c r="W1594" s="11" t="s">
        <v>14284</v>
      </c>
      <c r="X1594" s="174">
        <v>81.459999999999994</v>
      </c>
      <c r="Y1594" s="174">
        <v>101.1172</v>
      </c>
    </row>
    <row r="1595" spans="1:25" ht="15" customHeight="1" x14ac:dyDescent="0.25">
      <c r="A1595" s="20" t="s">
        <v>12868</v>
      </c>
      <c r="B1595" s="16" t="s">
        <v>12910</v>
      </c>
      <c r="C1595" s="71" t="str">
        <f t="shared" si="34"/>
        <v>Product Info</v>
      </c>
      <c r="D1595" s="37" t="s">
        <v>13129</v>
      </c>
      <c r="E1595" s="143">
        <v>1</v>
      </c>
      <c r="F1595" s="12" t="s">
        <v>4992</v>
      </c>
      <c r="G1595" s="38">
        <v>124.64</v>
      </c>
      <c r="H1595" s="38">
        <v>105.95</v>
      </c>
      <c r="I1595" s="38">
        <v>87.25</v>
      </c>
      <c r="J1595" s="39"/>
      <c r="K1595" s="143"/>
      <c r="L1595" s="22">
        <v>4</v>
      </c>
      <c r="M1595" s="22" t="s">
        <v>12488</v>
      </c>
      <c r="N1595" s="20" t="s">
        <v>13078</v>
      </c>
      <c r="O1595" s="16" t="s">
        <v>13912</v>
      </c>
      <c r="P1595" s="143">
        <v>751</v>
      </c>
      <c r="Q1595" s="121" t="s">
        <v>14285</v>
      </c>
      <c r="R1595" s="16" t="s">
        <v>8904</v>
      </c>
      <c r="S1595" s="10" t="s">
        <v>1163</v>
      </c>
      <c r="T1595" s="28" t="s">
        <v>12931</v>
      </c>
      <c r="U1595" s="20" t="s">
        <v>5359</v>
      </c>
      <c r="V1595" s="16" t="s">
        <v>12868</v>
      </c>
      <c r="W1595" s="11" t="s">
        <v>14284</v>
      </c>
      <c r="X1595" s="174">
        <v>78.53</v>
      </c>
      <c r="Y1595" s="174">
        <v>97.474000000000004</v>
      </c>
    </row>
    <row r="1596" spans="1:25" ht="15" customHeight="1" x14ac:dyDescent="0.25">
      <c r="A1596" s="20" t="s">
        <v>12863</v>
      </c>
      <c r="B1596" s="16" t="s">
        <v>12905</v>
      </c>
      <c r="C1596" s="71" t="str">
        <f t="shared" si="34"/>
        <v>Product Info</v>
      </c>
      <c r="D1596" s="37" t="s">
        <v>13124</v>
      </c>
      <c r="E1596" s="143">
        <v>1</v>
      </c>
      <c r="F1596" s="12" t="s">
        <v>4992</v>
      </c>
      <c r="G1596" s="38">
        <v>135.13</v>
      </c>
      <c r="H1596" s="38">
        <v>114.86</v>
      </c>
      <c r="I1596" s="38">
        <v>94.59</v>
      </c>
      <c r="J1596" s="39"/>
      <c r="K1596" s="143"/>
      <c r="L1596" s="22">
        <v>4</v>
      </c>
      <c r="M1596" s="22" t="s">
        <v>12488</v>
      </c>
      <c r="N1596" s="20" t="s">
        <v>13078</v>
      </c>
      <c r="O1596" s="16" t="s">
        <v>13912</v>
      </c>
      <c r="P1596" s="143">
        <v>751</v>
      </c>
      <c r="Q1596" s="121" t="s">
        <v>14285</v>
      </c>
      <c r="R1596" s="16" t="s">
        <v>8904</v>
      </c>
      <c r="S1596" s="10" t="s">
        <v>1163</v>
      </c>
      <c r="T1596" s="28" t="s">
        <v>12936</v>
      </c>
      <c r="U1596" s="20" t="s">
        <v>5359</v>
      </c>
      <c r="V1596" s="16" t="s">
        <v>12863</v>
      </c>
      <c r="W1596" s="11" t="s">
        <v>14284</v>
      </c>
      <c r="X1596" s="174">
        <v>85.13</v>
      </c>
      <c r="Y1596" s="174">
        <v>105.6712</v>
      </c>
    </row>
    <row r="1597" spans="1:25" ht="15" customHeight="1" x14ac:dyDescent="0.25">
      <c r="A1597" s="20" t="s">
        <v>12869</v>
      </c>
      <c r="B1597" s="16" t="s">
        <v>12911</v>
      </c>
      <c r="C1597" s="71" t="str">
        <f t="shared" si="34"/>
        <v>Product Info</v>
      </c>
      <c r="D1597" s="37" t="s">
        <v>13130</v>
      </c>
      <c r="E1597" s="143">
        <v>1</v>
      </c>
      <c r="F1597" s="12" t="s">
        <v>4992</v>
      </c>
      <c r="G1597" s="38">
        <v>107.16</v>
      </c>
      <c r="H1597" s="38">
        <v>91.09</v>
      </c>
      <c r="I1597" s="38">
        <v>75.010000000000005</v>
      </c>
      <c r="J1597" s="39"/>
      <c r="K1597" s="143"/>
      <c r="L1597" s="22">
        <v>4</v>
      </c>
      <c r="M1597" s="22" t="s">
        <v>12488</v>
      </c>
      <c r="N1597" s="20" t="s">
        <v>13078</v>
      </c>
      <c r="O1597" s="16" t="s">
        <v>13912</v>
      </c>
      <c r="P1597" s="143">
        <v>751</v>
      </c>
      <c r="Q1597" s="121" t="s">
        <v>14285</v>
      </c>
      <c r="R1597" s="16" t="s">
        <v>8904</v>
      </c>
      <c r="S1597" s="10" t="s">
        <v>1163</v>
      </c>
      <c r="T1597" s="28" t="s">
        <v>12930</v>
      </c>
      <c r="U1597" s="20" t="s">
        <v>5359</v>
      </c>
      <c r="V1597" s="16" t="s">
        <v>12869</v>
      </c>
      <c r="W1597" s="11" t="s">
        <v>14284</v>
      </c>
      <c r="X1597" s="174">
        <v>67.510000000000005</v>
      </c>
      <c r="Y1597" s="174">
        <v>83.802800000000005</v>
      </c>
    </row>
    <row r="1598" spans="1:25" ht="15" customHeight="1" x14ac:dyDescent="0.25">
      <c r="A1598" s="20" t="s">
        <v>12864</v>
      </c>
      <c r="B1598" s="16" t="s">
        <v>12906</v>
      </c>
      <c r="C1598" s="71" t="str">
        <f t="shared" si="34"/>
        <v>Product Info</v>
      </c>
      <c r="D1598" s="37" t="s">
        <v>13125</v>
      </c>
      <c r="E1598" s="143">
        <v>1</v>
      </c>
      <c r="F1598" s="12" t="s">
        <v>4992</v>
      </c>
      <c r="G1598" s="38">
        <v>286.86</v>
      </c>
      <c r="H1598" s="38">
        <v>243.84</v>
      </c>
      <c r="I1598" s="38">
        <v>200.8</v>
      </c>
      <c r="J1598" s="39"/>
      <c r="K1598" s="143"/>
      <c r="L1598" s="22">
        <v>4</v>
      </c>
      <c r="M1598" s="22" t="s">
        <v>12488</v>
      </c>
      <c r="N1598" s="20" t="s">
        <v>13078</v>
      </c>
      <c r="O1598" s="16" t="s">
        <v>13912</v>
      </c>
      <c r="P1598" s="143">
        <v>751</v>
      </c>
      <c r="Q1598" s="121" t="s">
        <v>14285</v>
      </c>
      <c r="R1598" s="16" t="s">
        <v>8904</v>
      </c>
      <c r="S1598" s="10" t="s">
        <v>1163</v>
      </c>
      <c r="T1598" s="28" t="s">
        <v>12935</v>
      </c>
      <c r="U1598" s="20" t="s">
        <v>5359</v>
      </c>
      <c r="V1598" s="16" t="s">
        <v>12864</v>
      </c>
      <c r="W1598" s="11" t="s">
        <v>14284</v>
      </c>
      <c r="X1598" s="174">
        <v>180.72</v>
      </c>
      <c r="Y1598" s="174">
        <v>224.33280000000002</v>
      </c>
    </row>
    <row r="1599" spans="1:25" ht="15" customHeight="1" x14ac:dyDescent="0.25">
      <c r="A1599" s="20" t="s">
        <v>12870</v>
      </c>
      <c r="B1599" s="16" t="s">
        <v>12912</v>
      </c>
      <c r="C1599" s="71" t="str">
        <f t="shared" si="34"/>
        <v>Product Info</v>
      </c>
      <c r="D1599" s="37" t="s">
        <v>13131</v>
      </c>
      <c r="E1599" s="143">
        <v>1</v>
      </c>
      <c r="F1599" s="12" t="s">
        <v>4992</v>
      </c>
      <c r="G1599" s="38">
        <v>142.88999999999999</v>
      </c>
      <c r="H1599" s="38">
        <v>121.46</v>
      </c>
      <c r="I1599" s="38">
        <v>100.02</v>
      </c>
      <c r="J1599" s="39"/>
      <c r="K1599" s="143"/>
      <c r="L1599" s="22">
        <v>4</v>
      </c>
      <c r="M1599" s="22" t="s">
        <v>12488</v>
      </c>
      <c r="N1599" s="20" t="s">
        <v>13078</v>
      </c>
      <c r="O1599" s="16" t="s">
        <v>13912</v>
      </c>
      <c r="P1599" s="143">
        <v>751</v>
      </c>
      <c r="Q1599" s="121" t="s">
        <v>14285</v>
      </c>
      <c r="R1599" s="16" t="s">
        <v>8904</v>
      </c>
      <c r="S1599" s="10" t="s">
        <v>1163</v>
      </c>
      <c r="T1599" s="28" t="s">
        <v>12929</v>
      </c>
      <c r="U1599" s="20" t="s">
        <v>5359</v>
      </c>
      <c r="V1599" s="16" t="s">
        <v>12870</v>
      </c>
      <c r="W1599" s="11" t="s">
        <v>14284</v>
      </c>
      <c r="X1599" s="174">
        <v>90.02</v>
      </c>
      <c r="Y1599" s="174">
        <v>111.7432</v>
      </c>
    </row>
    <row r="1600" spans="1:25" ht="15" customHeight="1" x14ac:dyDescent="0.25">
      <c r="A1600" s="20" t="s">
        <v>12668</v>
      </c>
      <c r="B1600" s="14" t="s">
        <v>12787</v>
      </c>
      <c r="C1600" s="71" t="str">
        <f t="shared" si="34"/>
        <v>Product Info</v>
      </c>
      <c r="D1600" s="37" t="s">
        <v>12811</v>
      </c>
      <c r="E1600" s="143">
        <v>25</v>
      </c>
      <c r="F1600" s="12" t="s">
        <v>4992</v>
      </c>
      <c r="G1600" s="38">
        <v>8.27</v>
      </c>
      <c r="H1600" s="38">
        <f>I1600</f>
        <v>4.7699999999999996</v>
      </c>
      <c r="I1600" s="38">
        <v>4.7699999999999996</v>
      </c>
      <c r="J1600" s="39"/>
      <c r="K1600" s="143"/>
      <c r="L1600" s="22">
        <v>2</v>
      </c>
      <c r="M1600" s="22" t="s">
        <v>12487</v>
      </c>
      <c r="N1600" s="20" t="s">
        <v>9569</v>
      </c>
      <c r="O1600" s="16" t="s">
        <v>13912</v>
      </c>
      <c r="P1600" s="143">
        <v>787</v>
      </c>
      <c r="Q1600" s="122" t="s">
        <v>9227</v>
      </c>
      <c r="R1600" s="16" t="s">
        <v>8904</v>
      </c>
      <c r="S1600" s="10" t="s">
        <v>194</v>
      </c>
      <c r="T1600" s="28" t="s">
        <v>12788</v>
      </c>
      <c r="U1600" s="20" t="s">
        <v>5359</v>
      </c>
      <c r="V1600" s="16" t="s">
        <v>12668</v>
      </c>
      <c r="W1600" s="11"/>
      <c r="X1600" s="174">
        <v>3.74</v>
      </c>
      <c r="Y1600" s="174">
        <v>4.7699999999999996</v>
      </c>
    </row>
    <row r="1601" spans="1:25" ht="15" customHeight="1" x14ac:dyDescent="0.25">
      <c r="A1601" s="20" t="s">
        <v>8009</v>
      </c>
      <c r="B1601" s="14" t="s">
        <v>8010</v>
      </c>
      <c r="C1601" s="71" t="str">
        <f t="shared" si="34"/>
        <v>Product Info</v>
      </c>
      <c r="D1601" s="37" t="s">
        <v>6665</v>
      </c>
      <c r="E1601" s="143">
        <v>10</v>
      </c>
      <c r="F1601" s="12" t="s">
        <v>2170</v>
      </c>
      <c r="G1601" s="38">
        <v>3.41</v>
      </c>
      <c r="H1601" s="38">
        <f>I1601</f>
        <v>2.39</v>
      </c>
      <c r="I1601" s="38">
        <v>2.39</v>
      </c>
      <c r="J1601" s="39"/>
      <c r="K1601" s="143"/>
      <c r="L1601" s="22">
        <v>0.13700000000000001</v>
      </c>
      <c r="M1601" s="22" t="s">
        <v>12488</v>
      </c>
      <c r="N1601" s="20" t="s">
        <v>9346</v>
      </c>
      <c r="O1601" s="16" t="s">
        <v>12608</v>
      </c>
      <c r="P1601" s="143">
        <v>755</v>
      </c>
      <c r="Q1601" s="122" t="s">
        <v>12421</v>
      </c>
      <c r="R1601" s="16" t="s">
        <v>8904</v>
      </c>
      <c r="S1601" s="10" t="s">
        <v>194</v>
      </c>
      <c r="T1601" s="28" t="s">
        <v>10636</v>
      </c>
      <c r="U1601" s="20" t="s">
        <v>5359</v>
      </c>
      <c r="V1601" s="16" t="s">
        <v>8009</v>
      </c>
      <c r="W1601" s="11"/>
      <c r="X1601" s="174">
        <v>1.88</v>
      </c>
      <c r="Y1601" s="174">
        <v>2.39</v>
      </c>
    </row>
    <row r="1602" spans="1:25" ht="15" customHeight="1" x14ac:dyDescent="0.25">
      <c r="A1602" s="20" t="s">
        <v>8011</v>
      </c>
      <c r="B1602" s="14" t="s">
        <v>8012</v>
      </c>
      <c r="C1602" s="71" t="str">
        <f t="shared" si="34"/>
        <v>Product Info</v>
      </c>
      <c r="D1602" s="37" t="s">
        <v>6666</v>
      </c>
      <c r="E1602" s="143">
        <v>1</v>
      </c>
      <c r="F1602" s="12" t="s">
        <v>2170</v>
      </c>
      <c r="G1602" s="38">
        <v>82.16</v>
      </c>
      <c r="H1602" s="38">
        <f>I1602</f>
        <v>57.51</v>
      </c>
      <c r="I1602" s="38">
        <v>57.51</v>
      </c>
      <c r="J1602" s="39"/>
      <c r="K1602" s="143"/>
      <c r="L1602" s="22">
        <v>2</v>
      </c>
      <c r="M1602" s="22" t="s">
        <v>12488</v>
      </c>
      <c r="N1602" s="20" t="s">
        <v>8830</v>
      </c>
      <c r="O1602" s="16" t="s">
        <v>12608</v>
      </c>
      <c r="P1602" s="143">
        <v>755</v>
      </c>
      <c r="Q1602" s="121" t="s">
        <v>14285</v>
      </c>
      <c r="R1602" s="16" t="s">
        <v>8904</v>
      </c>
      <c r="S1602" s="10" t="s">
        <v>194</v>
      </c>
      <c r="T1602" s="28" t="s">
        <v>10637</v>
      </c>
      <c r="U1602" s="20" t="s">
        <v>5359</v>
      </c>
      <c r="V1602" s="16" t="s">
        <v>8011</v>
      </c>
      <c r="W1602" s="11"/>
      <c r="X1602" s="174">
        <v>45.1</v>
      </c>
      <c r="Y1602" s="174">
        <v>57.51</v>
      </c>
    </row>
    <row r="1603" spans="1:25" ht="15" customHeight="1" x14ac:dyDescent="0.25">
      <c r="A1603" s="20" t="s">
        <v>5462</v>
      </c>
      <c r="B1603" s="14" t="s">
        <v>5465</v>
      </c>
      <c r="C1603" s="71" t="str">
        <f t="shared" si="34"/>
        <v>Product Info</v>
      </c>
      <c r="D1603" s="37" t="s">
        <v>4331</v>
      </c>
      <c r="E1603" s="143">
        <v>3</v>
      </c>
      <c r="F1603" s="12" t="s">
        <v>4992</v>
      </c>
      <c r="G1603" s="38">
        <v>133.13</v>
      </c>
      <c r="H1603" s="38">
        <f>I1603</f>
        <v>93.19</v>
      </c>
      <c r="I1603" s="38">
        <v>93.19</v>
      </c>
      <c r="J1603" s="39">
        <v>10</v>
      </c>
      <c r="K1603" s="143"/>
      <c r="L1603" s="22">
        <v>0</v>
      </c>
      <c r="M1603" s="22" t="s">
        <v>12488</v>
      </c>
      <c r="N1603" s="20" t="s">
        <v>14489</v>
      </c>
      <c r="O1603" s="16" t="s">
        <v>12608</v>
      </c>
      <c r="P1603" s="143">
        <v>749</v>
      </c>
      <c r="Q1603" s="121" t="s">
        <v>14285</v>
      </c>
      <c r="R1603" s="16" t="s">
        <v>8904</v>
      </c>
      <c r="S1603" s="10" t="s">
        <v>194</v>
      </c>
      <c r="T1603" s="28" t="s">
        <v>11463</v>
      </c>
      <c r="U1603" s="20" t="s">
        <v>5359</v>
      </c>
      <c r="V1603" s="16" t="s">
        <v>5462</v>
      </c>
      <c r="W1603" s="11" t="s">
        <v>14433</v>
      </c>
      <c r="X1603" s="174">
        <v>69.95</v>
      </c>
      <c r="Y1603" s="174">
        <v>93.19</v>
      </c>
    </row>
    <row r="1604" spans="1:25" ht="15" customHeight="1" x14ac:dyDescent="0.25">
      <c r="A1604" s="20" t="s">
        <v>4695</v>
      </c>
      <c r="B1604" s="14" t="s">
        <v>12450</v>
      </c>
      <c r="C1604" s="71" t="str">
        <f t="shared" si="34"/>
        <v>Product Info</v>
      </c>
      <c r="D1604" s="37" t="s">
        <v>4231</v>
      </c>
      <c r="E1604" s="143">
        <v>1</v>
      </c>
      <c r="F1604" s="12" t="s">
        <v>2170</v>
      </c>
      <c r="G1604" s="38">
        <v>2992.26</v>
      </c>
      <c r="H1604" s="38">
        <v>2543.5100000000002</v>
      </c>
      <c r="I1604" s="38">
        <v>2094.58</v>
      </c>
      <c r="J1604" s="39"/>
      <c r="K1604" s="143"/>
      <c r="L1604" s="22">
        <v>25</v>
      </c>
      <c r="M1604" s="22" t="s">
        <v>12488</v>
      </c>
      <c r="N1604" s="20" t="s">
        <v>9347</v>
      </c>
      <c r="O1604" s="16" t="s">
        <v>12608</v>
      </c>
      <c r="P1604" s="143">
        <v>748</v>
      </c>
      <c r="Q1604" s="121" t="s">
        <v>14285</v>
      </c>
      <c r="R1604" s="16" t="s">
        <v>8904</v>
      </c>
      <c r="S1604" s="10" t="s">
        <v>1163</v>
      </c>
      <c r="T1604" s="28" t="s">
        <v>10638</v>
      </c>
      <c r="U1604" s="20" t="s">
        <v>5359</v>
      </c>
      <c r="V1604" s="16" t="s">
        <v>4695</v>
      </c>
      <c r="W1604" s="11" t="s">
        <v>14399</v>
      </c>
      <c r="X1604" s="174">
        <v>1951.8</v>
      </c>
      <c r="Y1604" s="174">
        <v>2543.5100000000002</v>
      </c>
    </row>
    <row r="1605" spans="1:25" ht="15" customHeight="1" x14ac:dyDescent="0.25">
      <c r="A1605" s="20" t="s">
        <v>7086</v>
      </c>
      <c r="B1605" s="14" t="s">
        <v>12444</v>
      </c>
      <c r="C1605" s="71" t="str">
        <f t="shared" si="34"/>
        <v>Product Info</v>
      </c>
      <c r="D1605" s="37" t="s">
        <v>4232</v>
      </c>
      <c r="E1605" s="143">
        <v>1</v>
      </c>
      <c r="F1605" s="12" t="s">
        <v>2170</v>
      </c>
      <c r="G1605" s="38">
        <v>3657.17</v>
      </c>
      <c r="H1605" s="38">
        <v>3108.71</v>
      </c>
      <c r="I1605" s="38">
        <v>2560.02</v>
      </c>
      <c r="J1605" s="39"/>
      <c r="K1605" s="143"/>
      <c r="L1605" s="22">
        <v>28</v>
      </c>
      <c r="M1605" s="22" t="s">
        <v>12488</v>
      </c>
      <c r="N1605" s="20" t="s">
        <v>9347</v>
      </c>
      <c r="O1605" s="16" t="s">
        <v>12608</v>
      </c>
      <c r="P1605" s="143">
        <v>748</v>
      </c>
      <c r="Q1605" s="121" t="s">
        <v>14285</v>
      </c>
      <c r="R1605" s="16" t="s">
        <v>8904</v>
      </c>
      <c r="S1605" s="10" t="s">
        <v>1163</v>
      </c>
      <c r="T1605" s="28" t="s">
        <v>10639</v>
      </c>
      <c r="U1605" s="20" t="s">
        <v>5359</v>
      </c>
      <c r="V1605" s="16" t="s">
        <v>7086</v>
      </c>
      <c r="W1605" s="11" t="s">
        <v>14399</v>
      </c>
      <c r="X1605" s="174">
        <v>2385.52</v>
      </c>
      <c r="Y1605" s="174">
        <v>3108.71</v>
      </c>
    </row>
    <row r="1606" spans="1:25" ht="15" customHeight="1" x14ac:dyDescent="0.25">
      <c r="A1606" s="20" t="s">
        <v>7087</v>
      </c>
      <c r="B1606" s="14" t="s">
        <v>7088</v>
      </c>
      <c r="C1606" s="71" t="str">
        <f t="shared" ref="C1606:C1669" si="35">HYPERLINK(T1606,U1606)</f>
        <v>Product Info</v>
      </c>
      <c r="D1606" s="37" t="s">
        <v>4233</v>
      </c>
      <c r="E1606" s="143" t="e">
        <v>#N/A</v>
      </c>
      <c r="F1606" s="12" t="s">
        <v>2170</v>
      </c>
      <c r="G1606" s="38">
        <v>4155.8999999999996</v>
      </c>
      <c r="H1606" s="38">
        <v>3532.64</v>
      </c>
      <c r="I1606" s="38">
        <v>2909.13</v>
      </c>
      <c r="J1606" s="39"/>
      <c r="K1606" s="143"/>
      <c r="L1606" s="22"/>
      <c r="M1606" s="22"/>
      <c r="N1606" s="20"/>
      <c r="O1606" s="16" t="e">
        <v>#N/A</v>
      </c>
      <c r="P1606" s="143" t="e">
        <v>#N/A</v>
      </c>
      <c r="Q1606" s="121" t="s">
        <v>14285</v>
      </c>
      <c r="R1606" s="16" t="s">
        <v>8904</v>
      </c>
      <c r="S1606" s="10" t="s">
        <v>1163</v>
      </c>
      <c r="T1606" s="28" t="s">
        <v>10640</v>
      </c>
      <c r="U1606" s="20" t="s">
        <v>5359</v>
      </c>
      <c r="V1606" s="16" t="s">
        <v>7087</v>
      </c>
      <c r="W1606" s="11" t="s">
        <v>14399</v>
      </c>
      <c r="X1606" s="174">
        <v>2710.83</v>
      </c>
      <c r="Y1606" s="174">
        <v>3532.64</v>
      </c>
    </row>
    <row r="1607" spans="1:25" ht="15" customHeight="1" x14ac:dyDescent="0.25">
      <c r="A1607" s="20" t="s">
        <v>7089</v>
      </c>
      <c r="B1607" s="14" t="s">
        <v>12451</v>
      </c>
      <c r="C1607" s="71" t="str">
        <f t="shared" si="35"/>
        <v>Product Info</v>
      </c>
      <c r="D1607" s="37" t="s">
        <v>4234</v>
      </c>
      <c r="E1607" s="143">
        <v>1</v>
      </c>
      <c r="F1607" s="12" t="s">
        <v>2170</v>
      </c>
      <c r="G1607" s="38">
        <v>4571.5</v>
      </c>
      <c r="H1607" s="38">
        <v>3885.91</v>
      </c>
      <c r="I1607" s="38">
        <v>3200.05</v>
      </c>
      <c r="J1607" s="39"/>
      <c r="K1607" s="143"/>
      <c r="L1607" s="22">
        <v>32</v>
      </c>
      <c r="M1607" s="22" t="s">
        <v>12488</v>
      </c>
      <c r="N1607" s="20" t="s">
        <v>9347</v>
      </c>
      <c r="O1607" s="16" t="s">
        <v>12608</v>
      </c>
      <c r="P1607" s="143">
        <v>748</v>
      </c>
      <c r="Q1607" s="121" t="s">
        <v>14285</v>
      </c>
      <c r="R1607" s="16" t="s">
        <v>8904</v>
      </c>
      <c r="S1607" s="10" t="s">
        <v>1163</v>
      </c>
      <c r="T1607" s="28" t="s">
        <v>10641</v>
      </c>
      <c r="U1607" s="20" t="s">
        <v>5359</v>
      </c>
      <c r="V1607" s="16" t="s">
        <v>7089</v>
      </c>
      <c r="W1607" s="11" t="s">
        <v>14399</v>
      </c>
      <c r="X1607" s="174">
        <v>2981.92</v>
      </c>
      <c r="Y1607" s="174">
        <v>3885.91</v>
      </c>
    </row>
    <row r="1608" spans="1:25" ht="15" customHeight="1" x14ac:dyDescent="0.25">
      <c r="A1608" s="20" t="s">
        <v>7090</v>
      </c>
      <c r="B1608" s="14" t="s">
        <v>7091</v>
      </c>
      <c r="C1608" s="71" t="str">
        <f t="shared" si="35"/>
        <v>Product Info</v>
      </c>
      <c r="D1608" s="37" t="s">
        <v>4235</v>
      </c>
      <c r="E1608" s="143">
        <v>1</v>
      </c>
      <c r="F1608" s="12" t="s">
        <v>2170</v>
      </c>
      <c r="G1608" s="38">
        <v>1234.46</v>
      </c>
      <c r="H1608" s="38">
        <v>1049.33</v>
      </c>
      <c r="I1608" s="38">
        <v>864.12</v>
      </c>
      <c r="J1608" s="39">
        <v>10</v>
      </c>
      <c r="K1608" s="143"/>
      <c r="L1608" s="22">
        <v>14</v>
      </c>
      <c r="M1608" s="22" t="s">
        <v>12488</v>
      </c>
      <c r="N1608" s="20" t="s">
        <v>9348</v>
      </c>
      <c r="O1608" s="16" t="s">
        <v>12608</v>
      </c>
      <c r="P1608" s="143">
        <v>748</v>
      </c>
      <c r="Q1608" s="121" t="s">
        <v>14285</v>
      </c>
      <c r="R1608" s="16" t="s">
        <v>8904</v>
      </c>
      <c r="S1608" s="10" t="s">
        <v>1163</v>
      </c>
      <c r="T1608" s="28" t="s">
        <v>10642</v>
      </c>
      <c r="U1608" s="20" t="s">
        <v>5359</v>
      </c>
      <c r="V1608" s="16" t="s">
        <v>7090</v>
      </c>
      <c r="W1608" s="11" t="s">
        <v>14399</v>
      </c>
      <c r="X1608" s="174">
        <v>805.22</v>
      </c>
      <c r="Y1608" s="174">
        <v>1049.33</v>
      </c>
    </row>
    <row r="1609" spans="1:25" ht="15" customHeight="1" x14ac:dyDescent="0.25">
      <c r="A1609" s="20" t="s">
        <v>7092</v>
      </c>
      <c r="B1609" s="14" t="s">
        <v>7093</v>
      </c>
      <c r="C1609" s="71" t="str">
        <f t="shared" si="35"/>
        <v>Product Info</v>
      </c>
      <c r="D1609" s="37" t="s">
        <v>4236</v>
      </c>
      <c r="E1609" s="143">
        <v>1</v>
      </c>
      <c r="F1609" s="12" t="s">
        <v>2170</v>
      </c>
      <c r="G1609" s="38">
        <v>1399.01</v>
      </c>
      <c r="H1609" s="38">
        <v>1189.2</v>
      </c>
      <c r="I1609" s="38">
        <v>979.31</v>
      </c>
      <c r="J1609" s="39">
        <v>10</v>
      </c>
      <c r="K1609" s="143"/>
      <c r="L1609" s="22">
        <v>9.3949999999999996</v>
      </c>
      <c r="M1609" s="22" t="s">
        <v>12488</v>
      </c>
      <c r="N1609" s="20" t="s">
        <v>9349</v>
      </c>
      <c r="O1609" s="16" t="s">
        <v>12608</v>
      </c>
      <c r="P1609" s="143">
        <v>748</v>
      </c>
      <c r="Q1609" s="121" t="s">
        <v>14285</v>
      </c>
      <c r="R1609" s="16" t="s">
        <v>8904</v>
      </c>
      <c r="S1609" s="10" t="s">
        <v>1163</v>
      </c>
      <c r="T1609" s="28" t="s">
        <v>10643</v>
      </c>
      <c r="U1609" s="20" t="s">
        <v>5359</v>
      </c>
      <c r="V1609" s="16" t="s">
        <v>7092</v>
      </c>
      <c r="W1609" s="11" t="s">
        <v>14399</v>
      </c>
      <c r="X1609" s="174">
        <v>912.56</v>
      </c>
      <c r="Y1609" s="174">
        <v>1189.2</v>
      </c>
    </row>
    <row r="1610" spans="1:25" ht="15" customHeight="1" x14ac:dyDescent="0.25">
      <c r="A1610" s="20" t="s">
        <v>7094</v>
      </c>
      <c r="B1610" s="14" t="s">
        <v>7095</v>
      </c>
      <c r="C1610" s="71" t="str">
        <f t="shared" si="35"/>
        <v>Product Info</v>
      </c>
      <c r="D1610" s="37" t="s">
        <v>4237</v>
      </c>
      <c r="E1610" s="143">
        <v>1</v>
      </c>
      <c r="F1610" s="12" t="s">
        <v>2170</v>
      </c>
      <c r="G1610" s="38">
        <v>1481.31</v>
      </c>
      <c r="H1610" s="38">
        <v>1259.1600000000001</v>
      </c>
      <c r="I1610" s="38">
        <v>1036.92</v>
      </c>
      <c r="J1610" s="39">
        <v>10</v>
      </c>
      <c r="K1610" s="12" t="s">
        <v>8905</v>
      </c>
      <c r="L1610" s="22">
        <v>10.494999999999999</v>
      </c>
      <c r="M1610" s="22" t="s">
        <v>12488</v>
      </c>
      <c r="N1610" s="20" t="s">
        <v>9349</v>
      </c>
      <c r="O1610" s="16" t="s">
        <v>12608</v>
      </c>
      <c r="P1610" s="143">
        <v>748</v>
      </c>
      <c r="Q1610" s="121" t="s">
        <v>14285</v>
      </c>
      <c r="R1610" s="16" t="s">
        <v>8904</v>
      </c>
      <c r="S1610" s="10" t="s">
        <v>1163</v>
      </c>
      <c r="T1610" s="28" t="s">
        <v>10644</v>
      </c>
      <c r="U1610" s="20" t="s">
        <v>5359</v>
      </c>
      <c r="V1610" s="16" t="s">
        <v>7094</v>
      </c>
      <c r="W1610" s="11" t="s">
        <v>14399</v>
      </c>
      <c r="X1610" s="174">
        <v>966.24</v>
      </c>
      <c r="Y1610" s="174">
        <v>1259.1600000000001</v>
      </c>
    </row>
    <row r="1611" spans="1:25" ht="15" customHeight="1" x14ac:dyDescent="0.25">
      <c r="A1611" s="20" t="s">
        <v>7096</v>
      </c>
      <c r="B1611" s="14" t="s">
        <v>7097</v>
      </c>
      <c r="C1611" s="71" t="str">
        <f t="shared" si="35"/>
        <v>Product Info</v>
      </c>
      <c r="D1611" s="37" t="s">
        <v>4238</v>
      </c>
      <c r="E1611" s="143">
        <v>1</v>
      </c>
      <c r="F1611" s="12" t="s">
        <v>2170</v>
      </c>
      <c r="G1611" s="38">
        <v>1563.63</v>
      </c>
      <c r="H1611" s="38">
        <v>1329.13</v>
      </c>
      <c r="I1611" s="38">
        <v>1094.54</v>
      </c>
      <c r="J1611" s="39">
        <v>10</v>
      </c>
      <c r="K1611" s="12" t="s">
        <v>8905</v>
      </c>
      <c r="L1611" s="22">
        <v>17</v>
      </c>
      <c r="M1611" s="22" t="s">
        <v>12488</v>
      </c>
      <c r="N1611" s="20" t="s">
        <v>9350</v>
      </c>
      <c r="O1611" s="16" t="s">
        <v>12608</v>
      </c>
      <c r="P1611" s="143">
        <v>748</v>
      </c>
      <c r="Q1611" s="121" t="s">
        <v>14285</v>
      </c>
      <c r="R1611" s="16" t="s">
        <v>8904</v>
      </c>
      <c r="S1611" s="10" t="s">
        <v>1163</v>
      </c>
      <c r="T1611" s="28" t="s">
        <v>10645</v>
      </c>
      <c r="U1611" s="20" t="s">
        <v>5359</v>
      </c>
      <c r="V1611" s="16" t="s">
        <v>7096</v>
      </c>
      <c r="W1611" s="11" t="s">
        <v>14399</v>
      </c>
      <c r="X1611" s="174">
        <v>849.94</v>
      </c>
      <c r="Y1611" s="174">
        <v>1094.54</v>
      </c>
    </row>
    <row r="1612" spans="1:25" ht="15" customHeight="1" x14ac:dyDescent="0.25">
      <c r="A1612" s="20" t="s">
        <v>7098</v>
      </c>
      <c r="B1612" s="14" t="s">
        <v>7099</v>
      </c>
      <c r="C1612" s="71" t="str">
        <f t="shared" si="35"/>
        <v>Product Info</v>
      </c>
      <c r="D1612" s="37" t="s">
        <v>4239</v>
      </c>
      <c r="E1612" s="143" t="e">
        <v>#N/A</v>
      </c>
      <c r="F1612" s="12" t="s">
        <v>2170</v>
      </c>
      <c r="G1612" s="38">
        <v>1481.31</v>
      </c>
      <c r="H1612" s="38">
        <v>1259.1600000000001</v>
      </c>
      <c r="I1612" s="38">
        <v>1036.92</v>
      </c>
      <c r="J1612" s="39"/>
      <c r="K1612" s="143"/>
      <c r="L1612" s="22"/>
      <c r="M1612" s="22"/>
      <c r="N1612" s="20"/>
      <c r="O1612" s="16" t="e">
        <v>#N/A</v>
      </c>
      <c r="P1612" s="143" t="e">
        <v>#N/A</v>
      </c>
      <c r="Q1612" s="121" t="s">
        <v>14285</v>
      </c>
      <c r="R1612" s="16" t="s">
        <v>8904</v>
      </c>
      <c r="S1612" s="10" t="s">
        <v>1163</v>
      </c>
      <c r="T1612" s="28" t="s">
        <v>14437</v>
      </c>
      <c r="U1612" s="20" t="s">
        <v>5359</v>
      </c>
      <c r="V1612" s="10" t="s">
        <v>9120</v>
      </c>
      <c r="W1612" s="11" t="s">
        <v>14399</v>
      </c>
      <c r="X1612" s="174">
        <v>966.24</v>
      </c>
      <c r="Y1612" s="174">
        <v>1259.1600000000001</v>
      </c>
    </row>
    <row r="1613" spans="1:25" ht="15" customHeight="1" x14ac:dyDescent="0.25">
      <c r="A1613" s="20" t="s">
        <v>7100</v>
      </c>
      <c r="B1613" s="14" t="s">
        <v>7101</v>
      </c>
      <c r="C1613" s="71" t="str">
        <f t="shared" si="35"/>
        <v>Product Info</v>
      </c>
      <c r="D1613" s="37" t="s">
        <v>4240</v>
      </c>
      <c r="E1613" s="143">
        <v>1</v>
      </c>
      <c r="F1613" s="12" t="s">
        <v>2170</v>
      </c>
      <c r="G1613" s="38">
        <v>1669.06</v>
      </c>
      <c r="H1613" s="38">
        <v>1418.75</v>
      </c>
      <c r="I1613" s="38">
        <v>1168.3399999999999</v>
      </c>
      <c r="J1613" s="39">
        <v>10</v>
      </c>
      <c r="K1613" s="143"/>
      <c r="L1613" s="22">
        <v>18</v>
      </c>
      <c r="M1613" s="22" t="s">
        <v>12488</v>
      </c>
      <c r="N1613" s="20" t="s">
        <v>9351</v>
      </c>
      <c r="O1613" s="16" t="s">
        <v>12608</v>
      </c>
      <c r="P1613" s="143">
        <v>748</v>
      </c>
      <c r="Q1613" s="121" t="s">
        <v>14285</v>
      </c>
      <c r="R1613" s="16" t="s">
        <v>8904</v>
      </c>
      <c r="S1613" s="10" t="s">
        <v>1163</v>
      </c>
      <c r="T1613" s="28" t="s">
        <v>10646</v>
      </c>
      <c r="U1613" s="20" t="s">
        <v>5359</v>
      </c>
      <c r="V1613" s="16" t="s">
        <v>7100</v>
      </c>
      <c r="W1613" s="11" t="s">
        <v>14399</v>
      </c>
      <c r="X1613" s="174">
        <v>1088.7</v>
      </c>
      <c r="Y1613" s="174">
        <v>1418.75</v>
      </c>
    </row>
    <row r="1614" spans="1:25" ht="15" customHeight="1" x14ac:dyDescent="0.25">
      <c r="A1614" s="20" t="s">
        <v>380</v>
      </c>
      <c r="B1614" s="14" t="s">
        <v>381</v>
      </c>
      <c r="C1614" s="71" t="str">
        <f t="shared" si="35"/>
        <v>Product Info</v>
      </c>
      <c r="D1614" s="37" t="s">
        <v>382</v>
      </c>
      <c r="E1614" s="143">
        <v>1</v>
      </c>
      <c r="F1614" s="12" t="s">
        <v>4992</v>
      </c>
      <c r="G1614" s="38">
        <v>2022.3</v>
      </c>
      <c r="H1614" s="38">
        <v>1719.02</v>
      </c>
      <c r="I1614" s="38">
        <v>1415.61</v>
      </c>
      <c r="J1614" s="39">
        <v>10</v>
      </c>
      <c r="K1614" s="143"/>
      <c r="L1614" s="22">
        <v>15</v>
      </c>
      <c r="M1614" s="22" t="s">
        <v>12488</v>
      </c>
      <c r="N1614" s="20" t="s">
        <v>9352</v>
      </c>
      <c r="O1614" s="16" t="s">
        <v>12608</v>
      </c>
      <c r="P1614" s="143">
        <v>748</v>
      </c>
      <c r="Q1614" s="121" t="s">
        <v>14285</v>
      </c>
      <c r="R1614" s="16" t="s">
        <v>8904</v>
      </c>
      <c r="S1614" s="10" t="s">
        <v>1163</v>
      </c>
      <c r="T1614" s="28" t="s">
        <v>10647</v>
      </c>
      <c r="U1614" s="20" t="s">
        <v>5359</v>
      </c>
      <c r="V1614" s="16" t="s">
        <v>380</v>
      </c>
      <c r="W1614" s="11" t="s">
        <v>14399</v>
      </c>
      <c r="X1614" s="174">
        <v>1319.12</v>
      </c>
      <c r="Y1614" s="174">
        <v>1719.02</v>
      </c>
    </row>
    <row r="1615" spans="1:25" ht="15" customHeight="1" x14ac:dyDescent="0.25">
      <c r="A1615" s="20" t="s">
        <v>7102</v>
      </c>
      <c r="B1615" s="14" t="s">
        <v>7103</v>
      </c>
      <c r="C1615" s="71" t="str">
        <f t="shared" si="35"/>
        <v>Product Info</v>
      </c>
      <c r="D1615" s="37" t="s">
        <v>4241</v>
      </c>
      <c r="E1615" s="143">
        <v>1</v>
      </c>
      <c r="F1615" s="12" t="s">
        <v>2170</v>
      </c>
      <c r="G1615" s="38">
        <v>2263.13</v>
      </c>
      <c r="H1615" s="38">
        <v>1923.73</v>
      </c>
      <c r="I1615" s="38">
        <v>1584.19</v>
      </c>
      <c r="J1615" s="39"/>
      <c r="K1615" s="143"/>
      <c r="L1615" s="22">
        <v>14</v>
      </c>
      <c r="M1615" s="22" t="s">
        <v>12488</v>
      </c>
      <c r="N1615" s="20" t="s">
        <v>9353</v>
      </c>
      <c r="O1615" s="16" t="s">
        <v>12608</v>
      </c>
      <c r="P1615" s="143">
        <v>748</v>
      </c>
      <c r="Q1615" s="121" t="s">
        <v>14285</v>
      </c>
      <c r="R1615" s="16" t="s">
        <v>8904</v>
      </c>
      <c r="S1615" s="10" t="s">
        <v>1163</v>
      </c>
      <c r="T1615" s="28" t="s">
        <v>10648</v>
      </c>
      <c r="U1615" s="20" t="s">
        <v>5359</v>
      </c>
      <c r="V1615" s="16" t="s">
        <v>7102</v>
      </c>
      <c r="W1615" s="11" t="s">
        <v>14399</v>
      </c>
      <c r="X1615" s="174">
        <v>1476.2</v>
      </c>
      <c r="Y1615" s="174">
        <v>1923.73</v>
      </c>
    </row>
    <row r="1616" spans="1:25" ht="15" customHeight="1" x14ac:dyDescent="0.25">
      <c r="A1616" s="20" t="s">
        <v>7104</v>
      </c>
      <c r="B1616" s="14" t="s">
        <v>7105</v>
      </c>
      <c r="C1616" s="71" t="str">
        <f t="shared" si="35"/>
        <v>Product Info</v>
      </c>
      <c r="D1616" s="37" t="s">
        <v>2435</v>
      </c>
      <c r="E1616" s="143">
        <v>1</v>
      </c>
      <c r="F1616" s="12" t="s">
        <v>2170</v>
      </c>
      <c r="G1616" s="38">
        <v>2632.87</v>
      </c>
      <c r="H1616" s="38">
        <v>2238.02</v>
      </c>
      <c r="I1616" s="38">
        <v>1843.01</v>
      </c>
      <c r="J1616" s="39">
        <v>10</v>
      </c>
      <c r="K1616" s="12" t="s">
        <v>8905</v>
      </c>
      <c r="L1616" s="22">
        <v>15</v>
      </c>
      <c r="M1616" s="22" t="s">
        <v>12488</v>
      </c>
      <c r="N1616" s="20" t="s">
        <v>9321</v>
      </c>
      <c r="O1616" s="16" t="s">
        <v>12608</v>
      </c>
      <c r="P1616" s="143">
        <v>748</v>
      </c>
      <c r="Q1616" s="121" t="s">
        <v>14285</v>
      </c>
      <c r="R1616" s="16" t="s">
        <v>8904</v>
      </c>
      <c r="S1616" s="10" t="s">
        <v>1163</v>
      </c>
      <c r="T1616" s="28" t="s">
        <v>10649</v>
      </c>
      <c r="U1616" s="20" t="s">
        <v>5359</v>
      </c>
      <c r="V1616" s="16" t="s">
        <v>7104</v>
      </c>
      <c r="W1616" s="11" t="s">
        <v>14399</v>
      </c>
      <c r="X1616" s="174">
        <v>1431.15</v>
      </c>
      <c r="Y1616" s="174">
        <v>1843.01</v>
      </c>
    </row>
    <row r="1617" spans="1:25" ht="15" customHeight="1" x14ac:dyDescent="0.25">
      <c r="A1617" s="20" t="s">
        <v>7106</v>
      </c>
      <c r="B1617" s="14" t="s">
        <v>7107</v>
      </c>
      <c r="C1617" s="71" t="str">
        <f t="shared" si="35"/>
        <v>Product Info</v>
      </c>
      <c r="D1617" s="37" t="s">
        <v>2436</v>
      </c>
      <c r="E1617" s="143">
        <v>1</v>
      </c>
      <c r="F1617" s="12" t="s">
        <v>2170</v>
      </c>
      <c r="G1617" s="38">
        <v>2389.86</v>
      </c>
      <c r="H1617" s="38">
        <v>2031.45</v>
      </c>
      <c r="I1617" s="38">
        <v>1672.9</v>
      </c>
      <c r="J1617" s="39">
        <v>10</v>
      </c>
      <c r="K1617" s="12" t="s">
        <v>8905</v>
      </c>
      <c r="L1617" s="22">
        <v>15</v>
      </c>
      <c r="M1617" s="22" t="s">
        <v>12488</v>
      </c>
      <c r="N1617" s="20" t="s">
        <v>9354</v>
      </c>
      <c r="O1617" s="16" t="s">
        <v>12608</v>
      </c>
      <c r="P1617" s="143">
        <v>748</v>
      </c>
      <c r="Q1617" s="121" t="s">
        <v>14285</v>
      </c>
      <c r="R1617" s="16" t="s">
        <v>8904</v>
      </c>
      <c r="S1617" s="10" t="s">
        <v>1163</v>
      </c>
      <c r="T1617" s="28" t="s">
        <v>10650</v>
      </c>
      <c r="U1617" s="20" t="s">
        <v>5359</v>
      </c>
      <c r="V1617" s="16" t="s">
        <v>7106</v>
      </c>
      <c r="W1617" s="11" t="s">
        <v>14399</v>
      </c>
      <c r="X1617" s="174">
        <v>1299.06</v>
      </c>
      <c r="Y1617" s="174">
        <v>1672.9</v>
      </c>
    </row>
    <row r="1618" spans="1:25" ht="15" customHeight="1" x14ac:dyDescent="0.25">
      <c r="A1618" s="20" t="s">
        <v>7108</v>
      </c>
      <c r="B1618" s="14" t="s">
        <v>7109</v>
      </c>
      <c r="C1618" s="71" t="str">
        <f t="shared" si="35"/>
        <v>Product Info</v>
      </c>
      <c r="D1618" s="37" t="s">
        <v>2437</v>
      </c>
      <c r="E1618" s="143">
        <v>1</v>
      </c>
      <c r="F1618" s="12" t="s">
        <v>2170</v>
      </c>
      <c r="G1618" s="38">
        <v>2798.09</v>
      </c>
      <c r="H1618" s="38">
        <v>2378.46</v>
      </c>
      <c r="I1618" s="38">
        <v>1958.66</v>
      </c>
      <c r="J1618" s="39">
        <v>10</v>
      </c>
      <c r="K1618" s="12" t="s">
        <v>8905</v>
      </c>
      <c r="L1618" s="22">
        <v>17.36</v>
      </c>
      <c r="M1618" s="22" t="s">
        <v>12488</v>
      </c>
      <c r="N1618" s="20" t="s">
        <v>9355</v>
      </c>
      <c r="O1618" s="16" t="s">
        <v>12608</v>
      </c>
      <c r="P1618" s="143">
        <v>748</v>
      </c>
      <c r="Q1618" s="122" t="s">
        <v>9227</v>
      </c>
      <c r="R1618" s="16" t="s">
        <v>8904</v>
      </c>
      <c r="S1618" s="10" t="s">
        <v>1163</v>
      </c>
      <c r="T1618" s="28" t="s">
        <v>10651</v>
      </c>
      <c r="U1618" s="20" t="s">
        <v>5359</v>
      </c>
      <c r="V1618" s="16" t="s">
        <v>7108</v>
      </c>
      <c r="W1618" s="11" t="s">
        <v>14399</v>
      </c>
      <c r="X1618" s="174">
        <v>1520.95</v>
      </c>
      <c r="Y1618" s="174">
        <v>1958.66</v>
      </c>
    </row>
    <row r="1619" spans="1:25" ht="15" customHeight="1" x14ac:dyDescent="0.25">
      <c r="A1619" s="20" t="s">
        <v>7110</v>
      </c>
      <c r="B1619" s="14" t="s">
        <v>7111</v>
      </c>
      <c r="C1619" s="71" t="str">
        <f t="shared" si="35"/>
        <v>Product Info</v>
      </c>
      <c r="D1619" s="37" t="s">
        <v>2438</v>
      </c>
      <c r="E1619" s="143">
        <v>1</v>
      </c>
      <c r="F1619" s="12" t="s">
        <v>2170</v>
      </c>
      <c r="G1619" s="38">
        <v>2949.8</v>
      </c>
      <c r="H1619" s="38">
        <v>2507.42</v>
      </c>
      <c r="I1619" s="38">
        <v>2064.86</v>
      </c>
      <c r="J1619" s="39">
        <v>10</v>
      </c>
      <c r="K1619" s="12" t="s">
        <v>8905</v>
      </c>
      <c r="L1619" s="22">
        <v>17</v>
      </c>
      <c r="M1619" s="22" t="s">
        <v>12488</v>
      </c>
      <c r="N1619" s="20" t="s">
        <v>9352</v>
      </c>
      <c r="O1619" s="16" t="s">
        <v>12608</v>
      </c>
      <c r="P1619" s="143">
        <v>748</v>
      </c>
      <c r="Q1619" s="122" t="s">
        <v>9227</v>
      </c>
      <c r="R1619" s="16" t="s">
        <v>8904</v>
      </c>
      <c r="S1619" s="10" t="s">
        <v>1163</v>
      </c>
      <c r="T1619" s="28" t="s">
        <v>10652</v>
      </c>
      <c r="U1619" s="20" t="s">
        <v>5359</v>
      </c>
      <c r="V1619" s="16" t="s">
        <v>7110</v>
      </c>
      <c r="W1619" s="11" t="s">
        <v>14399</v>
      </c>
      <c r="X1619" s="174">
        <v>1603.42</v>
      </c>
      <c r="Y1619" s="174">
        <v>2064.86</v>
      </c>
    </row>
    <row r="1620" spans="1:25" ht="15" customHeight="1" x14ac:dyDescent="0.25">
      <c r="A1620" s="20" t="s">
        <v>12652</v>
      </c>
      <c r="B1620" s="16" t="s">
        <v>12653</v>
      </c>
      <c r="C1620" s="71" t="str">
        <f t="shared" si="35"/>
        <v>Product Info</v>
      </c>
      <c r="D1620" s="37" t="s">
        <v>12786</v>
      </c>
      <c r="E1620" s="143">
        <v>1</v>
      </c>
      <c r="F1620" s="12" t="s">
        <v>4992</v>
      </c>
      <c r="G1620" s="38">
        <v>2975.61</v>
      </c>
      <c r="H1620" s="38">
        <v>2529.36</v>
      </c>
      <c r="I1620" s="38">
        <v>2082.9299999999998</v>
      </c>
      <c r="J1620" s="39"/>
      <c r="K1620" s="143"/>
      <c r="L1620" s="22">
        <v>12</v>
      </c>
      <c r="M1620" s="22" t="s">
        <v>12488</v>
      </c>
      <c r="N1620" s="20" t="s">
        <v>9352</v>
      </c>
      <c r="O1620" s="16" t="s">
        <v>12608</v>
      </c>
      <c r="P1620" s="143">
        <v>748</v>
      </c>
      <c r="Q1620" s="121" t="s">
        <v>14285</v>
      </c>
      <c r="R1620" s="16" t="s">
        <v>8904</v>
      </c>
      <c r="S1620" s="10" t="s">
        <v>1163</v>
      </c>
      <c r="T1620" s="28" t="s">
        <v>12784</v>
      </c>
      <c r="U1620" s="20" t="s">
        <v>5359</v>
      </c>
      <c r="V1620" s="16" t="s">
        <v>12652</v>
      </c>
      <c r="W1620" s="11" t="s">
        <v>14399</v>
      </c>
      <c r="X1620" s="174">
        <v>1940.95</v>
      </c>
      <c r="Y1620" s="174">
        <v>2529.36</v>
      </c>
    </row>
    <row r="1621" spans="1:25" ht="15" customHeight="1" x14ac:dyDescent="0.25">
      <c r="A1621" s="20" t="s">
        <v>7112</v>
      </c>
      <c r="B1621" s="14" t="s">
        <v>7113</v>
      </c>
      <c r="C1621" s="71" t="str">
        <f t="shared" si="35"/>
        <v>Product Info</v>
      </c>
      <c r="D1621" s="37" t="s">
        <v>2439</v>
      </c>
      <c r="E1621" s="143">
        <v>1</v>
      </c>
      <c r="F1621" s="12" t="s">
        <v>2170</v>
      </c>
      <c r="G1621" s="38">
        <v>216.47</v>
      </c>
      <c r="H1621" s="38">
        <v>184.01</v>
      </c>
      <c r="I1621" s="38">
        <v>151.53</v>
      </c>
      <c r="J1621" s="39"/>
      <c r="K1621" s="143"/>
      <c r="L1621" s="22">
        <v>15</v>
      </c>
      <c r="M1621" s="22" t="s">
        <v>12488</v>
      </c>
      <c r="N1621" s="20" t="s">
        <v>8831</v>
      </c>
      <c r="O1621" s="16" t="s">
        <v>12608</v>
      </c>
      <c r="P1621" s="143">
        <v>748</v>
      </c>
      <c r="Q1621" s="122" t="s">
        <v>9227</v>
      </c>
      <c r="R1621" s="16" t="s">
        <v>8904</v>
      </c>
      <c r="S1621" s="10" t="s">
        <v>1163</v>
      </c>
      <c r="T1621" s="28" t="s">
        <v>10653</v>
      </c>
      <c r="U1621" s="20" t="s">
        <v>5359</v>
      </c>
      <c r="V1621" s="16" t="s">
        <v>7112</v>
      </c>
      <c r="W1621" s="11" t="s">
        <v>14399</v>
      </c>
      <c r="X1621" s="174">
        <v>141.19999999999999</v>
      </c>
      <c r="Y1621" s="174">
        <v>184.01</v>
      </c>
    </row>
    <row r="1622" spans="1:25" ht="15" customHeight="1" x14ac:dyDescent="0.25">
      <c r="A1622" s="20" t="s">
        <v>8082</v>
      </c>
      <c r="B1622" s="14" t="s">
        <v>8083</v>
      </c>
      <c r="C1622" s="71" t="str">
        <f t="shared" si="35"/>
        <v>Product Info</v>
      </c>
      <c r="D1622" s="37" t="s">
        <v>8706</v>
      </c>
      <c r="E1622" s="143">
        <v>1</v>
      </c>
      <c r="F1622" s="12" t="s">
        <v>4992</v>
      </c>
      <c r="G1622" s="38">
        <v>124</v>
      </c>
      <c r="H1622" s="38">
        <v>105.4</v>
      </c>
      <c r="I1622" s="38">
        <v>86.8</v>
      </c>
      <c r="J1622" s="39"/>
      <c r="K1622" s="12" t="s">
        <v>8905</v>
      </c>
      <c r="L1622" s="22">
        <v>8</v>
      </c>
      <c r="M1622" s="22" t="s">
        <v>14396</v>
      </c>
      <c r="N1622" s="20" t="s">
        <v>9356</v>
      </c>
      <c r="O1622" s="16" t="s">
        <v>13914</v>
      </c>
      <c r="P1622" s="143">
        <v>758</v>
      </c>
      <c r="Q1622" s="122" t="s">
        <v>12421</v>
      </c>
      <c r="R1622" s="16" t="s">
        <v>9235</v>
      </c>
      <c r="S1622" s="10" t="s">
        <v>1163</v>
      </c>
      <c r="T1622" s="28" t="s">
        <v>10654</v>
      </c>
      <c r="U1622" s="20" t="s">
        <v>5359</v>
      </c>
      <c r="V1622" s="16" t="s">
        <v>8082</v>
      </c>
      <c r="W1622" s="11" t="s">
        <v>14433</v>
      </c>
      <c r="X1622" s="174">
        <v>68.75</v>
      </c>
      <c r="Y1622" s="174">
        <v>86.8</v>
      </c>
    </row>
    <row r="1623" spans="1:25" ht="15" customHeight="1" x14ac:dyDescent="0.25">
      <c r="A1623" s="20" t="s">
        <v>8084</v>
      </c>
      <c r="B1623" s="14" t="s">
        <v>8085</v>
      </c>
      <c r="C1623" s="71" t="str">
        <f t="shared" si="35"/>
        <v>Product Info</v>
      </c>
      <c r="D1623" s="37" t="s">
        <v>8707</v>
      </c>
      <c r="E1623" s="143">
        <v>1</v>
      </c>
      <c r="F1623" s="12" t="s">
        <v>4992</v>
      </c>
      <c r="G1623" s="38">
        <v>153.86000000000001</v>
      </c>
      <c r="H1623" s="38">
        <v>130.78</v>
      </c>
      <c r="I1623" s="38">
        <v>107.7</v>
      </c>
      <c r="J1623" s="39"/>
      <c r="K1623" s="12" t="s">
        <v>8905</v>
      </c>
      <c r="L1623" s="22">
        <v>0</v>
      </c>
      <c r="M1623" s="22">
        <v>0</v>
      </c>
      <c r="N1623" s="20" t="s">
        <v>14489</v>
      </c>
      <c r="O1623" s="16">
        <v>0</v>
      </c>
      <c r="P1623" s="143">
        <v>758</v>
      </c>
      <c r="Q1623" s="121" t="s">
        <v>14285</v>
      </c>
      <c r="R1623" s="16" t="s">
        <v>9235</v>
      </c>
      <c r="S1623" s="10" t="s">
        <v>1163</v>
      </c>
      <c r="T1623" s="28" t="s">
        <v>10655</v>
      </c>
      <c r="U1623" s="20" t="s">
        <v>5359</v>
      </c>
      <c r="V1623" s="16" t="s">
        <v>8084</v>
      </c>
      <c r="W1623" s="11" t="s">
        <v>14433</v>
      </c>
      <c r="X1623" s="174">
        <v>85.3</v>
      </c>
      <c r="Y1623" s="174">
        <v>107.7</v>
      </c>
    </row>
    <row r="1624" spans="1:25" ht="15" customHeight="1" x14ac:dyDescent="0.25">
      <c r="A1624" s="20" t="s">
        <v>8086</v>
      </c>
      <c r="B1624" s="14" t="s">
        <v>12486</v>
      </c>
      <c r="C1624" s="71" t="str">
        <f t="shared" si="35"/>
        <v>Product Info</v>
      </c>
      <c r="D1624" s="37" t="s">
        <v>8708</v>
      </c>
      <c r="E1624" s="143">
        <v>1</v>
      </c>
      <c r="F1624" s="12" t="s">
        <v>4992</v>
      </c>
      <c r="G1624" s="38">
        <v>172.63</v>
      </c>
      <c r="H1624" s="38">
        <v>146.74</v>
      </c>
      <c r="I1624" s="38">
        <v>120.84</v>
      </c>
      <c r="J1624" s="39"/>
      <c r="K1624" s="12" t="s">
        <v>8905</v>
      </c>
      <c r="L1624" s="22">
        <v>3</v>
      </c>
      <c r="M1624" s="22">
        <v>0</v>
      </c>
      <c r="N1624" s="20" t="s">
        <v>9357</v>
      </c>
      <c r="O1624" s="16" t="s">
        <v>12608</v>
      </c>
      <c r="P1624" s="143">
        <v>758</v>
      </c>
      <c r="Q1624" s="121" t="s">
        <v>14285</v>
      </c>
      <c r="R1624" s="16" t="s">
        <v>9235</v>
      </c>
      <c r="S1624" s="10" t="s">
        <v>1163</v>
      </c>
      <c r="T1624" s="28" t="s">
        <v>10656</v>
      </c>
      <c r="U1624" s="20" t="s">
        <v>5359</v>
      </c>
      <c r="V1624" s="16" t="s">
        <v>8086</v>
      </c>
      <c r="W1624" s="11" t="s">
        <v>14433</v>
      </c>
      <c r="X1624" s="174">
        <v>95.71</v>
      </c>
      <c r="Y1624" s="174">
        <v>120.84</v>
      </c>
    </row>
    <row r="1625" spans="1:25" ht="15" customHeight="1" x14ac:dyDescent="0.25">
      <c r="A1625" s="20" t="s">
        <v>8087</v>
      </c>
      <c r="B1625" s="14" t="s">
        <v>8088</v>
      </c>
      <c r="C1625" s="71" t="str">
        <f t="shared" si="35"/>
        <v>Product Info</v>
      </c>
      <c r="D1625" s="37" t="s">
        <v>8709</v>
      </c>
      <c r="E1625" s="143">
        <v>1</v>
      </c>
      <c r="F1625" s="12" t="s">
        <v>4992</v>
      </c>
      <c r="G1625" s="38">
        <v>190.89</v>
      </c>
      <c r="H1625" s="38">
        <v>162.26</v>
      </c>
      <c r="I1625" s="38">
        <v>133.62</v>
      </c>
      <c r="J1625" s="39"/>
      <c r="K1625" s="143"/>
      <c r="L1625" s="22">
        <v>3</v>
      </c>
      <c r="M1625" s="22">
        <v>0</v>
      </c>
      <c r="N1625" s="20" t="s">
        <v>9357</v>
      </c>
      <c r="O1625" s="16" t="s">
        <v>12608</v>
      </c>
      <c r="P1625" s="143">
        <v>758</v>
      </c>
      <c r="Q1625" s="121" t="s">
        <v>14285</v>
      </c>
      <c r="R1625" s="16" t="s">
        <v>9235</v>
      </c>
      <c r="S1625" s="10" t="s">
        <v>1163</v>
      </c>
      <c r="T1625" s="28" t="s">
        <v>10657</v>
      </c>
      <c r="U1625" s="20" t="s">
        <v>5359</v>
      </c>
      <c r="V1625" s="16" t="s">
        <v>8087</v>
      </c>
      <c r="W1625" s="11" t="s">
        <v>14433</v>
      </c>
      <c r="X1625" s="174">
        <v>105.84</v>
      </c>
      <c r="Y1625" s="174">
        <v>133.62</v>
      </c>
    </row>
    <row r="1626" spans="1:25" ht="15" customHeight="1" x14ac:dyDescent="0.25">
      <c r="A1626" s="20" t="s">
        <v>383</v>
      </c>
      <c r="B1626" s="14" t="s">
        <v>384</v>
      </c>
      <c r="C1626" s="71" t="str">
        <f t="shared" si="35"/>
        <v>Product Info</v>
      </c>
      <c r="D1626" s="37" t="s">
        <v>104</v>
      </c>
      <c r="E1626" s="143">
        <v>1</v>
      </c>
      <c r="F1626" s="12" t="s">
        <v>4992</v>
      </c>
      <c r="G1626" s="38">
        <v>72.14</v>
      </c>
      <c r="H1626" s="38">
        <v>61.32</v>
      </c>
      <c r="I1626" s="38">
        <v>50.5</v>
      </c>
      <c r="J1626" s="39"/>
      <c r="K1626" s="143"/>
      <c r="L1626" s="22">
        <v>2</v>
      </c>
      <c r="M1626" s="22">
        <v>0</v>
      </c>
      <c r="N1626" s="20" t="s">
        <v>9314</v>
      </c>
      <c r="O1626" s="16" t="s">
        <v>12608</v>
      </c>
      <c r="P1626" s="143">
        <v>758</v>
      </c>
      <c r="Q1626" s="122" t="s">
        <v>12421</v>
      </c>
      <c r="R1626" s="16" t="s">
        <v>9235</v>
      </c>
      <c r="S1626" s="10" t="s">
        <v>1163</v>
      </c>
      <c r="T1626" s="28" t="s">
        <v>10658</v>
      </c>
      <c r="U1626" s="20" t="s">
        <v>5359</v>
      </c>
      <c r="V1626" s="16" t="s">
        <v>383</v>
      </c>
      <c r="W1626" s="11" t="s">
        <v>14433</v>
      </c>
      <c r="X1626" s="174">
        <v>40</v>
      </c>
      <c r="Y1626" s="174">
        <v>50.5</v>
      </c>
    </row>
    <row r="1627" spans="1:25" ht="15" customHeight="1" x14ac:dyDescent="0.25">
      <c r="A1627" s="20" t="s">
        <v>385</v>
      </c>
      <c r="B1627" s="14" t="s">
        <v>386</v>
      </c>
      <c r="C1627" s="71" t="str">
        <f t="shared" si="35"/>
        <v>Product Info</v>
      </c>
      <c r="D1627" s="37" t="s">
        <v>105</v>
      </c>
      <c r="E1627" s="143">
        <v>1</v>
      </c>
      <c r="F1627" s="12" t="s">
        <v>4992</v>
      </c>
      <c r="G1627" s="38">
        <v>34.1</v>
      </c>
      <c r="H1627" s="38">
        <v>28.99</v>
      </c>
      <c r="I1627" s="38">
        <v>23.87</v>
      </c>
      <c r="J1627" s="39"/>
      <c r="K1627" s="143"/>
      <c r="L1627" s="22">
        <v>0</v>
      </c>
      <c r="M1627" s="22">
        <v>0</v>
      </c>
      <c r="N1627" s="20" t="s">
        <v>14489</v>
      </c>
      <c r="O1627" s="16">
        <v>0</v>
      </c>
      <c r="P1627" s="143">
        <v>758</v>
      </c>
      <c r="Q1627" s="121" t="s">
        <v>14285</v>
      </c>
      <c r="R1627" s="16" t="s">
        <v>9235</v>
      </c>
      <c r="S1627" s="10" t="s">
        <v>1163</v>
      </c>
      <c r="T1627" s="28" t="s">
        <v>10659</v>
      </c>
      <c r="U1627" s="20" t="s">
        <v>5359</v>
      </c>
      <c r="V1627" s="16" t="s">
        <v>385</v>
      </c>
      <c r="W1627" s="11" t="s">
        <v>14433</v>
      </c>
      <c r="X1627" s="174">
        <v>18.899999999999999</v>
      </c>
      <c r="Y1627" s="174">
        <v>23.87</v>
      </c>
    </row>
    <row r="1628" spans="1:25" ht="15" customHeight="1" x14ac:dyDescent="0.25">
      <c r="A1628" s="20" t="s">
        <v>387</v>
      </c>
      <c r="B1628" s="14" t="s">
        <v>12468</v>
      </c>
      <c r="C1628" s="71" t="str">
        <f t="shared" si="35"/>
        <v>Product Info</v>
      </c>
      <c r="D1628" s="37" t="s">
        <v>106</v>
      </c>
      <c r="E1628" s="143">
        <v>10</v>
      </c>
      <c r="F1628" s="12" t="s">
        <v>4992</v>
      </c>
      <c r="G1628" s="38">
        <v>34.1</v>
      </c>
      <c r="H1628" s="38">
        <v>28.99</v>
      </c>
      <c r="I1628" s="38">
        <v>23.87</v>
      </c>
      <c r="J1628" s="39"/>
      <c r="K1628" s="12" t="s">
        <v>8905</v>
      </c>
      <c r="L1628" s="22">
        <v>0</v>
      </c>
      <c r="M1628" s="22">
        <v>0</v>
      </c>
      <c r="N1628" s="20" t="s">
        <v>14489</v>
      </c>
      <c r="O1628" s="16" t="s">
        <v>12608</v>
      </c>
      <c r="P1628" s="143">
        <v>758</v>
      </c>
      <c r="Q1628" s="121" t="s">
        <v>14285</v>
      </c>
      <c r="R1628" s="16" t="s">
        <v>9235</v>
      </c>
      <c r="S1628" s="10" t="s">
        <v>1163</v>
      </c>
      <c r="T1628" s="28" t="s">
        <v>10660</v>
      </c>
      <c r="U1628" s="20" t="s">
        <v>5359</v>
      </c>
      <c r="V1628" s="16" t="s">
        <v>387</v>
      </c>
      <c r="W1628" s="11" t="s">
        <v>14433</v>
      </c>
      <c r="X1628" s="174">
        <v>18.899999999999999</v>
      </c>
      <c r="Y1628" s="174">
        <v>23.87</v>
      </c>
    </row>
    <row r="1629" spans="1:25" ht="15" customHeight="1" x14ac:dyDescent="0.25">
      <c r="A1629" s="20" t="s">
        <v>388</v>
      </c>
      <c r="B1629" s="14" t="s">
        <v>12469</v>
      </c>
      <c r="C1629" s="71" t="str">
        <f t="shared" si="35"/>
        <v>Product Info</v>
      </c>
      <c r="D1629" s="37" t="s">
        <v>107</v>
      </c>
      <c r="E1629" s="143">
        <v>10</v>
      </c>
      <c r="F1629" s="12" t="s">
        <v>4992</v>
      </c>
      <c r="G1629" s="38">
        <v>34.1</v>
      </c>
      <c r="H1629" s="38">
        <v>28.99</v>
      </c>
      <c r="I1629" s="38">
        <v>23.87</v>
      </c>
      <c r="J1629" s="39"/>
      <c r="K1629" s="12" t="s">
        <v>8905</v>
      </c>
      <c r="L1629" s="22">
        <v>0</v>
      </c>
      <c r="M1629" s="22">
        <v>0</v>
      </c>
      <c r="N1629" s="20" t="s">
        <v>14489</v>
      </c>
      <c r="O1629" s="16" t="s">
        <v>12608</v>
      </c>
      <c r="P1629" s="143">
        <v>758</v>
      </c>
      <c r="Q1629" s="122" t="s">
        <v>12421</v>
      </c>
      <c r="R1629" s="16" t="s">
        <v>9235</v>
      </c>
      <c r="S1629" s="10" t="s">
        <v>1163</v>
      </c>
      <c r="T1629" s="28" t="s">
        <v>10661</v>
      </c>
      <c r="U1629" s="20" t="s">
        <v>5359</v>
      </c>
      <c r="V1629" s="16" t="s">
        <v>388</v>
      </c>
      <c r="W1629" s="11" t="s">
        <v>14433</v>
      </c>
      <c r="X1629" s="174">
        <v>18.899999999999999</v>
      </c>
      <c r="Y1629" s="174">
        <v>23.87</v>
      </c>
    </row>
    <row r="1630" spans="1:25" ht="15" customHeight="1" x14ac:dyDescent="0.25">
      <c r="A1630" s="20" t="s">
        <v>389</v>
      </c>
      <c r="B1630" s="14" t="s">
        <v>12470</v>
      </c>
      <c r="C1630" s="71" t="str">
        <f t="shared" si="35"/>
        <v>Product Info</v>
      </c>
      <c r="D1630" s="37" t="s">
        <v>108</v>
      </c>
      <c r="E1630" s="143">
        <v>10</v>
      </c>
      <c r="F1630" s="12" t="s">
        <v>4992</v>
      </c>
      <c r="G1630" s="38">
        <v>34.1</v>
      </c>
      <c r="H1630" s="38">
        <v>28.99</v>
      </c>
      <c r="I1630" s="38">
        <v>23.87</v>
      </c>
      <c r="J1630" s="39"/>
      <c r="K1630" s="12" t="s">
        <v>8905</v>
      </c>
      <c r="L1630" s="22">
        <v>0</v>
      </c>
      <c r="M1630" s="22">
        <v>0</v>
      </c>
      <c r="N1630" s="20" t="s">
        <v>14489</v>
      </c>
      <c r="O1630" s="16" t="s">
        <v>12608</v>
      </c>
      <c r="P1630" s="143">
        <v>758</v>
      </c>
      <c r="Q1630" s="122" t="s">
        <v>12421</v>
      </c>
      <c r="R1630" s="16" t="s">
        <v>9235</v>
      </c>
      <c r="S1630" s="10" t="s">
        <v>1163</v>
      </c>
      <c r="T1630" s="28" t="s">
        <v>10662</v>
      </c>
      <c r="U1630" s="20" t="s">
        <v>5359</v>
      </c>
      <c r="V1630" s="16" t="s">
        <v>389</v>
      </c>
      <c r="W1630" s="11" t="s">
        <v>14433</v>
      </c>
      <c r="X1630" s="174">
        <v>18.899999999999999</v>
      </c>
      <c r="Y1630" s="174">
        <v>23.87</v>
      </c>
    </row>
    <row r="1631" spans="1:25" ht="15" customHeight="1" x14ac:dyDescent="0.25">
      <c r="A1631" s="20" t="s">
        <v>390</v>
      </c>
      <c r="B1631" s="14" t="s">
        <v>12471</v>
      </c>
      <c r="C1631" s="71" t="str">
        <f t="shared" si="35"/>
        <v>Product Info</v>
      </c>
      <c r="D1631" s="37" t="s">
        <v>109</v>
      </c>
      <c r="E1631" s="143">
        <v>10</v>
      </c>
      <c r="F1631" s="12" t="s">
        <v>4992</v>
      </c>
      <c r="G1631" s="38">
        <v>34.1</v>
      </c>
      <c r="H1631" s="38">
        <v>28.99</v>
      </c>
      <c r="I1631" s="38">
        <v>23.87</v>
      </c>
      <c r="J1631" s="39"/>
      <c r="K1631" s="12" t="s">
        <v>8905</v>
      </c>
      <c r="L1631" s="22">
        <v>0</v>
      </c>
      <c r="M1631" s="22">
        <v>0</v>
      </c>
      <c r="N1631" s="20" t="s">
        <v>14489</v>
      </c>
      <c r="O1631" s="16" t="s">
        <v>12608</v>
      </c>
      <c r="P1631" s="143">
        <v>758</v>
      </c>
      <c r="Q1631" s="121" t="s">
        <v>14285</v>
      </c>
      <c r="R1631" s="16" t="s">
        <v>9235</v>
      </c>
      <c r="S1631" s="10" t="s">
        <v>1163</v>
      </c>
      <c r="T1631" s="28" t="s">
        <v>10663</v>
      </c>
      <c r="U1631" s="20" t="s">
        <v>5359</v>
      </c>
      <c r="V1631" s="16" t="s">
        <v>390</v>
      </c>
      <c r="W1631" s="11" t="s">
        <v>14433</v>
      </c>
      <c r="X1631" s="174">
        <v>18.899999999999999</v>
      </c>
      <c r="Y1631" s="174">
        <v>23.87</v>
      </c>
    </row>
    <row r="1632" spans="1:25" ht="15" customHeight="1" x14ac:dyDescent="0.25">
      <c r="A1632" s="20" t="s">
        <v>391</v>
      </c>
      <c r="B1632" s="14" t="s">
        <v>12472</v>
      </c>
      <c r="C1632" s="71" t="str">
        <f t="shared" si="35"/>
        <v>Product Info</v>
      </c>
      <c r="D1632" s="37" t="s">
        <v>110</v>
      </c>
      <c r="E1632" s="143">
        <v>10</v>
      </c>
      <c r="F1632" s="12" t="s">
        <v>4992</v>
      </c>
      <c r="G1632" s="38">
        <v>34.1</v>
      </c>
      <c r="H1632" s="38">
        <v>28.99</v>
      </c>
      <c r="I1632" s="38">
        <v>23.87</v>
      </c>
      <c r="J1632" s="39"/>
      <c r="K1632" s="12" t="s">
        <v>8905</v>
      </c>
      <c r="L1632" s="22">
        <v>0</v>
      </c>
      <c r="M1632" s="22">
        <v>0</v>
      </c>
      <c r="N1632" s="20" t="s">
        <v>14489</v>
      </c>
      <c r="O1632" s="16" t="s">
        <v>12608</v>
      </c>
      <c r="P1632" s="143">
        <v>758</v>
      </c>
      <c r="Q1632" s="122" t="s">
        <v>12421</v>
      </c>
      <c r="R1632" s="16" t="s">
        <v>9235</v>
      </c>
      <c r="S1632" s="10" t="s">
        <v>1163</v>
      </c>
      <c r="T1632" s="28" t="s">
        <v>10664</v>
      </c>
      <c r="U1632" s="20" t="s">
        <v>5359</v>
      </c>
      <c r="V1632" s="16" t="s">
        <v>391</v>
      </c>
      <c r="W1632" s="11" t="s">
        <v>14433</v>
      </c>
      <c r="X1632" s="174">
        <v>18.899999999999999</v>
      </c>
      <c r="Y1632" s="174">
        <v>23.87</v>
      </c>
    </row>
    <row r="1633" spans="1:25" ht="15" customHeight="1" x14ac:dyDescent="0.25">
      <c r="A1633" s="20" t="s">
        <v>392</v>
      </c>
      <c r="B1633" s="14" t="s">
        <v>393</v>
      </c>
      <c r="C1633" s="71" t="str">
        <f t="shared" si="35"/>
        <v>Product Info</v>
      </c>
      <c r="D1633" s="37" t="s">
        <v>111</v>
      </c>
      <c r="E1633" s="143">
        <v>1</v>
      </c>
      <c r="F1633" s="12" t="s">
        <v>4992</v>
      </c>
      <c r="G1633" s="38">
        <v>34.1</v>
      </c>
      <c r="H1633" s="38">
        <v>28.99</v>
      </c>
      <c r="I1633" s="38">
        <v>23.87</v>
      </c>
      <c r="J1633" s="39"/>
      <c r="K1633" s="12" t="s">
        <v>8905</v>
      </c>
      <c r="L1633" s="22">
        <v>0</v>
      </c>
      <c r="M1633" s="22">
        <v>0</v>
      </c>
      <c r="N1633" s="20" t="s">
        <v>14489</v>
      </c>
      <c r="O1633" s="16">
        <v>0</v>
      </c>
      <c r="P1633" s="143">
        <v>758</v>
      </c>
      <c r="Q1633" s="122" t="s">
        <v>12421</v>
      </c>
      <c r="R1633" s="16" t="s">
        <v>9235</v>
      </c>
      <c r="S1633" s="10" t="s">
        <v>1163</v>
      </c>
      <c r="T1633" s="28" t="s">
        <v>10665</v>
      </c>
      <c r="U1633" s="20" t="s">
        <v>5359</v>
      </c>
      <c r="V1633" s="16" t="s">
        <v>392</v>
      </c>
      <c r="W1633" s="11" t="s">
        <v>14433</v>
      </c>
      <c r="X1633" s="174">
        <v>18.899999999999999</v>
      </c>
      <c r="Y1633" s="174">
        <v>23.87</v>
      </c>
    </row>
    <row r="1634" spans="1:25" ht="15" customHeight="1" x14ac:dyDescent="0.25">
      <c r="A1634" s="20" t="s">
        <v>394</v>
      </c>
      <c r="B1634" s="14" t="s">
        <v>12473</v>
      </c>
      <c r="C1634" s="71" t="str">
        <f t="shared" si="35"/>
        <v>Product Info</v>
      </c>
      <c r="D1634" s="37" t="s">
        <v>112</v>
      </c>
      <c r="E1634" s="143">
        <v>10</v>
      </c>
      <c r="F1634" s="12" t="s">
        <v>4992</v>
      </c>
      <c r="G1634" s="38">
        <v>34.1</v>
      </c>
      <c r="H1634" s="38">
        <v>28.99</v>
      </c>
      <c r="I1634" s="38">
        <v>23.87</v>
      </c>
      <c r="J1634" s="39"/>
      <c r="K1634" s="12" t="s">
        <v>8905</v>
      </c>
      <c r="L1634" s="22">
        <v>0</v>
      </c>
      <c r="M1634" s="22">
        <v>0</v>
      </c>
      <c r="N1634" s="20" t="s">
        <v>14489</v>
      </c>
      <c r="O1634" s="16" t="s">
        <v>12608</v>
      </c>
      <c r="P1634" s="143">
        <v>758</v>
      </c>
      <c r="Q1634" s="121" t="s">
        <v>14285</v>
      </c>
      <c r="R1634" s="16" t="s">
        <v>9235</v>
      </c>
      <c r="S1634" s="10" t="s">
        <v>1163</v>
      </c>
      <c r="T1634" s="28" t="s">
        <v>10666</v>
      </c>
      <c r="U1634" s="20" t="s">
        <v>5359</v>
      </c>
      <c r="V1634" s="16" t="s">
        <v>394</v>
      </c>
      <c r="W1634" s="11" t="s">
        <v>14433</v>
      </c>
      <c r="X1634" s="174">
        <v>18.899999999999999</v>
      </c>
      <c r="Y1634" s="174">
        <v>23.87</v>
      </c>
    </row>
    <row r="1635" spans="1:25" ht="15" customHeight="1" x14ac:dyDescent="0.25">
      <c r="A1635" s="20" t="s">
        <v>395</v>
      </c>
      <c r="B1635" s="14" t="s">
        <v>396</v>
      </c>
      <c r="C1635" s="71" t="str">
        <f t="shared" si="35"/>
        <v>Product Info</v>
      </c>
      <c r="D1635" s="37" t="s">
        <v>113</v>
      </c>
      <c r="E1635" s="143">
        <v>1</v>
      </c>
      <c r="F1635" s="12" t="s">
        <v>4992</v>
      </c>
      <c r="G1635" s="38">
        <v>34.1</v>
      </c>
      <c r="H1635" s="38">
        <v>28.99</v>
      </c>
      <c r="I1635" s="38">
        <v>23.87</v>
      </c>
      <c r="J1635" s="39"/>
      <c r="K1635" s="143"/>
      <c r="L1635" s="22">
        <v>0</v>
      </c>
      <c r="M1635" s="22">
        <v>0</v>
      </c>
      <c r="N1635" s="20" t="s">
        <v>14489</v>
      </c>
      <c r="O1635" s="16">
        <v>0</v>
      </c>
      <c r="P1635" s="143">
        <v>758</v>
      </c>
      <c r="Q1635" s="122" t="s">
        <v>12421</v>
      </c>
      <c r="R1635" s="16" t="s">
        <v>9235</v>
      </c>
      <c r="S1635" s="10" t="s">
        <v>1163</v>
      </c>
      <c r="T1635" s="28" t="s">
        <v>10667</v>
      </c>
      <c r="U1635" s="20" t="s">
        <v>5359</v>
      </c>
      <c r="V1635" s="16" t="s">
        <v>395</v>
      </c>
      <c r="W1635" s="11" t="s">
        <v>14433</v>
      </c>
      <c r="X1635" s="174">
        <v>18.899999999999999</v>
      </c>
      <c r="Y1635" s="174">
        <v>23.87</v>
      </c>
    </row>
    <row r="1636" spans="1:25" ht="15" customHeight="1" x14ac:dyDescent="0.25">
      <c r="A1636" s="20" t="s">
        <v>397</v>
      </c>
      <c r="B1636" s="14" t="s">
        <v>398</v>
      </c>
      <c r="C1636" s="71" t="str">
        <f t="shared" si="35"/>
        <v>Product Info</v>
      </c>
      <c r="D1636" s="37" t="s">
        <v>114</v>
      </c>
      <c r="E1636" s="143">
        <v>1</v>
      </c>
      <c r="F1636" s="12" t="s">
        <v>4992</v>
      </c>
      <c r="G1636" s="38">
        <v>34.1</v>
      </c>
      <c r="H1636" s="38">
        <v>28.99</v>
      </c>
      <c r="I1636" s="38">
        <v>23.87</v>
      </c>
      <c r="J1636" s="39"/>
      <c r="K1636" s="143"/>
      <c r="L1636" s="22">
        <v>0</v>
      </c>
      <c r="M1636" s="22">
        <v>0</v>
      </c>
      <c r="N1636" s="20" t="s">
        <v>14489</v>
      </c>
      <c r="O1636" s="16">
        <v>0</v>
      </c>
      <c r="P1636" s="143">
        <v>758</v>
      </c>
      <c r="Q1636" s="121" t="s">
        <v>14285</v>
      </c>
      <c r="R1636" s="16" t="s">
        <v>9235</v>
      </c>
      <c r="S1636" s="10" t="s">
        <v>1163</v>
      </c>
      <c r="T1636" s="28" t="s">
        <v>10668</v>
      </c>
      <c r="U1636" s="20" t="s">
        <v>5359</v>
      </c>
      <c r="V1636" s="16" t="s">
        <v>397</v>
      </c>
      <c r="W1636" s="11" t="s">
        <v>14433</v>
      </c>
      <c r="X1636" s="174">
        <v>18.899999999999999</v>
      </c>
      <c r="Y1636" s="174">
        <v>23.87</v>
      </c>
    </row>
    <row r="1637" spans="1:25" ht="15" customHeight="1" x14ac:dyDescent="0.25">
      <c r="A1637" s="20" t="s">
        <v>399</v>
      </c>
      <c r="B1637" s="14" t="s">
        <v>400</v>
      </c>
      <c r="C1637" s="71" t="str">
        <f t="shared" si="35"/>
        <v>Product Info</v>
      </c>
      <c r="D1637" s="37" t="s">
        <v>115</v>
      </c>
      <c r="E1637" s="143">
        <v>1</v>
      </c>
      <c r="F1637" s="12" t="s">
        <v>4992</v>
      </c>
      <c r="G1637" s="38">
        <v>34.1</v>
      </c>
      <c r="H1637" s="38">
        <v>28.99</v>
      </c>
      <c r="I1637" s="38">
        <v>23.87</v>
      </c>
      <c r="J1637" s="39"/>
      <c r="K1637" s="143"/>
      <c r="L1637" s="22">
        <v>0</v>
      </c>
      <c r="M1637" s="22">
        <v>0</v>
      </c>
      <c r="N1637" s="20" t="s">
        <v>14489</v>
      </c>
      <c r="O1637" s="16">
        <v>0</v>
      </c>
      <c r="P1637" s="143">
        <v>758</v>
      </c>
      <c r="Q1637" s="121" t="s">
        <v>14285</v>
      </c>
      <c r="R1637" s="16" t="s">
        <v>9235</v>
      </c>
      <c r="S1637" s="10" t="s">
        <v>1163</v>
      </c>
      <c r="T1637" s="28" t="s">
        <v>10669</v>
      </c>
      <c r="U1637" s="20" t="s">
        <v>5359</v>
      </c>
      <c r="V1637" s="16" t="s">
        <v>399</v>
      </c>
      <c r="W1637" s="11" t="s">
        <v>14433</v>
      </c>
      <c r="X1637" s="174">
        <v>18.899999999999999</v>
      </c>
      <c r="Y1637" s="174">
        <v>23.87</v>
      </c>
    </row>
    <row r="1638" spans="1:25" ht="15" customHeight="1" x14ac:dyDescent="0.25">
      <c r="A1638" s="20" t="s">
        <v>3116</v>
      </c>
      <c r="B1638" s="14" t="s">
        <v>3117</v>
      </c>
      <c r="C1638" s="71" t="str">
        <f t="shared" si="35"/>
        <v>Product Info</v>
      </c>
      <c r="D1638" s="37" t="s">
        <v>3118</v>
      </c>
      <c r="E1638" s="143">
        <v>1</v>
      </c>
      <c r="F1638" s="12" t="s">
        <v>4992</v>
      </c>
      <c r="G1638" s="38">
        <v>131.94</v>
      </c>
      <c r="H1638" s="38">
        <v>112.16</v>
      </c>
      <c r="I1638" s="38">
        <v>92.36</v>
      </c>
      <c r="J1638" s="39"/>
      <c r="K1638" s="12" t="s">
        <v>8905</v>
      </c>
      <c r="L1638" s="22">
        <v>0</v>
      </c>
      <c r="M1638" s="22">
        <v>0</v>
      </c>
      <c r="N1638" s="20" t="s">
        <v>14489</v>
      </c>
      <c r="O1638" s="16">
        <v>0</v>
      </c>
      <c r="P1638" s="143">
        <v>758</v>
      </c>
      <c r="Q1638" s="122" t="s">
        <v>12421</v>
      </c>
      <c r="R1638" s="16" t="s">
        <v>9235</v>
      </c>
      <c r="S1638" s="10" t="s">
        <v>1163</v>
      </c>
      <c r="T1638" s="28" t="s">
        <v>10670</v>
      </c>
      <c r="U1638" s="20" t="s">
        <v>5359</v>
      </c>
      <c r="V1638" s="16" t="s">
        <v>3116</v>
      </c>
      <c r="W1638" s="11" t="s">
        <v>14433</v>
      </c>
      <c r="X1638" s="174">
        <v>73.16</v>
      </c>
      <c r="Y1638" s="174">
        <v>92.36</v>
      </c>
    </row>
    <row r="1639" spans="1:25" ht="15" customHeight="1" x14ac:dyDescent="0.25">
      <c r="A1639" s="20" t="s">
        <v>3126</v>
      </c>
      <c r="B1639" s="14" t="s">
        <v>3127</v>
      </c>
      <c r="C1639" s="71" t="str">
        <f t="shared" si="35"/>
        <v>Product Info</v>
      </c>
      <c r="D1639" s="37" t="s">
        <v>401</v>
      </c>
      <c r="E1639" s="143">
        <v>1</v>
      </c>
      <c r="F1639" s="12" t="s">
        <v>4992</v>
      </c>
      <c r="G1639" s="38">
        <v>69.2</v>
      </c>
      <c r="H1639" s="38">
        <v>58.82</v>
      </c>
      <c r="I1639" s="38">
        <v>48.44</v>
      </c>
      <c r="J1639" s="39"/>
      <c r="K1639" s="143"/>
      <c r="L1639" s="22">
        <v>5</v>
      </c>
      <c r="M1639" s="22" t="s">
        <v>12488</v>
      </c>
      <c r="N1639" s="20" t="s">
        <v>9358</v>
      </c>
      <c r="O1639" s="16" t="s">
        <v>12608</v>
      </c>
      <c r="P1639" s="143">
        <v>758</v>
      </c>
      <c r="Q1639" s="122" t="s">
        <v>12421</v>
      </c>
      <c r="R1639" s="16" t="s">
        <v>9235</v>
      </c>
      <c r="S1639" s="10" t="s">
        <v>1163</v>
      </c>
      <c r="T1639" s="28" t="s">
        <v>10671</v>
      </c>
      <c r="U1639" s="20" t="s">
        <v>5359</v>
      </c>
      <c r="V1639" s="16" t="s">
        <v>3126</v>
      </c>
      <c r="W1639" s="11" t="s">
        <v>14433</v>
      </c>
      <c r="X1639" s="174">
        <v>38.369999999999997</v>
      </c>
      <c r="Y1639" s="174">
        <v>48.44</v>
      </c>
    </row>
    <row r="1640" spans="1:25" ht="15" customHeight="1" x14ac:dyDescent="0.25">
      <c r="A1640" s="20" t="s">
        <v>3579</v>
      </c>
      <c r="B1640" s="14" t="s">
        <v>3580</v>
      </c>
      <c r="C1640" s="71" t="str">
        <f t="shared" si="35"/>
        <v>Product Info</v>
      </c>
      <c r="D1640" s="37" t="s">
        <v>3581</v>
      </c>
      <c r="E1640" s="143">
        <v>1</v>
      </c>
      <c r="F1640" s="12" t="s">
        <v>4992</v>
      </c>
      <c r="G1640" s="38">
        <v>310.79000000000002</v>
      </c>
      <c r="H1640" s="38">
        <v>264.18</v>
      </c>
      <c r="I1640" s="38">
        <v>217.55</v>
      </c>
      <c r="J1640" s="39"/>
      <c r="K1640" s="143"/>
      <c r="L1640" s="22">
        <v>0</v>
      </c>
      <c r="M1640" s="22">
        <v>0</v>
      </c>
      <c r="N1640" s="20" t="s">
        <v>14489</v>
      </c>
      <c r="O1640" s="16">
        <v>0</v>
      </c>
      <c r="P1640" s="143">
        <v>758</v>
      </c>
      <c r="Q1640" s="121" t="s">
        <v>14285</v>
      </c>
      <c r="R1640" s="16" t="s">
        <v>9235</v>
      </c>
      <c r="S1640" s="10" t="s">
        <v>1163</v>
      </c>
      <c r="T1640" s="28" t="s">
        <v>10672</v>
      </c>
      <c r="U1640" s="20" t="s">
        <v>5359</v>
      </c>
      <c r="V1640" s="16" t="s">
        <v>3579</v>
      </c>
      <c r="W1640" s="11" t="s">
        <v>14433</v>
      </c>
      <c r="X1640" s="174">
        <v>172.32</v>
      </c>
      <c r="Y1640" s="174">
        <v>217.55</v>
      </c>
    </row>
    <row r="1641" spans="1:25" ht="15" customHeight="1" x14ac:dyDescent="0.25">
      <c r="A1641" s="20" t="s">
        <v>988</v>
      </c>
      <c r="B1641" s="14" t="s">
        <v>4143</v>
      </c>
      <c r="C1641" s="71" t="str">
        <f t="shared" si="35"/>
        <v>Product Info</v>
      </c>
      <c r="D1641" s="37" t="s">
        <v>402</v>
      </c>
      <c r="E1641" s="143">
        <v>1</v>
      </c>
      <c r="F1641" s="12" t="s">
        <v>4992</v>
      </c>
      <c r="G1641" s="38">
        <v>466.2</v>
      </c>
      <c r="H1641" s="38">
        <v>396.28</v>
      </c>
      <c r="I1641" s="38">
        <v>326.33999999999997</v>
      </c>
      <c r="J1641" s="39"/>
      <c r="K1641" s="143"/>
      <c r="L1641" s="22">
        <v>0</v>
      </c>
      <c r="M1641" s="22">
        <v>0</v>
      </c>
      <c r="N1641" s="20" t="s">
        <v>14489</v>
      </c>
      <c r="O1641" s="16">
        <v>0</v>
      </c>
      <c r="P1641" s="143">
        <v>758</v>
      </c>
      <c r="Q1641" s="121" t="s">
        <v>14285</v>
      </c>
      <c r="R1641" s="16" t="s">
        <v>9235</v>
      </c>
      <c r="S1641" s="10" t="s">
        <v>1163</v>
      </c>
      <c r="T1641" s="28" t="s">
        <v>10673</v>
      </c>
      <c r="U1641" s="20" t="s">
        <v>5359</v>
      </c>
      <c r="V1641" s="16" t="s">
        <v>988</v>
      </c>
      <c r="W1641" s="11" t="s">
        <v>14433</v>
      </c>
      <c r="X1641" s="174">
        <v>258.49</v>
      </c>
      <c r="Y1641" s="174">
        <v>326.33999999999997</v>
      </c>
    </row>
    <row r="1642" spans="1:25" ht="15" customHeight="1" x14ac:dyDescent="0.25">
      <c r="A1642" s="20" t="s">
        <v>3551</v>
      </c>
      <c r="B1642" s="14" t="s">
        <v>3552</v>
      </c>
      <c r="C1642" s="71" t="str">
        <f t="shared" si="35"/>
        <v>Product Info</v>
      </c>
      <c r="D1642" s="37" t="s">
        <v>3553</v>
      </c>
      <c r="E1642" s="143">
        <v>1</v>
      </c>
      <c r="F1642" s="12" t="s">
        <v>4992</v>
      </c>
      <c r="G1642" s="38">
        <v>372.96</v>
      </c>
      <c r="H1642" s="38">
        <v>317.02</v>
      </c>
      <c r="I1642" s="38">
        <v>261.07</v>
      </c>
      <c r="J1642" s="39"/>
      <c r="K1642" s="143"/>
      <c r="L1642" s="22">
        <v>11</v>
      </c>
      <c r="M1642" s="22" t="s">
        <v>12488</v>
      </c>
      <c r="N1642" s="20" t="s">
        <v>9359</v>
      </c>
      <c r="O1642" s="16" t="s">
        <v>12608</v>
      </c>
      <c r="P1642" s="143">
        <v>758</v>
      </c>
      <c r="Q1642" s="121" t="s">
        <v>14285</v>
      </c>
      <c r="R1642" s="16" t="s">
        <v>9235</v>
      </c>
      <c r="S1642" s="10" t="s">
        <v>1163</v>
      </c>
      <c r="T1642" s="28" t="s">
        <v>10674</v>
      </c>
      <c r="U1642" s="20" t="s">
        <v>5359</v>
      </c>
      <c r="V1642" s="16" t="s">
        <v>3551</v>
      </c>
      <c r="W1642" s="11" t="s">
        <v>14433</v>
      </c>
      <c r="X1642" s="174">
        <v>206.79</v>
      </c>
      <c r="Y1642" s="174">
        <v>261.07</v>
      </c>
    </row>
    <row r="1643" spans="1:25" ht="15" customHeight="1" x14ac:dyDescent="0.25">
      <c r="A1643" s="20" t="s">
        <v>3582</v>
      </c>
      <c r="B1643" s="14" t="s">
        <v>3583</v>
      </c>
      <c r="C1643" s="71" t="str">
        <f t="shared" si="35"/>
        <v>Product Info</v>
      </c>
      <c r="D1643" s="37" t="s">
        <v>3584</v>
      </c>
      <c r="E1643" s="143">
        <v>1</v>
      </c>
      <c r="F1643" s="12" t="s">
        <v>4992</v>
      </c>
      <c r="G1643" s="38">
        <v>372.96</v>
      </c>
      <c r="H1643" s="38">
        <v>317.02</v>
      </c>
      <c r="I1643" s="38">
        <v>261.07</v>
      </c>
      <c r="J1643" s="39"/>
      <c r="K1643" s="143"/>
      <c r="L1643" s="22">
        <v>0</v>
      </c>
      <c r="M1643" s="22">
        <v>0</v>
      </c>
      <c r="N1643" s="20" t="s">
        <v>14489</v>
      </c>
      <c r="O1643" s="16">
        <v>0</v>
      </c>
      <c r="P1643" s="143">
        <v>758</v>
      </c>
      <c r="Q1643" s="121" t="s">
        <v>14285</v>
      </c>
      <c r="R1643" s="16" t="s">
        <v>9235</v>
      </c>
      <c r="S1643" s="10" t="s">
        <v>1163</v>
      </c>
      <c r="T1643" s="28" t="s">
        <v>10675</v>
      </c>
      <c r="U1643" s="20" t="s">
        <v>5359</v>
      </c>
      <c r="V1643" s="16" t="s">
        <v>3582</v>
      </c>
      <c r="W1643" s="11" t="s">
        <v>14433</v>
      </c>
      <c r="X1643" s="174">
        <v>206.79</v>
      </c>
      <c r="Y1643" s="174">
        <v>261.07</v>
      </c>
    </row>
    <row r="1644" spans="1:25" ht="15" customHeight="1" x14ac:dyDescent="0.25">
      <c r="A1644" s="20" t="s">
        <v>3160</v>
      </c>
      <c r="B1644" s="14" t="s">
        <v>3161</v>
      </c>
      <c r="C1644" s="71" t="str">
        <f t="shared" si="35"/>
        <v>Product Info</v>
      </c>
      <c r="D1644" s="37" t="s">
        <v>3162</v>
      </c>
      <c r="E1644" s="143">
        <v>1</v>
      </c>
      <c r="F1644" s="12" t="s">
        <v>4992</v>
      </c>
      <c r="G1644" s="38">
        <v>559.44000000000005</v>
      </c>
      <c r="H1644" s="38">
        <v>475.54</v>
      </c>
      <c r="I1644" s="38">
        <v>391.61</v>
      </c>
      <c r="J1644" s="39"/>
      <c r="K1644" s="143"/>
      <c r="L1644" s="22">
        <v>0</v>
      </c>
      <c r="M1644" s="22">
        <v>0</v>
      </c>
      <c r="N1644" s="20" t="s">
        <v>14489</v>
      </c>
      <c r="O1644" s="16">
        <v>0</v>
      </c>
      <c r="P1644" s="143">
        <v>758</v>
      </c>
      <c r="Q1644" s="121" t="s">
        <v>14285</v>
      </c>
      <c r="R1644" s="16" t="s">
        <v>9235</v>
      </c>
      <c r="S1644" s="10" t="s">
        <v>1163</v>
      </c>
      <c r="T1644" s="28" t="s">
        <v>10676</v>
      </c>
      <c r="U1644" s="20" t="s">
        <v>5359</v>
      </c>
      <c r="V1644" s="16" t="s">
        <v>3160</v>
      </c>
      <c r="W1644" s="11" t="s">
        <v>14433</v>
      </c>
      <c r="X1644" s="174">
        <v>310.18</v>
      </c>
      <c r="Y1644" s="174">
        <v>391.61</v>
      </c>
    </row>
    <row r="1645" spans="1:25" ht="15" customHeight="1" x14ac:dyDescent="0.25">
      <c r="A1645" s="20" t="s">
        <v>3554</v>
      </c>
      <c r="B1645" s="14" t="s">
        <v>3555</v>
      </c>
      <c r="C1645" s="71" t="str">
        <f t="shared" si="35"/>
        <v>Product Info</v>
      </c>
      <c r="D1645" s="37" t="s">
        <v>3556</v>
      </c>
      <c r="E1645" s="143">
        <v>1</v>
      </c>
      <c r="F1645" s="12" t="s">
        <v>4992</v>
      </c>
      <c r="G1645" s="38">
        <v>447.54</v>
      </c>
      <c r="H1645" s="38">
        <v>380.43</v>
      </c>
      <c r="I1645" s="38">
        <v>313.27999999999997</v>
      </c>
      <c r="J1645" s="39"/>
      <c r="K1645" s="143"/>
      <c r="L1645" s="22">
        <v>5</v>
      </c>
      <c r="M1645" s="22" t="s">
        <v>14396</v>
      </c>
      <c r="N1645" s="20" t="s">
        <v>9361</v>
      </c>
      <c r="O1645" s="16" t="s">
        <v>13914</v>
      </c>
      <c r="P1645" s="143">
        <v>758</v>
      </c>
      <c r="Q1645" s="121" t="s">
        <v>14285</v>
      </c>
      <c r="R1645" s="16" t="s">
        <v>9235</v>
      </c>
      <c r="S1645" s="10" t="s">
        <v>1163</v>
      </c>
      <c r="T1645" s="28" t="s">
        <v>10677</v>
      </c>
      <c r="U1645" s="20" t="s">
        <v>5359</v>
      </c>
      <c r="V1645" s="16" t="s">
        <v>3554</v>
      </c>
      <c r="W1645" s="11" t="s">
        <v>14433</v>
      </c>
      <c r="X1645" s="174">
        <v>248.14</v>
      </c>
      <c r="Y1645" s="174">
        <v>313.27999999999997</v>
      </c>
    </row>
    <row r="1646" spans="1:25" ht="15" customHeight="1" x14ac:dyDescent="0.25">
      <c r="A1646" s="20" t="s">
        <v>3585</v>
      </c>
      <c r="B1646" s="14" t="s">
        <v>3586</v>
      </c>
      <c r="C1646" s="71" t="str">
        <f t="shared" si="35"/>
        <v>Product Info</v>
      </c>
      <c r="D1646" s="37" t="s">
        <v>3587</v>
      </c>
      <c r="E1646" s="143">
        <v>1</v>
      </c>
      <c r="F1646" s="12" t="s">
        <v>4992</v>
      </c>
      <c r="G1646" s="38">
        <v>447.54</v>
      </c>
      <c r="H1646" s="38">
        <v>380.43</v>
      </c>
      <c r="I1646" s="38">
        <v>313.27999999999997</v>
      </c>
      <c r="J1646" s="39"/>
      <c r="K1646" s="143"/>
      <c r="L1646" s="22">
        <v>0</v>
      </c>
      <c r="M1646" s="22">
        <v>0</v>
      </c>
      <c r="N1646" s="20" t="s">
        <v>14489</v>
      </c>
      <c r="O1646" s="16">
        <v>0</v>
      </c>
      <c r="P1646" s="143">
        <v>758</v>
      </c>
      <c r="Q1646" s="121" t="s">
        <v>14285</v>
      </c>
      <c r="R1646" s="16" t="s">
        <v>9235</v>
      </c>
      <c r="S1646" s="10" t="s">
        <v>1163</v>
      </c>
      <c r="T1646" s="28" t="s">
        <v>10678</v>
      </c>
      <c r="U1646" s="20" t="s">
        <v>5359</v>
      </c>
      <c r="V1646" s="16" t="s">
        <v>3585</v>
      </c>
      <c r="W1646" s="11" t="s">
        <v>14433</v>
      </c>
      <c r="X1646" s="174">
        <v>248.14</v>
      </c>
      <c r="Y1646" s="174">
        <v>313.27999999999997</v>
      </c>
    </row>
    <row r="1647" spans="1:25" ht="15" customHeight="1" x14ac:dyDescent="0.25">
      <c r="A1647" s="20" t="s">
        <v>3163</v>
      </c>
      <c r="B1647" s="14" t="s">
        <v>3164</v>
      </c>
      <c r="C1647" s="71" t="str">
        <f t="shared" si="35"/>
        <v>Product Info</v>
      </c>
      <c r="D1647" s="37" t="s">
        <v>403</v>
      </c>
      <c r="E1647" s="143">
        <v>1</v>
      </c>
      <c r="F1647" s="12" t="s">
        <v>4992</v>
      </c>
      <c r="G1647" s="38">
        <v>671.31</v>
      </c>
      <c r="H1647" s="38">
        <v>570.64</v>
      </c>
      <c r="I1647" s="38">
        <v>469.92</v>
      </c>
      <c r="J1647" s="39"/>
      <c r="K1647" s="143"/>
      <c r="L1647" s="22">
        <v>0</v>
      </c>
      <c r="M1647" s="22">
        <v>0</v>
      </c>
      <c r="N1647" s="20" t="s">
        <v>14489</v>
      </c>
      <c r="O1647" s="16">
        <v>0</v>
      </c>
      <c r="P1647" s="143">
        <v>758</v>
      </c>
      <c r="Q1647" s="121" t="s">
        <v>14285</v>
      </c>
      <c r="R1647" s="16" t="s">
        <v>9235</v>
      </c>
      <c r="S1647" s="10" t="s">
        <v>1163</v>
      </c>
      <c r="T1647" s="28" t="s">
        <v>10679</v>
      </c>
      <c r="U1647" s="20" t="s">
        <v>5359</v>
      </c>
      <c r="V1647" s="16" t="s">
        <v>3163</v>
      </c>
      <c r="W1647" s="11" t="s">
        <v>14433</v>
      </c>
      <c r="X1647" s="174">
        <v>372.22</v>
      </c>
      <c r="Y1647" s="174">
        <v>469.92</v>
      </c>
    </row>
    <row r="1648" spans="1:25" ht="15" customHeight="1" x14ac:dyDescent="0.25">
      <c r="A1648" s="20" t="s">
        <v>3557</v>
      </c>
      <c r="B1648" s="14" t="s">
        <v>3558</v>
      </c>
      <c r="C1648" s="71" t="str">
        <f t="shared" si="35"/>
        <v>Product Info</v>
      </c>
      <c r="D1648" s="37" t="s">
        <v>3559</v>
      </c>
      <c r="E1648" s="143">
        <v>1</v>
      </c>
      <c r="F1648" s="12" t="s">
        <v>4992</v>
      </c>
      <c r="G1648" s="38">
        <v>537.05999999999995</v>
      </c>
      <c r="H1648" s="38">
        <v>456.51</v>
      </c>
      <c r="I1648" s="38">
        <v>375.94</v>
      </c>
      <c r="J1648" s="39"/>
      <c r="K1648" s="143"/>
      <c r="L1648" s="22">
        <v>15.1</v>
      </c>
      <c r="M1648" s="22" t="s">
        <v>4992</v>
      </c>
      <c r="N1648" s="20" t="s">
        <v>14489</v>
      </c>
      <c r="O1648" s="16">
        <v>0</v>
      </c>
      <c r="P1648" s="143">
        <v>758</v>
      </c>
      <c r="Q1648" s="121" t="s">
        <v>14285</v>
      </c>
      <c r="R1648" s="16" t="s">
        <v>9235</v>
      </c>
      <c r="S1648" s="10" t="s">
        <v>1163</v>
      </c>
      <c r="T1648" s="28" t="s">
        <v>10680</v>
      </c>
      <c r="U1648" s="20" t="s">
        <v>5359</v>
      </c>
      <c r="V1648" s="16" t="s">
        <v>3557</v>
      </c>
      <c r="W1648" s="11" t="s">
        <v>14433</v>
      </c>
      <c r="X1648" s="174">
        <v>297.77999999999997</v>
      </c>
      <c r="Y1648" s="174">
        <v>375.94</v>
      </c>
    </row>
    <row r="1649" spans="1:25" ht="15" customHeight="1" x14ac:dyDescent="0.25">
      <c r="A1649" s="20" t="s">
        <v>3110</v>
      </c>
      <c r="B1649" s="14" t="s">
        <v>3111</v>
      </c>
      <c r="C1649" s="71" t="str">
        <f t="shared" si="35"/>
        <v>Product Info</v>
      </c>
      <c r="D1649" s="37" t="s">
        <v>3112</v>
      </c>
      <c r="E1649" s="143">
        <v>1</v>
      </c>
      <c r="F1649" s="12" t="s">
        <v>4992</v>
      </c>
      <c r="G1649" s="38">
        <v>123.33</v>
      </c>
      <c r="H1649" s="38">
        <v>104.83</v>
      </c>
      <c r="I1649" s="38">
        <v>86.33</v>
      </c>
      <c r="J1649" s="39"/>
      <c r="K1649" s="143"/>
      <c r="L1649" s="22">
        <v>5</v>
      </c>
      <c r="M1649" s="22" t="s">
        <v>12488</v>
      </c>
      <c r="N1649" s="20" t="s">
        <v>9363</v>
      </c>
      <c r="O1649" s="16" t="s">
        <v>12608</v>
      </c>
      <c r="P1649" s="143">
        <v>758</v>
      </c>
      <c r="Q1649" s="121" t="s">
        <v>14285</v>
      </c>
      <c r="R1649" s="16" t="s">
        <v>9235</v>
      </c>
      <c r="S1649" s="10" t="s">
        <v>1163</v>
      </c>
      <c r="T1649" s="28" t="s">
        <v>10681</v>
      </c>
      <c r="U1649" s="20" t="s">
        <v>5359</v>
      </c>
      <c r="V1649" s="16" t="s">
        <v>3110</v>
      </c>
      <c r="W1649" s="11" t="s">
        <v>14433</v>
      </c>
      <c r="X1649" s="174">
        <v>68.38</v>
      </c>
      <c r="Y1649" s="174">
        <v>86.33</v>
      </c>
    </row>
    <row r="1650" spans="1:25" ht="15" customHeight="1" x14ac:dyDescent="0.25">
      <c r="A1650" s="20" t="s">
        <v>3800</v>
      </c>
      <c r="B1650" s="14" t="s">
        <v>5964</v>
      </c>
      <c r="C1650" s="71" t="str">
        <f t="shared" si="35"/>
        <v>Product Info</v>
      </c>
      <c r="D1650" s="37" t="s">
        <v>3816</v>
      </c>
      <c r="E1650" s="143">
        <v>1</v>
      </c>
      <c r="F1650" s="12" t="s">
        <v>4992</v>
      </c>
      <c r="G1650" s="38">
        <v>296.06</v>
      </c>
      <c r="H1650" s="38">
        <v>251.66</v>
      </c>
      <c r="I1650" s="38">
        <v>207.24</v>
      </c>
      <c r="J1650" s="39"/>
      <c r="K1650" s="143"/>
      <c r="L1650" s="22">
        <v>0</v>
      </c>
      <c r="M1650" s="22">
        <v>0</v>
      </c>
      <c r="N1650" s="20" t="s">
        <v>14489</v>
      </c>
      <c r="O1650" s="16">
        <v>0</v>
      </c>
      <c r="P1650" s="143">
        <v>758</v>
      </c>
      <c r="Q1650" s="121" t="s">
        <v>14285</v>
      </c>
      <c r="R1650" s="16" t="s">
        <v>9235</v>
      </c>
      <c r="S1650" s="10" t="s">
        <v>1163</v>
      </c>
      <c r="T1650" s="28" t="s">
        <v>10682</v>
      </c>
      <c r="U1650" s="20" t="s">
        <v>5359</v>
      </c>
      <c r="V1650" s="16" t="s">
        <v>3800</v>
      </c>
      <c r="W1650" s="11" t="s">
        <v>14433</v>
      </c>
      <c r="X1650" s="174">
        <v>196.98</v>
      </c>
      <c r="Y1650" s="174">
        <v>251.66</v>
      </c>
    </row>
    <row r="1651" spans="1:25" ht="15" customHeight="1" x14ac:dyDescent="0.25">
      <c r="A1651" s="20" t="s">
        <v>3801</v>
      </c>
      <c r="B1651" s="14" t="s">
        <v>5965</v>
      </c>
      <c r="C1651" s="71" t="str">
        <f t="shared" si="35"/>
        <v>Product Info</v>
      </c>
      <c r="D1651" s="37" t="s">
        <v>3817</v>
      </c>
      <c r="E1651" s="143">
        <v>1</v>
      </c>
      <c r="F1651" s="12" t="s">
        <v>4992</v>
      </c>
      <c r="G1651" s="38">
        <v>580.36</v>
      </c>
      <c r="H1651" s="38">
        <v>493.32</v>
      </c>
      <c r="I1651" s="38">
        <v>406.25</v>
      </c>
      <c r="J1651" s="39"/>
      <c r="K1651" s="143"/>
      <c r="L1651" s="22">
        <v>0</v>
      </c>
      <c r="M1651" s="22">
        <v>0</v>
      </c>
      <c r="N1651" s="20" t="s">
        <v>14489</v>
      </c>
      <c r="O1651" s="16">
        <v>0</v>
      </c>
      <c r="P1651" s="143">
        <v>758</v>
      </c>
      <c r="Q1651" s="121" t="s">
        <v>14285</v>
      </c>
      <c r="R1651" s="16" t="s">
        <v>9235</v>
      </c>
      <c r="S1651" s="10" t="s">
        <v>1163</v>
      </c>
      <c r="T1651" s="28" t="s">
        <v>10683</v>
      </c>
      <c r="U1651" s="20" t="s">
        <v>5359</v>
      </c>
      <c r="V1651" s="16" t="s">
        <v>3801</v>
      </c>
      <c r="W1651" s="11" t="s">
        <v>14433</v>
      </c>
      <c r="X1651" s="174">
        <v>386.14</v>
      </c>
      <c r="Y1651" s="174">
        <v>493.32</v>
      </c>
    </row>
    <row r="1652" spans="1:25" ht="15" customHeight="1" x14ac:dyDescent="0.25">
      <c r="A1652" s="20" t="s">
        <v>3802</v>
      </c>
      <c r="B1652" s="14" t="s">
        <v>5966</v>
      </c>
      <c r="C1652" s="71" t="str">
        <f t="shared" si="35"/>
        <v>Product Info</v>
      </c>
      <c r="D1652" s="37" t="s">
        <v>3818</v>
      </c>
      <c r="E1652" s="143">
        <v>1</v>
      </c>
      <c r="F1652" s="12" t="s">
        <v>4992</v>
      </c>
      <c r="G1652" s="38">
        <v>881.96</v>
      </c>
      <c r="H1652" s="38">
        <v>749.69</v>
      </c>
      <c r="I1652" s="38">
        <v>617.37</v>
      </c>
      <c r="J1652" s="39"/>
      <c r="K1652" s="143"/>
      <c r="L1652" s="22">
        <v>0</v>
      </c>
      <c r="M1652" s="22">
        <v>0</v>
      </c>
      <c r="N1652" s="20" t="s">
        <v>14489</v>
      </c>
      <c r="O1652" s="16">
        <v>0</v>
      </c>
      <c r="P1652" s="143">
        <v>758</v>
      </c>
      <c r="Q1652" s="122" t="s">
        <v>12421</v>
      </c>
      <c r="R1652" s="16" t="s">
        <v>9235</v>
      </c>
      <c r="S1652" s="10" t="s">
        <v>1163</v>
      </c>
      <c r="T1652" s="28" t="s">
        <v>10684</v>
      </c>
      <c r="U1652" s="20" t="s">
        <v>5359</v>
      </c>
      <c r="V1652" s="16" t="s">
        <v>3802</v>
      </c>
      <c r="W1652" s="11" t="s">
        <v>14433</v>
      </c>
      <c r="X1652" s="174">
        <v>586.80999999999995</v>
      </c>
      <c r="Y1652" s="174">
        <v>749.69</v>
      </c>
    </row>
    <row r="1653" spans="1:25" ht="15" customHeight="1" x14ac:dyDescent="0.25">
      <c r="A1653" s="20" t="s">
        <v>3803</v>
      </c>
      <c r="B1653" s="14" t="s">
        <v>5967</v>
      </c>
      <c r="C1653" s="71" t="str">
        <f t="shared" si="35"/>
        <v>Product Info</v>
      </c>
      <c r="D1653" s="37" t="s">
        <v>3819</v>
      </c>
      <c r="E1653" s="143">
        <v>1</v>
      </c>
      <c r="F1653" s="12" t="s">
        <v>4992</v>
      </c>
      <c r="G1653" s="38">
        <v>1148.96</v>
      </c>
      <c r="H1653" s="38">
        <v>976.65</v>
      </c>
      <c r="I1653" s="38">
        <v>804.27</v>
      </c>
      <c r="J1653" s="39"/>
      <c r="K1653" s="143"/>
      <c r="L1653" s="22">
        <v>0</v>
      </c>
      <c r="M1653" s="22">
        <v>0</v>
      </c>
      <c r="N1653" s="20" t="s">
        <v>14489</v>
      </c>
      <c r="O1653" s="16">
        <v>0</v>
      </c>
      <c r="P1653" s="143">
        <v>758</v>
      </c>
      <c r="Q1653" s="121" t="s">
        <v>14285</v>
      </c>
      <c r="R1653" s="16" t="s">
        <v>9235</v>
      </c>
      <c r="S1653" s="10" t="s">
        <v>1163</v>
      </c>
      <c r="T1653" s="28" t="s">
        <v>10685</v>
      </c>
      <c r="U1653" s="20" t="s">
        <v>5359</v>
      </c>
      <c r="V1653" s="16" t="s">
        <v>3803</v>
      </c>
      <c r="W1653" s="11" t="s">
        <v>14433</v>
      </c>
      <c r="X1653" s="174">
        <v>764.46</v>
      </c>
      <c r="Y1653" s="174">
        <v>976.65</v>
      </c>
    </row>
    <row r="1654" spans="1:25" ht="15" customHeight="1" x14ac:dyDescent="0.25">
      <c r="A1654" s="20" t="s">
        <v>404</v>
      </c>
      <c r="B1654" s="14" t="s">
        <v>405</v>
      </c>
      <c r="C1654" s="71" t="str">
        <f t="shared" si="35"/>
        <v>Product Info</v>
      </c>
      <c r="D1654" s="37" t="s">
        <v>116</v>
      </c>
      <c r="E1654" s="143">
        <v>1</v>
      </c>
      <c r="F1654" s="12" t="s">
        <v>4992</v>
      </c>
      <c r="G1654" s="38">
        <v>137.71</v>
      </c>
      <c r="H1654" s="38">
        <v>117.06</v>
      </c>
      <c r="I1654" s="38">
        <v>96.4</v>
      </c>
      <c r="J1654" s="39"/>
      <c r="K1654" s="143"/>
      <c r="L1654" s="22">
        <v>0.246</v>
      </c>
      <c r="M1654" s="22" t="s">
        <v>12488</v>
      </c>
      <c r="N1654" s="20" t="s">
        <v>8826</v>
      </c>
      <c r="O1654" s="16" t="s">
        <v>12608</v>
      </c>
      <c r="P1654" s="143">
        <v>758</v>
      </c>
      <c r="Q1654" s="121" t="s">
        <v>14285</v>
      </c>
      <c r="R1654" s="16" t="s">
        <v>9235</v>
      </c>
      <c r="S1654" s="10" t="s">
        <v>1163</v>
      </c>
      <c r="T1654" s="28" t="s">
        <v>10686</v>
      </c>
      <c r="U1654" s="20" t="s">
        <v>5359</v>
      </c>
      <c r="V1654" s="16" t="s">
        <v>404</v>
      </c>
      <c r="W1654" s="11" t="s">
        <v>14433</v>
      </c>
      <c r="X1654" s="174">
        <v>91.63</v>
      </c>
      <c r="Y1654" s="174">
        <v>117.06</v>
      </c>
    </row>
    <row r="1655" spans="1:25" ht="15" customHeight="1" x14ac:dyDescent="0.25">
      <c r="A1655" s="20" t="s">
        <v>406</v>
      </c>
      <c r="B1655" s="14" t="s">
        <v>407</v>
      </c>
      <c r="C1655" s="71" t="str">
        <f t="shared" si="35"/>
        <v>Product Info</v>
      </c>
      <c r="D1655" s="37" t="s">
        <v>117</v>
      </c>
      <c r="E1655" s="143">
        <v>1</v>
      </c>
      <c r="F1655" s="12" t="s">
        <v>4992</v>
      </c>
      <c r="G1655" s="38">
        <v>141.63999999999999</v>
      </c>
      <c r="H1655" s="38">
        <v>120.4</v>
      </c>
      <c r="I1655" s="38">
        <v>99.15</v>
      </c>
      <c r="J1655" s="39"/>
      <c r="K1655" s="143"/>
      <c r="L1655" s="22">
        <v>0</v>
      </c>
      <c r="M1655" s="22">
        <v>0</v>
      </c>
      <c r="N1655" s="20" t="s">
        <v>14489</v>
      </c>
      <c r="O1655" s="16">
        <v>0</v>
      </c>
      <c r="P1655" s="143">
        <v>758</v>
      </c>
      <c r="Q1655" s="122" t="s">
        <v>12421</v>
      </c>
      <c r="R1655" s="16" t="s">
        <v>9235</v>
      </c>
      <c r="S1655" s="10" t="s">
        <v>1163</v>
      </c>
      <c r="T1655" s="28" t="s">
        <v>10687</v>
      </c>
      <c r="U1655" s="20" t="s">
        <v>5359</v>
      </c>
      <c r="V1655" s="16" t="s">
        <v>406</v>
      </c>
      <c r="W1655" s="11" t="s">
        <v>14433</v>
      </c>
      <c r="X1655" s="174">
        <v>94.24</v>
      </c>
      <c r="Y1655" s="174">
        <v>120.4</v>
      </c>
    </row>
    <row r="1656" spans="1:25" ht="15" customHeight="1" x14ac:dyDescent="0.25">
      <c r="A1656" s="20" t="s">
        <v>5716</v>
      </c>
      <c r="B1656" s="14" t="s">
        <v>5717</v>
      </c>
      <c r="C1656" s="71" t="str">
        <f t="shared" si="35"/>
        <v>Product Info</v>
      </c>
      <c r="D1656" s="37" t="s">
        <v>1494</v>
      </c>
      <c r="E1656" s="143">
        <v>1</v>
      </c>
      <c r="F1656" s="12" t="s">
        <v>4992</v>
      </c>
      <c r="G1656" s="38">
        <v>217.94</v>
      </c>
      <c r="H1656" s="38">
        <v>185.26</v>
      </c>
      <c r="I1656" s="38">
        <v>152.56</v>
      </c>
      <c r="J1656" s="39"/>
      <c r="K1656" s="143"/>
      <c r="L1656" s="22">
        <v>0</v>
      </c>
      <c r="M1656" s="22">
        <v>0</v>
      </c>
      <c r="N1656" s="20" t="s">
        <v>14489</v>
      </c>
      <c r="O1656" s="16">
        <v>0</v>
      </c>
      <c r="P1656" s="143">
        <v>758</v>
      </c>
      <c r="Q1656" s="121" t="s">
        <v>14285</v>
      </c>
      <c r="R1656" s="16" t="s">
        <v>9235</v>
      </c>
      <c r="S1656" s="10" t="s">
        <v>1163</v>
      </c>
      <c r="T1656" s="28" t="s">
        <v>10688</v>
      </c>
      <c r="U1656" s="20" t="s">
        <v>5359</v>
      </c>
      <c r="V1656" s="16" t="s">
        <v>5716</v>
      </c>
      <c r="W1656" s="11" t="s">
        <v>14433</v>
      </c>
      <c r="X1656" s="174">
        <v>145.01</v>
      </c>
      <c r="Y1656" s="174">
        <v>185.26</v>
      </c>
    </row>
    <row r="1657" spans="1:25" ht="15" customHeight="1" x14ac:dyDescent="0.25">
      <c r="A1657" s="20" t="s">
        <v>408</v>
      </c>
      <c r="B1657" s="14" t="s">
        <v>409</v>
      </c>
      <c r="C1657" s="71" t="str">
        <f t="shared" si="35"/>
        <v>Product Info</v>
      </c>
      <c r="D1657" s="37" t="s">
        <v>410</v>
      </c>
      <c r="E1657" s="143">
        <v>1</v>
      </c>
      <c r="F1657" s="12" t="s">
        <v>4992</v>
      </c>
      <c r="G1657" s="38">
        <v>228.14</v>
      </c>
      <c r="H1657" s="38">
        <v>193.93</v>
      </c>
      <c r="I1657" s="38">
        <v>159.69999999999999</v>
      </c>
      <c r="J1657" s="39"/>
      <c r="K1657" s="143"/>
      <c r="L1657" s="22">
        <v>0</v>
      </c>
      <c r="M1657" s="22">
        <v>0</v>
      </c>
      <c r="N1657" s="20" t="s">
        <v>14489</v>
      </c>
      <c r="O1657" s="16">
        <v>0</v>
      </c>
      <c r="P1657" s="143">
        <v>758</v>
      </c>
      <c r="Q1657" s="121" t="s">
        <v>14285</v>
      </c>
      <c r="R1657" s="16" t="s">
        <v>9235</v>
      </c>
      <c r="S1657" s="10" t="s">
        <v>1163</v>
      </c>
      <c r="T1657" s="28" t="s">
        <v>10689</v>
      </c>
      <c r="U1657" s="20" t="s">
        <v>5359</v>
      </c>
      <c r="V1657" s="16" t="s">
        <v>408</v>
      </c>
      <c r="W1657" s="11" t="s">
        <v>14433</v>
      </c>
      <c r="X1657" s="174">
        <v>151.80000000000001</v>
      </c>
      <c r="Y1657" s="174">
        <v>193.93</v>
      </c>
    </row>
    <row r="1658" spans="1:25" ht="15" customHeight="1" x14ac:dyDescent="0.25">
      <c r="A1658" s="20" t="s">
        <v>5718</v>
      </c>
      <c r="B1658" s="14" t="s">
        <v>5719</v>
      </c>
      <c r="C1658" s="71" t="str">
        <f t="shared" si="35"/>
        <v>Product Info</v>
      </c>
      <c r="D1658" s="37" t="s">
        <v>1495</v>
      </c>
      <c r="E1658" s="143">
        <v>1</v>
      </c>
      <c r="F1658" s="12" t="s">
        <v>4992</v>
      </c>
      <c r="G1658" s="38">
        <v>217.94</v>
      </c>
      <c r="H1658" s="38">
        <v>185.26</v>
      </c>
      <c r="I1658" s="38">
        <v>152.56</v>
      </c>
      <c r="J1658" s="39"/>
      <c r="K1658" s="143"/>
      <c r="L1658" s="22">
        <v>0</v>
      </c>
      <c r="M1658" s="22">
        <v>0</v>
      </c>
      <c r="N1658" s="20" t="s">
        <v>14489</v>
      </c>
      <c r="O1658" s="16">
        <v>0</v>
      </c>
      <c r="P1658" s="143">
        <v>758</v>
      </c>
      <c r="Q1658" s="122" t="s">
        <v>12421</v>
      </c>
      <c r="R1658" s="16" t="s">
        <v>9235</v>
      </c>
      <c r="S1658" s="10" t="s">
        <v>1163</v>
      </c>
      <c r="T1658" s="28" t="s">
        <v>10690</v>
      </c>
      <c r="U1658" s="20" t="s">
        <v>5359</v>
      </c>
      <c r="V1658" s="16" t="s">
        <v>5718</v>
      </c>
      <c r="W1658" s="11" t="s">
        <v>14433</v>
      </c>
      <c r="X1658" s="174">
        <v>145.01</v>
      </c>
      <c r="Y1658" s="174">
        <v>185.26</v>
      </c>
    </row>
    <row r="1659" spans="1:25" ht="15" customHeight="1" x14ac:dyDescent="0.25">
      <c r="A1659" s="20" t="s">
        <v>411</v>
      </c>
      <c r="B1659" s="14" t="s">
        <v>412</v>
      </c>
      <c r="C1659" s="71" t="str">
        <f t="shared" si="35"/>
        <v>Product Info</v>
      </c>
      <c r="D1659" s="37" t="s">
        <v>413</v>
      </c>
      <c r="E1659" s="143">
        <v>1</v>
      </c>
      <c r="F1659" s="12" t="s">
        <v>4992</v>
      </c>
      <c r="G1659" s="38">
        <v>228.14</v>
      </c>
      <c r="H1659" s="38">
        <v>193.93</v>
      </c>
      <c r="I1659" s="38">
        <v>159.69999999999999</v>
      </c>
      <c r="J1659" s="39"/>
      <c r="K1659" s="143"/>
      <c r="L1659" s="22">
        <v>0</v>
      </c>
      <c r="M1659" s="22">
        <v>0</v>
      </c>
      <c r="N1659" s="20" t="s">
        <v>14489</v>
      </c>
      <c r="O1659" s="16">
        <v>0</v>
      </c>
      <c r="P1659" s="143">
        <v>758</v>
      </c>
      <c r="Q1659" s="121" t="s">
        <v>14285</v>
      </c>
      <c r="R1659" s="16" t="s">
        <v>9235</v>
      </c>
      <c r="S1659" s="10" t="s">
        <v>1163</v>
      </c>
      <c r="T1659" s="28" t="s">
        <v>10691</v>
      </c>
      <c r="U1659" s="20" t="s">
        <v>5359</v>
      </c>
      <c r="V1659" s="16" t="s">
        <v>411</v>
      </c>
      <c r="W1659" s="11" t="s">
        <v>14433</v>
      </c>
      <c r="X1659" s="174">
        <v>151.80000000000001</v>
      </c>
      <c r="Y1659" s="174">
        <v>193.93</v>
      </c>
    </row>
    <row r="1660" spans="1:25" ht="15" customHeight="1" x14ac:dyDescent="0.25">
      <c r="A1660" s="20" t="s">
        <v>5720</v>
      </c>
      <c r="B1660" s="14" t="s">
        <v>5721</v>
      </c>
      <c r="C1660" s="71" t="str">
        <f t="shared" si="35"/>
        <v>Product Info</v>
      </c>
      <c r="D1660" s="37" t="s">
        <v>1496</v>
      </c>
      <c r="E1660" s="143">
        <v>1</v>
      </c>
      <c r="F1660" s="12" t="s">
        <v>4992</v>
      </c>
      <c r="G1660" s="38">
        <v>254.37</v>
      </c>
      <c r="H1660" s="38">
        <v>216.22</v>
      </c>
      <c r="I1660" s="38">
        <v>178.06</v>
      </c>
      <c r="J1660" s="39"/>
      <c r="K1660" s="143"/>
      <c r="L1660" s="22">
        <v>0</v>
      </c>
      <c r="M1660" s="22">
        <v>0</v>
      </c>
      <c r="N1660" s="20" t="s">
        <v>14489</v>
      </c>
      <c r="O1660" s="16">
        <v>0</v>
      </c>
      <c r="P1660" s="143">
        <v>758</v>
      </c>
      <c r="Q1660" s="121" t="s">
        <v>14285</v>
      </c>
      <c r="R1660" s="16" t="s">
        <v>9235</v>
      </c>
      <c r="S1660" s="10" t="s">
        <v>1163</v>
      </c>
      <c r="T1660" s="28" t="s">
        <v>10692</v>
      </c>
      <c r="U1660" s="20" t="s">
        <v>5359</v>
      </c>
      <c r="V1660" s="16" t="s">
        <v>5720</v>
      </c>
      <c r="W1660" s="11" t="s">
        <v>14433</v>
      </c>
      <c r="X1660" s="174">
        <v>169.25</v>
      </c>
      <c r="Y1660" s="174">
        <v>216.22</v>
      </c>
    </row>
    <row r="1661" spans="1:25" ht="15" customHeight="1" x14ac:dyDescent="0.25">
      <c r="A1661" s="20" t="s">
        <v>414</v>
      </c>
      <c r="B1661" s="14" t="s">
        <v>415</v>
      </c>
      <c r="C1661" s="71" t="str">
        <f t="shared" si="35"/>
        <v>Product Info</v>
      </c>
      <c r="D1661" s="37" t="s">
        <v>416</v>
      </c>
      <c r="E1661" s="143">
        <v>1</v>
      </c>
      <c r="F1661" s="12" t="s">
        <v>4992</v>
      </c>
      <c r="G1661" s="38">
        <v>264.57</v>
      </c>
      <c r="H1661" s="38">
        <v>224.89</v>
      </c>
      <c r="I1661" s="38">
        <v>185.2</v>
      </c>
      <c r="J1661" s="39"/>
      <c r="K1661" s="143"/>
      <c r="L1661" s="22">
        <v>0</v>
      </c>
      <c r="M1661" s="22">
        <v>0</v>
      </c>
      <c r="N1661" s="20" t="s">
        <v>14489</v>
      </c>
      <c r="O1661" s="16">
        <v>0</v>
      </c>
      <c r="P1661" s="143">
        <v>758</v>
      </c>
      <c r="Q1661" s="121" t="s">
        <v>14285</v>
      </c>
      <c r="R1661" s="16" t="s">
        <v>9235</v>
      </c>
      <c r="S1661" s="10" t="s">
        <v>1163</v>
      </c>
      <c r="T1661" s="28" t="s">
        <v>10693</v>
      </c>
      <c r="U1661" s="20" t="s">
        <v>5359</v>
      </c>
      <c r="V1661" s="16" t="s">
        <v>414</v>
      </c>
      <c r="W1661" s="11" t="s">
        <v>14433</v>
      </c>
      <c r="X1661" s="174">
        <v>176.04</v>
      </c>
      <c r="Y1661" s="174">
        <v>224.89</v>
      </c>
    </row>
    <row r="1662" spans="1:25" ht="15" customHeight="1" x14ac:dyDescent="0.25">
      <c r="A1662" s="20" t="s">
        <v>5723</v>
      </c>
      <c r="B1662" s="14" t="s">
        <v>5724</v>
      </c>
      <c r="C1662" s="71" t="str">
        <f t="shared" si="35"/>
        <v>Product Info</v>
      </c>
      <c r="D1662" s="37" t="s">
        <v>1498</v>
      </c>
      <c r="E1662" s="143">
        <v>1</v>
      </c>
      <c r="F1662" s="12" t="s">
        <v>4992</v>
      </c>
      <c r="G1662" s="38">
        <v>217.94</v>
      </c>
      <c r="H1662" s="38">
        <v>185.26</v>
      </c>
      <c r="I1662" s="38">
        <v>152.56</v>
      </c>
      <c r="J1662" s="39"/>
      <c r="K1662" s="12" t="s">
        <v>8905</v>
      </c>
      <c r="L1662" s="22">
        <v>0</v>
      </c>
      <c r="M1662" s="22">
        <v>0</v>
      </c>
      <c r="N1662" s="20" t="s">
        <v>14489</v>
      </c>
      <c r="O1662" s="16">
        <v>0</v>
      </c>
      <c r="P1662" s="143">
        <v>758</v>
      </c>
      <c r="Q1662" s="121" t="s">
        <v>14285</v>
      </c>
      <c r="R1662" s="16" t="s">
        <v>9235</v>
      </c>
      <c r="S1662" s="10" t="s">
        <v>1163</v>
      </c>
      <c r="T1662" s="28" t="s">
        <v>10694</v>
      </c>
      <c r="U1662" s="20" t="s">
        <v>5359</v>
      </c>
      <c r="V1662" s="16" t="s">
        <v>5723</v>
      </c>
      <c r="W1662" s="11" t="s">
        <v>14433</v>
      </c>
      <c r="X1662" s="174">
        <v>145.01</v>
      </c>
      <c r="Y1662" s="174">
        <v>185.26</v>
      </c>
    </row>
    <row r="1663" spans="1:25" ht="15" customHeight="1" x14ac:dyDescent="0.25">
      <c r="A1663" s="20" t="s">
        <v>5725</v>
      </c>
      <c r="B1663" s="14" t="s">
        <v>5726</v>
      </c>
      <c r="C1663" s="71" t="str">
        <f t="shared" si="35"/>
        <v>Product Info</v>
      </c>
      <c r="D1663" s="37" t="s">
        <v>3533</v>
      </c>
      <c r="E1663" s="143">
        <v>1</v>
      </c>
      <c r="F1663" s="12" t="s">
        <v>4992</v>
      </c>
      <c r="G1663" s="38">
        <v>217.94</v>
      </c>
      <c r="H1663" s="38">
        <v>185.26</v>
      </c>
      <c r="I1663" s="38">
        <v>152.56</v>
      </c>
      <c r="J1663" s="39"/>
      <c r="K1663" s="12" t="s">
        <v>8905</v>
      </c>
      <c r="L1663" s="22">
        <v>0</v>
      </c>
      <c r="M1663" s="22">
        <v>0</v>
      </c>
      <c r="N1663" s="20" t="s">
        <v>14489</v>
      </c>
      <c r="O1663" s="16">
        <v>0</v>
      </c>
      <c r="P1663" s="143">
        <v>758</v>
      </c>
      <c r="Q1663" s="121" t="s">
        <v>14285</v>
      </c>
      <c r="R1663" s="16" t="s">
        <v>9235</v>
      </c>
      <c r="S1663" s="10" t="s">
        <v>1163</v>
      </c>
      <c r="T1663" s="28" t="s">
        <v>10695</v>
      </c>
      <c r="U1663" s="20" t="s">
        <v>5359</v>
      </c>
      <c r="V1663" s="16" t="s">
        <v>5725</v>
      </c>
      <c r="W1663" s="11" t="s">
        <v>14433</v>
      </c>
      <c r="X1663" s="174">
        <v>145.01</v>
      </c>
      <c r="Y1663" s="174">
        <v>185.26</v>
      </c>
    </row>
    <row r="1664" spans="1:25" ht="15" customHeight="1" x14ac:dyDescent="0.25">
      <c r="A1664" s="20" t="s">
        <v>417</v>
      </c>
      <c r="B1664" s="14" t="s">
        <v>418</v>
      </c>
      <c r="C1664" s="71" t="str">
        <f t="shared" si="35"/>
        <v>Product Info</v>
      </c>
      <c r="D1664" s="37" t="s">
        <v>419</v>
      </c>
      <c r="E1664" s="143">
        <v>1</v>
      </c>
      <c r="F1664" s="12" t="s">
        <v>4992</v>
      </c>
      <c r="G1664" s="38">
        <v>228.14</v>
      </c>
      <c r="H1664" s="38">
        <v>193.93</v>
      </c>
      <c r="I1664" s="38">
        <v>159.69999999999999</v>
      </c>
      <c r="J1664" s="39"/>
      <c r="K1664" s="12" t="s">
        <v>8905</v>
      </c>
      <c r="L1664" s="22">
        <v>0</v>
      </c>
      <c r="M1664" s="22">
        <v>0</v>
      </c>
      <c r="N1664" s="20" t="s">
        <v>14489</v>
      </c>
      <c r="O1664" s="16">
        <v>0</v>
      </c>
      <c r="P1664" s="143">
        <v>758</v>
      </c>
      <c r="Q1664" s="122" t="s">
        <v>12421</v>
      </c>
      <c r="R1664" s="16" t="s">
        <v>9235</v>
      </c>
      <c r="S1664" s="10" t="s">
        <v>1163</v>
      </c>
      <c r="T1664" s="28" t="s">
        <v>10696</v>
      </c>
      <c r="U1664" s="20" t="s">
        <v>5359</v>
      </c>
      <c r="V1664" s="16" t="s">
        <v>417</v>
      </c>
      <c r="W1664" s="11" t="s">
        <v>14433</v>
      </c>
      <c r="X1664" s="174">
        <v>151.80000000000001</v>
      </c>
      <c r="Y1664" s="174">
        <v>193.93</v>
      </c>
    </row>
    <row r="1665" spans="1:25" ht="15" customHeight="1" x14ac:dyDescent="0.25">
      <c r="A1665" s="20" t="s">
        <v>420</v>
      </c>
      <c r="B1665" s="14" t="s">
        <v>421</v>
      </c>
      <c r="C1665" s="71" t="str">
        <f t="shared" si="35"/>
        <v>Product Info</v>
      </c>
      <c r="D1665" s="37" t="s">
        <v>422</v>
      </c>
      <c r="E1665" s="143">
        <v>1</v>
      </c>
      <c r="F1665" s="12" t="s">
        <v>4992</v>
      </c>
      <c r="G1665" s="38">
        <v>228.14</v>
      </c>
      <c r="H1665" s="38">
        <v>193.93</v>
      </c>
      <c r="I1665" s="38">
        <v>159.69999999999999</v>
      </c>
      <c r="J1665" s="39"/>
      <c r="K1665" s="12" t="s">
        <v>8905</v>
      </c>
      <c r="L1665" s="22">
        <v>0</v>
      </c>
      <c r="M1665" s="22">
        <v>0</v>
      </c>
      <c r="N1665" s="20" t="s">
        <v>14489</v>
      </c>
      <c r="O1665" s="16">
        <v>0</v>
      </c>
      <c r="P1665" s="143">
        <v>758</v>
      </c>
      <c r="Q1665" s="121" t="s">
        <v>14285</v>
      </c>
      <c r="R1665" s="16" t="s">
        <v>9235</v>
      </c>
      <c r="S1665" s="10" t="s">
        <v>1163</v>
      </c>
      <c r="T1665" s="28" t="s">
        <v>10697</v>
      </c>
      <c r="U1665" s="20" t="s">
        <v>5359</v>
      </c>
      <c r="V1665" s="16" t="s">
        <v>420</v>
      </c>
      <c r="W1665" s="11" t="s">
        <v>14433</v>
      </c>
      <c r="X1665" s="174">
        <v>151.80000000000001</v>
      </c>
      <c r="Y1665" s="174">
        <v>193.93</v>
      </c>
    </row>
    <row r="1666" spans="1:25" ht="15" customHeight="1" x14ac:dyDescent="0.25">
      <c r="A1666" s="20" t="s">
        <v>5727</v>
      </c>
      <c r="B1666" s="14" t="s">
        <v>5728</v>
      </c>
      <c r="C1666" s="71" t="str">
        <f t="shared" si="35"/>
        <v>Product Info</v>
      </c>
      <c r="D1666" s="37" t="s">
        <v>3534</v>
      </c>
      <c r="E1666" s="143">
        <v>1</v>
      </c>
      <c r="F1666" s="12" t="s">
        <v>4992</v>
      </c>
      <c r="G1666" s="38">
        <v>217.94</v>
      </c>
      <c r="H1666" s="38">
        <v>185.26</v>
      </c>
      <c r="I1666" s="38">
        <v>152.56</v>
      </c>
      <c r="J1666" s="39"/>
      <c r="K1666" s="12" t="s">
        <v>8905</v>
      </c>
      <c r="L1666" s="22">
        <v>0</v>
      </c>
      <c r="M1666" s="22">
        <v>0</v>
      </c>
      <c r="N1666" s="20" t="s">
        <v>14489</v>
      </c>
      <c r="O1666" s="16">
        <v>0</v>
      </c>
      <c r="P1666" s="143">
        <v>758</v>
      </c>
      <c r="Q1666" s="121" t="s">
        <v>14285</v>
      </c>
      <c r="R1666" s="16" t="s">
        <v>9235</v>
      </c>
      <c r="S1666" s="10" t="s">
        <v>1163</v>
      </c>
      <c r="T1666" s="28" t="s">
        <v>10698</v>
      </c>
      <c r="U1666" s="20" t="s">
        <v>5359</v>
      </c>
      <c r="V1666" s="16" t="s">
        <v>5727</v>
      </c>
      <c r="W1666" s="11" t="s">
        <v>14433</v>
      </c>
      <c r="X1666" s="174">
        <v>145.01</v>
      </c>
      <c r="Y1666" s="174">
        <v>185.26</v>
      </c>
    </row>
    <row r="1667" spans="1:25" ht="15" customHeight="1" x14ac:dyDescent="0.25">
      <c r="A1667" s="20" t="s">
        <v>5729</v>
      </c>
      <c r="B1667" s="14" t="s">
        <v>5730</v>
      </c>
      <c r="C1667" s="71" t="str">
        <f t="shared" si="35"/>
        <v>Product Info</v>
      </c>
      <c r="D1667" s="37" t="s">
        <v>3535</v>
      </c>
      <c r="E1667" s="143">
        <v>1</v>
      </c>
      <c r="F1667" s="12" t="s">
        <v>4992</v>
      </c>
      <c r="G1667" s="38">
        <v>217.94</v>
      </c>
      <c r="H1667" s="38">
        <v>185.26</v>
      </c>
      <c r="I1667" s="38">
        <v>152.56</v>
      </c>
      <c r="J1667" s="39"/>
      <c r="K1667" s="12" t="s">
        <v>8905</v>
      </c>
      <c r="L1667" s="22">
        <v>0</v>
      </c>
      <c r="M1667" s="22">
        <v>0</v>
      </c>
      <c r="N1667" s="20" t="s">
        <v>14489</v>
      </c>
      <c r="O1667" s="16">
        <v>0</v>
      </c>
      <c r="P1667" s="143">
        <v>758</v>
      </c>
      <c r="Q1667" s="121" t="s">
        <v>14285</v>
      </c>
      <c r="R1667" s="16" t="s">
        <v>9235</v>
      </c>
      <c r="S1667" s="10" t="s">
        <v>1163</v>
      </c>
      <c r="T1667" s="28" t="s">
        <v>10699</v>
      </c>
      <c r="U1667" s="20" t="s">
        <v>5359</v>
      </c>
      <c r="V1667" s="16" t="s">
        <v>5729</v>
      </c>
      <c r="W1667" s="11" t="s">
        <v>14433</v>
      </c>
      <c r="X1667" s="174">
        <v>145.01</v>
      </c>
      <c r="Y1667" s="174">
        <v>185.26</v>
      </c>
    </row>
    <row r="1668" spans="1:25" ht="15" customHeight="1" x14ac:dyDescent="0.25">
      <c r="A1668" s="20" t="s">
        <v>423</v>
      </c>
      <c r="B1668" s="14" t="s">
        <v>424</v>
      </c>
      <c r="C1668" s="71" t="str">
        <f t="shared" si="35"/>
        <v>Product Info</v>
      </c>
      <c r="D1668" s="37" t="s">
        <v>425</v>
      </c>
      <c r="E1668" s="143">
        <v>1</v>
      </c>
      <c r="F1668" s="12" t="s">
        <v>4992</v>
      </c>
      <c r="G1668" s="38">
        <v>228.14</v>
      </c>
      <c r="H1668" s="38">
        <v>193.93</v>
      </c>
      <c r="I1668" s="38">
        <v>159.69999999999999</v>
      </c>
      <c r="J1668" s="39"/>
      <c r="K1668" s="12" t="s">
        <v>8905</v>
      </c>
      <c r="L1668" s="22">
        <v>0</v>
      </c>
      <c r="M1668" s="22">
        <v>0</v>
      </c>
      <c r="N1668" s="20" t="s">
        <v>14489</v>
      </c>
      <c r="O1668" s="16">
        <v>0</v>
      </c>
      <c r="P1668" s="143">
        <v>758</v>
      </c>
      <c r="Q1668" s="121" t="s">
        <v>14285</v>
      </c>
      <c r="R1668" s="16" t="s">
        <v>9235</v>
      </c>
      <c r="S1668" s="10" t="s">
        <v>1163</v>
      </c>
      <c r="T1668" s="28" t="s">
        <v>10700</v>
      </c>
      <c r="U1668" s="20" t="s">
        <v>5359</v>
      </c>
      <c r="V1668" s="16" t="s">
        <v>423</v>
      </c>
      <c r="W1668" s="11" t="s">
        <v>14433</v>
      </c>
      <c r="X1668" s="174">
        <v>151.80000000000001</v>
      </c>
      <c r="Y1668" s="174">
        <v>193.93</v>
      </c>
    </row>
    <row r="1669" spans="1:25" ht="15" customHeight="1" x14ac:dyDescent="0.25">
      <c r="A1669" s="20" t="s">
        <v>426</v>
      </c>
      <c r="B1669" s="14" t="s">
        <v>427</v>
      </c>
      <c r="C1669" s="71" t="str">
        <f t="shared" si="35"/>
        <v>Product Info</v>
      </c>
      <c r="D1669" s="37" t="s">
        <v>428</v>
      </c>
      <c r="E1669" s="143">
        <v>1</v>
      </c>
      <c r="F1669" s="12" t="s">
        <v>4992</v>
      </c>
      <c r="G1669" s="38">
        <v>228.14</v>
      </c>
      <c r="H1669" s="38">
        <v>193.93</v>
      </c>
      <c r="I1669" s="38">
        <v>159.69999999999999</v>
      </c>
      <c r="J1669" s="39"/>
      <c r="K1669" s="12" t="s">
        <v>8905</v>
      </c>
      <c r="L1669" s="22">
        <v>0</v>
      </c>
      <c r="M1669" s="22">
        <v>0</v>
      </c>
      <c r="N1669" s="20" t="s">
        <v>14489</v>
      </c>
      <c r="O1669" s="16">
        <v>0</v>
      </c>
      <c r="P1669" s="143">
        <v>758</v>
      </c>
      <c r="Q1669" s="121" t="s">
        <v>14285</v>
      </c>
      <c r="R1669" s="16" t="s">
        <v>9235</v>
      </c>
      <c r="S1669" s="10" t="s">
        <v>1163</v>
      </c>
      <c r="T1669" s="28" t="s">
        <v>10701</v>
      </c>
      <c r="U1669" s="20" t="s">
        <v>5359</v>
      </c>
      <c r="V1669" s="16" t="s">
        <v>426</v>
      </c>
      <c r="W1669" s="11" t="s">
        <v>14433</v>
      </c>
      <c r="X1669" s="174">
        <v>151.80000000000001</v>
      </c>
      <c r="Y1669" s="174">
        <v>193.93</v>
      </c>
    </row>
    <row r="1670" spans="1:25" ht="15" customHeight="1" x14ac:dyDescent="0.25">
      <c r="A1670" s="20" t="s">
        <v>5731</v>
      </c>
      <c r="B1670" s="14" t="s">
        <v>5732</v>
      </c>
      <c r="C1670" s="71" t="str">
        <f t="shared" ref="C1670:C1733" si="36">HYPERLINK(T1670,U1670)</f>
        <v>Product Info</v>
      </c>
      <c r="D1670" s="37" t="s">
        <v>3536</v>
      </c>
      <c r="E1670" s="143">
        <v>1</v>
      </c>
      <c r="F1670" s="12" t="s">
        <v>4992</v>
      </c>
      <c r="G1670" s="38">
        <v>254.37</v>
      </c>
      <c r="H1670" s="38">
        <v>216.22</v>
      </c>
      <c r="I1670" s="38">
        <v>178.06</v>
      </c>
      <c r="J1670" s="39"/>
      <c r="K1670" s="143"/>
      <c r="L1670" s="22">
        <v>0</v>
      </c>
      <c r="M1670" s="22">
        <v>0</v>
      </c>
      <c r="N1670" s="20" t="s">
        <v>14489</v>
      </c>
      <c r="O1670" s="16">
        <v>0</v>
      </c>
      <c r="P1670" s="143">
        <v>758</v>
      </c>
      <c r="Q1670" s="121" t="s">
        <v>14285</v>
      </c>
      <c r="R1670" s="16" t="s">
        <v>9235</v>
      </c>
      <c r="S1670" s="10" t="s">
        <v>1163</v>
      </c>
      <c r="T1670" s="28" t="s">
        <v>10702</v>
      </c>
      <c r="U1670" s="20" t="s">
        <v>5359</v>
      </c>
      <c r="V1670" s="16" t="s">
        <v>5731</v>
      </c>
      <c r="W1670" s="11" t="s">
        <v>14433</v>
      </c>
      <c r="X1670" s="174">
        <v>169.25</v>
      </c>
      <c r="Y1670" s="174">
        <v>216.22</v>
      </c>
    </row>
    <row r="1671" spans="1:25" ht="15" customHeight="1" x14ac:dyDescent="0.25">
      <c r="A1671" s="20" t="s">
        <v>429</v>
      </c>
      <c r="B1671" s="14" t="s">
        <v>430</v>
      </c>
      <c r="C1671" s="71" t="str">
        <f t="shared" si="36"/>
        <v>Product Info</v>
      </c>
      <c r="D1671" s="37" t="s">
        <v>431</v>
      </c>
      <c r="E1671" s="143">
        <v>1</v>
      </c>
      <c r="F1671" s="12" t="s">
        <v>4992</v>
      </c>
      <c r="G1671" s="38">
        <v>264.57</v>
      </c>
      <c r="H1671" s="38">
        <v>224.89</v>
      </c>
      <c r="I1671" s="38">
        <v>185.2</v>
      </c>
      <c r="J1671" s="39"/>
      <c r="K1671" s="143"/>
      <c r="L1671" s="22">
        <v>0</v>
      </c>
      <c r="M1671" s="22">
        <v>0</v>
      </c>
      <c r="N1671" s="20" t="s">
        <v>14489</v>
      </c>
      <c r="O1671" s="16">
        <v>0</v>
      </c>
      <c r="P1671" s="143">
        <v>758</v>
      </c>
      <c r="Q1671" s="121" t="s">
        <v>14285</v>
      </c>
      <c r="R1671" s="16" t="s">
        <v>9235</v>
      </c>
      <c r="S1671" s="10" t="s">
        <v>1163</v>
      </c>
      <c r="T1671" s="28" t="s">
        <v>10703</v>
      </c>
      <c r="U1671" s="20" t="s">
        <v>5359</v>
      </c>
      <c r="V1671" s="16" t="s">
        <v>429</v>
      </c>
      <c r="W1671" s="11" t="s">
        <v>14433</v>
      </c>
      <c r="X1671" s="174">
        <v>176.04</v>
      </c>
      <c r="Y1671" s="174">
        <v>224.89</v>
      </c>
    </row>
    <row r="1672" spans="1:25" ht="15" customHeight="1" x14ac:dyDescent="0.25">
      <c r="A1672" s="20" t="s">
        <v>5788</v>
      </c>
      <c r="B1672" s="14" t="s">
        <v>5789</v>
      </c>
      <c r="C1672" s="71" t="str">
        <f t="shared" si="36"/>
        <v>Product Info</v>
      </c>
      <c r="D1672" s="37" t="s">
        <v>3538</v>
      </c>
      <c r="E1672" s="143">
        <v>1</v>
      </c>
      <c r="F1672" s="12" t="s">
        <v>4992</v>
      </c>
      <c r="G1672" s="38">
        <v>217.94</v>
      </c>
      <c r="H1672" s="38">
        <v>185.26</v>
      </c>
      <c r="I1672" s="38">
        <v>152.56</v>
      </c>
      <c r="J1672" s="39"/>
      <c r="K1672" s="12" t="s">
        <v>8905</v>
      </c>
      <c r="L1672" s="22">
        <v>0</v>
      </c>
      <c r="M1672" s="22">
        <v>0</v>
      </c>
      <c r="N1672" s="20" t="s">
        <v>14489</v>
      </c>
      <c r="O1672" s="16">
        <v>0</v>
      </c>
      <c r="P1672" s="143">
        <v>758</v>
      </c>
      <c r="Q1672" s="121" t="s">
        <v>14285</v>
      </c>
      <c r="R1672" s="16" t="s">
        <v>9235</v>
      </c>
      <c r="S1672" s="10" t="s">
        <v>1163</v>
      </c>
      <c r="T1672" s="28" t="s">
        <v>10704</v>
      </c>
      <c r="U1672" s="20" t="s">
        <v>5359</v>
      </c>
      <c r="V1672" s="16" t="s">
        <v>5788</v>
      </c>
      <c r="W1672" s="11" t="s">
        <v>14433</v>
      </c>
      <c r="X1672" s="174">
        <v>145.01</v>
      </c>
      <c r="Y1672" s="174">
        <v>185.26</v>
      </c>
    </row>
    <row r="1673" spans="1:25" ht="15" customHeight="1" x14ac:dyDescent="0.25">
      <c r="A1673" s="20" t="s">
        <v>5790</v>
      </c>
      <c r="B1673" s="14" t="s">
        <v>5791</v>
      </c>
      <c r="C1673" s="71" t="str">
        <f t="shared" si="36"/>
        <v>Product Info</v>
      </c>
      <c r="D1673" s="37" t="s">
        <v>3539</v>
      </c>
      <c r="E1673" s="143">
        <v>1</v>
      </c>
      <c r="F1673" s="12" t="s">
        <v>4992</v>
      </c>
      <c r="G1673" s="38">
        <v>217.94</v>
      </c>
      <c r="H1673" s="38">
        <v>185.26</v>
      </c>
      <c r="I1673" s="38">
        <v>152.56</v>
      </c>
      <c r="J1673" s="39"/>
      <c r="K1673" s="12" t="s">
        <v>8905</v>
      </c>
      <c r="L1673" s="22">
        <v>6.72</v>
      </c>
      <c r="M1673" s="22" t="s">
        <v>12488</v>
      </c>
      <c r="N1673" s="20" t="s">
        <v>9364</v>
      </c>
      <c r="O1673" s="16" t="s">
        <v>12608</v>
      </c>
      <c r="P1673" s="143">
        <v>758</v>
      </c>
      <c r="Q1673" s="121" t="s">
        <v>14285</v>
      </c>
      <c r="R1673" s="16" t="s">
        <v>9235</v>
      </c>
      <c r="S1673" s="10" t="s">
        <v>1163</v>
      </c>
      <c r="T1673" s="28" t="s">
        <v>10705</v>
      </c>
      <c r="U1673" s="20" t="s">
        <v>5359</v>
      </c>
      <c r="V1673" s="16" t="s">
        <v>5790</v>
      </c>
      <c r="W1673" s="11" t="s">
        <v>14433</v>
      </c>
      <c r="X1673" s="174">
        <v>145.01</v>
      </c>
      <c r="Y1673" s="174">
        <v>185.26</v>
      </c>
    </row>
    <row r="1674" spans="1:25" ht="15" customHeight="1" x14ac:dyDescent="0.25">
      <c r="A1674" s="20" t="s">
        <v>432</v>
      </c>
      <c r="B1674" s="14" t="s">
        <v>433</v>
      </c>
      <c r="C1674" s="71" t="str">
        <f t="shared" si="36"/>
        <v>Product Info</v>
      </c>
      <c r="D1674" s="37" t="s">
        <v>434</v>
      </c>
      <c r="E1674" s="143">
        <v>1</v>
      </c>
      <c r="F1674" s="12" t="s">
        <v>4992</v>
      </c>
      <c r="G1674" s="38">
        <v>228.14</v>
      </c>
      <c r="H1674" s="38">
        <v>193.93</v>
      </c>
      <c r="I1674" s="38">
        <v>159.69999999999999</v>
      </c>
      <c r="J1674" s="39"/>
      <c r="K1674" s="12" t="s">
        <v>8905</v>
      </c>
      <c r="L1674" s="22">
        <v>7.5</v>
      </c>
      <c r="M1674" s="22" t="s">
        <v>12488</v>
      </c>
      <c r="N1674" s="20" t="s">
        <v>14273</v>
      </c>
      <c r="O1674" s="16" t="s">
        <v>13912</v>
      </c>
      <c r="P1674" s="143">
        <v>758</v>
      </c>
      <c r="Q1674" s="121" t="s">
        <v>14285</v>
      </c>
      <c r="R1674" s="16" t="s">
        <v>9235</v>
      </c>
      <c r="S1674" s="10" t="s">
        <v>1163</v>
      </c>
      <c r="T1674" s="28" t="s">
        <v>10706</v>
      </c>
      <c r="U1674" s="20" t="s">
        <v>5359</v>
      </c>
      <c r="V1674" s="16" t="s">
        <v>432</v>
      </c>
      <c r="W1674" s="11" t="s">
        <v>14433</v>
      </c>
      <c r="X1674" s="174">
        <v>151.80000000000001</v>
      </c>
      <c r="Y1674" s="174">
        <v>193.93</v>
      </c>
    </row>
    <row r="1675" spans="1:25" ht="15" customHeight="1" x14ac:dyDescent="0.25">
      <c r="A1675" s="20" t="s">
        <v>435</v>
      </c>
      <c r="B1675" s="14" t="s">
        <v>436</v>
      </c>
      <c r="C1675" s="71" t="str">
        <f t="shared" si="36"/>
        <v>Product Info</v>
      </c>
      <c r="D1675" s="37" t="s">
        <v>437</v>
      </c>
      <c r="E1675" s="143">
        <v>1</v>
      </c>
      <c r="F1675" s="12" t="s">
        <v>4992</v>
      </c>
      <c r="G1675" s="38">
        <v>228.14</v>
      </c>
      <c r="H1675" s="38">
        <v>193.93</v>
      </c>
      <c r="I1675" s="38">
        <v>159.69999999999999</v>
      </c>
      <c r="J1675" s="39"/>
      <c r="K1675" s="12" t="s">
        <v>8905</v>
      </c>
      <c r="L1675" s="22">
        <v>0</v>
      </c>
      <c r="M1675" s="22">
        <v>0</v>
      </c>
      <c r="N1675" s="20" t="s">
        <v>14489</v>
      </c>
      <c r="O1675" s="16">
        <v>0</v>
      </c>
      <c r="P1675" s="143">
        <v>758</v>
      </c>
      <c r="Q1675" s="122" t="s">
        <v>12421</v>
      </c>
      <c r="R1675" s="16" t="s">
        <v>9235</v>
      </c>
      <c r="S1675" s="10" t="s">
        <v>1163</v>
      </c>
      <c r="T1675" s="28" t="s">
        <v>10707</v>
      </c>
      <c r="U1675" s="20" t="s">
        <v>5359</v>
      </c>
      <c r="V1675" s="16" t="s">
        <v>435</v>
      </c>
      <c r="W1675" s="11" t="s">
        <v>14433</v>
      </c>
      <c r="X1675" s="174">
        <v>151.80000000000001</v>
      </c>
      <c r="Y1675" s="174">
        <v>193.93</v>
      </c>
    </row>
    <row r="1676" spans="1:25" ht="15" customHeight="1" x14ac:dyDescent="0.25">
      <c r="A1676" s="20" t="s">
        <v>5792</v>
      </c>
      <c r="B1676" s="14" t="s">
        <v>5793</v>
      </c>
      <c r="C1676" s="71" t="str">
        <f t="shared" si="36"/>
        <v>Product Info</v>
      </c>
      <c r="D1676" s="37" t="s">
        <v>4358</v>
      </c>
      <c r="E1676" s="143">
        <v>1</v>
      </c>
      <c r="F1676" s="12" t="s">
        <v>4992</v>
      </c>
      <c r="G1676" s="38">
        <v>217.94</v>
      </c>
      <c r="H1676" s="38">
        <v>185.26</v>
      </c>
      <c r="I1676" s="38">
        <v>152.56</v>
      </c>
      <c r="J1676" s="39"/>
      <c r="K1676" s="12" t="s">
        <v>8905</v>
      </c>
      <c r="L1676" s="22">
        <v>0</v>
      </c>
      <c r="M1676" s="22">
        <v>0</v>
      </c>
      <c r="N1676" s="20" t="s">
        <v>14489</v>
      </c>
      <c r="O1676" s="16">
        <v>0</v>
      </c>
      <c r="P1676" s="143">
        <v>758</v>
      </c>
      <c r="Q1676" s="122" t="s">
        <v>12421</v>
      </c>
      <c r="R1676" s="16" t="s">
        <v>9235</v>
      </c>
      <c r="S1676" s="10" t="s">
        <v>1163</v>
      </c>
      <c r="T1676" s="28" t="s">
        <v>10708</v>
      </c>
      <c r="U1676" s="20" t="s">
        <v>5359</v>
      </c>
      <c r="V1676" s="16" t="s">
        <v>5792</v>
      </c>
      <c r="W1676" s="11" t="s">
        <v>14433</v>
      </c>
      <c r="X1676" s="174">
        <v>145.01</v>
      </c>
      <c r="Y1676" s="174">
        <v>185.26</v>
      </c>
    </row>
    <row r="1677" spans="1:25" ht="15" customHeight="1" x14ac:dyDescent="0.25">
      <c r="A1677" s="20" t="s">
        <v>5794</v>
      </c>
      <c r="B1677" s="14" t="s">
        <v>5795</v>
      </c>
      <c r="C1677" s="71" t="str">
        <f t="shared" si="36"/>
        <v>Product Info</v>
      </c>
      <c r="D1677" s="37" t="s">
        <v>4359</v>
      </c>
      <c r="E1677" s="143">
        <v>1</v>
      </c>
      <c r="F1677" s="12" t="s">
        <v>4992</v>
      </c>
      <c r="G1677" s="38">
        <v>217.94</v>
      </c>
      <c r="H1677" s="38">
        <v>185.26</v>
      </c>
      <c r="I1677" s="38">
        <v>152.56</v>
      </c>
      <c r="J1677" s="39"/>
      <c r="K1677" s="12" t="s">
        <v>8905</v>
      </c>
      <c r="L1677" s="22">
        <v>0</v>
      </c>
      <c r="M1677" s="22">
        <v>0</v>
      </c>
      <c r="N1677" s="20" t="s">
        <v>14489</v>
      </c>
      <c r="O1677" s="16">
        <v>0</v>
      </c>
      <c r="P1677" s="143">
        <v>758</v>
      </c>
      <c r="Q1677" s="121" t="s">
        <v>14285</v>
      </c>
      <c r="R1677" s="16" t="s">
        <v>9235</v>
      </c>
      <c r="S1677" s="10" t="s">
        <v>1163</v>
      </c>
      <c r="T1677" s="28" t="s">
        <v>10709</v>
      </c>
      <c r="U1677" s="20" t="s">
        <v>5359</v>
      </c>
      <c r="V1677" s="16" t="s">
        <v>5794</v>
      </c>
      <c r="W1677" s="11" t="s">
        <v>14433</v>
      </c>
      <c r="X1677" s="174">
        <v>145.01</v>
      </c>
      <c r="Y1677" s="174">
        <v>185.26</v>
      </c>
    </row>
    <row r="1678" spans="1:25" ht="15" customHeight="1" x14ac:dyDescent="0.25">
      <c r="A1678" s="20" t="s">
        <v>438</v>
      </c>
      <c r="B1678" s="14" t="s">
        <v>439</v>
      </c>
      <c r="C1678" s="71" t="str">
        <f t="shared" si="36"/>
        <v>Product Info</v>
      </c>
      <c r="D1678" s="37" t="s">
        <v>440</v>
      </c>
      <c r="E1678" s="143">
        <v>1</v>
      </c>
      <c r="F1678" s="12" t="s">
        <v>4992</v>
      </c>
      <c r="G1678" s="38">
        <v>228.14</v>
      </c>
      <c r="H1678" s="38">
        <v>193.93</v>
      </c>
      <c r="I1678" s="38">
        <v>159.69999999999999</v>
      </c>
      <c r="J1678" s="39"/>
      <c r="K1678" s="12" t="s">
        <v>8905</v>
      </c>
      <c r="L1678" s="22">
        <v>0</v>
      </c>
      <c r="M1678" s="22">
        <v>0</v>
      </c>
      <c r="N1678" s="20" t="s">
        <v>14489</v>
      </c>
      <c r="O1678" s="16">
        <v>0</v>
      </c>
      <c r="P1678" s="143">
        <v>758</v>
      </c>
      <c r="Q1678" s="121" t="s">
        <v>14285</v>
      </c>
      <c r="R1678" s="16" t="s">
        <v>9235</v>
      </c>
      <c r="S1678" s="10" t="s">
        <v>1163</v>
      </c>
      <c r="T1678" s="28" t="s">
        <v>10710</v>
      </c>
      <c r="U1678" s="20" t="s">
        <v>5359</v>
      </c>
      <c r="V1678" s="16" t="s">
        <v>438</v>
      </c>
      <c r="W1678" s="11" t="s">
        <v>14433</v>
      </c>
      <c r="X1678" s="174">
        <v>151.80000000000001</v>
      </c>
      <c r="Y1678" s="174">
        <v>193.93</v>
      </c>
    </row>
    <row r="1679" spans="1:25" ht="15" customHeight="1" x14ac:dyDescent="0.25">
      <c r="A1679" s="20" t="s">
        <v>441</v>
      </c>
      <c r="B1679" s="14" t="s">
        <v>442</v>
      </c>
      <c r="C1679" s="71" t="str">
        <f t="shared" si="36"/>
        <v>Product Info</v>
      </c>
      <c r="D1679" s="37" t="s">
        <v>443</v>
      </c>
      <c r="E1679" s="143">
        <v>1</v>
      </c>
      <c r="F1679" s="12" t="s">
        <v>4992</v>
      </c>
      <c r="G1679" s="38">
        <v>228.14</v>
      </c>
      <c r="H1679" s="38">
        <v>193.93</v>
      </c>
      <c r="I1679" s="38">
        <v>159.69999999999999</v>
      </c>
      <c r="J1679" s="39"/>
      <c r="K1679" s="12" t="s">
        <v>8905</v>
      </c>
      <c r="L1679" s="22">
        <v>0</v>
      </c>
      <c r="M1679" s="22">
        <v>0</v>
      </c>
      <c r="N1679" s="20" t="s">
        <v>14489</v>
      </c>
      <c r="O1679" s="16">
        <v>0</v>
      </c>
      <c r="P1679" s="143">
        <v>758</v>
      </c>
      <c r="Q1679" s="121" t="s">
        <v>14285</v>
      </c>
      <c r="R1679" s="16" t="s">
        <v>9235</v>
      </c>
      <c r="S1679" s="10" t="s">
        <v>1163</v>
      </c>
      <c r="T1679" s="28" t="s">
        <v>10711</v>
      </c>
      <c r="U1679" s="20" t="s">
        <v>5359</v>
      </c>
      <c r="V1679" s="16" t="s">
        <v>441</v>
      </c>
      <c r="W1679" s="11" t="s">
        <v>14433</v>
      </c>
      <c r="X1679" s="174">
        <v>151.80000000000001</v>
      </c>
      <c r="Y1679" s="174">
        <v>193.93</v>
      </c>
    </row>
    <row r="1680" spans="1:25" ht="15" customHeight="1" x14ac:dyDescent="0.25">
      <c r="A1680" s="20" t="s">
        <v>5796</v>
      </c>
      <c r="B1680" s="14" t="s">
        <v>5797</v>
      </c>
      <c r="C1680" s="71" t="str">
        <f t="shared" si="36"/>
        <v>Product Info</v>
      </c>
      <c r="D1680" s="37" t="s">
        <v>4360</v>
      </c>
      <c r="E1680" s="143">
        <v>1</v>
      </c>
      <c r="F1680" s="12" t="s">
        <v>4992</v>
      </c>
      <c r="G1680" s="38">
        <v>217.94</v>
      </c>
      <c r="H1680" s="38">
        <v>185.26</v>
      </c>
      <c r="I1680" s="38">
        <v>152.56</v>
      </c>
      <c r="J1680" s="39"/>
      <c r="K1680" s="12" t="s">
        <v>8905</v>
      </c>
      <c r="L1680" s="22">
        <v>0</v>
      </c>
      <c r="M1680" s="22">
        <v>0</v>
      </c>
      <c r="N1680" s="20" t="s">
        <v>14489</v>
      </c>
      <c r="O1680" s="16">
        <v>0</v>
      </c>
      <c r="P1680" s="143">
        <v>758</v>
      </c>
      <c r="Q1680" s="121" t="s">
        <v>14285</v>
      </c>
      <c r="R1680" s="16" t="s">
        <v>9235</v>
      </c>
      <c r="S1680" s="10" t="s">
        <v>1163</v>
      </c>
      <c r="T1680" s="28" t="s">
        <v>10712</v>
      </c>
      <c r="U1680" s="20" t="s">
        <v>5359</v>
      </c>
      <c r="V1680" s="16" t="s">
        <v>5796</v>
      </c>
      <c r="W1680" s="11" t="s">
        <v>14433</v>
      </c>
      <c r="X1680" s="174">
        <v>145.01</v>
      </c>
      <c r="Y1680" s="174">
        <v>185.26</v>
      </c>
    </row>
    <row r="1681" spans="1:25" ht="15" customHeight="1" x14ac:dyDescent="0.25">
      <c r="A1681" s="20" t="s">
        <v>444</v>
      </c>
      <c r="B1681" s="14" t="s">
        <v>445</v>
      </c>
      <c r="C1681" s="71" t="str">
        <f t="shared" si="36"/>
        <v>Product Info</v>
      </c>
      <c r="D1681" s="37" t="s">
        <v>446</v>
      </c>
      <c r="E1681" s="143">
        <v>1</v>
      </c>
      <c r="F1681" s="12" t="s">
        <v>4992</v>
      </c>
      <c r="G1681" s="38">
        <v>228.14</v>
      </c>
      <c r="H1681" s="38">
        <v>193.93</v>
      </c>
      <c r="I1681" s="38">
        <v>159.69999999999999</v>
      </c>
      <c r="J1681" s="39"/>
      <c r="K1681" s="12" t="s">
        <v>8905</v>
      </c>
      <c r="L1681" s="22">
        <v>0</v>
      </c>
      <c r="M1681" s="22">
        <v>0</v>
      </c>
      <c r="N1681" s="20" t="s">
        <v>14489</v>
      </c>
      <c r="O1681" s="16">
        <v>0</v>
      </c>
      <c r="P1681" s="143">
        <v>758</v>
      </c>
      <c r="Q1681" s="121" t="s">
        <v>14285</v>
      </c>
      <c r="R1681" s="16" t="s">
        <v>9235</v>
      </c>
      <c r="S1681" s="10" t="s">
        <v>1163</v>
      </c>
      <c r="T1681" s="28" t="s">
        <v>10713</v>
      </c>
      <c r="U1681" s="20" t="s">
        <v>5359</v>
      </c>
      <c r="V1681" s="16" t="s">
        <v>444</v>
      </c>
      <c r="W1681" s="11" t="s">
        <v>14433</v>
      </c>
      <c r="X1681" s="174">
        <v>151.80000000000001</v>
      </c>
      <c r="Y1681" s="174">
        <v>193.93</v>
      </c>
    </row>
    <row r="1682" spans="1:25" ht="15" customHeight="1" x14ac:dyDescent="0.25">
      <c r="A1682" s="20" t="s">
        <v>5798</v>
      </c>
      <c r="B1682" s="14" t="s">
        <v>5799</v>
      </c>
      <c r="C1682" s="71" t="str">
        <f t="shared" si="36"/>
        <v>Product Info</v>
      </c>
      <c r="D1682" s="37" t="s">
        <v>4361</v>
      </c>
      <c r="E1682" s="143">
        <v>1</v>
      </c>
      <c r="F1682" s="12" t="s">
        <v>4992</v>
      </c>
      <c r="G1682" s="38">
        <v>217.94</v>
      </c>
      <c r="H1682" s="38">
        <v>185.26</v>
      </c>
      <c r="I1682" s="38">
        <v>152.56</v>
      </c>
      <c r="J1682" s="39"/>
      <c r="K1682" s="12" t="s">
        <v>8905</v>
      </c>
      <c r="L1682" s="22">
        <v>0</v>
      </c>
      <c r="M1682" s="22">
        <v>0</v>
      </c>
      <c r="N1682" s="20" t="s">
        <v>14489</v>
      </c>
      <c r="O1682" s="16">
        <v>0</v>
      </c>
      <c r="P1682" s="143">
        <v>758</v>
      </c>
      <c r="Q1682" s="121" t="s">
        <v>14285</v>
      </c>
      <c r="R1682" s="16" t="s">
        <v>9235</v>
      </c>
      <c r="S1682" s="10" t="s">
        <v>1163</v>
      </c>
      <c r="T1682" s="28" t="s">
        <v>10714</v>
      </c>
      <c r="U1682" s="20" t="s">
        <v>5359</v>
      </c>
      <c r="V1682" s="16" t="s">
        <v>5798</v>
      </c>
      <c r="W1682" s="11" t="s">
        <v>14433</v>
      </c>
      <c r="X1682" s="174">
        <v>145.01</v>
      </c>
      <c r="Y1682" s="174">
        <v>185.26</v>
      </c>
    </row>
    <row r="1683" spans="1:25" ht="15" customHeight="1" x14ac:dyDescent="0.25">
      <c r="A1683" s="20" t="s">
        <v>447</v>
      </c>
      <c r="B1683" s="14" t="s">
        <v>448</v>
      </c>
      <c r="C1683" s="71" t="str">
        <f t="shared" si="36"/>
        <v>Product Info</v>
      </c>
      <c r="D1683" s="37" t="s">
        <v>449</v>
      </c>
      <c r="E1683" s="143">
        <v>1</v>
      </c>
      <c r="F1683" s="12" t="s">
        <v>4992</v>
      </c>
      <c r="G1683" s="38">
        <v>228.14</v>
      </c>
      <c r="H1683" s="38">
        <v>193.93</v>
      </c>
      <c r="I1683" s="38">
        <v>159.69999999999999</v>
      </c>
      <c r="J1683" s="39"/>
      <c r="K1683" s="12" t="s">
        <v>8905</v>
      </c>
      <c r="L1683" s="22">
        <v>0</v>
      </c>
      <c r="M1683" s="22">
        <v>0</v>
      </c>
      <c r="N1683" s="20" t="s">
        <v>14489</v>
      </c>
      <c r="O1683" s="16">
        <v>0</v>
      </c>
      <c r="P1683" s="143">
        <v>758</v>
      </c>
      <c r="Q1683" s="121" t="s">
        <v>14285</v>
      </c>
      <c r="R1683" s="16" t="s">
        <v>9235</v>
      </c>
      <c r="S1683" s="10" t="s">
        <v>1163</v>
      </c>
      <c r="T1683" s="28" t="s">
        <v>10715</v>
      </c>
      <c r="U1683" s="20" t="s">
        <v>5359</v>
      </c>
      <c r="V1683" s="16" t="s">
        <v>447</v>
      </c>
      <c r="W1683" s="11" t="s">
        <v>14433</v>
      </c>
      <c r="X1683" s="174">
        <v>151.80000000000001</v>
      </c>
      <c r="Y1683" s="174">
        <v>193.93</v>
      </c>
    </row>
    <row r="1684" spans="1:25" ht="15" customHeight="1" x14ac:dyDescent="0.25">
      <c r="A1684" s="20" t="s">
        <v>5800</v>
      </c>
      <c r="B1684" s="14" t="s">
        <v>5801</v>
      </c>
      <c r="C1684" s="71" t="str">
        <f t="shared" si="36"/>
        <v>Product Info</v>
      </c>
      <c r="D1684" s="37" t="s">
        <v>4362</v>
      </c>
      <c r="E1684" s="143">
        <v>1</v>
      </c>
      <c r="F1684" s="12" t="s">
        <v>4992</v>
      </c>
      <c r="G1684" s="38">
        <v>254.37</v>
      </c>
      <c r="H1684" s="38">
        <v>216.22</v>
      </c>
      <c r="I1684" s="38">
        <v>178.06</v>
      </c>
      <c r="J1684" s="39"/>
      <c r="K1684" s="143"/>
      <c r="L1684" s="22">
        <v>5</v>
      </c>
      <c r="M1684" s="22" t="s">
        <v>12488</v>
      </c>
      <c r="N1684" s="20" t="s">
        <v>9363</v>
      </c>
      <c r="O1684" s="16" t="s">
        <v>12608</v>
      </c>
      <c r="P1684" s="143">
        <v>758</v>
      </c>
      <c r="Q1684" s="121" t="s">
        <v>14285</v>
      </c>
      <c r="R1684" s="16" t="s">
        <v>9235</v>
      </c>
      <c r="S1684" s="10" t="s">
        <v>1163</v>
      </c>
      <c r="T1684" s="28" t="s">
        <v>10716</v>
      </c>
      <c r="U1684" s="20" t="s">
        <v>5359</v>
      </c>
      <c r="V1684" s="16" t="s">
        <v>5800</v>
      </c>
      <c r="W1684" s="11" t="s">
        <v>14433</v>
      </c>
      <c r="X1684" s="174">
        <v>169.25</v>
      </c>
      <c r="Y1684" s="174">
        <v>216.22</v>
      </c>
    </row>
    <row r="1685" spans="1:25" ht="15" customHeight="1" x14ac:dyDescent="0.25">
      <c r="A1685" s="20" t="s">
        <v>450</v>
      </c>
      <c r="B1685" s="14" t="s">
        <v>1499</v>
      </c>
      <c r="C1685" s="71" t="str">
        <f t="shared" si="36"/>
        <v>Product Info</v>
      </c>
      <c r="D1685" s="37" t="s">
        <v>1500</v>
      </c>
      <c r="E1685" s="143">
        <v>1</v>
      </c>
      <c r="F1685" s="12" t="s">
        <v>4992</v>
      </c>
      <c r="G1685" s="38">
        <v>264.57</v>
      </c>
      <c r="H1685" s="38">
        <v>224.89</v>
      </c>
      <c r="I1685" s="38">
        <v>185.2</v>
      </c>
      <c r="J1685" s="39"/>
      <c r="K1685" s="143"/>
      <c r="L1685" s="22">
        <v>0</v>
      </c>
      <c r="M1685" s="22">
        <v>0</v>
      </c>
      <c r="N1685" s="20" t="s">
        <v>14489</v>
      </c>
      <c r="O1685" s="16">
        <v>0</v>
      </c>
      <c r="P1685" s="143">
        <v>758</v>
      </c>
      <c r="Q1685" s="121" t="s">
        <v>14285</v>
      </c>
      <c r="R1685" s="16" t="s">
        <v>9235</v>
      </c>
      <c r="S1685" s="10" t="s">
        <v>1163</v>
      </c>
      <c r="T1685" s="28" t="s">
        <v>10717</v>
      </c>
      <c r="U1685" s="20" t="s">
        <v>5359</v>
      </c>
      <c r="V1685" s="16" t="s">
        <v>450</v>
      </c>
      <c r="W1685" s="11" t="s">
        <v>14433</v>
      </c>
      <c r="X1685" s="174">
        <v>176.04</v>
      </c>
      <c r="Y1685" s="174">
        <v>224.89</v>
      </c>
    </row>
    <row r="1686" spans="1:25" ht="15" customHeight="1" x14ac:dyDescent="0.25">
      <c r="A1686" s="20" t="s">
        <v>5804</v>
      </c>
      <c r="B1686" s="14" t="s">
        <v>5805</v>
      </c>
      <c r="C1686" s="71" t="str">
        <f t="shared" si="36"/>
        <v>Product Info</v>
      </c>
      <c r="D1686" s="37" t="s">
        <v>4365</v>
      </c>
      <c r="E1686" s="143">
        <v>1</v>
      </c>
      <c r="F1686" s="12" t="s">
        <v>4992</v>
      </c>
      <c r="G1686" s="38">
        <v>217.94</v>
      </c>
      <c r="H1686" s="38">
        <v>185.26</v>
      </c>
      <c r="I1686" s="38">
        <v>152.56</v>
      </c>
      <c r="J1686" s="39"/>
      <c r="K1686" s="12" t="s">
        <v>8905</v>
      </c>
      <c r="L1686" s="22">
        <v>0</v>
      </c>
      <c r="M1686" s="22">
        <v>0</v>
      </c>
      <c r="N1686" s="20" t="s">
        <v>14489</v>
      </c>
      <c r="O1686" s="16">
        <v>0</v>
      </c>
      <c r="P1686" s="143">
        <v>758</v>
      </c>
      <c r="Q1686" s="121" t="s">
        <v>14285</v>
      </c>
      <c r="R1686" s="16" t="s">
        <v>9235</v>
      </c>
      <c r="S1686" s="10" t="s">
        <v>1163</v>
      </c>
      <c r="T1686" s="28" t="s">
        <v>10718</v>
      </c>
      <c r="U1686" s="20" t="s">
        <v>5359</v>
      </c>
      <c r="V1686" s="16" t="s">
        <v>5804</v>
      </c>
      <c r="W1686" s="11" t="s">
        <v>14433</v>
      </c>
      <c r="X1686" s="174">
        <v>145.01</v>
      </c>
      <c r="Y1686" s="174">
        <v>185.26</v>
      </c>
    </row>
    <row r="1687" spans="1:25" ht="15" customHeight="1" x14ac:dyDescent="0.25">
      <c r="A1687" s="20" t="s">
        <v>5806</v>
      </c>
      <c r="B1687" s="14" t="s">
        <v>5807</v>
      </c>
      <c r="C1687" s="71" t="str">
        <f t="shared" si="36"/>
        <v>Product Info</v>
      </c>
      <c r="D1687" s="37" t="s">
        <v>4366</v>
      </c>
      <c r="E1687" s="143">
        <v>1</v>
      </c>
      <c r="F1687" s="12" t="s">
        <v>4992</v>
      </c>
      <c r="G1687" s="38">
        <v>217.94</v>
      </c>
      <c r="H1687" s="38">
        <v>185.26</v>
      </c>
      <c r="I1687" s="38">
        <v>152.56</v>
      </c>
      <c r="J1687" s="39"/>
      <c r="K1687" s="12" t="s">
        <v>8905</v>
      </c>
      <c r="L1687" s="22">
        <v>0</v>
      </c>
      <c r="M1687" s="22">
        <v>0</v>
      </c>
      <c r="N1687" s="20" t="s">
        <v>14489</v>
      </c>
      <c r="O1687" s="16">
        <v>0</v>
      </c>
      <c r="P1687" s="143">
        <v>758</v>
      </c>
      <c r="Q1687" s="121" t="s">
        <v>14285</v>
      </c>
      <c r="R1687" s="16" t="s">
        <v>9235</v>
      </c>
      <c r="S1687" s="10" t="s">
        <v>1163</v>
      </c>
      <c r="T1687" s="28" t="s">
        <v>10719</v>
      </c>
      <c r="U1687" s="20" t="s">
        <v>5359</v>
      </c>
      <c r="V1687" s="16" t="s">
        <v>5806</v>
      </c>
      <c r="W1687" s="11" t="s">
        <v>14433</v>
      </c>
      <c r="X1687" s="174">
        <v>145.01</v>
      </c>
      <c r="Y1687" s="174">
        <v>185.26</v>
      </c>
    </row>
    <row r="1688" spans="1:25" ht="15" customHeight="1" x14ac:dyDescent="0.25">
      <c r="A1688" s="20" t="s">
        <v>1501</v>
      </c>
      <c r="B1688" s="14" t="s">
        <v>1502</v>
      </c>
      <c r="C1688" s="71" t="str">
        <f t="shared" si="36"/>
        <v>Product Info</v>
      </c>
      <c r="D1688" s="37" t="s">
        <v>1503</v>
      </c>
      <c r="E1688" s="143">
        <v>1</v>
      </c>
      <c r="F1688" s="12" t="s">
        <v>4992</v>
      </c>
      <c r="G1688" s="38">
        <v>228.14</v>
      </c>
      <c r="H1688" s="38">
        <v>193.93</v>
      </c>
      <c r="I1688" s="38">
        <v>159.69999999999999</v>
      </c>
      <c r="J1688" s="39"/>
      <c r="K1688" s="12" t="s">
        <v>8905</v>
      </c>
      <c r="L1688" s="22">
        <v>0</v>
      </c>
      <c r="M1688" s="22">
        <v>0</v>
      </c>
      <c r="N1688" s="20" t="s">
        <v>14489</v>
      </c>
      <c r="O1688" s="16">
        <v>0</v>
      </c>
      <c r="P1688" s="143">
        <v>758</v>
      </c>
      <c r="Q1688" s="122" t="s">
        <v>12421</v>
      </c>
      <c r="R1688" s="16" t="s">
        <v>9235</v>
      </c>
      <c r="S1688" s="10" t="s">
        <v>1163</v>
      </c>
      <c r="T1688" s="28" t="s">
        <v>10720</v>
      </c>
      <c r="U1688" s="20" t="s">
        <v>5359</v>
      </c>
      <c r="V1688" s="16" t="s">
        <v>1501</v>
      </c>
      <c r="W1688" s="11" t="s">
        <v>14433</v>
      </c>
      <c r="X1688" s="174">
        <v>151.80000000000001</v>
      </c>
      <c r="Y1688" s="174">
        <v>193.93</v>
      </c>
    </row>
    <row r="1689" spans="1:25" ht="15" customHeight="1" x14ac:dyDescent="0.25">
      <c r="A1689" s="20" t="s">
        <v>1504</v>
      </c>
      <c r="B1689" s="14" t="s">
        <v>1505</v>
      </c>
      <c r="C1689" s="71" t="str">
        <f t="shared" si="36"/>
        <v>Product Info</v>
      </c>
      <c r="D1689" s="37" t="s">
        <v>1506</v>
      </c>
      <c r="E1689" s="143">
        <v>1</v>
      </c>
      <c r="F1689" s="12" t="s">
        <v>4992</v>
      </c>
      <c r="G1689" s="38">
        <v>228.14</v>
      </c>
      <c r="H1689" s="38">
        <v>193.93</v>
      </c>
      <c r="I1689" s="38">
        <v>159.69999999999999</v>
      </c>
      <c r="J1689" s="39"/>
      <c r="K1689" s="12" t="s">
        <v>8905</v>
      </c>
      <c r="L1689" s="22">
        <v>0</v>
      </c>
      <c r="M1689" s="22">
        <v>0</v>
      </c>
      <c r="N1689" s="20" t="s">
        <v>14489</v>
      </c>
      <c r="O1689" s="16">
        <v>0</v>
      </c>
      <c r="P1689" s="143">
        <v>758</v>
      </c>
      <c r="Q1689" s="121" t="s">
        <v>14285</v>
      </c>
      <c r="R1689" s="16" t="s">
        <v>9235</v>
      </c>
      <c r="S1689" s="10" t="s">
        <v>1163</v>
      </c>
      <c r="T1689" s="28" t="s">
        <v>10721</v>
      </c>
      <c r="U1689" s="20" t="s">
        <v>5359</v>
      </c>
      <c r="V1689" s="16" t="s">
        <v>1504</v>
      </c>
      <c r="W1689" s="11" t="s">
        <v>14433</v>
      </c>
      <c r="X1689" s="174">
        <v>151.80000000000001</v>
      </c>
      <c r="Y1689" s="174">
        <v>193.93</v>
      </c>
    </row>
    <row r="1690" spans="1:25" ht="15" customHeight="1" x14ac:dyDescent="0.25">
      <c r="A1690" s="20" t="s">
        <v>5808</v>
      </c>
      <c r="B1690" s="14" t="s">
        <v>5809</v>
      </c>
      <c r="C1690" s="71" t="str">
        <f t="shared" si="36"/>
        <v>Product Info</v>
      </c>
      <c r="D1690" s="37" t="s">
        <v>4367</v>
      </c>
      <c r="E1690" s="143">
        <v>1</v>
      </c>
      <c r="F1690" s="12" t="s">
        <v>4992</v>
      </c>
      <c r="G1690" s="38">
        <v>217.94</v>
      </c>
      <c r="H1690" s="38">
        <v>185.26</v>
      </c>
      <c r="I1690" s="38">
        <v>152.56</v>
      </c>
      <c r="J1690" s="39"/>
      <c r="K1690" s="12" t="s">
        <v>8905</v>
      </c>
      <c r="L1690" s="22">
        <v>0</v>
      </c>
      <c r="M1690" s="22">
        <v>0</v>
      </c>
      <c r="N1690" s="20" t="s">
        <v>14489</v>
      </c>
      <c r="O1690" s="16">
        <v>0</v>
      </c>
      <c r="P1690" s="143">
        <v>758</v>
      </c>
      <c r="Q1690" s="121" t="s">
        <v>14285</v>
      </c>
      <c r="R1690" s="16" t="s">
        <v>9235</v>
      </c>
      <c r="S1690" s="10" t="s">
        <v>1163</v>
      </c>
      <c r="T1690" s="28" t="s">
        <v>10722</v>
      </c>
      <c r="U1690" s="20" t="s">
        <v>5359</v>
      </c>
      <c r="V1690" s="16" t="s">
        <v>5808</v>
      </c>
      <c r="W1690" s="11" t="s">
        <v>14433</v>
      </c>
      <c r="X1690" s="174">
        <v>145.01</v>
      </c>
      <c r="Y1690" s="174">
        <v>185.26</v>
      </c>
    </row>
    <row r="1691" spans="1:25" ht="15" customHeight="1" x14ac:dyDescent="0.25">
      <c r="A1691" s="20" t="s">
        <v>1507</v>
      </c>
      <c r="B1691" s="14" t="s">
        <v>1508</v>
      </c>
      <c r="C1691" s="71" t="str">
        <f t="shared" si="36"/>
        <v>Product Info</v>
      </c>
      <c r="D1691" s="37" t="s">
        <v>1509</v>
      </c>
      <c r="E1691" s="143">
        <v>1</v>
      </c>
      <c r="F1691" s="12" t="s">
        <v>4992</v>
      </c>
      <c r="G1691" s="38">
        <v>228.14</v>
      </c>
      <c r="H1691" s="38">
        <v>193.93</v>
      </c>
      <c r="I1691" s="38">
        <v>159.69999999999999</v>
      </c>
      <c r="J1691" s="39"/>
      <c r="K1691" s="12" t="s">
        <v>8905</v>
      </c>
      <c r="L1691" s="22">
        <v>0</v>
      </c>
      <c r="M1691" s="22">
        <v>0</v>
      </c>
      <c r="N1691" s="20" t="s">
        <v>14489</v>
      </c>
      <c r="O1691" s="16">
        <v>0</v>
      </c>
      <c r="P1691" s="143">
        <v>758</v>
      </c>
      <c r="Q1691" s="121" t="s">
        <v>14285</v>
      </c>
      <c r="R1691" s="16" t="s">
        <v>9235</v>
      </c>
      <c r="S1691" s="10" t="s">
        <v>1163</v>
      </c>
      <c r="T1691" s="28" t="s">
        <v>10723</v>
      </c>
      <c r="U1691" s="20" t="s">
        <v>5359</v>
      </c>
      <c r="V1691" s="16" t="s">
        <v>1507</v>
      </c>
      <c r="W1691" s="11" t="s">
        <v>14433</v>
      </c>
      <c r="X1691" s="174">
        <v>151.80000000000001</v>
      </c>
      <c r="Y1691" s="174">
        <v>193.93</v>
      </c>
    </row>
    <row r="1692" spans="1:25" ht="15" customHeight="1" x14ac:dyDescent="0.25">
      <c r="A1692" s="20" t="s">
        <v>6495</v>
      </c>
      <c r="B1692" s="14" t="s">
        <v>6496</v>
      </c>
      <c r="C1692" s="71" t="str">
        <f t="shared" si="36"/>
        <v>Product Info</v>
      </c>
      <c r="D1692" s="37" t="s">
        <v>4368</v>
      </c>
      <c r="E1692" s="143">
        <v>1</v>
      </c>
      <c r="F1692" s="12" t="s">
        <v>4992</v>
      </c>
      <c r="G1692" s="38">
        <v>217.94</v>
      </c>
      <c r="H1692" s="38">
        <v>185.26</v>
      </c>
      <c r="I1692" s="38">
        <v>152.56</v>
      </c>
      <c r="J1692" s="39"/>
      <c r="K1692" s="12" t="s">
        <v>8905</v>
      </c>
      <c r="L1692" s="22">
        <v>0</v>
      </c>
      <c r="M1692" s="22">
        <v>0</v>
      </c>
      <c r="N1692" s="20" t="s">
        <v>14489</v>
      </c>
      <c r="O1692" s="16">
        <v>0</v>
      </c>
      <c r="P1692" s="143">
        <v>758</v>
      </c>
      <c r="Q1692" s="121" t="s">
        <v>14285</v>
      </c>
      <c r="R1692" s="16" t="s">
        <v>9235</v>
      </c>
      <c r="S1692" s="10" t="s">
        <v>1163</v>
      </c>
      <c r="T1692" s="28" t="s">
        <v>10724</v>
      </c>
      <c r="U1692" s="20" t="s">
        <v>5359</v>
      </c>
      <c r="V1692" s="16" t="s">
        <v>6495</v>
      </c>
      <c r="W1692" s="11" t="s">
        <v>14433</v>
      </c>
      <c r="X1692" s="174">
        <v>145.01</v>
      </c>
      <c r="Y1692" s="174">
        <v>185.26</v>
      </c>
    </row>
    <row r="1693" spans="1:25" ht="15" customHeight="1" x14ac:dyDescent="0.25">
      <c r="A1693" s="20" t="s">
        <v>1510</v>
      </c>
      <c r="B1693" s="14" t="s">
        <v>1511</v>
      </c>
      <c r="C1693" s="71" t="str">
        <f t="shared" si="36"/>
        <v>Product Info</v>
      </c>
      <c r="D1693" s="37" t="s">
        <v>1512</v>
      </c>
      <c r="E1693" s="143">
        <v>1</v>
      </c>
      <c r="F1693" s="12" t="s">
        <v>4992</v>
      </c>
      <c r="G1693" s="38">
        <v>228.14</v>
      </c>
      <c r="H1693" s="38">
        <v>193.93</v>
      </c>
      <c r="I1693" s="38">
        <v>159.69999999999999</v>
      </c>
      <c r="J1693" s="39"/>
      <c r="K1693" s="12" t="s">
        <v>8905</v>
      </c>
      <c r="L1693" s="22">
        <v>0</v>
      </c>
      <c r="M1693" s="22">
        <v>0</v>
      </c>
      <c r="N1693" s="20" t="s">
        <v>14489</v>
      </c>
      <c r="O1693" s="16">
        <v>0</v>
      </c>
      <c r="P1693" s="143">
        <v>758</v>
      </c>
      <c r="Q1693" s="122" t="s">
        <v>12421</v>
      </c>
      <c r="R1693" s="16" t="s">
        <v>9235</v>
      </c>
      <c r="S1693" s="10" t="s">
        <v>1163</v>
      </c>
      <c r="T1693" s="28" t="s">
        <v>10725</v>
      </c>
      <c r="U1693" s="20" t="s">
        <v>5359</v>
      </c>
      <c r="V1693" s="16" t="s">
        <v>1510</v>
      </c>
      <c r="W1693" s="11" t="s">
        <v>14433</v>
      </c>
      <c r="X1693" s="174">
        <v>151.80000000000001</v>
      </c>
      <c r="Y1693" s="174">
        <v>193.93</v>
      </c>
    </row>
    <row r="1694" spans="1:25" ht="15" customHeight="1" x14ac:dyDescent="0.25">
      <c r="A1694" s="20" t="s">
        <v>2776</v>
      </c>
      <c r="B1694" s="14" t="s">
        <v>2777</v>
      </c>
      <c r="C1694" s="71" t="str">
        <f t="shared" si="36"/>
        <v>Product Info</v>
      </c>
      <c r="D1694" s="37" t="s">
        <v>4369</v>
      </c>
      <c r="E1694" s="143">
        <v>1</v>
      </c>
      <c r="F1694" s="12" t="s">
        <v>4992</v>
      </c>
      <c r="G1694" s="38">
        <v>217.94</v>
      </c>
      <c r="H1694" s="38">
        <v>185.26</v>
      </c>
      <c r="I1694" s="38">
        <v>152.56</v>
      </c>
      <c r="J1694" s="39"/>
      <c r="K1694" s="12" t="s">
        <v>8905</v>
      </c>
      <c r="L1694" s="22">
        <v>0</v>
      </c>
      <c r="M1694" s="22">
        <v>0</v>
      </c>
      <c r="N1694" s="20" t="s">
        <v>14489</v>
      </c>
      <c r="O1694" s="16">
        <v>0</v>
      </c>
      <c r="P1694" s="143">
        <v>758</v>
      </c>
      <c r="Q1694" s="121" t="s">
        <v>14285</v>
      </c>
      <c r="R1694" s="16" t="s">
        <v>9235</v>
      </c>
      <c r="S1694" s="10" t="s">
        <v>1163</v>
      </c>
      <c r="T1694" s="28" t="s">
        <v>10726</v>
      </c>
      <c r="U1694" s="20" t="s">
        <v>5359</v>
      </c>
      <c r="V1694" s="16" t="s">
        <v>2776</v>
      </c>
      <c r="W1694" s="11" t="s">
        <v>14433</v>
      </c>
      <c r="X1694" s="174">
        <v>145.01</v>
      </c>
      <c r="Y1694" s="174">
        <v>185.26</v>
      </c>
    </row>
    <row r="1695" spans="1:25" ht="15" customHeight="1" x14ac:dyDescent="0.25">
      <c r="A1695" s="20" t="s">
        <v>1513</v>
      </c>
      <c r="B1695" s="14" t="s">
        <v>1514</v>
      </c>
      <c r="C1695" s="71" t="str">
        <f t="shared" si="36"/>
        <v>Product Info</v>
      </c>
      <c r="D1695" s="37" t="s">
        <v>1515</v>
      </c>
      <c r="E1695" s="143">
        <v>1</v>
      </c>
      <c r="F1695" s="12" t="s">
        <v>4992</v>
      </c>
      <c r="G1695" s="38">
        <v>228.14</v>
      </c>
      <c r="H1695" s="38">
        <v>193.93</v>
      </c>
      <c r="I1695" s="38">
        <v>159.69999999999999</v>
      </c>
      <c r="J1695" s="39"/>
      <c r="K1695" s="12" t="s">
        <v>8905</v>
      </c>
      <c r="L1695" s="22">
        <v>0</v>
      </c>
      <c r="M1695" s="22">
        <v>0</v>
      </c>
      <c r="N1695" s="20" t="s">
        <v>14489</v>
      </c>
      <c r="O1695" s="16">
        <v>0</v>
      </c>
      <c r="P1695" s="143">
        <v>758</v>
      </c>
      <c r="Q1695" s="122" t="s">
        <v>12421</v>
      </c>
      <c r="R1695" s="16" t="s">
        <v>9235</v>
      </c>
      <c r="S1695" s="10" t="s">
        <v>1163</v>
      </c>
      <c r="T1695" s="28" t="s">
        <v>10727</v>
      </c>
      <c r="U1695" s="20" t="s">
        <v>5359</v>
      </c>
      <c r="V1695" s="16" t="s">
        <v>1513</v>
      </c>
      <c r="W1695" s="11" t="s">
        <v>14433</v>
      </c>
      <c r="X1695" s="174">
        <v>151.80000000000001</v>
      </c>
      <c r="Y1695" s="174">
        <v>193.93</v>
      </c>
    </row>
    <row r="1696" spans="1:25" ht="15" customHeight="1" x14ac:dyDescent="0.25">
      <c r="A1696" s="20" t="s">
        <v>2778</v>
      </c>
      <c r="B1696" s="14" t="s">
        <v>2779</v>
      </c>
      <c r="C1696" s="71" t="str">
        <f t="shared" si="36"/>
        <v>Product Info</v>
      </c>
      <c r="D1696" s="37" t="s">
        <v>5120</v>
      </c>
      <c r="E1696" s="143">
        <v>1</v>
      </c>
      <c r="F1696" s="12" t="s">
        <v>4992</v>
      </c>
      <c r="G1696" s="38">
        <v>217.94</v>
      </c>
      <c r="H1696" s="38">
        <v>185.26</v>
      </c>
      <c r="I1696" s="38">
        <v>152.56</v>
      </c>
      <c r="J1696" s="39"/>
      <c r="K1696" s="12" t="s">
        <v>8905</v>
      </c>
      <c r="L1696" s="22">
        <v>0</v>
      </c>
      <c r="M1696" s="22">
        <v>0</v>
      </c>
      <c r="N1696" s="20" t="s">
        <v>14489</v>
      </c>
      <c r="O1696" s="16">
        <v>0</v>
      </c>
      <c r="P1696" s="143">
        <v>758</v>
      </c>
      <c r="Q1696" s="121" t="s">
        <v>14285</v>
      </c>
      <c r="R1696" s="16" t="s">
        <v>9235</v>
      </c>
      <c r="S1696" s="10" t="s">
        <v>1163</v>
      </c>
      <c r="T1696" s="28" t="s">
        <v>10728</v>
      </c>
      <c r="U1696" s="20" t="s">
        <v>5359</v>
      </c>
      <c r="V1696" s="16" t="s">
        <v>2778</v>
      </c>
      <c r="W1696" s="11" t="s">
        <v>14433</v>
      </c>
      <c r="X1696" s="174">
        <v>145.01</v>
      </c>
      <c r="Y1696" s="174">
        <v>185.26</v>
      </c>
    </row>
    <row r="1697" spans="1:25" ht="15" customHeight="1" x14ac:dyDescent="0.25">
      <c r="A1697" s="20" t="s">
        <v>1516</v>
      </c>
      <c r="B1697" s="14" t="s">
        <v>1517</v>
      </c>
      <c r="C1697" s="71" t="str">
        <f t="shared" si="36"/>
        <v>Product Info</v>
      </c>
      <c r="D1697" s="37" t="s">
        <v>1518</v>
      </c>
      <c r="E1697" s="143">
        <v>1</v>
      </c>
      <c r="F1697" s="12" t="s">
        <v>4992</v>
      </c>
      <c r="G1697" s="38">
        <v>228.14</v>
      </c>
      <c r="H1697" s="38">
        <v>193.93</v>
      </c>
      <c r="I1697" s="38">
        <v>159.69999999999999</v>
      </c>
      <c r="J1697" s="39"/>
      <c r="K1697" s="12" t="s">
        <v>8905</v>
      </c>
      <c r="L1697" s="22">
        <v>0</v>
      </c>
      <c r="M1697" s="22">
        <v>0</v>
      </c>
      <c r="N1697" s="20" t="s">
        <v>14489</v>
      </c>
      <c r="O1697" s="16">
        <v>0</v>
      </c>
      <c r="P1697" s="143">
        <v>758</v>
      </c>
      <c r="Q1697" s="121" t="s">
        <v>14285</v>
      </c>
      <c r="R1697" s="16" t="s">
        <v>9235</v>
      </c>
      <c r="S1697" s="10" t="s">
        <v>1163</v>
      </c>
      <c r="T1697" s="28" t="s">
        <v>10729</v>
      </c>
      <c r="U1697" s="20" t="s">
        <v>5359</v>
      </c>
      <c r="V1697" s="16" t="s">
        <v>1516</v>
      </c>
      <c r="W1697" s="11" t="s">
        <v>14433</v>
      </c>
      <c r="X1697" s="174">
        <v>151.80000000000001</v>
      </c>
      <c r="Y1697" s="174">
        <v>193.93</v>
      </c>
    </row>
    <row r="1698" spans="1:25" ht="15" customHeight="1" x14ac:dyDescent="0.25">
      <c r="A1698" s="20" t="s">
        <v>2780</v>
      </c>
      <c r="B1698" s="14" t="s">
        <v>2781</v>
      </c>
      <c r="C1698" s="71" t="str">
        <f t="shared" si="36"/>
        <v>Product Info</v>
      </c>
      <c r="D1698" s="37" t="s">
        <v>5121</v>
      </c>
      <c r="E1698" s="143">
        <v>1</v>
      </c>
      <c r="F1698" s="12" t="s">
        <v>4992</v>
      </c>
      <c r="G1698" s="38">
        <v>254.37</v>
      </c>
      <c r="H1698" s="38">
        <v>216.22</v>
      </c>
      <c r="I1698" s="38">
        <v>178.06</v>
      </c>
      <c r="J1698" s="39"/>
      <c r="K1698" s="143"/>
      <c r="L1698" s="22">
        <v>0</v>
      </c>
      <c r="M1698" s="22">
        <v>0</v>
      </c>
      <c r="N1698" s="20" t="s">
        <v>14489</v>
      </c>
      <c r="O1698" s="16">
        <v>0</v>
      </c>
      <c r="P1698" s="143">
        <v>758</v>
      </c>
      <c r="Q1698" s="121" t="s">
        <v>14285</v>
      </c>
      <c r="R1698" s="16" t="s">
        <v>9235</v>
      </c>
      <c r="S1698" s="10" t="s">
        <v>1163</v>
      </c>
      <c r="T1698" s="28" t="s">
        <v>10730</v>
      </c>
      <c r="U1698" s="20" t="s">
        <v>5359</v>
      </c>
      <c r="V1698" s="16" t="s">
        <v>2780</v>
      </c>
      <c r="W1698" s="11" t="s">
        <v>14433</v>
      </c>
      <c r="X1698" s="174">
        <v>169.25</v>
      </c>
      <c r="Y1698" s="174">
        <v>216.22</v>
      </c>
    </row>
    <row r="1699" spans="1:25" ht="15" customHeight="1" x14ac:dyDescent="0.25">
      <c r="A1699" s="20" t="s">
        <v>1519</v>
      </c>
      <c r="B1699" s="14" t="s">
        <v>1520</v>
      </c>
      <c r="C1699" s="71" t="str">
        <f t="shared" si="36"/>
        <v>Product Info</v>
      </c>
      <c r="D1699" s="37" t="s">
        <v>1521</v>
      </c>
      <c r="E1699" s="143">
        <v>1</v>
      </c>
      <c r="F1699" s="12" t="s">
        <v>4992</v>
      </c>
      <c r="G1699" s="38">
        <v>264.57</v>
      </c>
      <c r="H1699" s="38">
        <v>224.89</v>
      </c>
      <c r="I1699" s="38">
        <v>185.2</v>
      </c>
      <c r="J1699" s="39"/>
      <c r="K1699" s="143"/>
      <c r="L1699" s="22">
        <v>0</v>
      </c>
      <c r="M1699" s="22">
        <v>0</v>
      </c>
      <c r="N1699" s="20" t="s">
        <v>14489</v>
      </c>
      <c r="O1699" s="16">
        <v>0</v>
      </c>
      <c r="P1699" s="143">
        <v>758</v>
      </c>
      <c r="Q1699" s="121" t="s">
        <v>14285</v>
      </c>
      <c r="R1699" s="16" t="s">
        <v>9235</v>
      </c>
      <c r="S1699" s="10" t="s">
        <v>1163</v>
      </c>
      <c r="T1699" s="28" t="s">
        <v>10731</v>
      </c>
      <c r="U1699" s="20" t="s">
        <v>5359</v>
      </c>
      <c r="V1699" s="16" t="s">
        <v>1519</v>
      </c>
      <c r="W1699" s="11" t="s">
        <v>14433</v>
      </c>
      <c r="X1699" s="174">
        <v>176.04</v>
      </c>
      <c r="Y1699" s="174">
        <v>224.89</v>
      </c>
    </row>
    <row r="1700" spans="1:25" ht="15" customHeight="1" x14ac:dyDescent="0.25">
      <c r="A1700" s="20" t="s">
        <v>5633</v>
      </c>
      <c r="B1700" s="14" t="s">
        <v>5634</v>
      </c>
      <c r="C1700" s="71" t="str">
        <f t="shared" si="36"/>
        <v>Product Info</v>
      </c>
      <c r="D1700" s="37" t="s">
        <v>5124</v>
      </c>
      <c r="E1700" s="143">
        <v>1</v>
      </c>
      <c r="F1700" s="12" t="s">
        <v>4992</v>
      </c>
      <c r="G1700" s="38">
        <v>217.94</v>
      </c>
      <c r="H1700" s="38">
        <v>185.26</v>
      </c>
      <c r="I1700" s="38">
        <v>152.56</v>
      </c>
      <c r="J1700" s="39"/>
      <c r="K1700" s="12" t="s">
        <v>8905</v>
      </c>
      <c r="L1700" s="22">
        <v>0</v>
      </c>
      <c r="M1700" s="22">
        <v>0</v>
      </c>
      <c r="N1700" s="20" t="s">
        <v>14489</v>
      </c>
      <c r="O1700" s="16">
        <v>0</v>
      </c>
      <c r="P1700" s="143">
        <v>758</v>
      </c>
      <c r="Q1700" s="121" t="s">
        <v>14285</v>
      </c>
      <c r="R1700" s="16" t="s">
        <v>9235</v>
      </c>
      <c r="S1700" s="10" t="s">
        <v>1163</v>
      </c>
      <c r="T1700" s="28" t="s">
        <v>10732</v>
      </c>
      <c r="U1700" s="20" t="s">
        <v>5359</v>
      </c>
      <c r="V1700" s="16" t="s">
        <v>5633</v>
      </c>
      <c r="W1700" s="11" t="s">
        <v>14433</v>
      </c>
      <c r="X1700" s="174">
        <v>145.01</v>
      </c>
      <c r="Y1700" s="174">
        <v>185.26</v>
      </c>
    </row>
    <row r="1701" spans="1:25" ht="15" customHeight="1" x14ac:dyDescent="0.25">
      <c r="A1701" s="20" t="s">
        <v>1522</v>
      </c>
      <c r="B1701" s="14" t="s">
        <v>1523</v>
      </c>
      <c r="C1701" s="71" t="str">
        <f t="shared" si="36"/>
        <v>Product Info</v>
      </c>
      <c r="D1701" s="37" t="s">
        <v>1524</v>
      </c>
      <c r="E1701" s="143">
        <v>1</v>
      </c>
      <c r="F1701" s="12" t="s">
        <v>4992</v>
      </c>
      <c r="G1701" s="38">
        <v>228.14</v>
      </c>
      <c r="H1701" s="38">
        <v>193.93</v>
      </c>
      <c r="I1701" s="38">
        <v>159.69999999999999</v>
      </c>
      <c r="J1701" s="39"/>
      <c r="K1701" s="12" t="s">
        <v>8905</v>
      </c>
      <c r="L1701" s="22">
        <v>0</v>
      </c>
      <c r="M1701" s="22">
        <v>0</v>
      </c>
      <c r="N1701" s="20" t="s">
        <v>14489</v>
      </c>
      <c r="O1701" s="16">
        <v>0</v>
      </c>
      <c r="P1701" s="143">
        <v>758</v>
      </c>
      <c r="Q1701" s="121" t="s">
        <v>14285</v>
      </c>
      <c r="R1701" s="16" t="s">
        <v>9235</v>
      </c>
      <c r="S1701" s="10" t="s">
        <v>1163</v>
      </c>
      <c r="T1701" s="28" t="s">
        <v>10733</v>
      </c>
      <c r="U1701" s="20" t="s">
        <v>5359</v>
      </c>
      <c r="V1701" s="16" t="s">
        <v>1522</v>
      </c>
      <c r="W1701" s="11" t="s">
        <v>14433</v>
      </c>
      <c r="X1701" s="174">
        <v>151.80000000000001</v>
      </c>
      <c r="Y1701" s="174">
        <v>193.93</v>
      </c>
    </row>
    <row r="1702" spans="1:25" ht="15" customHeight="1" x14ac:dyDescent="0.25">
      <c r="A1702" s="20" t="s">
        <v>5635</v>
      </c>
      <c r="B1702" s="14" t="s">
        <v>5636</v>
      </c>
      <c r="C1702" s="71" t="str">
        <f t="shared" si="36"/>
        <v>Product Info</v>
      </c>
      <c r="D1702" s="37" t="s">
        <v>5125</v>
      </c>
      <c r="E1702" s="143">
        <v>1</v>
      </c>
      <c r="F1702" s="12" t="s">
        <v>4992</v>
      </c>
      <c r="G1702" s="38">
        <v>217.94</v>
      </c>
      <c r="H1702" s="38">
        <v>185.26</v>
      </c>
      <c r="I1702" s="38">
        <v>152.56</v>
      </c>
      <c r="J1702" s="39"/>
      <c r="K1702" s="12" t="s">
        <v>8905</v>
      </c>
      <c r="L1702" s="22">
        <v>0</v>
      </c>
      <c r="M1702" s="22">
        <v>0</v>
      </c>
      <c r="N1702" s="20" t="s">
        <v>14489</v>
      </c>
      <c r="O1702" s="16">
        <v>0</v>
      </c>
      <c r="P1702" s="143">
        <v>758</v>
      </c>
      <c r="Q1702" s="121" t="s">
        <v>14285</v>
      </c>
      <c r="R1702" s="16" t="s">
        <v>9235</v>
      </c>
      <c r="S1702" s="10" t="s">
        <v>1163</v>
      </c>
      <c r="T1702" s="28" t="s">
        <v>10734</v>
      </c>
      <c r="U1702" s="20" t="s">
        <v>5359</v>
      </c>
      <c r="V1702" s="16" t="s">
        <v>5635</v>
      </c>
      <c r="W1702" s="11" t="s">
        <v>14433</v>
      </c>
      <c r="X1702" s="174">
        <v>145.01</v>
      </c>
      <c r="Y1702" s="174">
        <v>185.26</v>
      </c>
    </row>
    <row r="1703" spans="1:25" ht="15" customHeight="1" x14ac:dyDescent="0.25">
      <c r="A1703" s="20" t="s">
        <v>1525</v>
      </c>
      <c r="B1703" s="14" t="s">
        <v>1526</v>
      </c>
      <c r="C1703" s="71" t="str">
        <f t="shared" si="36"/>
        <v>Product Info</v>
      </c>
      <c r="D1703" s="37" t="s">
        <v>1527</v>
      </c>
      <c r="E1703" s="143">
        <v>1</v>
      </c>
      <c r="F1703" s="12" t="s">
        <v>4992</v>
      </c>
      <c r="G1703" s="38">
        <v>228.14</v>
      </c>
      <c r="H1703" s="38">
        <v>193.93</v>
      </c>
      <c r="I1703" s="38">
        <v>159.69999999999999</v>
      </c>
      <c r="J1703" s="39"/>
      <c r="K1703" s="12" t="s">
        <v>8905</v>
      </c>
      <c r="L1703" s="22">
        <v>0</v>
      </c>
      <c r="M1703" s="22">
        <v>0</v>
      </c>
      <c r="N1703" s="20" t="s">
        <v>14489</v>
      </c>
      <c r="O1703" s="16">
        <v>0</v>
      </c>
      <c r="P1703" s="143">
        <v>758</v>
      </c>
      <c r="Q1703" s="121" t="s">
        <v>14285</v>
      </c>
      <c r="R1703" s="16" t="s">
        <v>9235</v>
      </c>
      <c r="S1703" s="10" t="s">
        <v>1163</v>
      </c>
      <c r="T1703" s="28" t="s">
        <v>10735</v>
      </c>
      <c r="U1703" s="20" t="s">
        <v>5359</v>
      </c>
      <c r="V1703" s="16" t="s">
        <v>1525</v>
      </c>
      <c r="W1703" s="11" t="s">
        <v>14433</v>
      </c>
      <c r="X1703" s="174">
        <v>151.80000000000001</v>
      </c>
      <c r="Y1703" s="174">
        <v>193.93</v>
      </c>
    </row>
    <row r="1704" spans="1:25" ht="15" customHeight="1" x14ac:dyDescent="0.25">
      <c r="A1704" s="20" t="s">
        <v>5637</v>
      </c>
      <c r="B1704" s="14" t="s">
        <v>5638</v>
      </c>
      <c r="C1704" s="71" t="str">
        <f t="shared" si="36"/>
        <v>Product Info</v>
      </c>
      <c r="D1704" s="37" t="s">
        <v>5126</v>
      </c>
      <c r="E1704" s="143">
        <v>1</v>
      </c>
      <c r="F1704" s="12" t="s">
        <v>4992</v>
      </c>
      <c r="G1704" s="38">
        <v>217.94</v>
      </c>
      <c r="H1704" s="38">
        <v>185.26</v>
      </c>
      <c r="I1704" s="38">
        <v>152.56</v>
      </c>
      <c r="J1704" s="39"/>
      <c r="K1704" s="12" t="s">
        <v>8905</v>
      </c>
      <c r="L1704" s="22">
        <v>0</v>
      </c>
      <c r="M1704" s="22">
        <v>0</v>
      </c>
      <c r="N1704" s="20" t="s">
        <v>14489</v>
      </c>
      <c r="O1704" s="16">
        <v>0</v>
      </c>
      <c r="P1704" s="143">
        <v>758</v>
      </c>
      <c r="Q1704" s="121" t="s">
        <v>14285</v>
      </c>
      <c r="R1704" s="16" t="s">
        <v>9235</v>
      </c>
      <c r="S1704" s="10" t="s">
        <v>1163</v>
      </c>
      <c r="T1704" s="28" t="s">
        <v>10736</v>
      </c>
      <c r="U1704" s="20" t="s">
        <v>5359</v>
      </c>
      <c r="V1704" s="16" t="s">
        <v>5637</v>
      </c>
      <c r="W1704" s="11" t="s">
        <v>14433</v>
      </c>
      <c r="X1704" s="174">
        <v>145.01</v>
      </c>
      <c r="Y1704" s="174">
        <v>185.26</v>
      </c>
    </row>
    <row r="1705" spans="1:25" ht="15" customHeight="1" x14ac:dyDescent="0.25">
      <c r="A1705" s="20" t="s">
        <v>1528</v>
      </c>
      <c r="B1705" s="14" t="s">
        <v>1529</v>
      </c>
      <c r="C1705" s="71" t="str">
        <f t="shared" si="36"/>
        <v>Product Info</v>
      </c>
      <c r="D1705" s="37" t="s">
        <v>1530</v>
      </c>
      <c r="E1705" s="143">
        <v>1</v>
      </c>
      <c r="F1705" s="12" t="s">
        <v>4992</v>
      </c>
      <c r="G1705" s="38">
        <v>228.14</v>
      </c>
      <c r="H1705" s="38">
        <v>193.93</v>
      </c>
      <c r="I1705" s="38">
        <v>159.69999999999999</v>
      </c>
      <c r="J1705" s="39"/>
      <c r="K1705" s="12" t="s">
        <v>8905</v>
      </c>
      <c r="L1705" s="22">
        <v>0</v>
      </c>
      <c r="M1705" s="22">
        <v>0</v>
      </c>
      <c r="N1705" s="20" t="s">
        <v>14489</v>
      </c>
      <c r="O1705" s="16">
        <v>0</v>
      </c>
      <c r="P1705" s="143">
        <v>758</v>
      </c>
      <c r="Q1705" s="121" t="s">
        <v>14285</v>
      </c>
      <c r="R1705" s="16" t="s">
        <v>9235</v>
      </c>
      <c r="S1705" s="10" t="s">
        <v>1163</v>
      </c>
      <c r="T1705" s="28" t="s">
        <v>10737</v>
      </c>
      <c r="U1705" s="20" t="s">
        <v>5359</v>
      </c>
      <c r="V1705" s="16" t="s">
        <v>1528</v>
      </c>
      <c r="W1705" s="11" t="s">
        <v>14433</v>
      </c>
      <c r="X1705" s="174">
        <v>151.80000000000001</v>
      </c>
      <c r="Y1705" s="174">
        <v>193.93</v>
      </c>
    </row>
    <row r="1706" spans="1:25" ht="15" customHeight="1" x14ac:dyDescent="0.25">
      <c r="A1706" s="20" t="s">
        <v>5639</v>
      </c>
      <c r="B1706" s="14" t="s">
        <v>5572</v>
      </c>
      <c r="C1706" s="71" t="str">
        <f t="shared" si="36"/>
        <v>Product Info</v>
      </c>
      <c r="D1706" s="37" t="s">
        <v>5127</v>
      </c>
      <c r="E1706" s="143">
        <v>1</v>
      </c>
      <c r="F1706" s="12" t="s">
        <v>4992</v>
      </c>
      <c r="G1706" s="38">
        <v>217.94</v>
      </c>
      <c r="H1706" s="38">
        <v>185.26</v>
      </c>
      <c r="I1706" s="38">
        <v>152.56</v>
      </c>
      <c r="J1706" s="39"/>
      <c r="K1706" s="12" t="s">
        <v>8905</v>
      </c>
      <c r="L1706" s="22">
        <v>0</v>
      </c>
      <c r="M1706" s="22">
        <v>0</v>
      </c>
      <c r="N1706" s="20" t="s">
        <v>14489</v>
      </c>
      <c r="O1706" s="16">
        <v>0</v>
      </c>
      <c r="P1706" s="143">
        <v>758</v>
      </c>
      <c r="Q1706" s="121" t="s">
        <v>14285</v>
      </c>
      <c r="R1706" s="16" t="s">
        <v>9235</v>
      </c>
      <c r="S1706" s="10" t="s">
        <v>1163</v>
      </c>
      <c r="T1706" s="28" t="s">
        <v>10738</v>
      </c>
      <c r="U1706" s="20" t="s">
        <v>5359</v>
      </c>
      <c r="V1706" s="16" t="s">
        <v>5639</v>
      </c>
      <c r="W1706" s="11" t="s">
        <v>14433</v>
      </c>
      <c r="X1706" s="174">
        <v>145.01</v>
      </c>
      <c r="Y1706" s="174">
        <v>185.26</v>
      </c>
    </row>
    <row r="1707" spans="1:25" ht="15" customHeight="1" x14ac:dyDescent="0.25">
      <c r="A1707" s="20" t="s">
        <v>1531</v>
      </c>
      <c r="B1707" s="14" t="s">
        <v>1532</v>
      </c>
      <c r="C1707" s="71" t="str">
        <f t="shared" si="36"/>
        <v>Product Info</v>
      </c>
      <c r="D1707" s="37" t="s">
        <v>1533</v>
      </c>
      <c r="E1707" s="143">
        <v>1</v>
      </c>
      <c r="F1707" s="12" t="s">
        <v>4992</v>
      </c>
      <c r="G1707" s="38">
        <v>228.14</v>
      </c>
      <c r="H1707" s="38">
        <v>193.93</v>
      </c>
      <c r="I1707" s="38">
        <v>159.69999999999999</v>
      </c>
      <c r="J1707" s="39"/>
      <c r="K1707" s="12" t="s">
        <v>8905</v>
      </c>
      <c r="L1707" s="22">
        <v>0</v>
      </c>
      <c r="M1707" s="22">
        <v>0</v>
      </c>
      <c r="N1707" s="20" t="s">
        <v>14489</v>
      </c>
      <c r="O1707" s="16">
        <v>0</v>
      </c>
      <c r="P1707" s="143">
        <v>758</v>
      </c>
      <c r="Q1707" s="122" t="s">
        <v>12421</v>
      </c>
      <c r="R1707" s="16" t="s">
        <v>9235</v>
      </c>
      <c r="S1707" s="10" t="s">
        <v>1163</v>
      </c>
      <c r="T1707" s="28" t="s">
        <v>10739</v>
      </c>
      <c r="U1707" s="20" t="s">
        <v>5359</v>
      </c>
      <c r="V1707" s="16" t="s">
        <v>1531</v>
      </c>
      <c r="W1707" s="11" t="s">
        <v>14433</v>
      </c>
      <c r="X1707" s="174">
        <v>151.80000000000001</v>
      </c>
      <c r="Y1707" s="174">
        <v>193.93</v>
      </c>
    </row>
    <row r="1708" spans="1:25" ht="15" customHeight="1" x14ac:dyDescent="0.25">
      <c r="A1708" s="20" t="s">
        <v>5573</v>
      </c>
      <c r="B1708" s="14" t="s">
        <v>5648</v>
      </c>
      <c r="C1708" s="71" t="str">
        <f t="shared" si="36"/>
        <v>Product Info</v>
      </c>
      <c r="D1708" s="37" t="s">
        <v>5128</v>
      </c>
      <c r="E1708" s="143">
        <v>1</v>
      </c>
      <c r="F1708" s="12" t="s">
        <v>4992</v>
      </c>
      <c r="G1708" s="38">
        <v>217.94</v>
      </c>
      <c r="H1708" s="38">
        <v>185.26</v>
      </c>
      <c r="I1708" s="38">
        <v>152.56</v>
      </c>
      <c r="J1708" s="39"/>
      <c r="K1708" s="12" t="s">
        <v>8905</v>
      </c>
      <c r="L1708" s="22">
        <v>9</v>
      </c>
      <c r="M1708" s="22" t="s">
        <v>12488</v>
      </c>
      <c r="N1708" s="20" t="s">
        <v>9306</v>
      </c>
      <c r="O1708" s="16" t="s">
        <v>12608</v>
      </c>
      <c r="P1708" s="143">
        <v>758</v>
      </c>
      <c r="Q1708" s="121" t="s">
        <v>14285</v>
      </c>
      <c r="R1708" s="16" t="s">
        <v>9235</v>
      </c>
      <c r="S1708" s="10" t="s">
        <v>1163</v>
      </c>
      <c r="T1708" s="28" t="s">
        <v>10740</v>
      </c>
      <c r="U1708" s="20" t="s">
        <v>5359</v>
      </c>
      <c r="V1708" s="16" t="s">
        <v>5573</v>
      </c>
      <c r="W1708" s="11" t="s">
        <v>14433</v>
      </c>
      <c r="X1708" s="174">
        <v>145.01</v>
      </c>
      <c r="Y1708" s="174">
        <v>185.26</v>
      </c>
    </row>
    <row r="1709" spans="1:25" ht="15" customHeight="1" x14ac:dyDescent="0.25">
      <c r="A1709" s="20" t="s">
        <v>1534</v>
      </c>
      <c r="B1709" s="14" t="s">
        <v>1535</v>
      </c>
      <c r="C1709" s="71" t="str">
        <f t="shared" si="36"/>
        <v>Product Info</v>
      </c>
      <c r="D1709" s="37" t="s">
        <v>1536</v>
      </c>
      <c r="E1709" s="143">
        <v>1</v>
      </c>
      <c r="F1709" s="12" t="s">
        <v>4992</v>
      </c>
      <c r="G1709" s="38">
        <v>228.14</v>
      </c>
      <c r="H1709" s="38">
        <v>193.93</v>
      </c>
      <c r="I1709" s="38">
        <v>159.69999999999999</v>
      </c>
      <c r="J1709" s="39"/>
      <c r="K1709" s="12" t="s">
        <v>8905</v>
      </c>
      <c r="L1709" s="22">
        <v>0</v>
      </c>
      <c r="M1709" s="22">
        <v>0</v>
      </c>
      <c r="N1709" s="20" t="s">
        <v>14489</v>
      </c>
      <c r="O1709" s="16">
        <v>0</v>
      </c>
      <c r="P1709" s="143">
        <v>758</v>
      </c>
      <c r="Q1709" s="121" t="s">
        <v>14285</v>
      </c>
      <c r="R1709" s="16" t="s">
        <v>9235</v>
      </c>
      <c r="S1709" s="10" t="s">
        <v>1163</v>
      </c>
      <c r="T1709" s="28" t="s">
        <v>10741</v>
      </c>
      <c r="U1709" s="20" t="s">
        <v>5359</v>
      </c>
      <c r="V1709" s="16" t="s">
        <v>1534</v>
      </c>
      <c r="W1709" s="11" t="s">
        <v>14433</v>
      </c>
      <c r="X1709" s="174">
        <v>151.80000000000001</v>
      </c>
      <c r="Y1709" s="174">
        <v>193.93</v>
      </c>
    </row>
    <row r="1710" spans="1:25" ht="15" customHeight="1" x14ac:dyDescent="0.25">
      <c r="A1710" s="20" t="s">
        <v>5429</v>
      </c>
      <c r="B1710" s="14" t="s">
        <v>5430</v>
      </c>
      <c r="C1710" s="71" t="str">
        <f t="shared" si="36"/>
        <v>Product Info</v>
      </c>
      <c r="D1710" s="37" t="s">
        <v>5129</v>
      </c>
      <c r="E1710" s="143">
        <v>1</v>
      </c>
      <c r="F1710" s="12" t="s">
        <v>4992</v>
      </c>
      <c r="G1710" s="38">
        <v>254.37</v>
      </c>
      <c r="H1710" s="38">
        <v>216.22</v>
      </c>
      <c r="I1710" s="38">
        <v>178.06</v>
      </c>
      <c r="J1710" s="39"/>
      <c r="K1710" s="143"/>
      <c r="L1710" s="22">
        <v>0</v>
      </c>
      <c r="M1710" s="22">
        <v>0</v>
      </c>
      <c r="N1710" s="20" t="s">
        <v>14489</v>
      </c>
      <c r="O1710" s="16">
        <v>0</v>
      </c>
      <c r="P1710" s="143">
        <v>758</v>
      </c>
      <c r="Q1710" s="121" t="s">
        <v>14285</v>
      </c>
      <c r="R1710" s="16" t="s">
        <v>9235</v>
      </c>
      <c r="S1710" s="10" t="s">
        <v>1163</v>
      </c>
      <c r="T1710" s="28" t="s">
        <v>10742</v>
      </c>
      <c r="U1710" s="20" t="s">
        <v>5359</v>
      </c>
      <c r="V1710" s="16" t="s">
        <v>5429</v>
      </c>
      <c r="W1710" s="11" t="s">
        <v>14433</v>
      </c>
      <c r="X1710" s="174">
        <v>169.25</v>
      </c>
      <c r="Y1710" s="174">
        <v>216.22</v>
      </c>
    </row>
    <row r="1711" spans="1:25" ht="15" customHeight="1" x14ac:dyDescent="0.25">
      <c r="A1711" s="20" t="s">
        <v>1537</v>
      </c>
      <c r="B1711" s="14" t="s">
        <v>1538</v>
      </c>
      <c r="C1711" s="71" t="str">
        <f t="shared" si="36"/>
        <v>Product Info</v>
      </c>
      <c r="D1711" s="37" t="s">
        <v>1539</v>
      </c>
      <c r="E1711" s="143">
        <v>1</v>
      </c>
      <c r="F1711" s="12" t="s">
        <v>4992</v>
      </c>
      <c r="G1711" s="38">
        <v>264.57</v>
      </c>
      <c r="H1711" s="38">
        <v>224.89</v>
      </c>
      <c r="I1711" s="38">
        <v>185.2</v>
      </c>
      <c r="J1711" s="39"/>
      <c r="K1711" s="143"/>
      <c r="L1711" s="22">
        <v>0</v>
      </c>
      <c r="M1711" s="22">
        <v>0</v>
      </c>
      <c r="N1711" s="20" t="s">
        <v>14489</v>
      </c>
      <c r="O1711" s="16">
        <v>0</v>
      </c>
      <c r="P1711" s="143">
        <v>758</v>
      </c>
      <c r="Q1711" s="121" t="s">
        <v>14285</v>
      </c>
      <c r="R1711" s="16" t="s">
        <v>9235</v>
      </c>
      <c r="S1711" s="10" t="s">
        <v>1163</v>
      </c>
      <c r="T1711" s="28" t="s">
        <v>10743</v>
      </c>
      <c r="U1711" s="20" t="s">
        <v>5359</v>
      </c>
      <c r="V1711" s="16" t="s">
        <v>1537</v>
      </c>
      <c r="W1711" s="11" t="s">
        <v>14433</v>
      </c>
      <c r="X1711" s="174">
        <v>176.04</v>
      </c>
      <c r="Y1711" s="174">
        <v>224.89</v>
      </c>
    </row>
    <row r="1712" spans="1:25" ht="15" customHeight="1" x14ac:dyDescent="0.25">
      <c r="A1712" s="20" t="s">
        <v>5431</v>
      </c>
      <c r="B1712" s="14" t="s">
        <v>5432</v>
      </c>
      <c r="C1712" s="71" t="str">
        <f t="shared" si="36"/>
        <v>Product Info</v>
      </c>
      <c r="D1712" s="37" t="s">
        <v>5130</v>
      </c>
      <c r="E1712" s="143">
        <v>1</v>
      </c>
      <c r="F1712" s="12" t="s">
        <v>4992</v>
      </c>
      <c r="G1712" s="38">
        <v>254.37</v>
      </c>
      <c r="H1712" s="38">
        <v>216.22</v>
      </c>
      <c r="I1712" s="38">
        <v>178.06</v>
      </c>
      <c r="J1712" s="39"/>
      <c r="K1712" s="143"/>
      <c r="L1712" s="22">
        <v>0</v>
      </c>
      <c r="M1712" s="22">
        <v>0</v>
      </c>
      <c r="N1712" s="20" t="s">
        <v>14489</v>
      </c>
      <c r="O1712" s="16">
        <v>0</v>
      </c>
      <c r="P1712" s="143">
        <v>758</v>
      </c>
      <c r="Q1712" s="121" t="s">
        <v>14285</v>
      </c>
      <c r="R1712" s="16" t="s">
        <v>9235</v>
      </c>
      <c r="S1712" s="10" t="s">
        <v>1163</v>
      </c>
      <c r="T1712" s="28" t="s">
        <v>10744</v>
      </c>
      <c r="U1712" s="20" t="s">
        <v>5359</v>
      </c>
      <c r="V1712" s="16" t="s">
        <v>5431</v>
      </c>
      <c r="W1712" s="11" t="s">
        <v>14433</v>
      </c>
      <c r="X1712" s="174">
        <v>169.25</v>
      </c>
      <c r="Y1712" s="174">
        <v>216.22</v>
      </c>
    </row>
    <row r="1713" spans="1:25" ht="15" customHeight="1" x14ac:dyDescent="0.25">
      <c r="A1713" s="20" t="s">
        <v>1540</v>
      </c>
      <c r="B1713" s="14" t="s">
        <v>1541</v>
      </c>
      <c r="C1713" s="71" t="str">
        <f t="shared" si="36"/>
        <v>Product Info</v>
      </c>
      <c r="D1713" s="37" t="s">
        <v>1542</v>
      </c>
      <c r="E1713" s="143">
        <v>1</v>
      </c>
      <c r="F1713" s="12" t="s">
        <v>4992</v>
      </c>
      <c r="G1713" s="38">
        <v>264.57</v>
      </c>
      <c r="H1713" s="38">
        <v>224.89</v>
      </c>
      <c r="I1713" s="38">
        <v>185.2</v>
      </c>
      <c r="J1713" s="39"/>
      <c r="K1713" s="143"/>
      <c r="L1713" s="22">
        <v>0</v>
      </c>
      <c r="M1713" s="22">
        <v>0</v>
      </c>
      <c r="N1713" s="20" t="s">
        <v>14489</v>
      </c>
      <c r="O1713" s="16">
        <v>0</v>
      </c>
      <c r="P1713" s="143">
        <v>758</v>
      </c>
      <c r="Q1713" s="121" t="s">
        <v>14285</v>
      </c>
      <c r="R1713" s="16" t="s">
        <v>9235</v>
      </c>
      <c r="S1713" s="10" t="s">
        <v>1163</v>
      </c>
      <c r="T1713" s="28" t="s">
        <v>10745</v>
      </c>
      <c r="U1713" s="20" t="s">
        <v>5359</v>
      </c>
      <c r="V1713" s="16" t="s">
        <v>1540</v>
      </c>
      <c r="W1713" s="11" t="s">
        <v>14433</v>
      </c>
      <c r="X1713" s="174">
        <v>176.04</v>
      </c>
      <c r="Y1713" s="174">
        <v>224.89</v>
      </c>
    </row>
    <row r="1714" spans="1:25" ht="15" customHeight="1" x14ac:dyDescent="0.25">
      <c r="A1714" s="20" t="s">
        <v>5435</v>
      </c>
      <c r="B1714" s="14" t="s">
        <v>5436</v>
      </c>
      <c r="C1714" s="71" t="str">
        <f t="shared" si="36"/>
        <v>Product Info</v>
      </c>
      <c r="D1714" s="37" t="s">
        <v>5133</v>
      </c>
      <c r="E1714" s="143">
        <v>1</v>
      </c>
      <c r="F1714" s="12" t="s">
        <v>4992</v>
      </c>
      <c r="G1714" s="38">
        <v>217.94</v>
      </c>
      <c r="H1714" s="38">
        <v>185.26</v>
      </c>
      <c r="I1714" s="38">
        <v>152.56</v>
      </c>
      <c r="J1714" s="39"/>
      <c r="K1714" s="12" t="s">
        <v>8905</v>
      </c>
      <c r="L1714" s="22">
        <v>0</v>
      </c>
      <c r="M1714" s="22">
        <v>0</v>
      </c>
      <c r="N1714" s="20" t="s">
        <v>14489</v>
      </c>
      <c r="O1714" s="16">
        <v>0</v>
      </c>
      <c r="P1714" s="143">
        <v>758</v>
      </c>
      <c r="Q1714" s="121" t="s">
        <v>14285</v>
      </c>
      <c r="R1714" s="16" t="s">
        <v>9235</v>
      </c>
      <c r="S1714" s="10" t="s">
        <v>1163</v>
      </c>
      <c r="T1714" s="28" t="s">
        <v>10746</v>
      </c>
      <c r="U1714" s="20" t="s">
        <v>5359</v>
      </c>
      <c r="V1714" s="16" t="s">
        <v>5435</v>
      </c>
      <c r="W1714" s="11" t="s">
        <v>14433</v>
      </c>
      <c r="X1714" s="174">
        <v>145.01</v>
      </c>
      <c r="Y1714" s="174">
        <v>185.26</v>
      </c>
    </row>
    <row r="1715" spans="1:25" ht="15" customHeight="1" x14ac:dyDescent="0.25">
      <c r="A1715" s="20" t="s">
        <v>1543</v>
      </c>
      <c r="B1715" s="14" t="s">
        <v>1544</v>
      </c>
      <c r="C1715" s="71" t="str">
        <f t="shared" si="36"/>
        <v>Product Info</v>
      </c>
      <c r="D1715" s="37" t="s">
        <v>1545</v>
      </c>
      <c r="E1715" s="143">
        <v>1</v>
      </c>
      <c r="F1715" s="12" t="s">
        <v>4992</v>
      </c>
      <c r="G1715" s="38">
        <v>228.14</v>
      </c>
      <c r="H1715" s="38">
        <v>193.93</v>
      </c>
      <c r="I1715" s="38">
        <v>159.69999999999999</v>
      </c>
      <c r="J1715" s="39"/>
      <c r="K1715" s="12" t="s">
        <v>8905</v>
      </c>
      <c r="L1715" s="22">
        <v>0</v>
      </c>
      <c r="M1715" s="22">
        <v>0</v>
      </c>
      <c r="N1715" s="20" t="s">
        <v>14489</v>
      </c>
      <c r="O1715" s="16">
        <v>0</v>
      </c>
      <c r="P1715" s="143">
        <v>758</v>
      </c>
      <c r="Q1715" s="121" t="s">
        <v>14285</v>
      </c>
      <c r="R1715" s="16" t="s">
        <v>9235</v>
      </c>
      <c r="S1715" s="10" t="s">
        <v>1163</v>
      </c>
      <c r="T1715" s="28" t="s">
        <v>10747</v>
      </c>
      <c r="U1715" s="20" t="s">
        <v>5359</v>
      </c>
      <c r="V1715" s="16" t="s">
        <v>1543</v>
      </c>
      <c r="W1715" s="11" t="s">
        <v>14433</v>
      </c>
      <c r="X1715" s="174">
        <v>151.80000000000001</v>
      </c>
      <c r="Y1715" s="174">
        <v>193.93</v>
      </c>
    </row>
    <row r="1716" spans="1:25" ht="15" customHeight="1" x14ac:dyDescent="0.25">
      <c r="A1716" s="20" t="s">
        <v>5437</v>
      </c>
      <c r="B1716" s="14" t="s">
        <v>5438</v>
      </c>
      <c r="C1716" s="71" t="str">
        <f t="shared" si="36"/>
        <v>Product Info</v>
      </c>
      <c r="D1716" s="37" t="s">
        <v>5134</v>
      </c>
      <c r="E1716" s="143">
        <v>1</v>
      </c>
      <c r="F1716" s="12" t="s">
        <v>4992</v>
      </c>
      <c r="G1716" s="38">
        <v>217.94</v>
      </c>
      <c r="H1716" s="38">
        <v>185.26</v>
      </c>
      <c r="I1716" s="38">
        <v>152.56</v>
      </c>
      <c r="J1716" s="39"/>
      <c r="K1716" s="12" t="s">
        <v>8905</v>
      </c>
      <c r="L1716" s="22">
        <v>0</v>
      </c>
      <c r="M1716" s="22">
        <v>0</v>
      </c>
      <c r="N1716" s="20" t="s">
        <v>14489</v>
      </c>
      <c r="O1716" s="16">
        <v>0</v>
      </c>
      <c r="P1716" s="143">
        <v>758</v>
      </c>
      <c r="Q1716" s="121" t="s">
        <v>14285</v>
      </c>
      <c r="R1716" s="16" t="s">
        <v>9235</v>
      </c>
      <c r="S1716" s="10" t="s">
        <v>1163</v>
      </c>
      <c r="T1716" s="28" t="s">
        <v>10748</v>
      </c>
      <c r="U1716" s="20" t="s">
        <v>5359</v>
      </c>
      <c r="V1716" s="16" t="s">
        <v>5437</v>
      </c>
      <c r="W1716" s="11" t="s">
        <v>14433</v>
      </c>
      <c r="X1716" s="174">
        <v>145.01</v>
      </c>
      <c r="Y1716" s="174">
        <v>185.26</v>
      </c>
    </row>
    <row r="1717" spans="1:25" ht="15" customHeight="1" x14ac:dyDescent="0.25">
      <c r="A1717" s="20" t="s">
        <v>1546</v>
      </c>
      <c r="B1717" s="14" t="s">
        <v>1547</v>
      </c>
      <c r="C1717" s="71" t="str">
        <f t="shared" si="36"/>
        <v>Product Info</v>
      </c>
      <c r="D1717" s="37" t="s">
        <v>1548</v>
      </c>
      <c r="E1717" s="143">
        <v>1</v>
      </c>
      <c r="F1717" s="12" t="s">
        <v>4992</v>
      </c>
      <c r="G1717" s="38">
        <v>228.14</v>
      </c>
      <c r="H1717" s="38">
        <v>193.93</v>
      </c>
      <c r="I1717" s="38">
        <v>159.69999999999999</v>
      </c>
      <c r="J1717" s="39"/>
      <c r="K1717" s="12" t="s">
        <v>8905</v>
      </c>
      <c r="L1717" s="22">
        <v>0</v>
      </c>
      <c r="M1717" s="22">
        <v>0</v>
      </c>
      <c r="N1717" s="20" t="s">
        <v>14489</v>
      </c>
      <c r="O1717" s="16">
        <v>0</v>
      </c>
      <c r="P1717" s="143">
        <v>758</v>
      </c>
      <c r="Q1717" s="121" t="s">
        <v>14285</v>
      </c>
      <c r="R1717" s="16" t="s">
        <v>9235</v>
      </c>
      <c r="S1717" s="10" t="s">
        <v>1163</v>
      </c>
      <c r="T1717" s="28" t="s">
        <v>10749</v>
      </c>
      <c r="U1717" s="20" t="s">
        <v>5359</v>
      </c>
      <c r="V1717" s="16" t="s">
        <v>1546</v>
      </c>
      <c r="W1717" s="11" t="s">
        <v>14433</v>
      </c>
      <c r="X1717" s="174">
        <v>151.80000000000001</v>
      </c>
      <c r="Y1717" s="174">
        <v>193.93</v>
      </c>
    </row>
    <row r="1718" spans="1:25" ht="15" customHeight="1" x14ac:dyDescent="0.25">
      <c r="A1718" s="20" t="s">
        <v>5439</v>
      </c>
      <c r="B1718" s="14" t="s">
        <v>5440</v>
      </c>
      <c r="C1718" s="71" t="str">
        <f t="shared" si="36"/>
        <v>Product Info</v>
      </c>
      <c r="D1718" s="37" t="s">
        <v>5135</v>
      </c>
      <c r="E1718" s="143">
        <v>1</v>
      </c>
      <c r="F1718" s="12" t="s">
        <v>4992</v>
      </c>
      <c r="G1718" s="38">
        <v>217.94</v>
      </c>
      <c r="H1718" s="38">
        <v>185.26</v>
      </c>
      <c r="I1718" s="38">
        <v>152.56</v>
      </c>
      <c r="J1718" s="39"/>
      <c r="K1718" s="12" t="s">
        <v>8905</v>
      </c>
      <c r="L1718" s="22">
        <v>0</v>
      </c>
      <c r="M1718" s="22">
        <v>0</v>
      </c>
      <c r="N1718" s="20" t="s">
        <v>14489</v>
      </c>
      <c r="O1718" s="16">
        <v>0</v>
      </c>
      <c r="P1718" s="143">
        <v>758</v>
      </c>
      <c r="Q1718" s="121" t="s">
        <v>14285</v>
      </c>
      <c r="R1718" s="16" t="s">
        <v>9235</v>
      </c>
      <c r="S1718" s="10" t="s">
        <v>1163</v>
      </c>
      <c r="T1718" s="28" t="s">
        <v>10750</v>
      </c>
      <c r="U1718" s="20" t="s">
        <v>5359</v>
      </c>
      <c r="V1718" s="16" t="s">
        <v>5439</v>
      </c>
      <c r="W1718" s="11" t="s">
        <v>14433</v>
      </c>
      <c r="X1718" s="174">
        <v>145.01</v>
      </c>
      <c r="Y1718" s="174">
        <v>185.26</v>
      </c>
    </row>
    <row r="1719" spans="1:25" ht="15" customHeight="1" x14ac:dyDescent="0.25">
      <c r="A1719" s="20" t="s">
        <v>1549</v>
      </c>
      <c r="B1719" s="14" t="s">
        <v>1550</v>
      </c>
      <c r="C1719" s="71" t="str">
        <f t="shared" si="36"/>
        <v>Product Info</v>
      </c>
      <c r="D1719" s="37" t="s">
        <v>1551</v>
      </c>
      <c r="E1719" s="143">
        <v>1</v>
      </c>
      <c r="F1719" s="12" t="s">
        <v>4992</v>
      </c>
      <c r="G1719" s="38">
        <v>228.14</v>
      </c>
      <c r="H1719" s="38">
        <v>193.93</v>
      </c>
      <c r="I1719" s="38">
        <v>159.69999999999999</v>
      </c>
      <c r="J1719" s="39"/>
      <c r="K1719" s="12" t="s">
        <v>8905</v>
      </c>
      <c r="L1719" s="22">
        <v>0</v>
      </c>
      <c r="M1719" s="22">
        <v>0</v>
      </c>
      <c r="N1719" s="20" t="s">
        <v>14489</v>
      </c>
      <c r="O1719" s="16">
        <v>0</v>
      </c>
      <c r="P1719" s="143">
        <v>758</v>
      </c>
      <c r="Q1719" s="121" t="s">
        <v>14285</v>
      </c>
      <c r="R1719" s="16" t="s">
        <v>9235</v>
      </c>
      <c r="S1719" s="10" t="s">
        <v>1163</v>
      </c>
      <c r="T1719" s="28" t="s">
        <v>10751</v>
      </c>
      <c r="U1719" s="20" t="s">
        <v>5359</v>
      </c>
      <c r="V1719" s="16" t="s">
        <v>1549</v>
      </c>
      <c r="W1719" s="11" t="s">
        <v>14433</v>
      </c>
      <c r="X1719" s="174">
        <v>151.80000000000001</v>
      </c>
      <c r="Y1719" s="174">
        <v>193.93</v>
      </c>
    </row>
    <row r="1720" spans="1:25" ht="15" customHeight="1" x14ac:dyDescent="0.25">
      <c r="A1720" s="20" t="s">
        <v>5441</v>
      </c>
      <c r="B1720" s="14" t="s">
        <v>5442</v>
      </c>
      <c r="C1720" s="71" t="str">
        <f t="shared" si="36"/>
        <v>Product Info</v>
      </c>
      <c r="D1720" s="37" t="s">
        <v>5136</v>
      </c>
      <c r="E1720" s="143">
        <v>1</v>
      </c>
      <c r="F1720" s="12" t="s">
        <v>4992</v>
      </c>
      <c r="G1720" s="38">
        <v>217.94</v>
      </c>
      <c r="H1720" s="38">
        <v>185.26</v>
      </c>
      <c r="I1720" s="38">
        <v>152.56</v>
      </c>
      <c r="J1720" s="39"/>
      <c r="K1720" s="12" t="s">
        <v>8905</v>
      </c>
      <c r="L1720" s="22">
        <v>0</v>
      </c>
      <c r="M1720" s="22">
        <v>0</v>
      </c>
      <c r="N1720" s="20" t="s">
        <v>14489</v>
      </c>
      <c r="O1720" s="16">
        <v>0</v>
      </c>
      <c r="P1720" s="143">
        <v>758</v>
      </c>
      <c r="Q1720" s="122" t="s">
        <v>12421</v>
      </c>
      <c r="R1720" s="16" t="s">
        <v>9235</v>
      </c>
      <c r="S1720" s="10" t="s">
        <v>1163</v>
      </c>
      <c r="T1720" s="28" t="s">
        <v>10752</v>
      </c>
      <c r="U1720" s="20" t="s">
        <v>5359</v>
      </c>
      <c r="V1720" s="16" t="s">
        <v>5441</v>
      </c>
      <c r="W1720" s="11" t="s">
        <v>14433</v>
      </c>
      <c r="X1720" s="174">
        <v>145.01</v>
      </c>
      <c r="Y1720" s="174">
        <v>185.26</v>
      </c>
    </row>
    <row r="1721" spans="1:25" ht="15" customHeight="1" x14ac:dyDescent="0.25">
      <c r="A1721" s="20" t="s">
        <v>5443</v>
      </c>
      <c r="B1721" s="14" t="s">
        <v>5444</v>
      </c>
      <c r="C1721" s="71" t="str">
        <f t="shared" si="36"/>
        <v>Product Info</v>
      </c>
      <c r="D1721" s="37" t="s">
        <v>5137</v>
      </c>
      <c r="E1721" s="143">
        <v>1</v>
      </c>
      <c r="F1721" s="12" t="s">
        <v>4992</v>
      </c>
      <c r="G1721" s="38">
        <v>217.94</v>
      </c>
      <c r="H1721" s="38">
        <v>185.26</v>
      </c>
      <c r="I1721" s="38">
        <v>152.56</v>
      </c>
      <c r="J1721" s="39"/>
      <c r="K1721" s="12" t="s">
        <v>8905</v>
      </c>
      <c r="L1721" s="22">
        <v>6</v>
      </c>
      <c r="M1721" s="22">
        <v>0</v>
      </c>
      <c r="N1721" s="20" t="s">
        <v>14489</v>
      </c>
      <c r="O1721" s="16" t="s">
        <v>13914</v>
      </c>
      <c r="P1721" s="143">
        <v>758</v>
      </c>
      <c r="Q1721" s="122" t="s">
        <v>12421</v>
      </c>
      <c r="R1721" s="16" t="s">
        <v>9235</v>
      </c>
      <c r="S1721" s="10" t="s">
        <v>1163</v>
      </c>
      <c r="T1721" s="28" t="s">
        <v>10753</v>
      </c>
      <c r="U1721" s="20" t="s">
        <v>5359</v>
      </c>
      <c r="V1721" s="16" t="s">
        <v>5443</v>
      </c>
      <c r="W1721" s="11" t="s">
        <v>14433</v>
      </c>
      <c r="X1721" s="174">
        <v>145.01</v>
      </c>
      <c r="Y1721" s="174">
        <v>185.26</v>
      </c>
    </row>
    <row r="1722" spans="1:25" ht="15" customHeight="1" x14ac:dyDescent="0.25">
      <c r="A1722" s="20" t="s">
        <v>1552</v>
      </c>
      <c r="B1722" s="14" t="s">
        <v>1553</v>
      </c>
      <c r="C1722" s="71" t="str">
        <f t="shared" si="36"/>
        <v>Product Info</v>
      </c>
      <c r="D1722" s="37" t="s">
        <v>1554</v>
      </c>
      <c r="E1722" s="143">
        <v>1</v>
      </c>
      <c r="F1722" s="12" t="s">
        <v>4992</v>
      </c>
      <c r="G1722" s="38">
        <v>228.14</v>
      </c>
      <c r="H1722" s="38">
        <v>193.93</v>
      </c>
      <c r="I1722" s="38">
        <v>159.69999999999999</v>
      </c>
      <c r="J1722" s="39"/>
      <c r="K1722" s="12" t="s">
        <v>8905</v>
      </c>
      <c r="L1722" s="22">
        <v>0</v>
      </c>
      <c r="M1722" s="22">
        <v>0</v>
      </c>
      <c r="N1722" s="20" t="s">
        <v>14489</v>
      </c>
      <c r="O1722" s="16">
        <v>0</v>
      </c>
      <c r="P1722" s="143">
        <v>758</v>
      </c>
      <c r="Q1722" s="122" t="s">
        <v>12421</v>
      </c>
      <c r="R1722" s="16" t="s">
        <v>9235</v>
      </c>
      <c r="S1722" s="10" t="s">
        <v>1163</v>
      </c>
      <c r="T1722" s="28" t="s">
        <v>10754</v>
      </c>
      <c r="U1722" s="20" t="s">
        <v>5359</v>
      </c>
      <c r="V1722" s="16" t="s">
        <v>1552</v>
      </c>
      <c r="W1722" s="11" t="s">
        <v>14433</v>
      </c>
      <c r="X1722" s="174">
        <v>151.80000000000001</v>
      </c>
      <c r="Y1722" s="174">
        <v>193.93</v>
      </c>
    </row>
    <row r="1723" spans="1:25" ht="15" customHeight="1" x14ac:dyDescent="0.25">
      <c r="A1723" s="20" t="s">
        <v>1555</v>
      </c>
      <c r="B1723" s="14" t="s">
        <v>1556</v>
      </c>
      <c r="C1723" s="71" t="str">
        <f t="shared" si="36"/>
        <v>Product Info</v>
      </c>
      <c r="D1723" s="37" t="s">
        <v>1557</v>
      </c>
      <c r="E1723" s="143">
        <v>1</v>
      </c>
      <c r="F1723" s="12" t="s">
        <v>4992</v>
      </c>
      <c r="G1723" s="38">
        <v>228.14</v>
      </c>
      <c r="H1723" s="38">
        <v>193.93</v>
      </c>
      <c r="I1723" s="38">
        <v>159.69999999999999</v>
      </c>
      <c r="J1723" s="39"/>
      <c r="K1723" s="12" t="s">
        <v>8905</v>
      </c>
      <c r="L1723" s="22">
        <v>0</v>
      </c>
      <c r="M1723" s="22">
        <v>0</v>
      </c>
      <c r="N1723" s="20" t="s">
        <v>14489</v>
      </c>
      <c r="O1723" s="16">
        <v>0</v>
      </c>
      <c r="P1723" s="143">
        <v>758</v>
      </c>
      <c r="Q1723" s="121" t="s">
        <v>14285</v>
      </c>
      <c r="R1723" s="16" t="s">
        <v>9235</v>
      </c>
      <c r="S1723" s="10" t="s">
        <v>1163</v>
      </c>
      <c r="T1723" s="28" t="s">
        <v>10755</v>
      </c>
      <c r="U1723" s="20" t="s">
        <v>5359</v>
      </c>
      <c r="V1723" s="16" t="s">
        <v>1555</v>
      </c>
      <c r="W1723" s="11" t="s">
        <v>14433</v>
      </c>
      <c r="X1723" s="174">
        <v>151.80000000000001</v>
      </c>
      <c r="Y1723" s="174">
        <v>193.93</v>
      </c>
    </row>
    <row r="1724" spans="1:25" ht="15" customHeight="1" x14ac:dyDescent="0.25">
      <c r="A1724" s="20" t="s">
        <v>1558</v>
      </c>
      <c r="B1724" s="14" t="s">
        <v>1559</v>
      </c>
      <c r="C1724" s="71" t="str">
        <f t="shared" si="36"/>
        <v>Product Info</v>
      </c>
      <c r="D1724" s="37" t="s">
        <v>1560</v>
      </c>
      <c r="E1724" s="143">
        <v>1</v>
      </c>
      <c r="F1724" s="12" t="s">
        <v>4992</v>
      </c>
      <c r="G1724" s="38">
        <v>228.14</v>
      </c>
      <c r="H1724" s="38">
        <v>193.93</v>
      </c>
      <c r="I1724" s="38">
        <v>159.69999999999999</v>
      </c>
      <c r="J1724" s="39"/>
      <c r="K1724" s="143"/>
      <c r="L1724" s="22">
        <v>0</v>
      </c>
      <c r="M1724" s="22">
        <v>0</v>
      </c>
      <c r="N1724" s="20" t="s">
        <v>14489</v>
      </c>
      <c r="O1724" s="16">
        <v>0</v>
      </c>
      <c r="P1724" s="143">
        <v>758</v>
      </c>
      <c r="Q1724" s="121" t="s">
        <v>14285</v>
      </c>
      <c r="R1724" s="16" t="s">
        <v>9235</v>
      </c>
      <c r="S1724" s="10" t="s">
        <v>1163</v>
      </c>
      <c r="T1724" s="28" t="s">
        <v>10756</v>
      </c>
      <c r="U1724" s="20" t="s">
        <v>5359</v>
      </c>
      <c r="V1724" s="16" t="s">
        <v>1558</v>
      </c>
      <c r="W1724" s="11" t="s">
        <v>14433</v>
      </c>
      <c r="X1724" s="174">
        <v>151.80000000000001</v>
      </c>
      <c r="Y1724" s="174">
        <v>193.93</v>
      </c>
    </row>
    <row r="1725" spans="1:25" ht="15" customHeight="1" x14ac:dyDescent="0.25">
      <c r="A1725" s="20" t="s">
        <v>5657</v>
      </c>
      <c r="B1725" s="14" t="s">
        <v>5658</v>
      </c>
      <c r="C1725" s="71" t="str">
        <f t="shared" si="36"/>
        <v>Product Info</v>
      </c>
      <c r="D1725" s="37" t="s">
        <v>5138</v>
      </c>
      <c r="E1725" s="143">
        <v>1</v>
      </c>
      <c r="F1725" s="12" t="s">
        <v>4992</v>
      </c>
      <c r="G1725" s="38">
        <v>217.94</v>
      </c>
      <c r="H1725" s="38">
        <v>185.26</v>
      </c>
      <c r="I1725" s="38">
        <v>152.56</v>
      </c>
      <c r="J1725" s="39"/>
      <c r="K1725" s="12" t="s">
        <v>8905</v>
      </c>
      <c r="L1725" s="22">
        <v>0</v>
      </c>
      <c r="M1725" s="22">
        <v>0</v>
      </c>
      <c r="N1725" s="20" t="s">
        <v>14489</v>
      </c>
      <c r="O1725" s="16">
        <v>0</v>
      </c>
      <c r="P1725" s="143">
        <v>758</v>
      </c>
      <c r="Q1725" s="121" t="s">
        <v>14285</v>
      </c>
      <c r="R1725" s="16" t="s">
        <v>9235</v>
      </c>
      <c r="S1725" s="10" t="s">
        <v>1163</v>
      </c>
      <c r="T1725" s="28" t="s">
        <v>10757</v>
      </c>
      <c r="U1725" s="20" t="s">
        <v>5359</v>
      </c>
      <c r="V1725" s="16" t="s">
        <v>5657</v>
      </c>
      <c r="W1725" s="11" t="s">
        <v>14433</v>
      </c>
      <c r="X1725" s="174">
        <v>145.01</v>
      </c>
      <c r="Y1725" s="174">
        <v>185.26</v>
      </c>
    </row>
    <row r="1726" spans="1:25" ht="15" customHeight="1" x14ac:dyDescent="0.25">
      <c r="A1726" s="20" t="s">
        <v>1561</v>
      </c>
      <c r="B1726" s="14" t="s">
        <v>1562</v>
      </c>
      <c r="C1726" s="71" t="str">
        <f t="shared" si="36"/>
        <v>Product Info</v>
      </c>
      <c r="D1726" s="37" t="s">
        <v>1563</v>
      </c>
      <c r="E1726" s="143">
        <v>1</v>
      </c>
      <c r="F1726" s="12" t="s">
        <v>4992</v>
      </c>
      <c r="G1726" s="38">
        <v>228.14</v>
      </c>
      <c r="H1726" s="38">
        <v>193.93</v>
      </c>
      <c r="I1726" s="38">
        <v>159.69999999999999</v>
      </c>
      <c r="J1726" s="39"/>
      <c r="K1726" s="12" t="s">
        <v>8905</v>
      </c>
      <c r="L1726" s="22">
        <v>0</v>
      </c>
      <c r="M1726" s="22">
        <v>0</v>
      </c>
      <c r="N1726" s="20" t="s">
        <v>14489</v>
      </c>
      <c r="O1726" s="16">
        <v>0</v>
      </c>
      <c r="P1726" s="143">
        <v>758</v>
      </c>
      <c r="Q1726" s="121" t="s">
        <v>14285</v>
      </c>
      <c r="R1726" s="16" t="s">
        <v>9235</v>
      </c>
      <c r="S1726" s="10" t="s">
        <v>1163</v>
      </c>
      <c r="T1726" s="28" t="s">
        <v>10758</v>
      </c>
      <c r="U1726" s="20" t="s">
        <v>5359</v>
      </c>
      <c r="V1726" s="16" t="s">
        <v>1561</v>
      </c>
      <c r="W1726" s="11" t="s">
        <v>14433</v>
      </c>
      <c r="X1726" s="174">
        <v>151.80000000000001</v>
      </c>
      <c r="Y1726" s="174">
        <v>193.93</v>
      </c>
    </row>
    <row r="1727" spans="1:25" ht="15" customHeight="1" x14ac:dyDescent="0.25">
      <c r="A1727" s="20" t="s">
        <v>5659</v>
      </c>
      <c r="B1727" s="14" t="s">
        <v>5660</v>
      </c>
      <c r="C1727" s="71" t="str">
        <f t="shared" si="36"/>
        <v>Product Info</v>
      </c>
      <c r="D1727" s="37" t="s">
        <v>5139</v>
      </c>
      <c r="E1727" s="143">
        <v>1</v>
      </c>
      <c r="F1727" s="12" t="s">
        <v>4992</v>
      </c>
      <c r="G1727" s="38">
        <v>254.37</v>
      </c>
      <c r="H1727" s="38">
        <v>216.22</v>
      </c>
      <c r="I1727" s="38">
        <v>178.06</v>
      </c>
      <c r="J1727" s="39"/>
      <c r="K1727" s="143"/>
      <c r="L1727" s="22">
        <v>0</v>
      </c>
      <c r="M1727" s="22">
        <v>0</v>
      </c>
      <c r="N1727" s="20" t="s">
        <v>14489</v>
      </c>
      <c r="O1727" s="16">
        <v>0</v>
      </c>
      <c r="P1727" s="143">
        <v>758</v>
      </c>
      <c r="Q1727" s="122" t="s">
        <v>12421</v>
      </c>
      <c r="R1727" s="16" t="s">
        <v>9235</v>
      </c>
      <c r="S1727" s="10" t="s">
        <v>1163</v>
      </c>
      <c r="T1727" s="28" t="s">
        <v>10759</v>
      </c>
      <c r="U1727" s="20" t="s">
        <v>5359</v>
      </c>
      <c r="V1727" s="16" t="s">
        <v>5659</v>
      </c>
      <c r="W1727" s="11" t="s">
        <v>14433</v>
      </c>
      <c r="X1727" s="174">
        <v>169.25</v>
      </c>
      <c r="Y1727" s="174">
        <v>216.22</v>
      </c>
    </row>
    <row r="1728" spans="1:25" ht="15" customHeight="1" x14ac:dyDescent="0.25">
      <c r="A1728" s="20" t="s">
        <v>1564</v>
      </c>
      <c r="B1728" s="14" t="s">
        <v>1565</v>
      </c>
      <c r="C1728" s="71" t="str">
        <f t="shared" si="36"/>
        <v>Product Info</v>
      </c>
      <c r="D1728" s="37" t="s">
        <v>1566</v>
      </c>
      <c r="E1728" s="143">
        <v>1</v>
      </c>
      <c r="F1728" s="12" t="s">
        <v>4992</v>
      </c>
      <c r="G1728" s="38">
        <v>264.57</v>
      </c>
      <c r="H1728" s="38">
        <v>224.89</v>
      </c>
      <c r="I1728" s="38">
        <v>185.2</v>
      </c>
      <c r="J1728" s="39"/>
      <c r="K1728" s="143"/>
      <c r="L1728" s="22">
        <v>0</v>
      </c>
      <c r="M1728" s="22">
        <v>0</v>
      </c>
      <c r="N1728" s="20" t="s">
        <v>14489</v>
      </c>
      <c r="O1728" s="16">
        <v>0</v>
      </c>
      <c r="P1728" s="143">
        <v>758</v>
      </c>
      <c r="Q1728" s="121" t="s">
        <v>14285</v>
      </c>
      <c r="R1728" s="16" t="s">
        <v>9235</v>
      </c>
      <c r="S1728" s="10" t="s">
        <v>1163</v>
      </c>
      <c r="T1728" s="28" t="s">
        <v>10760</v>
      </c>
      <c r="U1728" s="20" t="s">
        <v>5359</v>
      </c>
      <c r="V1728" s="16" t="s">
        <v>1564</v>
      </c>
      <c r="W1728" s="11" t="s">
        <v>14433</v>
      </c>
      <c r="X1728" s="174">
        <v>176.04</v>
      </c>
      <c r="Y1728" s="174">
        <v>224.89</v>
      </c>
    </row>
    <row r="1729" spans="1:25" ht="15" customHeight="1" x14ac:dyDescent="0.25">
      <c r="A1729" s="20" t="s">
        <v>5661</v>
      </c>
      <c r="B1729" s="14" t="s">
        <v>5662</v>
      </c>
      <c r="C1729" s="71" t="str">
        <f t="shared" si="36"/>
        <v>Product Info</v>
      </c>
      <c r="D1729" s="37" t="s">
        <v>5140</v>
      </c>
      <c r="E1729" s="143">
        <v>1</v>
      </c>
      <c r="F1729" s="12" t="s">
        <v>4992</v>
      </c>
      <c r="G1729" s="38">
        <v>254.37</v>
      </c>
      <c r="H1729" s="38">
        <v>216.22</v>
      </c>
      <c r="I1729" s="38">
        <v>178.06</v>
      </c>
      <c r="J1729" s="39"/>
      <c r="K1729" s="143"/>
      <c r="L1729" s="22">
        <v>0</v>
      </c>
      <c r="M1729" s="22">
        <v>0</v>
      </c>
      <c r="N1729" s="20" t="s">
        <v>14489</v>
      </c>
      <c r="O1729" s="16">
        <v>0</v>
      </c>
      <c r="P1729" s="143">
        <v>758</v>
      </c>
      <c r="Q1729" s="121" t="s">
        <v>14285</v>
      </c>
      <c r="R1729" s="16" t="s">
        <v>9235</v>
      </c>
      <c r="S1729" s="10" t="s">
        <v>1163</v>
      </c>
      <c r="T1729" s="28" t="s">
        <v>10761</v>
      </c>
      <c r="U1729" s="20" t="s">
        <v>5359</v>
      </c>
      <c r="V1729" s="16" t="s">
        <v>5661</v>
      </c>
      <c r="W1729" s="11" t="s">
        <v>14433</v>
      </c>
      <c r="X1729" s="174">
        <v>169.25</v>
      </c>
      <c r="Y1729" s="174">
        <v>216.22</v>
      </c>
    </row>
    <row r="1730" spans="1:25" ht="15" customHeight="1" x14ac:dyDescent="0.25">
      <c r="A1730" s="20" t="s">
        <v>1567</v>
      </c>
      <c r="B1730" s="14" t="s">
        <v>1568</v>
      </c>
      <c r="C1730" s="71" t="str">
        <f t="shared" si="36"/>
        <v>Product Info</v>
      </c>
      <c r="D1730" s="37" t="s">
        <v>1569</v>
      </c>
      <c r="E1730" s="143">
        <v>1</v>
      </c>
      <c r="F1730" s="12" t="s">
        <v>4992</v>
      </c>
      <c r="G1730" s="38">
        <v>264.57</v>
      </c>
      <c r="H1730" s="38">
        <v>224.89</v>
      </c>
      <c r="I1730" s="38">
        <v>185.2</v>
      </c>
      <c r="J1730" s="39"/>
      <c r="K1730" s="143"/>
      <c r="L1730" s="22">
        <v>0</v>
      </c>
      <c r="M1730" s="22">
        <v>0</v>
      </c>
      <c r="N1730" s="20" t="s">
        <v>14489</v>
      </c>
      <c r="O1730" s="16">
        <v>0</v>
      </c>
      <c r="P1730" s="143">
        <v>758</v>
      </c>
      <c r="Q1730" s="121" t="s">
        <v>14285</v>
      </c>
      <c r="R1730" s="16" t="s">
        <v>9235</v>
      </c>
      <c r="S1730" s="10" t="s">
        <v>1163</v>
      </c>
      <c r="T1730" s="28" t="s">
        <v>10762</v>
      </c>
      <c r="U1730" s="20" t="s">
        <v>5359</v>
      </c>
      <c r="V1730" s="16" t="s">
        <v>1567</v>
      </c>
      <c r="W1730" s="11" t="s">
        <v>14433</v>
      </c>
      <c r="X1730" s="174">
        <v>176.04</v>
      </c>
      <c r="Y1730" s="174">
        <v>224.89</v>
      </c>
    </row>
    <row r="1731" spans="1:25" ht="15" customHeight="1" x14ac:dyDescent="0.25">
      <c r="A1731" s="20" t="s">
        <v>5664</v>
      </c>
      <c r="B1731" s="14" t="s">
        <v>5665</v>
      </c>
      <c r="C1731" s="71" t="str">
        <f t="shared" si="36"/>
        <v>Product Info</v>
      </c>
      <c r="D1731" s="37" t="s">
        <v>5142</v>
      </c>
      <c r="E1731" s="143">
        <v>1</v>
      </c>
      <c r="F1731" s="12" t="s">
        <v>4992</v>
      </c>
      <c r="G1731" s="38">
        <v>217.94</v>
      </c>
      <c r="H1731" s="38">
        <v>185.26</v>
      </c>
      <c r="I1731" s="38">
        <v>152.56</v>
      </c>
      <c r="J1731" s="39"/>
      <c r="K1731" s="12" t="s">
        <v>8905</v>
      </c>
      <c r="L1731" s="22">
        <v>0</v>
      </c>
      <c r="M1731" s="22">
        <v>0</v>
      </c>
      <c r="N1731" s="20" t="s">
        <v>14489</v>
      </c>
      <c r="O1731" s="16">
        <v>0</v>
      </c>
      <c r="P1731" s="143">
        <v>758</v>
      </c>
      <c r="Q1731" s="121" t="s">
        <v>14285</v>
      </c>
      <c r="R1731" s="16" t="s">
        <v>9235</v>
      </c>
      <c r="S1731" s="10" t="s">
        <v>1163</v>
      </c>
      <c r="T1731" s="28" t="s">
        <v>10763</v>
      </c>
      <c r="U1731" s="20" t="s">
        <v>5359</v>
      </c>
      <c r="V1731" s="16" t="s">
        <v>5664</v>
      </c>
      <c r="W1731" s="11" t="s">
        <v>14433</v>
      </c>
      <c r="X1731" s="174">
        <v>145.01</v>
      </c>
      <c r="Y1731" s="174">
        <v>185.26</v>
      </c>
    </row>
    <row r="1732" spans="1:25" ht="15" customHeight="1" x14ac:dyDescent="0.25">
      <c r="A1732" s="20" t="s">
        <v>1570</v>
      </c>
      <c r="B1732" s="14" t="s">
        <v>1571</v>
      </c>
      <c r="C1732" s="71" t="str">
        <f t="shared" si="36"/>
        <v>Product Info</v>
      </c>
      <c r="D1732" s="37" t="s">
        <v>1572</v>
      </c>
      <c r="E1732" s="143">
        <v>1</v>
      </c>
      <c r="F1732" s="12" t="s">
        <v>4992</v>
      </c>
      <c r="G1732" s="38">
        <v>228.14</v>
      </c>
      <c r="H1732" s="38">
        <v>193.93</v>
      </c>
      <c r="I1732" s="38">
        <v>159.69999999999999</v>
      </c>
      <c r="J1732" s="39"/>
      <c r="K1732" s="12" t="s">
        <v>8905</v>
      </c>
      <c r="L1732" s="22">
        <v>0</v>
      </c>
      <c r="M1732" s="22">
        <v>0</v>
      </c>
      <c r="N1732" s="20" t="s">
        <v>14489</v>
      </c>
      <c r="O1732" s="16">
        <v>0</v>
      </c>
      <c r="P1732" s="143">
        <v>758</v>
      </c>
      <c r="Q1732" s="121" t="s">
        <v>14285</v>
      </c>
      <c r="R1732" s="16" t="s">
        <v>9235</v>
      </c>
      <c r="S1732" s="10" t="s">
        <v>1163</v>
      </c>
      <c r="T1732" s="28" t="s">
        <v>10764</v>
      </c>
      <c r="U1732" s="20" t="s">
        <v>5359</v>
      </c>
      <c r="V1732" s="16" t="s">
        <v>1570</v>
      </c>
      <c r="W1732" s="11" t="s">
        <v>14433</v>
      </c>
      <c r="X1732" s="174">
        <v>151.80000000000001</v>
      </c>
      <c r="Y1732" s="174">
        <v>193.93</v>
      </c>
    </row>
    <row r="1733" spans="1:25" ht="15" customHeight="1" x14ac:dyDescent="0.25">
      <c r="A1733" s="20" t="s">
        <v>5666</v>
      </c>
      <c r="B1733" s="14" t="s">
        <v>5667</v>
      </c>
      <c r="C1733" s="71" t="str">
        <f t="shared" si="36"/>
        <v>Product Info</v>
      </c>
      <c r="D1733" s="37" t="s">
        <v>5143</v>
      </c>
      <c r="E1733" s="143">
        <v>1</v>
      </c>
      <c r="F1733" s="12" t="s">
        <v>4992</v>
      </c>
      <c r="G1733" s="38">
        <v>217.94</v>
      </c>
      <c r="H1733" s="38">
        <v>185.26</v>
      </c>
      <c r="I1733" s="38">
        <v>152.56</v>
      </c>
      <c r="J1733" s="39"/>
      <c r="K1733" s="12" t="s">
        <v>8905</v>
      </c>
      <c r="L1733" s="22">
        <v>0</v>
      </c>
      <c r="M1733" s="22">
        <v>0</v>
      </c>
      <c r="N1733" s="20" t="s">
        <v>14489</v>
      </c>
      <c r="O1733" s="16">
        <v>0</v>
      </c>
      <c r="P1733" s="143">
        <v>758</v>
      </c>
      <c r="Q1733" s="122" t="s">
        <v>12421</v>
      </c>
      <c r="R1733" s="16" t="s">
        <v>9235</v>
      </c>
      <c r="S1733" s="10" t="s">
        <v>1163</v>
      </c>
      <c r="T1733" s="28" t="s">
        <v>10765</v>
      </c>
      <c r="U1733" s="20" t="s">
        <v>5359</v>
      </c>
      <c r="V1733" s="16" t="s">
        <v>5666</v>
      </c>
      <c r="W1733" s="11" t="s">
        <v>14433</v>
      </c>
      <c r="X1733" s="174">
        <v>145.01</v>
      </c>
      <c r="Y1733" s="174">
        <v>185.26</v>
      </c>
    </row>
    <row r="1734" spans="1:25" ht="15" customHeight="1" x14ac:dyDescent="0.25">
      <c r="A1734" s="20" t="s">
        <v>1573</v>
      </c>
      <c r="B1734" s="14" t="s">
        <v>1574</v>
      </c>
      <c r="C1734" s="71" t="str">
        <f t="shared" ref="C1734:C1797" si="37">HYPERLINK(T1734,U1734)</f>
        <v>Product Info</v>
      </c>
      <c r="D1734" s="37" t="s">
        <v>1575</v>
      </c>
      <c r="E1734" s="143">
        <v>1</v>
      </c>
      <c r="F1734" s="12" t="s">
        <v>4992</v>
      </c>
      <c r="G1734" s="38">
        <v>228.14</v>
      </c>
      <c r="H1734" s="38">
        <v>193.93</v>
      </c>
      <c r="I1734" s="38">
        <v>159.69999999999999</v>
      </c>
      <c r="J1734" s="39"/>
      <c r="K1734" s="12" t="s">
        <v>8905</v>
      </c>
      <c r="L1734" s="22">
        <v>0</v>
      </c>
      <c r="M1734" s="22" t="s">
        <v>12488</v>
      </c>
      <c r="N1734" s="20" t="s">
        <v>14489</v>
      </c>
      <c r="O1734" s="16" t="s">
        <v>12608</v>
      </c>
      <c r="P1734" s="143">
        <v>758</v>
      </c>
      <c r="Q1734" s="122" t="s">
        <v>12421</v>
      </c>
      <c r="R1734" s="16" t="s">
        <v>9235</v>
      </c>
      <c r="S1734" s="10" t="s">
        <v>1163</v>
      </c>
      <c r="T1734" s="28" t="s">
        <v>10766</v>
      </c>
      <c r="U1734" s="20" t="s">
        <v>5359</v>
      </c>
      <c r="V1734" s="16" t="s">
        <v>1573</v>
      </c>
      <c r="W1734" s="11" t="s">
        <v>14433</v>
      </c>
      <c r="X1734" s="174">
        <v>151.80000000000001</v>
      </c>
      <c r="Y1734" s="174">
        <v>193.93</v>
      </c>
    </row>
    <row r="1735" spans="1:25" ht="15" customHeight="1" x14ac:dyDescent="0.25">
      <c r="A1735" s="20" t="s">
        <v>5668</v>
      </c>
      <c r="B1735" s="14" t="s">
        <v>5669</v>
      </c>
      <c r="C1735" s="71" t="str">
        <f t="shared" si="37"/>
        <v>Product Info</v>
      </c>
      <c r="D1735" s="37" t="s">
        <v>5144</v>
      </c>
      <c r="E1735" s="143">
        <v>1</v>
      </c>
      <c r="F1735" s="12" t="s">
        <v>4992</v>
      </c>
      <c r="G1735" s="38">
        <v>217.94</v>
      </c>
      <c r="H1735" s="38">
        <v>185.26</v>
      </c>
      <c r="I1735" s="38">
        <v>152.56</v>
      </c>
      <c r="J1735" s="39"/>
      <c r="K1735" s="12" t="s">
        <v>8905</v>
      </c>
      <c r="L1735" s="22">
        <v>0</v>
      </c>
      <c r="M1735" s="22">
        <v>0</v>
      </c>
      <c r="N1735" s="20" t="s">
        <v>14489</v>
      </c>
      <c r="O1735" s="16">
        <v>0</v>
      </c>
      <c r="P1735" s="143">
        <v>758</v>
      </c>
      <c r="Q1735" s="121" t="s">
        <v>14285</v>
      </c>
      <c r="R1735" s="16" t="s">
        <v>9235</v>
      </c>
      <c r="S1735" s="10" t="s">
        <v>1163</v>
      </c>
      <c r="T1735" s="28" t="s">
        <v>10767</v>
      </c>
      <c r="U1735" s="20" t="s">
        <v>5359</v>
      </c>
      <c r="V1735" s="16" t="s">
        <v>5668</v>
      </c>
      <c r="W1735" s="11" t="s">
        <v>14433</v>
      </c>
      <c r="X1735" s="174">
        <v>145.01</v>
      </c>
      <c r="Y1735" s="174">
        <v>185.26</v>
      </c>
    </row>
    <row r="1736" spans="1:25" ht="15" customHeight="1" x14ac:dyDescent="0.25">
      <c r="A1736" s="20" t="s">
        <v>1576</v>
      </c>
      <c r="B1736" s="14" t="s">
        <v>1577</v>
      </c>
      <c r="C1736" s="71" t="str">
        <f t="shared" si="37"/>
        <v>Product Info</v>
      </c>
      <c r="D1736" s="37" t="s">
        <v>1578</v>
      </c>
      <c r="E1736" s="143">
        <v>1</v>
      </c>
      <c r="F1736" s="12" t="s">
        <v>4992</v>
      </c>
      <c r="G1736" s="38">
        <v>228.14</v>
      </c>
      <c r="H1736" s="38">
        <v>193.93</v>
      </c>
      <c r="I1736" s="38">
        <v>159.69999999999999</v>
      </c>
      <c r="J1736" s="39"/>
      <c r="K1736" s="12" t="s">
        <v>8905</v>
      </c>
      <c r="L1736" s="22">
        <v>0</v>
      </c>
      <c r="M1736" s="22" t="s">
        <v>12488</v>
      </c>
      <c r="N1736" s="20" t="s">
        <v>14489</v>
      </c>
      <c r="O1736" s="16" t="s">
        <v>12608</v>
      </c>
      <c r="P1736" s="143">
        <v>758</v>
      </c>
      <c r="Q1736" s="121" t="s">
        <v>14285</v>
      </c>
      <c r="R1736" s="16" t="s">
        <v>9235</v>
      </c>
      <c r="S1736" s="10" t="s">
        <v>1163</v>
      </c>
      <c r="T1736" s="28" t="s">
        <v>10768</v>
      </c>
      <c r="U1736" s="20" t="s">
        <v>5359</v>
      </c>
      <c r="V1736" s="16" t="s">
        <v>1576</v>
      </c>
      <c r="W1736" s="11" t="s">
        <v>14433</v>
      </c>
      <c r="X1736" s="174">
        <v>151.80000000000001</v>
      </c>
      <c r="Y1736" s="174">
        <v>193.93</v>
      </c>
    </row>
    <row r="1737" spans="1:25" ht="15" customHeight="1" x14ac:dyDescent="0.25">
      <c r="A1737" s="20" t="s">
        <v>5670</v>
      </c>
      <c r="B1737" s="14" t="s">
        <v>5671</v>
      </c>
      <c r="C1737" s="71" t="str">
        <f t="shared" si="37"/>
        <v>Product Info</v>
      </c>
      <c r="D1737" s="37" t="s">
        <v>5145</v>
      </c>
      <c r="E1737" s="143">
        <v>1</v>
      </c>
      <c r="F1737" s="12" t="s">
        <v>4992</v>
      </c>
      <c r="G1737" s="38">
        <v>217.94</v>
      </c>
      <c r="H1737" s="38">
        <v>185.26</v>
      </c>
      <c r="I1737" s="38">
        <v>152.56</v>
      </c>
      <c r="J1737" s="39"/>
      <c r="K1737" s="12" t="s">
        <v>8905</v>
      </c>
      <c r="L1737" s="22">
        <v>0</v>
      </c>
      <c r="M1737" s="22">
        <v>0</v>
      </c>
      <c r="N1737" s="20" t="s">
        <v>14489</v>
      </c>
      <c r="O1737" s="16">
        <v>0</v>
      </c>
      <c r="P1737" s="143">
        <v>758</v>
      </c>
      <c r="Q1737" s="121" t="s">
        <v>14285</v>
      </c>
      <c r="R1737" s="16" t="s">
        <v>9235</v>
      </c>
      <c r="S1737" s="10" t="s">
        <v>1163</v>
      </c>
      <c r="T1737" s="28" t="s">
        <v>10769</v>
      </c>
      <c r="U1737" s="20" t="s">
        <v>5359</v>
      </c>
      <c r="V1737" s="16" t="s">
        <v>5670</v>
      </c>
      <c r="W1737" s="11" t="s">
        <v>14433</v>
      </c>
      <c r="X1737" s="174">
        <v>145.01</v>
      </c>
      <c r="Y1737" s="174">
        <v>185.26</v>
      </c>
    </row>
    <row r="1738" spans="1:25" ht="15" customHeight="1" x14ac:dyDescent="0.25">
      <c r="A1738" s="20" t="s">
        <v>1579</v>
      </c>
      <c r="B1738" s="14" t="s">
        <v>1580</v>
      </c>
      <c r="C1738" s="71" t="str">
        <f t="shared" si="37"/>
        <v>Product Info</v>
      </c>
      <c r="D1738" s="37" t="s">
        <v>1581</v>
      </c>
      <c r="E1738" s="143">
        <v>1</v>
      </c>
      <c r="F1738" s="12" t="s">
        <v>4992</v>
      </c>
      <c r="G1738" s="38">
        <v>228.14</v>
      </c>
      <c r="H1738" s="38">
        <v>193.93</v>
      </c>
      <c r="I1738" s="38">
        <v>159.69999999999999</v>
      </c>
      <c r="J1738" s="39"/>
      <c r="K1738" s="12" t="s">
        <v>8905</v>
      </c>
      <c r="L1738" s="22">
        <v>0</v>
      </c>
      <c r="M1738" s="22">
        <v>0</v>
      </c>
      <c r="N1738" s="20" t="s">
        <v>14489</v>
      </c>
      <c r="O1738" s="16">
        <v>0</v>
      </c>
      <c r="P1738" s="143">
        <v>758</v>
      </c>
      <c r="Q1738" s="121" t="s">
        <v>14285</v>
      </c>
      <c r="R1738" s="16" t="s">
        <v>9235</v>
      </c>
      <c r="S1738" s="10" t="s">
        <v>1163</v>
      </c>
      <c r="T1738" s="28" t="s">
        <v>10770</v>
      </c>
      <c r="U1738" s="20" t="s">
        <v>5359</v>
      </c>
      <c r="V1738" s="16" t="s">
        <v>1579</v>
      </c>
      <c r="W1738" s="11" t="s">
        <v>14433</v>
      </c>
      <c r="X1738" s="174">
        <v>151.80000000000001</v>
      </c>
      <c r="Y1738" s="174">
        <v>193.93</v>
      </c>
    </row>
    <row r="1739" spans="1:25" ht="15" customHeight="1" x14ac:dyDescent="0.25">
      <c r="A1739" s="20" t="s">
        <v>5672</v>
      </c>
      <c r="B1739" s="14" t="s">
        <v>5673</v>
      </c>
      <c r="C1739" s="71" t="str">
        <f t="shared" si="37"/>
        <v>Product Info</v>
      </c>
      <c r="D1739" s="37" t="s">
        <v>7913</v>
      </c>
      <c r="E1739" s="143">
        <v>1</v>
      </c>
      <c r="F1739" s="12" t="s">
        <v>4992</v>
      </c>
      <c r="G1739" s="38">
        <v>217.94</v>
      </c>
      <c r="H1739" s="38">
        <v>185.26</v>
      </c>
      <c r="I1739" s="38">
        <v>152.56</v>
      </c>
      <c r="J1739" s="39"/>
      <c r="K1739" s="12" t="s">
        <v>8905</v>
      </c>
      <c r="L1739" s="22">
        <v>0</v>
      </c>
      <c r="M1739" s="22">
        <v>0</v>
      </c>
      <c r="N1739" s="20" t="s">
        <v>14489</v>
      </c>
      <c r="O1739" s="16">
        <v>0</v>
      </c>
      <c r="P1739" s="143">
        <v>758</v>
      </c>
      <c r="Q1739" s="121" t="s">
        <v>14285</v>
      </c>
      <c r="R1739" s="16" t="s">
        <v>9235</v>
      </c>
      <c r="S1739" s="10" t="s">
        <v>1163</v>
      </c>
      <c r="T1739" s="28" t="s">
        <v>10771</v>
      </c>
      <c r="U1739" s="20" t="s">
        <v>5359</v>
      </c>
      <c r="V1739" s="16" t="s">
        <v>5672</v>
      </c>
      <c r="W1739" s="11" t="s">
        <v>14433</v>
      </c>
      <c r="X1739" s="174">
        <v>145.01</v>
      </c>
      <c r="Y1739" s="174">
        <v>185.26</v>
      </c>
    </row>
    <row r="1740" spans="1:25" ht="15" customHeight="1" x14ac:dyDescent="0.25">
      <c r="A1740" s="20" t="s">
        <v>1582</v>
      </c>
      <c r="B1740" s="14" t="s">
        <v>1583</v>
      </c>
      <c r="C1740" s="71" t="str">
        <f t="shared" si="37"/>
        <v>Product Info</v>
      </c>
      <c r="D1740" s="37" t="s">
        <v>1584</v>
      </c>
      <c r="E1740" s="143">
        <v>1</v>
      </c>
      <c r="F1740" s="12" t="s">
        <v>4992</v>
      </c>
      <c r="G1740" s="38">
        <v>228.14</v>
      </c>
      <c r="H1740" s="38">
        <v>193.93</v>
      </c>
      <c r="I1740" s="38">
        <v>159.69999999999999</v>
      </c>
      <c r="J1740" s="39"/>
      <c r="K1740" s="12" t="s">
        <v>8905</v>
      </c>
      <c r="L1740" s="22">
        <v>0</v>
      </c>
      <c r="M1740" s="22">
        <v>0</v>
      </c>
      <c r="N1740" s="20" t="s">
        <v>14489</v>
      </c>
      <c r="O1740" s="16">
        <v>0</v>
      </c>
      <c r="P1740" s="143">
        <v>758</v>
      </c>
      <c r="Q1740" s="121" t="s">
        <v>14285</v>
      </c>
      <c r="R1740" s="16" t="s">
        <v>9235</v>
      </c>
      <c r="S1740" s="10" t="s">
        <v>1163</v>
      </c>
      <c r="T1740" s="28" t="s">
        <v>10772</v>
      </c>
      <c r="U1740" s="20" t="s">
        <v>5359</v>
      </c>
      <c r="V1740" s="16" t="s">
        <v>1582</v>
      </c>
      <c r="W1740" s="11" t="s">
        <v>14433</v>
      </c>
      <c r="X1740" s="174">
        <v>151.80000000000001</v>
      </c>
      <c r="Y1740" s="174">
        <v>193.93</v>
      </c>
    </row>
    <row r="1741" spans="1:25" ht="15" customHeight="1" x14ac:dyDescent="0.25">
      <c r="A1741" s="20" t="s">
        <v>5674</v>
      </c>
      <c r="B1741" s="14" t="s">
        <v>5675</v>
      </c>
      <c r="C1741" s="71" t="str">
        <f t="shared" si="37"/>
        <v>Product Info</v>
      </c>
      <c r="D1741" s="37" t="s">
        <v>7914</v>
      </c>
      <c r="E1741" s="143">
        <v>1</v>
      </c>
      <c r="F1741" s="12" t="s">
        <v>4992</v>
      </c>
      <c r="G1741" s="38">
        <v>217.94</v>
      </c>
      <c r="H1741" s="38">
        <v>185.26</v>
      </c>
      <c r="I1741" s="38">
        <v>152.56</v>
      </c>
      <c r="J1741" s="39"/>
      <c r="K1741" s="12" t="s">
        <v>8905</v>
      </c>
      <c r="L1741" s="22">
        <v>0</v>
      </c>
      <c r="M1741" s="22">
        <v>0</v>
      </c>
      <c r="N1741" s="20" t="s">
        <v>14489</v>
      </c>
      <c r="O1741" s="16">
        <v>0</v>
      </c>
      <c r="P1741" s="143">
        <v>758</v>
      </c>
      <c r="Q1741" s="121" t="s">
        <v>14285</v>
      </c>
      <c r="R1741" s="16" t="s">
        <v>9235</v>
      </c>
      <c r="S1741" s="10" t="s">
        <v>1163</v>
      </c>
      <c r="T1741" s="28" t="s">
        <v>10773</v>
      </c>
      <c r="U1741" s="20" t="s">
        <v>5359</v>
      </c>
      <c r="V1741" s="16" t="s">
        <v>5674</v>
      </c>
      <c r="W1741" s="11" t="s">
        <v>14433</v>
      </c>
      <c r="X1741" s="174">
        <v>145.01</v>
      </c>
      <c r="Y1741" s="174">
        <v>185.26</v>
      </c>
    </row>
    <row r="1742" spans="1:25" ht="15" customHeight="1" x14ac:dyDescent="0.25">
      <c r="A1742" s="20" t="s">
        <v>1585</v>
      </c>
      <c r="B1742" s="14" t="s">
        <v>1586</v>
      </c>
      <c r="C1742" s="71" t="str">
        <f t="shared" si="37"/>
        <v>Product Info</v>
      </c>
      <c r="D1742" s="37" t="s">
        <v>1587</v>
      </c>
      <c r="E1742" s="143">
        <v>1</v>
      </c>
      <c r="F1742" s="12" t="s">
        <v>4992</v>
      </c>
      <c r="G1742" s="38">
        <v>228.14</v>
      </c>
      <c r="H1742" s="38">
        <v>193.93</v>
      </c>
      <c r="I1742" s="38">
        <v>159.69999999999999</v>
      </c>
      <c r="J1742" s="39"/>
      <c r="K1742" s="12" t="s">
        <v>8905</v>
      </c>
      <c r="L1742" s="22">
        <v>0</v>
      </c>
      <c r="M1742" s="22">
        <v>0</v>
      </c>
      <c r="N1742" s="20" t="s">
        <v>14489</v>
      </c>
      <c r="O1742" s="16">
        <v>0</v>
      </c>
      <c r="P1742" s="143">
        <v>758</v>
      </c>
      <c r="Q1742" s="121" t="s">
        <v>14285</v>
      </c>
      <c r="R1742" s="16" t="s">
        <v>9235</v>
      </c>
      <c r="S1742" s="10" t="s">
        <v>1163</v>
      </c>
      <c r="T1742" s="28" t="s">
        <v>10774</v>
      </c>
      <c r="U1742" s="20" t="s">
        <v>5359</v>
      </c>
      <c r="V1742" s="16" t="s">
        <v>1585</v>
      </c>
      <c r="W1742" s="11" t="s">
        <v>14433</v>
      </c>
      <c r="X1742" s="174">
        <v>151.80000000000001</v>
      </c>
      <c r="Y1742" s="174">
        <v>193.93</v>
      </c>
    </row>
    <row r="1743" spans="1:25" ht="15" customHeight="1" x14ac:dyDescent="0.25">
      <c r="A1743" s="20" t="s">
        <v>3515</v>
      </c>
      <c r="B1743" s="14" t="s">
        <v>3516</v>
      </c>
      <c r="C1743" s="71" t="str">
        <f t="shared" si="37"/>
        <v>Product Info</v>
      </c>
      <c r="D1743" s="37" t="s">
        <v>7915</v>
      </c>
      <c r="E1743" s="143">
        <v>1</v>
      </c>
      <c r="F1743" s="12" t="s">
        <v>4992</v>
      </c>
      <c r="G1743" s="38">
        <v>217.94</v>
      </c>
      <c r="H1743" s="38">
        <v>185.26</v>
      </c>
      <c r="I1743" s="38">
        <v>152.56</v>
      </c>
      <c r="J1743" s="39"/>
      <c r="K1743" s="143"/>
      <c r="L1743" s="22">
        <v>0</v>
      </c>
      <c r="M1743" s="22">
        <v>0</v>
      </c>
      <c r="N1743" s="20" t="s">
        <v>14489</v>
      </c>
      <c r="O1743" s="16">
        <v>0</v>
      </c>
      <c r="P1743" s="143">
        <v>758</v>
      </c>
      <c r="Q1743" s="121" t="s">
        <v>14285</v>
      </c>
      <c r="R1743" s="16" t="s">
        <v>9235</v>
      </c>
      <c r="S1743" s="10" t="s">
        <v>1163</v>
      </c>
      <c r="T1743" s="28" t="s">
        <v>10775</v>
      </c>
      <c r="U1743" s="20" t="s">
        <v>5359</v>
      </c>
      <c r="V1743" s="16" t="s">
        <v>3515</v>
      </c>
      <c r="W1743" s="11" t="s">
        <v>14433</v>
      </c>
      <c r="X1743" s="174">
        <v>145.01</v>
      </c>
      <c r="Y1743" s="174">
        <v>185.26</v>
      </c>
    </row>
    <row r="1744" spans="1:25" ht="15" customHeight="1" x14ac:dyDescent="0.25">
      <c r="A1744" s="20" t="s">
        <v>1588</v>
      </c>
      <c r="B1744" s="14" t="s">
        <v>1589</v>
      </c>
      <c r="C1744" s="71" t="str">
        <f t="shared" si="37"/>
        <v>Product Info</v>
      </c>
      <c r="D1744" s="37" t="s">
        <v>1590</v>
      </c>
      <c r="E1744" s="143">
        <v>1</v>
      </c>
      <c r="F1744" s="12" t="s">
        <v>4992</v>
      </c>
      <c r="G1744" s="38">
        <v>228.14</v>
      </c>
      <c r="H1744" s="38">
        <v>193.93</v>
      </c>
      <c r="I1744" s="38">
        <v>159.69999999999999</v>
      </c>
      <c r="J1744" s="39"/>
      <c r="K1744" s="143"/>
      <c r="L1744" s="22">
        <v>0</v>
      </c>
      <c r="M1744" s="22">
        <v>0</v>
      </c>
      <c r="N1744" s="20" t="s">
        <v>14489</v>
      </c>
      <c r="O1744" s="16">
        <v>0</v>
      </c>
      <c r="P1744" s="143">
        <v>758</v>
      </c>
      <c r="Q1744" s="121" t="s">
        <v>14285</v>
      </c>
      <c r="R1744" s="16" t="s">
        <v>9235</v>
      </c>
      <c r="S1744" s="10" t="s">
        <v>1163</v>
      </c>
      <c r="T1744" s="28" t="s">
        <v>10776</v>
      </c>
      <c r="U1744" s="20" t="s">
        <v>5359</v>
      </c>
      <c r="V1744" s="16" t="s">
        <v>1588</v>
      </c>
      <c r="W1744" s="11" t="s">
        <v>14433</v>
      </c>
      <c r="X1744" s="174">
        <v>151.80000000000001</v>
      </c>
      <c r="Y1744" s="174">
        <v>193.93</v>
      </c>
    </row>
    <row r="1745" spans="1:25" ht="15" customHeight="1" x14ac:dyDescent="0.25">
      <c r="A1745" s="20" t="s">
        <v>3517</v>
      </c>
      <c r="B1745" s="14" t="s">
        <v>7687</v>
      </c>
      <c r="C1745" s="71" t="str">
        <f t="shared" si="37"/>
        <v>Product Info</v>
      </c>
      <c r="D1745" s="37" t="s">
        <v>7916</v>
      </c>
      <c r="E1745" s="143">
        <v>1</v>
      </c>
      <c r="F1745" s="12" t="s">
        <v>4992</v>
      </c>
      <c r="G1745" s="38">
        <v>254.37</v>
      </c>
      <c r="H1745" s="38">
        <v>216.22</v>
      </c>
      <c r="I1745" s="38">
        <v>178.06</v>
      </c>
      <c r="J1745" s="39"/>
      <c r="K1745" s="143"/>
      <c r="L1745" s="22">
        <v>0</v>
      </c>
      <c r="M1745" s="22">
        <v>0</v>
      </c>
      <c r="N1745" s="20" t="s">
        <v>14489</v>
      </c>
      <c r="O1745" s="16">
        <v>0</v>
      </c>
      <c r="P1745" s="143">
        <v>758</v>
      </c>
      <c r="Q1745" s="121" t="s">
        <v>14285</v>
      </c>
      <c r="R1745" s="16" t="s">
        <v>9235</v>
      </c>
      <c r="S1745" s="10" t="s">
        <v>1163</v>
      </c>
      <c r="T1745" s="28" t="s">
        <v>10777</v>
      </c>
      <c r="U1745" s="20" t="s">
        <v>5359</v>
      </c>
      <c r="V1745" s="16" t="s">
        <v>3517</v>
      </c>
      <c r="W1745" s="11" t="s">
        <v>14433</v>
      </c>
      <c r="X1745" s="174">
        <v>169.25</v>
      </c>
      <c r="Y1745" s="174">
        <v>216.22</v>
      </c>
    </row>
    <row r="1746" spans="1:25" ht="15" customHeight="1" x14ac:dyDescent="0.25">
      <c r="A1746" s="20" t="s">
        <v>1591</v>
      </c>
      <c r="B1746" s="14" t="s">
        <v>1592</v>
      </c>
      <c r="C1746" s="71" t="str">
        <f t="shared" si="37"/>
        <v>Product Info</v>
      </c>
      <c r="D1746" s="37" t="s">
        <v>1593</v>
      </c>
      <c r="E1746" s="143">
        <v>1</v>
      </c>
      <c r="F1746" s="12" t="s">
        <v>4992</v>
      </c>
      <c r="G1746" s="38">
        <v>264.57</v>
      </c>
      <c r="H1746" s="38">
        <v>224.89</v>
      </c>
      <c r="I1746" s="38">
        <v>185.2</v>
      </c>
      <c r="J1746" s="39"/>
      <c r="K1746" s="143"/>
      <c r="L1746" s="22">
        <v>0</v>
      </c>
      <c r="M1746" s="22">
        <v>0</v>
      </c>
      <c r="N1746" s="20" t="s">
        <v>14489</v>
      </c>
      <c r="O1746" s="16">
        <v>0</v>
      </c>
      <c r="P1746" s="143">
        <v>758</v>
      </c>
      <c r="Q1746" s="121" t="s">
        <v>14285</v>
      </c>
      <c r="R1746" s="16" t="s">
        <v>9235</v>
      </c>
      <c r="S1746" s="10" t="s">
        <v>1163</v>
      </c>
      <c r="T1746" s="28" t="s">
        <v>10778</v>
      </c>
      <c r="U1746" s="20" t="s">
        <v>5359</v>
      </c>
      <c r="V1746" s="16" t="s">
        <v>1591</v>
      </c>
      <c r="W1746" s="11" t="s">
        <v>14433</v>
      </c>
      <c r="X1746" s="174">
        <v>176.04</v>
      </c>
      <c r="Y1746" s="174">
        <v>224.89</v>
      </c>
    </row>
    <row r="1747" spans="1:25" ht="15" customHeight="1" x14ac:dyDescent="0.25">
      <c r="A1747" s="20" t="s">
        <v>7688</v>
      </c>
      <c r="B1747" s="14" t="s">
        <v>7689</v>
      </c>
      <c r="C1747" s="71" t="str">
        <f t="shared" si="37"/>
        <v>Product Info</v>
      </c>
      <c r="D1747" s="37" t="s">
        <v>7265</v>
      </c>
      <c r="E1747" s="143">
        <v>1</v>
      </c>
      <c r="F1747" s="12" t="s">
        <v>4992</v>
      </c>
      <c r="G1747" s="38">
        <v>254.37</v>
      </c>
      <c r="H1747" s="38">
        <v>216.22</v>
      </c>
      <c r="I1747" s="38">
        <v>178.06</v>
      </c>
      <c r="J1747" s="39"/>
      <c r="K1747" s="143"/>
      <c r="L1747" s="22">
        <v>0</v>
      </c>
      <c r="M1747" s="22">
        <v>0</v>
      </c>
      <c r="N1747" s="20" t="s">
        <v>14489</v>
      </c>
      <c r="O1747" s="16">
        <v>0</v>
      </c>
      <c r="P1747" s="143">
        <v>758</v>
      </c>
      <c r="Q1747" s="122" t="s">
        <v>12421</v>
      </c>
      <c r="R1747" s="16" t="s">
        <v>9235</v>
      </c>
      <c r="S1747" s="10" t="s">
        <v>1163</v>
      </c>
      <c r="T1747" s="28" t="s">
        <v>10779</v>
      </c>
      <c r="U1747" s="20" t="s">
        <v>5359</v>
      </c>
      <c r="V1747" s="16" t="s">
        <v>7688</v>
      </c>
      <c r="W1747" s="11" t="s">
        <v>14433</v>
      </c>
      <c r="X1747" s="174">
        <v>169.25</v>
      </c>
      <c r="Y1747" s="174">
        <v>216.22</v>
      </c>
    </row>
    <row r="1748" spans="1:25" ht="15" customHeight="1" x14ac:dyDescent="0.25">
      <c r="A1748" s="20" t="s">
        <v>1594</v>
      </c>
      <c r="B1748" s="14" t="s">
        <v>1595</v>
      </c>
      <c r="C1748" s="71" t="str">
        <f t="shared" si="37"/>
        <v>Product Info</v>
      </c>
      <c r="D1748" s="37" t="s">
        <v>1596</v>
      </c>
      <c r="E1748" s="143">
        <v>1</v>
      </c>
      <c r="F1748" s="12" t="s">
        <v>4992</v>
      </c>
      <c r="G1748" s="38">
        <v>264.57</v>
      </c>
      <c r="H1748" s="38">
        <v>224.89</v>
      </c>
      <c r="I1748" s="38">
        <v>185.2</v>
      </c>
      <c r="J1748" s="39"/>
      <c r="K1748" s="143"/>
      <c r="L1748" s="22">
        <v>0</v>
      </c>
      <c r="M1748" s="22">
        <v>0</v>
      </c>
      <c r="N1748" s="20" t="s">
        <v>14489</v>
      </c>
      <c r="O1748" s="16">
        <v>0</v>
      </c>
      <c r="P1748" s="143">
        <v>758</v>
      </c>
      <c r="Q1748" s="121" t="s">
        <v>14285</v>
      </c>
      <c r="R1748" s="16" t="s">
        <v>9235</v>
      </c>
      <c r="S1748" s="10" t="s">
        <v>1163</v>
      </c>
      <c r="T1748" s="28" t="s">
        <v>10780</v>
      </c>
      <c r="U1748" s="20" t="s">
        <v>5359</v>
      </c>
      <c r="V1748" s="16" t="s">
        <v>1594</v>
      </c>
      <c r="W1748" s="11" t="s">
        <v>14433</v>
      </c>
      <c r="X1748" s="174">
        <v>176.04</v>
      </c>
      <c r="Y1748" s="174">
        <v>224.89</v>
      </c>
    </row>
    <row r="1749" spans="1:25" ht="15" customHeight="1" x14ac:dyDescent="0.25">
      <c r="A1749" s="20" t="s">
        <v>7690</v>
      </c>
      <c r="B1749" s="14" t="s">
        <v>7691</v>
      </c>
      <c r="C1749" s="71" t="str">
        <f t="shared" si="37"/>
        <v>Product Info</v>
      </c>
      <c r="D1749" s="37" t="s">
        <v>7266</v>
      </c>
      <c r="E1749" s="143">
        <v>1</v>
      </c>
      <c r="F1749" s="12" t="s">
        <v>4992</v>
      </c>
      <c r="G1749" s="38">
        <v>254.37</v>
      </c>
      <c r="H1749" s="38">
        <v>216.22</v>
      </c>
      <c r="I1749" s="38">
        <v>178.06</v>
      </c>
      <c r="J1749" s="39"/>
      <c r="K1749" s="143"/>
      <c r="L1749" s="22">
        <v>0</v>
      </c>
      <c r="M1749" s="22">
        <v>0</v>
      </c>
      <c r="N1749" s="20" t="s">
        <v>14489</v>
      </c>
      <c r="O1749" s="16">
        <v>0</v>
      </c>
      <c r="P1749" s="143">
        <v>758</v>
      </c>
      <c r="Q1749" s="121" t="s">
        <v>14285</v>
      </c>
      <c r="R1749" s="16" t="s">
        <v>9235</v>
      </c>
      <c r="S1749" s="10" t="s">
        <v>1163</v>
      </c>
      <c r="T1749" s="28" t="s">
        <v>10781</v>
      </c>
      <c r="U1749" s="20" t="s">
        <v>5359</v>
      </c>
      <c r="V1749" s="16" t="s">
        <v>7690</v>
      </c>
      <c r="W1749" s="11" t="s">
        <v>14433</v>
      </c>
      <c r="X1749" s="174">
        <v>169.25</v>
      </c>
      <c r="Y1749" s="174">
        <v>216.22</v>
      </c>
    </row>
    <row r="1750" spans="1:25" ht="15" customHeight="1" x14ac:dyDescent="0.25">
      <c r="A1750" s="20" t="s">
        <v>1597</v>
      </c>
      <c r="B1750" s="14" t="s">
        <v>1598</v>
      </c>
      <c r="C1750" s="71" t="str">
        <f t="shared" si="37"/>
        <v>Product Info</v>
      </c>
      <c r="D1750" s="37" t="s">
        <v>1599</v>
      </c>
      <c r="E1750" s="143">
        <v>1</v>
      </c>
      <c r="F1750" s="12" t="s">
        <v>4992</v>
      </c>
      <c r="G1750" s="38">
        <v>264.57</v>
      </c>
      <c r="H1750" s="38">
        <v>224.89</v>
      </c>
      <c r="I1750" s="38">
        <v>185.2</v>
      </c>
      <c r="J1750" s="39"/>
      <c r="K1750" s="143"/>
      <c r="L1750" s="22">
        <v>0</v>
      </c>
      <c r="M1750" s="22">
        <v>0</v>
      </c>
      <c r="N1750" s="20" t="s">
        <v>14489</v>
      </c>
      <c r="O1750" s="16">
        <v>0</v>
      </c>
      <c r="P1750" s="143">
        <v>758</v>
      </c>
      <c r="Q1750" s="121" t="s">
        <v>14285</v>
      </c>
      <c r="R1750" s="16" t="s">
        <v>9235</v>
      </c>
      <c r="S1750" s="10" t="s">
        <v>1163</v>
      </c>
      <c r="T1750" s="28" t="s">
        <v>10782</v>
      </c>
      <c r="U1750" s="20" t="s">
        <v>5359</v>
      </c>
      <c r="V1750" s="16" t="s">
        <v>1597</v>
      </c>
      <c r="W1750" s="11" t="s">
        <v>14433</v>
      </c>
      <c r="X1750" s="174">
        <v>176.04</v>
      </c>
      <c r="Y1750" s="174">
        <v>224.89</v>
      </c>
    </row>
    <row r="1751" spans="1:25" ht="15" customHeight="1" x14ac:dyDescent="0.25">
      <c r="A1751" s="20" t="s">
        <v>6335</v>
      </c>
      <c r="B1751" s="14" t="s">
        <v>6336</v>
      </c>
      <c r="C1751" s="71" t="str">
        <f t="shared" si="37"/>
        <v>Product Info</v>
      </c>
      <c r="D1751" s="37" t="s">
        <v>7270</v>
      </c>
      <c r="E1751" s="143">
        <v>1</v>
      </c>
      <c r="F1751" s="12" t="s">
        <v>4992</v>
      </c>
      <c r="G1751" s="38">
        <v>217.94</v>
      </c>
      <c r="H1751" s="38">
        <v>185.26</v>
      </c>
      <c r="I1751" s="38">
        <v>152.56</v>
      </c>
      <c r="J1751" s="39"/>
      <c r="K1751" s="143"/>
      <c r="L1751" s="22">
        <v>0</v>
      </c>
      <c r="M1751" s="22">
        <v>0</v>
      </c>
      <c r="N1751" s="20" t="s">
        <v>14489</v>
      </c>
      <c r="O1751" s="16">
        <v>0</v>
      </c>
      <c r="P1751" s="143">
        <v>758</v>
      </c>
      <c r="Q1751" s="122" t="s">
        <v>12421</v>
      </c>
      <c r="R1751" s="16" t="s">
        <v>9235</v>
      </c>
      <c r="S1751" s="10" t="s">
        <v>1163</v>
      </c>
      <c r="T1751" s="28" t="s">
        <v>10783</v>
      </c>
      <c r="U1751" s="20" t="s">
        <v>5359</v>
      </c>
      <c r="V1751" s="16" t="s">
        <v>6335</v>
      </c>
      <c r="W1751" s="11" t="s">
        <v>14433</v>
      </c>
      <c r="X1751" s="174">
        <v>145.01</v>
      </c>
      <c r="Y1751" s="174">
        <v>185.26</v>
      </c>
    </row>
    <row r="1752" spans="1:25" ht="15" customHeight="1" x14ac:dyDescent="0.25">
      <c r="A1752" s="20" t="s">
        <v>1600</v>
      </c>
      <c r="B1752" s="14" t="s">
        <v>1601</v>
      </c>
      <c r="C1752" s="71" t="str">
        <f t="shared" si="37"/>
        <v>Product Info</v>
      </c>
      <c r="D1752" s="37" t="s">
        <v>1602</v>
      </c>
      <c r="E1752" s="143">
        <v>1</v>
      </c>
      <c r="F1752" s="12" t="s">
        <v>4992</v>
      </c>
      <c r="G1752" s="38">
        <v>228.14</v>
      </c>
      <c r="H1752" s="38">
        <v>193.93</v>
      </c>
      <c r="I1752" s="38">
        <v>159.69999999999999</v>
      </c>
      <c r="J1752" s="39"/>
      <c r="K1752" s="12" t="s">
        <v>8905</v>
      </c>
      <c r="L1752" s="22">
        <v>0</v>
      </c>
      <c r="M1752" s="22">
        <v>0</v>
      </c>
      <c r="N1752" s="20" t="s">
        <v>14489</v>
      </c>
      <c r="O1752" s="16">
        <v>0</v>
      </c>
      <c r="P1752" s="143">
        <v>758</v>
      </c>
      <c r="Q1752" s="122" t="s">
        <v>12421</v>
      </c>
      <c r="R1752" s="16" t="s">
        <v>9235</v>
      </c>
      <c r="S1752" s="10" t="s">
        <v>1163</v>
      </c>
      <c r="T1752" s="28" t="s">
        <v>10784</v>
      </c>
      <c r="U1752" s="20" t="s">
        <v>5359</v>
      </c>
      <c r="V1752" s="16" t="s">
        <v>1600</v>
      </c>
      <c r="W1752" s="11" t="s">
        <v>14433</v>
      </c>
      <c r="X1752" s="174">
        <v>151.80000000000001</v>
      </c>
      <c r="Y1752" s="174">
        <v>193.93</v>
      </c>
    </row>
    <row r="1753" spans="1:25" ht="15" customHeight="1" x14ac:dyDescent="0.25">
      <c r="A1753" s="20" t="s">
        <v>7137</v>
      </c>
      <c r="B1753" s="14" t="s">
        <v>7138</v>
      </c>
      <c r="C1753" s="71" t="str">
        <f t="shared" si="37"/>
        <v>Product Info</v>
      </c>
      <c r="D1753" s="37" t="s">
        <v>7271</v>
      </c>
      <c r="E1753" s="143">
        <v>1</v>
      </c>
      <c r="F1753" s="12" t="s">
        <v>4992</v>
      </c>
      <c r="G1753" s="38">
        <v>217.94</v>
      </c>
      <c r="H1753" s="38">
        <v>185.26</v>
      </c>
      <c r="I1753" s="38">
        <v>152.56</v>
      </c>
      <c r="J1753" s="39"/>
      <c r="K1753" s="12" t="s">
        <v>8905</v>
      </c>
      <c r="L1753" s="22">
        <v>0</v>
      </c>
      <c r="M1753" s="22">
        <v>0</v>
      </c>
      <c r="N1753" s="20" t="s">
        <v>14489</v>
      </c>
      <c r="O1753" s="16">
        <v>0</v>
      </c>
      <c r="P1753" s="143">
        <v>758</v>
      </c>
      <c r="Q1753" s="121" t="s">
        <v>14285</v>
      </c>
      <c r="R1753" s="16" t="s">
        <v>9235</v>
      </c>
      <c r="S1753" s="10" t="s">
        <v>1163</v>
      </c>
      <c r="T1753" s="28" t="s">
        <v>10785</v>
      </c>
      <c r="U1753" s="20" t="s">
        <v>5359</v>
      </c>
      <c r="V1753" s="16" t="s">
        <v>7137</v>
      </c>
      <c r="W1753" s="11" t="s">
        <v>14433</v>
      </c>
      <c r="X1753" s="174">
        <v>145.01</v>
      </c>
      <c r="Y1753" s="174">
        <v>185.26</v>
      </c>
    </row>
    <row r="1754" spans="1:25" ht="15" customHeight="1" x14ac:dyDescent="0.25">
      <c r="A1754" s="20" t="s">
        <v>1603</v>
      </c>
      <c r="B1754" s="14" t="s">
        <v>1604</v>
      </c>
      <c r="C1754" s="71" t="str">
        <f t="shared" si="37"/>
        <v>Product Info</v>
      </c>
      <c r="D1754" s="37" t="s">
        <v>1605</v>
      </c>
      <c r="E1754" s="143">
        <v>1</v>
      </c>
      <c r="F1754" s="12" t="s">
        <v>4992</v>
      </c>
      <c r="G1754" s="38">
        <v>228.14</v>
      </c>
      <c r="H1754" s="38">
        <v>193.93</v>
      </c>
      <c r="I1754" s="38">
        <v>159.69999999999999</v>
      </c>
      <c r="J1754" s="39"/>
      <c r="K1754" s="12" t="s">
        <v>8905</v>
      </c>
      <c r="L1754" s="22">
        <v>0</v>
      </c>
      <c r="M1754" s="22">
        <v>0</v>
      </c>
      <c r="N1754" s="20" t="s">
        <v>14489</v>
      </c>
      <c r="O1754" s="16">
        <v>0</v>
      </c>
      <c r="P1754" s="143">
        <v>758</v>
      </c>
      <c r="Q1754" s="121" t="s">
        <v>14285</v>
      </c>
      <c r="R1754" s="16" t="s">
        <v>9235</v>
      </c>
      <c r="S1754" s="10" t="s">
        <v>1163</v>
      </c>
      <c r="T1754" s="28" t="s">
        <v>10786</v>
      </c>
      <c r="U1754" s="20" t="s">
        <v>5359</v>
      </c>
      <c r="V1754" s="16" t="s">
        <v>1603</v>
      </c>
      <c r="W1754" s="11" t="s">
        <v>14433</v>
      </c>
      <c r="X1754" s="174">
        <v>151.80000000000001</v>
      </c>
      <c r="Y1754" s="174">
        <v>193.93</v>
      </c>
    </row>
    <row r="1755" spans="1:25" ht="15" customHeight="1" x14ac:dyDescent="0.25">
      <c r="A1755" s="20" t="s">
        <v>7139</v>
      </c>
      <c r="B1755" s="14" t="s">
        <v>7140</v>
      </c>
      <c r="C1755" s="71" t="str">
        <f t="shared" si="37"/>
        <v>Product Info</v>
      </c>
      <c r="D1755" s="37" t="s">
        <v>7272</v>
      </c>
      <c r="E1755" s="143">
        <v>1</v>
      </c>
      <c r="F1755" s="12" t="s">
        <v>4992</v>
      </c>
      <c r="G1755" s="38">
        <v>217.94</v>
      </c>
      <c r="H1755" s="38">
        <v>185.26</v>
      </c>
      <c r="I1755" s="38">
        <v>152.56</v>
      </c>
      <c r="J1755" s="39"/>
      <c r="K1755" s="12" t="s">
        <v>8905</v>
      </c>
      <c r="L1755" s="22">
        <v>0</v>
      </c>
      <c r="M1755" s="22">
        <v>0</v>
      </c>
      <c r="N1755" s="20" t="s">
        <v>14489</v>
      </c>
      <c r="O1755" s="16">
        <v>0</v>
      </c>
      <c r="P1755" s="143">
        <v>758</v>
      </c>
      <c r="Q1755" s="121" t="s">
        <v>14285</v>
      </c>
      <c r="R1755" s="16" t="s">
        <v>9235</v>
      </c>
      <c r="S1755" s="10" t="s">
        <v>1163</v>
      </c>
      <c r="T1755" s="28" t="s">
        <v>10787</v>
      </c>
      <c r="U1755" s="20" t="s">
        <v>5359</v>
      </c>
      <c r="V1755" s="16" t="s">
        <v>7139</v>
      </c>
      <c r="W1755" s="11" t="s">
        <v>14433</v>
      </c>
      <c r="X1755" s="174">
        <v>145.01</v>
      </c>
      <c r="Y1755" s="174">
        <v>185.26</v>
      </c>
    </row>
    <row r="1756" spans="1:25" ht="15" customHeight="1" x14ac:dyDescent="0.25">
      <c r="A1756" s="20" t="s">
        <v>1606</v>
      </c>
      <c r="B1756" s="14" t="s">
        <v>1607</v>
      </c>
      <c r="C1756" s="71" t="str">
        <f t="shared" si="37"/>
        <v>Product Info</v>
      </c>
      <c r="D1756" s="37" t="s">
        <v>1608</v>
      </c>
      <c r="E1756" s="143">
        <v>1</v>
      </c>
      <c r="F1756" s="12" t="s">
        <v>4992</v>
      </c>
      <c r="G1756" s="38">
        <v>228.14</v>
      </c>
      <c r="H1756" s="38">
        <v>193.93</v>
      </c>
      <c r="I1756" s="38">
        <v>159.69999999999999</v>
      </c>
      <c r="J1756" s="39"/>
      <c r="K1756" s="12" t="s">
        <v>8905</v>
      </c>
      <c r="L1756" s="22">
        <v>0</v>
      </c>
      <c r="M1756" s="22">
        <v>0</v>
      </c>
      <c r="N1756" s="20" t="s">
        <v>14489</v>
      </c>
      <c r="O1756" s="16">
        <v>0</v>
      </c>
      <c r="P1756" s="143">
        <v>758</v>
      </c>
      <c r="Q1756" s="122" t="s">
        <v>12421</v>
      </c>
      <c r="R1756" s="16" t="s">
        <v>9235</v>
      </c>
      <c r="S1756" s="10" t="s">
        <v>1163</v>
      </c>
      <c r="T1756" s="28" t="s">
        <v>10788</v>
      </c>
      <c r="U1756" s="20" t="s">
        <v>5359</v>
      </c>
      <c r="V1756" s="16" t="s">
        <v>1606</v>
      </c>
      <c r="W1756" s="11" t="s">
        <v>14433</v>
      </c>
      <c r="X1756" s="174">
        <v>151.80000000000001</v>
      </c>
      <c r="Y1756" s="174">
        <v>193.93</v>
      </c>
    </row>
    <row r="1757" spans="1:25" ht="15" customHeight="1" x14ac:dyDescent="0.25">
      <c r="A1757" s="20" t="s">
        <v>7141</v>
      </c>
      <c r="B1757" s="14" t="s">
        <v>7142</v>
      </c>
      <c r="C1757" s="71" t="str">
        <f t="shared" si="37"/>
        <v>Product Info</v>
      </c>
      <c r="D1757" s="37" t="s">
        <v>7273</v>
      </c>
      <c r="E1757" s="143">
        <v>1</v>
      </c>
      <c r="F1757" s="12" t="s">
        <v>4992</v>
      </c>
      <c r="G1757" s="38">
        <v>217.94</v>
      </c>
      <c r="H1757" s="38">
        <v>185.26</v>
      </c>
      <c r="I1757" s="38">
        <v>152.56</v>
      </c>
      <c r="J1757" s="39"/>
      <c r="K1757" s="143"/>
      <c r="L1757" s="22">
        <v>0</v>
      </c>
      <c r="M1757" s="22">
        <v>0</v>
      </c>
      <c r="N1757" s="20" t="s">
        <v>14489</v>
      </c>
      <c r="O1757" s="16">
        <v>0</v>
      </c>
      <c r="P1757" s="143">
        <v>758</v>
      </c>
      <c r="Q1757" s="121" t="s">
        <v>14285</v>
      </c>
      <c r="R1757" s="16" t="s">
        <v>9235</v>
      </c>
      <c r="S1757" s="10" t="s">
        <v>1163</v>
      </c>
      <c r="T1757" s="28" t="s">
        <v>10789</v>
      </c>
      <c r="U1757" s="20" t="s">
        <v>5359</v>
      </c>
      <c r="V1757" s="16" t="s">
        <v>7141</v>
      </c>
      <c r="W1757" s="11" t="s">
        <v>14433</v>
      </c>
      <c r="X1757" s="174">
        <v>145.01</v>
      </c>
      <c r="Y1757" s="174">
        <v>185.26</v>
      </c>
    </row>
    <row r="1758" spans="1:25" ht="15" customHeight="1" x14ac:dyDescent="0.25">
      <c r="A1758" s="20" t="s">
        <v>1609</v>
      </c>
      <c r="B1758" s="14" t="s">
        <v>1610</v>
      </c>
      <c r="C1758" s="71" t="str">
        <f t="shared" si="37"/>
        <v>Product Info</v>
      </c>
      <c r="D1758" s="37" t="s">
        <v>1611</v>
      </c>
      <c r="E1758" s="143">
        <v>1</v>
      </c>
      <c r="F1758" s="12" t="s">
        <v>4992</v>
      </c>
      <c r="G1758" s="38">
        <v>228.14</v>
      </c>
      <c r="H1758" s="38">
        <v>193.93</v>
      </c>
      <c r="I1758" s="38">
        <v>159.69999999999999</v>
      </c>
      <c r="J1758" s="39"/>
      <c r="K1758" s="143"/>
      <c r="L1758" s="22">
        <v>0</v>
      </c>
      <c r="M1758" s="22">
        <v>0</v>
      </c>
      <c r="N1758" s="20" t="s">
        <v>14489</v>
      </c>
      <c r="O1758" s="16">
        <v>0</v>
      </c>
      <c r="P1758" s="143">
        <v>758</v>
      </c>
      <c r="Q1758" s="121" t="s">
        <v>14285</v>
      </c>
      <c r="R1758" s="16" t="s">
        <v>9235</v>
      </c>
      <c r="S1758" s="10" t="s">
        <v>1163</v>
      </c>
      <c r="T1758" s="28" t="s">
        <v>10790</v>
      </c>
      <c r="U1758" s="20" t="s">
        <v>5359</v>
      </c>
      <c r="V1758" s="16" t="s">
        <v>1609</v>
      </c>
      <c r="W1758" s="11" t="s">
        <v>14433</v>
      </c>
      <c r="X1758" s="174">
        <v>151.80000000000001</v>
      </c>
      <c r="Y1758" s="174">
        <v>193.93</v>
      </c>
    </row>
    <row r="1759" spans="1:25" ht="15" customHeight="1" x14ac:dyDescent="0.25">
      <c r="A1759" s="20" t="s">
        <v>7143</v>
      </c>
      <c r="B1759" s="14" t="s">
        <v>7144</v>
      </c>
      <c r="C1759" s="71" t="str">
        <f t="shared" si="37"/>
        <v>Product Info</v>
      </c>
      <c r="D1759" s="37" t="s">
        <v>7274</v>
      </c>
      <c r="E1759" s="143">
        <v>1</v>
      </c>
      <c r="F1759" s="12" t="s">
        <v>4992</v>
      </c>
      <c r="G1759" s="38">
        <v>217.94</v>
      </c>
      <c r="H1759" s="38">
        <v>185.26</v>
      </c>
      <c r="I1759" s="38">
        <v>152.56</v>
      </c>
      <c r="J1759" s="39"/>
      <c r="K1759" s="143"/>
      <c r="L1759" s="22">
        <v>9</v>
      </c>
      <c r="M1759" s="22" t="s">
        <v>12488</v>
      </c>
      <c r="N1759" s="20" t="s">
        <v>9306</v>
      </c>
      <c r="O1759" s="16" t="s">
        <v>12608</v>
      </c>
      <c r="P1759" s="143">
        <v>758</v>
      </c>
      <c r="Q1759" s="122" t="s">
        <v>12421</v>
      </c>
      <c r="R1759" s="16" t="s">
        <v>9235</v>
      </c>
      <c r="S1759" s="10" t="s">
        <v>1163</v>
      </c>
      <c r="T1759" s="28" t="s">
        <v>10791</v>
      </c>
      <c r="U1759" s="20" t="s">
        <v>5359</v>
      </c>
      <c r="V1759" s="16" t="s">
        <v>7143</v>
      </c>
      <c r="W1759" s="11" t="s">
        <v>14433</v>
      </c>
      <c r="X1759" s="174">
        <v>145.01</v>
      </c>
      <c r="Y1759" s="174">
        <v>185.26</v>
      </c>
    </row>
    <row r="1760" spans="1:25" ht="15" customHeight="1" x14ac:dyDescent="0.25">
      <c r="A1760" s="20" t="s">
        <v>1612</v>
      </c>
      <c r="B1760" s="14" t="s">
        <v>1613</v>
      </c>
      <c r="C1760" s="71" t="str">
        <f t="shared" si="37"/>
        <v>Product Info</v>
      </c>
      <c r="D1760" s="37" t="s">
        <v>1614</v>
      </c>
      <c r="E1760" s="143">
        <v>1</v>
      </c>
      <c r="F1760" s="12" t="s">
        <v>4992</v>
      </c>
      <c r="G1760" s="38">
        <v>228.14</v>
      </c>
      <c r="H1760" s="38">
        <v>193.93</v>
      </c>
      <c r="I1760" s="38">
        <v>159.69999999999999</v>
      </c>
      <c r="J1760" s="39"/>
      <c r="K1760" s="143"/>
      <c r="L1760" s="22">
        <v>0</v>
      </c>
      <c r="M1760" s="22">
        <v>0</v>
      </c>
      <c r="N1760" s="20" t="s">
        <v>14489</v>
      </c>
      <c r="O1760" s="16">
        <v>0</v>
      </c>
      <c r="P1760" s="143">
        <v>758</v>
      </c>
      <c r="Q1760" s="121" t="s">
        <v>14285</v>
      </c>
      <c r="R1760" s="16" t="s">
        <v>9235</v>
      </c>
      <c r="S1760" s="10" t="s">
        <v>1163</v>
      </c>
      <c r="T1760" s="28" t="s">
        <v>10792</v>
      </c>
      <c r="U1760" s="20" t="s">
        <v>5359</v>
      </c>
      <c r="V1760" s="16" t="s">
        <v>1612</v>
      </c>
      <c r="W1760" s="11" t="s">
        <v>14433</v>
      </c>
      <c r="X1760" s="174">
        <v>151.80000000000001</v>
      </c>
      <c r="Y1760" s="174">
        <v>193.93</v>
      </c>
    </row>
    <row r="1761" spans="1:25" ht="15" customHeight="1" x14ac:dyDescent="0.25">
      <c r="A1761" s="20" t="s">
        <v>7145</v>
      </c>
      <c r="B1761" s="14" t="s">
        <v>7146</v>
      </c>
      <c r="C1761" s="71" t="str">
        <f t="shared" si="37"/>
        <v>Product Info</v>
      </c>
      <c r="D1761" s="37" t="s">
        <v>7275</v>
      </c>
      <c r="E1761" s="143">
        <v>1</v>
      </c>
      <c r="F1761" s="12" t="s">
        <v>4992</v>
      </c>
      <c r="G1761" s="38">
        <v>217.94</v>
      </c>
      <c r="H1761" s="38">
        <v>185.26</v>
      </c>
      <c r="I1761" s="38">
        <v>152.56</v>
      </c>
      <c r="J1761" s="39"/>
      <c r="K1761" s="143"/>
      <c r="L1761" s="22">
        <v>0</v>
      </c>
      <c r="M1761" s="22">
        <v>0</v>
      </c>
      <c r="N1761" s="20" t="s">
        <v>14489</v>
      </c>
      <c r="O1761" s="16">
        <v>0</v>
      </c>
      <c r="P1761" s="143">
        <v>758</v>
      </c>
      <c r="Q1761" s="121" t="s">
        <v>14285</v>
      </c>
      <c r="R1761" s="16" t="s">
        <v>9235</v>
      </c>
      <c r="S1761" s="10" t="s">
        <v>1163</v>
      </c>
      <c r="T1761" s="28" t="s">
        <v>10793</v>
      </c>
      <c r="U1761" s="20" t="s">
        <v>5359</v>
      </c>
      <c r="V1761" s="16" t="s">
        <v>7145</v>
      </c>
      <c r="W1761" s="11" t="s">
        <v>14433</v>
      </c>
      <c r="X1761" s="174">
        <v>145.01</v>
      </c>
      <c r="Y1761" s="174">
        <v>185.26</v>
      </c>
    </row>
    <row r="1762" spans="1:25" ht="15" customHeight="1" x14ac:dyDescent="0.25">
      <c r="A1762" s="20" t="s">
        <v>1615</v>
      </c>
      <c r="B1762" s="14" t="s">
        <v>1616</v>
      </c>
      <c r="C1762" s="71" t="str">
        <f t="shared" si="37"/>
        <v>Product Info</v>
      </c>
      <c r="D1762" s="37" t="s">
        <v>1617</v>
      </c>
      <c r="E1762" s="143">
        <v>1</v>
      </c>
      <c r="F1762" s="12" t="s">
        <v>4992</v>
      </c>
      <c r="G1762" s="38">
        <v>228.14</v>
      </c>
      <c r="H1762" s="38">
        <v>193.93</v>
      </c>
      <c r="I1762" s="38">
        <v>159.69999999999999</v>
      </c>
      <c r="J1762" s="39"/>
      <c r="K1762" s="143"/>
      <c r="L1762" s="22">
        <v>0</v>
      </c>
      <c r="M1762" s="22">
        <v>0</v>
      </c>
      <c r="N1762" s="20" t="s">
        <v>14489</v>
      </c>
      <c r="O1762" s="16">
        <v>0</v>
      </c>
      <c r="P1762" s="143">
        <v>758</v>
      </c>
      <c r="Q1762" s="121" t="s">
        <v>14285</v>
      </c>
      <c r="R1762" s="16" t="s">
        <v>9235</v>
      </c>
      <c r="S1762" s="10" t="s">
        <v>1163</v>
      </c>
      <c r="T1762" s="28" t="s">
        <v>10794</v>
      </c>
      <c r="U1762" s="20" t="s">
        <v>5359</v>
      </c>
      <c r="V1762" s="16" t="s">
        <v>1615</v>
      </c>
      <c r="W1762" s="11" t="s">
        <v>14433</v>
      </c>
      <c r="X1762" s="174">
        <v>151.80000000000001</v>
      </c>
      <c r="Y1762" s="174">
        <v>193.93</v>
      </c>
    </row>
    <row r="1763" spans="1:25" ht="15" customHeight="1" x14ac:dyDescent="0.25">
      <c r="A1763" s="20" t="s">
        <v>7147</v>
      </c>
      <c r="B1763" s="14" t="s">
        <v>7148</v>
      </c>
      <c r="C1763" s="71" t="str">
        <f t="shared" si="37"/>
        <v>Product Info</v>
      </c>
      <c r="D1763" s="37" t="s">
        <v>7276</v>
      </c>
      <c r="E1763" s="143">
        <v>1</v>
      </c>
      <c r="F1763" s="12" t="s">
        <v>4992</v>
      </c>
      <c r="G1763" s="38">
        <v>254.37</v>
      </c>
      <c r="H1763" s="38">
        <v>216.22</v>
      </c>
      <c r="I1763" s="38">
        <v>178.06</v>
      </c>
      <c r="J1763" s="39"/>
      <c r="K1763" s="143"/>
      <c r="L1763" s="22">
        <v>5</v>
      </c>
      <c r="M1763" s="22" t="s">
        <v>12488</v>
      </c>
      <c r="N1763" s="20" t="s">
        <v>9365</v>
      </c>
      <c r="O1763" s="16" t="s">
        <v>12608</v>
      </c>
      <c r="P1763" s="143">
        <v>758</v>
      </c>
      <c r="Q1763" s="122" t="s">
        <v>12421</v>
      </c>
      <c r="R1763" s="16" t="s">
        <v>9235</v>
      </c>
      <c r="S1763" s="10" t="s">
        <v>1163</v>
      </c>
      <c r="T1763" s="28" t="s">
        <v>10795</v>
      </c>
      <c r="U1763" s="20" t="s">
        <v>5359</v>
      </c>
      <c r="V1763" s="16" t="s">
        <v>7147</v>
      </c>
      <c r="W1763" s="11" t="s">
        <v>14433</v>
      </c>
      <c r="X1763" s="174">
        <v>169.25</v>
      </c>
      <c r="Y1763" s="174">
        <v>216.22</v>
      </c>
    </row>
    <row r="1764" spans="1:25" ht="15" customHeight="1" x14ac:dyDescent="0.25">
      <c r="A1764" s="20" t="s">
        <v>1618</v>
      </c>
      <c r="B1764" s="14" t="s">
        <v>1619</v>
      </c>
      <c r="C1764" s="71" t="str">
        <f t="shared" si="37"/>
        <v>Product Info</v>
      </c>
      <c r="D1764" s="37" t="s">
        <v>1620</v>
      </c>
      <c r="E1764" s="143">
        <v>1</v>
      </c>
      <c r="F1764" s="12" t="s">
        <v>4992</v>
      </c>
      <c r="G1764" s="38">
        <v>264.57</v>
      </c>
      <c r="H1764" s="38">
        <v>224.89</v>
      </c>
      <c r="I1764" s="38">
        <v>185.2</v>
      </c>
      <c r="J1764" s="39"/>
      <c r="K1764" s="143"/>
      <c r="L1764" s="22">
        <v>0</v>
      </c>
      <c r="M1764" s="22">
        <v>0</v>
      </c>
      <c r="N1764" s="20" t="s">
        <v>14489</v>
      </c>
      <c r="O1764" s="16">
        <v>0</v>
      </c>
      <c r="P1764" s="143">
        <v>758</v>
      </c>
      <c r="Q1764" s="122" t="s">
        <v>12421</v>
      </c>
      <c r="R1764" s="16" t="s">
        <v>9235</v>
      </c>
      <c r="S1764" s="10" t="s">
        <v>1163</v>
      </c>
      <c r="T1764" s="28" t="s">
        <v>10796</v>
      </c>
      <c r="U1764" s="20" t="s">
        <v>5359</v>
      </c>
      <c r="V1764" s="16" t="s">
        <v>1618</v>
      </c>
      <c r="W1764" s="11" t="s">
        <v>14433</v>
      </c>
      <c r="X1764" s="174">
        <v>176.04</v>
      </c>
      <c r="Y1764" s="174">
        <v>224.89</v>
      </c>
    </row>
    <row r="1765" spans="1:25" ht="15" customHeight="1" x14ac:dyDescent="0.25">
      <c r="A1765" s="20" t="s">
        <v>7149</v>
      </c>
      <c r="B1765" s="14" t="s">
        <v>7150</v>
      </c>
      <c r="C1765" s="71" t="str">
        <f t="shared" si="37"/>
        <v>Product Info</v>
      </c>
      <c r="D1765" s="37" t="s">
        <v>7277</v>
      </c>
      <c r="E1765" s="143">
        <v>1</v>
      </c>
      <c r="F1765" s="12" t="s">
        <v>4992</v>
      </c>
      <c r="G1765" s="38">
        <v>254.37</v>
      </c>
      <c r="H1765" s="38">
        <v>216.22</v>
      </c>
      <c r="I1765" s="38">
        <v>178.06</v>
      </c>
      <c r="J1765" s="39"/>
      <c r="K1765" s="143"/>
      <c r="L1765" s="22">
        <v>6.7050000000000001</v>
      </c>
      <c r="M1765" s="22" t="s">
        <v>12488</v>
      </c>
      <c r="N1765" s="20" t="s">
        <v>9366</v>
      </c>
      <c r="O1765" s="16" t="s">
        <v>12608</v>
      </c>
      <c r="P1765" s="143">
        <v>758</v>
      </c>
      <c r="Q1765" s="121" t="s">
        <v>14285</v>
      </c>
      <c r="R1765" s="16" t="s">
        <v>9235</v>
      </c>
      <c r="S1765" s="10" t="s">
        <v>1163</v>
      </c>
      <c r="T1765" s="28" t="s">
        <v>10797</v>
      </c>
      <c r="U1765" s="20" t="s">
        <v>5359</v>
      </c>
      <c r="V1765" s="16" t="s">
        <v>7149</v>
      </c>
      <c r="W1765" s="11" t="s">
        <v>14433</v>
      </c>
      <c r="X1765" s="174">
        <v>169.25</v>
      </c>
      <c r="Y1765" s="174">
        <v>216.22</v>
      </c>
    </row>
    <row r="1766" spans="1:25" ht="15" customHeight="1" x14ac:dyDescent="0.25">
      <c r="A1766" s="20" t="s">
        <v>1621</v>
      </c>
      <c r="B1766" s="14" t="s">
        <v>1622</v>
      </c>
      <c r="C1766" s="71" t="str">
        <f t="shared" si="37"/>
        <v>Product Info</v>
      </c>
      <c r="D1766" s="37" t="s">
        <v>1623</v>
      </c>
      <c r="E1766" s="143">
        <v>1</v>
      </c>
      <c r="F1766" s="12" t="s">
        <v>4992</v>
      </c>
      <c r="G1766" s="38">
        <v>264.57</v>
      </c>
      <c r="H1766" s="38">
        <v>224.89</v>
      </c>
      <c r="I1766" s="38">
        <v>185.2</v>
      </c>
      <c r="J1766" s="39"/>
      <c r="K1766" s="143"/>
      <c r="L1766" s="22">
        <v>0</v>
      </c>
      <c r="M1766" s="22">
        <v>0</v>
      </c>
      <c r="N1766" s="20" t="s">
        <v>14489</v>
      </c>
      <c r="O1766" s="16">
        <v>0</v>
      </c>
      <c r="P1766" s="143">
        <v>758</v>
      </c>
      <c r="Q1766" s="121" t="s">
        <v>14285</v>
      </c>
      <c r="R1766" s="16" t="s">
        <v>9235</v>
      </c>
      <c r="S1766" s="10" t="s">
        <v>1163</v>
      </c>
      <c r="T1766" s="28" t="s">
        <v>10798</v>
      </c>
      <c r="U1766" s="20" t="s">
        <v>5359</v>
      </c>
      <c r="V1766" s="16" t="s">
        <v>1621</v>
      </c>
      <c r="W1766" s="11" t="s">
        <v>14433</v>
      </c>
      <c r="X1766" s="174">
        <v>176.04</v>
      </c>
      <c r="Y1766" s="174">
        <v>224.89</v>
      </c>
    </row>
    <row r="1767" spans="1:25" ht="15" customHeight="1" x14ac:dyDescent="0.25">
      <c r="A1767" s="20" t="s">
        <v>7154</v>
      </c>
      <c r="B1767" s="14" t="s">
        <v>7155</v>
      </c>
      <c r="C1767" s="71" t="str">
        <f t="shared" si="37"/>
        <v>Product Info</v>
      </c>
      <c r="D1767" s="37" t="s">
        <v>7281</v>
      </c>
      <c r="E1767" s="143">
        <v>1</v>
      </c>
      <c r="F1767" s="12" t="s">
        <v>4992</v>
      </c>
      <c r="G1767" s="38">
        <v>217.94</v>
      </c>
      <c r="H1767" s="38">
        <v>185.26</v>
      </c>
      <c r="I1767" s="38">
        <v>152.56</v>
      </c>
      <c r="J1767" s="39"/>
      <c r="K1767" s="143"/>
      <c r="L1767" s="22">
        <v>0</v>
      </c>
      <c r="M1767" s="22">
        <v>0</v>
      </c>
      <c r="N1767" s="20" t="s">
        <v>14489</v>
      </c>
      <c r="O1767" s="16">
        <v>0</v>
      </c>
      <c r="P1767" s="143">
        <v>758</v>
      </c>
      <c r="Q1767" s="121" t="s">
        <v>14285</v>
      </c>
      <c r="R1767" s="16" t="s">
        <v>9235</v>
      </c>
      <c r="S1767" s="10" t="s">
        <v>1163</v>
      </c>
      <c r="T1767" s="28" t="s">
        <v>10799</v>
      </c>
      <c r="U1767" s="20" t="s">
        <v>5359</v>
      </c>
      <c r="V1767" s="16" t="s">
        <v>7154</v>
      </c>
      <c r="W1767" s="11" t="s">
        <v>14433</v>
      </c>
      <c r="X1767" s="174">
        <v>145.01</v>
      </c>
      <c r="Y1767" s="174">
        <v>185.26</v>
      </c>
    </row>
    <row r="1768" spans="1:25" ht="15" customHeight="1" x14ac:dyDescent="0.25">
      <c r="A1768" s="20" t="s">
        <v>1624</v>
      </c>
      <c r="B1768" s="14" t="s">
        <v>1625</v>
      </c>
      <c r="C1768" s="71" t="str">
        <f t="shared" si="37"/>
        <v>Product Info</v>
      </c>
      <c r="D1768" s="37" t="s">
        <v>1626</v>
      </c>
      <c r="E1768" s="143">
        <v>1</v>
      </c>
      <c r="F1768" s="12" t="s">
        <v>4992</v>
      </c>
      <c r="G1768" s="38">
        <v>228.14</v>
      </c>
      <c r="H1768" s="38">
        <v>193.93</v>
      </c>
      <c r="I1768" s="38">
        <v>159.69999999999999</v>
      </c>
      <c r="J1768" s="39"/>
      <c r="K1768" s="143"/>
      <c r="L1768" s="22">
        <v>0</v>
      </c>
      <c r="M1768" s="22">
        <v>0</v>
      </c>
      <c r="N1768" s="20" t="s">
        <v>14489</v>
      </c>
      <c r="O1768" s="16">
        <v>0</v>
      </c>
      <c r="P1768" s="143">
        <v>758</v>
      </c>
      <c r="Q1768" s="122" t="s">
        <v>12421</v>
      </c>
      <c r="R1768" s="16" t="s">
        <v>9235</v>
      </c>
      <c r="S1768" s="10" t="s">
        <v>1163</v>
      </c>
      <c r="T1768" s="28" t="s">
        <v>10800</v>
      </c>
      <c r="U1768" s="20" t="s">
        <v>5359</v>
      </c>
      <c r="V1768" s="16" t="s">
        <v>1624</v>
      </c>
      <c r="W1768" s="11" t="s">
        <v>14433</v>
      </c>
      <c r="X1768" s="174">
        <v>151.80000000000001</v>
      </c>
      <c r="Y1768" s="174">
        <v>193.93</v>
      </c>
    </row>
    <row r="1769" spans="1:25" ht="15" customHeight="1" x14ac:dyDescent="0.25">
      <c r="A1769" s="20" t="s">
        <v>7156</v>
      </c>
      <c r="B1769" s="14" t="s">
        <v>7157</v>
      </c>
      <c r="C1769" s="71" t="str">
        <f t="shared" si="37"/>
        <v>Product Info</v>
      </c>
      <c r="D1769" s="37" t="s">
        <v>7282</v>
      </c>
      <c r="E1769" s="143">
        <v>1</v>
      </c>
      <c r="F1769" s="12" t="s">
        <v>4992</v>
      </c>
      <c r="G1769" s="38">
        <v>217.94</v>
      </c>
      <c r="H1769" s="38">
        <v>185.26</v>
      </c>
      <c r="I1769" s="38">
        <v>152.56</v>
      </c>
      <c r="J1769" s="39"/>
      <c r="K1769" s="143"/>
      <c r="L1769" s="22">
        <v>0</v>
      </c>
      <c r="M1769" s="22">
        <v>0</v>
      </c>
      <c r="N1769" s="20" t="s">
        <v>14489</v>
      </c>
      <c r="O1769" s="16">
        <v>0</v>
      </c>
      <c r="P1769" s="143">
        <v>758</v>
      </c>
      <c r="Q1769" s="121" t="s">
        <v>14285</v>
      </c>
      <c r="R1769" s="16" t="s">
        <v>9235</v>
      </c>
      <c r="S1769" s="10" t="s">
        <v>1163</v>
      </c>
      <c r="T1769" s="28" t="s">
        <v>10801</v>
      </c>
      <c r="U1769" s="20" t="s">
        <v>5359</v>
      </c>
      <c r="V1769" s="16" t="s">
        <v>7156</v>
      </c>
      <c r="W1769" s="11" t="s">
        <v>14433</v>
      </c>
      <c r="X1769" s="174">
        <v>145.01</v>
      </c>
      <c r="Y1769" s="174">
        <v>185.26</v>
      </c>
    </row>
    <row r="1770" spans="1:25" ht="15" customHeight="1" x14ac:dyDescent="0.25">
      <c r="A1770" s="20" t="s">
        <v>1627</v>
      </c>
      <c r="B1770" s="14" t="s">
        <v>1628</v>
      </c>
      <c r="C1770" s="71" t="str">
        <f t="shared" si="37"/>
        <v>Product Info</v>
      </c>
      <c r="D1770" s="37" t="s">
        <v>1629</v>
      </c>
      <c r="E1770" s="143">
        <v>1</v>
      </c>
      <c r="F1770" s="12" t="s">
        <v>4992</v>
      </c>
      <c r="G1770" s="38">
        <v>228.14</v>
      </c>
      <c r="H1770" s="38">
        <v>193.93</v>
      </c>
      <c r="I1770" s="38">
        <v>159.69999999999999</v>
      </c>
      <c r="J1770" s="39"/>
      <c r="K1770" s="143"/>
      <c r="L1770" s="22">
        <v>0</v>
      </c>
      <c r="M1770" s="22">
        <v>0</v>
      </c>
      <c r="N1770" s="20" t="s">
        <v>14489</v>
      </c>
      <c r="O1770" s="16">
        <v>0</v>
      </c>
      <c r="P1770" s="143">
        <v>758</v>
      </c>
      <c r="Q1770" s="121" t="s">
        <v>14285</v>
      </c>
      <c r="R1770" s="16" t="s">
        <v>9235</v>
      </c>
      <c r="S1770" s="10" t="s">
        <v>1163</v>
      </c>
      <c r="T1770" s="28" t="s">
        <v>10802</v>
      </c>
      <c r="U1770" s="20" t="s">
        <v>5359</v>
      </c>
      <c r="V1770" s="16" t="s">
        <v>1627</v>
      </c>
      <c r="W1770" s="11" t="s">
        <v>14433</v>
      </c>
      <c r="X1770" s="174">
        <v>151.80000000000001</v>
      </c>
      <c r="Y1770" s="174">
        <v>193.93</v>
      </c>
    </row>
    <row r="1771" spans="1:25" ht="15" customHeight="1" x14ac:dyDescent="0.25">
      <c r="A1771" s="20" t="s">
        <v>7158</v>
      </c>
      <c r="B1771" s="14" t="s">
        <v>7159</v>
      </c>
      <c r="C1771" s="71" t="str">
        <f t="shared" si="37"/>
        <v>Product Info</v>
      </c>
      <c r="D1771" s="37" t="s">
        <v>7283</v>
      </c>
      <c r="E1771" s="143">
        <v>1</v>
      </c>
      <c r="F1771" s="12" t="s">
        <v>4992</v>
      </c>
      <c r="G1771" s="38">
        <v>217.94</v>
      </c>
      <c r="H1771" s="38">
        <v>185.26</v>
      </c>
      <c r="I1771" s="38">
        <v>152.56</v>
      </c>
      <c r="J1771" s="39"/>
      <c r="K1771" s="143"/>
      <c r="L1771" s="22">
        <v>0</v>
      </c>
      <c r="M1771" s="22">
        <v>0</v>
      </c>
      <c r="N1771" s="20" t="s">
        <v>14489</v>
      </c>
      <c r="O1771" s="16">
        <v>0</v>
      </c>
      <c r="P1771" s="143">
        <v>758</v>
      </c>
      <c r="Q1771" s="121" t="s">
        <v>14285</v>
      </c>
      <c r="R1771" s="16" t="s">
        <v>9235</v>
      </c>
      <c r="S1771" s="10" t="s">
        <v>1163</v>
      </c>
      <c r="T1771" s="28" t="s">
        <v>10803</v>
      </c>
      <c r="U1771" s="20" t="s">
        <v>5359</v>
      </c>
      <c r="V1771" s="16" t="s">
        <v>7158</v>
      </c>
      <c r="W1771" s="11" t="s">
        <v>14433</v>
      </c>
      <c r="X1771" s="174">
        <v>145.01</v>
      </c>
      <c r="Y1771" s="174">
        <v>185.26</v>
      </c>
    </row>
    <row r="1772" spans="1:25" ht="15" customHeight="1" x14ac:dyDescent="0.25">
      <c r="A1772" s="20" t="s">
        <v>1630</v>
      </c>
      <c r="B1772" s="14" t="s">
        <v>1631</v>
      </c>
      <c r="C1772" s="71" t="str">
        <f t="shared" si="37"/>
        <v>Product Info</v>
      </c>
      <c r="D1772" s="37" t="s">
        <v>1632</v>
      </c>
      <c r="E1772" s="143">
        <v>1</v>
      </c>
      <c r="F1772" s="12" t="s">
        <v>4992</v>
      </c>
      <c r="G1772" s="38">
        <v>228.14</v>
      </c>
      <c r="H1772" s="38">
        <v>193.93</v>
      </c>
      <c r="I1772" s="38">
        <v>159.69999999999999</v>
      </c>
      <c r="J1772" s="39"/>
      <c r="K1772" s="143"/>
      <c r="L1772" s="22">
        <v>0</v>
      </c>
      <c r="M1772" s="22">
        <v>0</v>
      </c>
      <c r="N1772" s="20" t="s">
        <v>14489</v>
      </c>
      <c r="O1772" s="16">
        <v>0</v>
      </c>
      <c r="P1772" s="143">
        <v>758</v>
      </c>
      <c r="Q1772" s="121" t="s">
        <v>14285</v>
      </c>
      <c r="R1772" s="16" t="s">
        <v>9235</v>
      </c>
      <c r="S1772" s="10" t="s">
        <v>1163</v>
      </c>
      <c r="T1772" s="28" t="s">
        <v>10804</v>
      </c>
      <c r="U1772" s="20" t="s">
        <v>5359</v>
      </c>
      <c r="V1772" s="16" t="s">
        <v>1630</v>
      </c>
      <c r="W1772" s="11" t="s">
        <v>14433</v>
      </c>
      <c r="X1772" s="174">
        <v>151.80000000000001</v>
      </c>
      <c r="Y1772" s="174">
        <v>193.93</v>
      </c>
    </row>
    <row r="1773" spans="1:25" ht="15" customHeight="1" x14ac:dyDescent="0.25">
      <c r="A1773" s="20" t="s">
        <v>7160</v>
      </c>
      <c r="B1773" s="14" t="s">
        <v>6258</v>
      </c>
      <c r="C1773" s="71" t="str">
        <f t="shared" si="37"/>
        <v>Product Info</v>
      </c>
      <c r="D1773" s="37" t="s">
        <v>7284</v>
      </c>
      <c r="E1773" s="143">
        <v>1</v>
      </c>
      <c r="F1773" s="12" t="s">
        <v>4992</v>
      </c>
      <c r="G1773" s="38">
        <v>217.94</v>
      </c>
      <c r="H1773" s="38">
        <v>185.26</v>
      </c>
      <c r="I1773" s="38">
        <v>152.56</v>
      </c>
      <c r="J1773" s="39"/>
      <c r="K1773" s="143"/>
      <c r="L1773" s="22">
        <v>0</v>
      </c>
      <c r="M1773" s="22">
        <v>0</v>
      </c>
      <c r="N1773" s="20" t="s">
        <v>14489</v>
      </c>
      <c r="O1773" s="16">
        <v>0</v>
      </c>
      <c r="P1773" s="143">
        <v>758</v>
      </c>
      <c r="Q1773" s="121" t="s">
        <v>14285</v>
      </c>
      <c r="R1773" s="16" t="s">
        <v>9235</v>
      </c>
      <c r="S1773" s="10" t="s">
        <v>1163</v>
      </c>
      <c r="T1773" s="28" t="s">
        <v>10805</v>
      </c>
      <c r="U1773" s="20" t="s">
        <v>5359</v>
      </c>
      <c r="V1773" s="16" t="s">
        <v>7160</v>
      </c>
      <c r="W1773" s="11" t="s">
        <v>14433</v>
      </c>
      <c r="X1773" s="174">
        <v>145.01</v>
      </c>
      <c r="Y1773" s="174">
        <v>185.26</v>
      </c>
    </row>
    <row r="1774" spans="1:25" ht="15" customHeight="1" x14ac:dyDescent="0.25">
      <c r="A1774" s="20" t="s">
        <v>1633</v>
      </c>
      <c r="B1774" s="14" t="s">
        <v>1634</v>
      </c>
      <c r="C1774" s="71" t="str">
        <f t="shared" si="37"/>
        <v>Product Info</v>
      </c>
      <c r="D1774" s="37" t="s">
        <v>1635</v>
      </c>
      <c r="E1774" s="143">
        <v>1</v>
      </c>
      <c r="F1774" s="12" t="s">
        <v>4992</v>
      </c>
      <c r="G1774" s="38">
        <v>228.14</v>
      </c>
      <c r="H1774" s="38">
        <v>193.93</v>
      </c>
      <c r="I1774" s="38">
        <v>159.69999999999999</v>
      </c>
      <c r="J1774" s="39"/>
      <c r="K1774" s="143"/>
      <c r="L1774" s="22">
        <v>0</v>
      </c>
      <c r="M1774" s="22">
        <v>0</v>
      </c>
      <c r="N1774" s="20" t="s">
        <v>14489</v>
      </c>
      <c r="O1774" s="16">
        <v>0</v>
      </c>
      <c r="P1774" s="143">
        <v>758</v>
      </c>
      <c r="Q1774" s="121" t="s">
        <v>14285</v>
      </c>
      <c r="R1774" s="16" t="s">
        <v>9235</v>
      </c>
      <c r="S1774" s="10" t="s">
        <v>1163</v>
      </c>
      <c r="T1774" s="28" t="s">
        <v>10806</v>
      </c>
      <c r="U1774" s="20" t="s">
        <v>5359</v>
      </c>
      <c r="V1774" s="16" t="s">
        <v>1633</v>
      </c>
      <c r="W1774" s="11" t="s">
        <v>14433</v>
      </c>
      <c r="X1774" s="174">
        <v>151.80000000000001</v>
      </c>
      <c r="Y1774" s="174">
        <v>193.93</v>
      </c>
    </row>
    <row r="1775" spans="1:25" ht="15" customHeight="1" x14ac:dyDescent="0.25">
      <c r="A1775" s="20" t="s">
        <v>6259</v>
      </c>
      <c r="B1775" s="14" t="s">
        <v>6260</v>
      </c>
      <c r="C1775" s="71" t="str">
        <f t="shared" si="37"/>
        <v>Product Info</v>
      </c>
      <c r="D1775" s="37" t="s">
        <v>7285</v>
      </c>
      <c r="E1775" s="143">
        <v>1</v>
      </c>
      <c r="F1775" s="12" t="s">
        <v>4992</v>
      </c>
      <c r="G1775" s="38">
        <v>217.94</v>
      </c>
      <c r="H1775" s="38">
        <v>185.26</v>
      </c>
      <c r="I1775" s="38">
        <v>152.56</v>
      </c>
      <c r="J1775" s="39"/>
      <c r="K1775" s="143"/>
      <c r="L1775" s="22">
        <v>0</v>
      </c>
      <c r="M1775" s="22">
        <v>0</v>
      </c>
      <c r="N1775" s="20" t="s">
        <v>14489</v>
      </c>
      <c r="O1775" s="16">
        <v>0</v>
      </c>
      <c r="P1775" s="143">
        <v>758</v>
      </c>
      <c r="Q1775" s="121" t="s">
        <v>14285</v>
      </c>
      <c r="R1775" s="16" t="s">
        <v>9235</v>
      </c>
      <c r="S1775" s="10" t="s">
        <v>1163</v>
      </c>
      <c r="T1775" s="28" t="s">
        <v>10807</v>
      </c>
      <c r="U1775" s="20" t="s">
        <v>5359</v>
      </c>
      <c r="V1775" s="16" t="s">
        <v>6259</v>
      </c>
      <c r="W1775" s="11" t="s">
        <v>14433</v>
      </c>
      <c r="X1775" s="174">
        <v>145.01</v>
      </c>
      <c r="Y1775" s="174">
        <v>185.26</v>
      </c>
    </row>
    <row r="1776" spans="1:25" ht="15" customHeight="1" x14ac:dyDescent="0.25">
      <c r="A1776" s="20" t="s">
        <v>1636</v>
      </c>
      <c r="B1776" s="14" t="s">
        <v>1637</v>
      </c>
      <c r="C1776" s="71" t="str">
        <f t="shared" si="37"/>
        <v>Product Info</v>
      </c>
      <c r="D1776" s="37" t="s">
        <v>1638</v>
      </c>
      <c r="E1776" s="143">
        <v>1</v>
      </c>
      <c r="F1776" s="12" t="s">
        <v>4992</v>
      </c>
      <c r="G1776" s="38">
        <v>228.14</v>
      </c>
      <c r="H1776" s="38">
        <v>193.93</v>
      </c>
      <c r="I1776" s="38">
        <v>159.69999999999999</v>
      </c>
      <c r="J1776" s="39"/>
      <c r="K1776" s="143"/>
      <c r="L1776" s="22">
        <v>0</v>
      </c>
      <c r="M1776" s="22">
        <v>0</v>
      </c>
      <c r="N1776" s="20" t="s">
        <v>14489</v>
      </c>
      <c r="O1776" s="16">
        <v>0</v>
      </c>
      <c r="P1776" s="143">
        <v>758</v>
      </c>
      <c r="Q1776" s="121" t="s">
        <v>14285</v>
      </c>
      <c r="R1776" s="16" t="s">
        <v>9235</v>
      </c>
      <c r="S1776" s="10" t="s">
        <v>1163</v>
      </c>
      <c r="T1776" s="28" t="s">
        <v>10808</v>
      </c>
      <c r="U1776" s="20" t="s">
        <v>5359</v>
      </c>
      <c r="V1776" s="16" t="s">
        <v>1636</v>
      </c>
      <c r="W1776" s="11" t="s">
        <v>14433</v>
      </c>
      <c r="X1776" s="174">
        <v>151.80000000000001</v>
      </c>
      <c r="Y1776" s="174">
        <v>193.93</v>
      </c>
    </row>
    <row r="1777" spans="1:25" ht="15" customHeight="1" x14ac:dyDescent="0.25">
      <c r="A1777" s="20" t="s">
        <v>6261</v>
      </c>
      <c r="B1777" s="14" t="s">
        <v>6262</v>
      </c>
      <c r="C1777" s="71" t="str">
        <f t="shared" si="37"/>
        <v>Product Info</v>
      </c>
      <c r="D1777" s="37" t="s">
        <v>7286</v>
      </c>
      <c r="E1777" s="143">
        <v>1</v>
      </c>
      <c r="F1777" s="12" t="s">
        <v>4992</v>
      </c>
      <c r="G1777" s="38">
        <v>217.94</v>
      </c>
      <c r="H1777" s="38">
        <v>185.26</v>
      </c>
      <c r="I1777" s="38">
        <v>152.56</v>
      </c>
      <c r="J1777" s="39"/>
      <c r="K1777" s="143"/>
      <c r="L1777" s="22">
        <v>0</v>
      </c>
      <c r="M1777" s="22">
        <v>0</v>
      </c>
      <c r="N1777" s="20" t="s">
        <v>14489</v>
      </c>
      <c r="O1777" s="16">
        <v>0</v>
      </c>
      <c r="P1777" s="143">
        <v>758</v>
      </c>
      <c r="Q1777" s="121" t="s">
        <v>14285</v>
      </c>
      <c r="R1777" s="16" t="s">
        <v>9235</v>
      </c>
      <c r="S1777" s="10" t="s">
        <v>1163</v>
      </c>
      <c r="T1777" s="28" t="s">
        <v>10809</v>
      </c>
      <c r="U1777" s="20" t="s">
        <v>5359</v>
      </c>
      <c r="V1777" s="16" t="s">
        <v>6261</v>
      </c>
      <c r="W1777" s="11" t="s">
        <v>14433</v>
      </c>
      <c r="X1777" s="174">
        <v>145.01</v>
      </c>
      <c r="Y1777" s="174">
        <v>185.26</v>
      </c>
    </row>
    <row r="1778" spans="1:25" ht="15" customHeight="1" x14ac:dyDescent="0.25">
      <c r="A1778" s="20" t="s">
        <v>1639</v>
      </c>
      <c r="B1778" s="14" t="s">
        <v>1640</v>
      </c>
      <c r="C1778" s="71" t="str">
        <f t="shared" si="37"/>
        <v>Product Info</v>
      </c>
      <c r="D1778" s="37" t="s">
        <v>1641</v>
      </c>
      <c r="E1778" s="143">
        <v>1</v>
      </c>
      <c r="F1778" s="12" t="s">
        <v>4992</v>
      </c>
      <c r="G1778" s="38">
        <v>228.14</v>
      </c>
      <c r="H1778" s="38">
        <v>193.93</v>
      </c>
      <c r="I1778" s="38">
        <v>159.69999999999999</v>
      </c>
      <c r="J1778" s="39"/>
      <c r="K1778" s="143"/>
      <c r="L1778" s="22">
        <v>0</v>
      </c>
      <c r="M1778" s="22">
        <v>0</v>
      </c>
      <c r="N1778" s="20" t="s">
        <v>14489</v>
      </c>
      <c r="O1778" s="16">
        <v>0</v>
      </c>
      <c r="P1778" s="143">
        <v>758</v>
      </c>
      <c r="Q1778" s="121" t="s">
        <v>14285</v>
      </c>
      <c r="R1778" s="16" t="s">
        <v>9235</v>
      </c>
      <c r="S1778" s="10" t="s">
        <v>1163</v>
      </c>
      <c r="T1778" s="28" t="s">
        <v>10810</v>
      </c>
      <c r="U1778" s="20" t="s">
        <v>5359</v>
      </c>
      <c r="V1778" s="16" t="s">
        <v>1639</v>
      </c>
      <c r="W1778" s="11" t="s">
        <v>14433</v>
      </c>
      <c r="X1778" s="174">
        <v>151.80000000000001</v>
      </c>
      <c r="Y1778" s="174">
        <v>193.93</v>
      </c>
    </row>
    <row r="1779" spans="1:25" ht="15" customHeight="1" x14ac:dyDescent="0.25">
      <c r="A1779" s="20" t="s">
        <v>6263</v>
      </c>
      <c r="B1779" s="14" t="s">
        <v>6264</v>
      </c>
      <c r="C1779" s="71" t="str">
        <f t="shared" si="37"/>
        <v>Product Info</v>
      </c>
      <c r="D1779" s="37" t="s">
        <v>7287</v>
      </c>
      <c r="E1779" s="143">
        <v>1</v>
      </c>
      <c r="F1779" s="12" t="s">
        <v>4992</v>
      </c>
      <c r="G1779" s="38">
        <v>254.37</v>
      </c>
      <c r="H1779" s="38">
        <v>216.22</v>
      </c>
      <c r="I1779" s="38">
        <v>178.06</v>
      </c>
      <c r="J1779" s="39"/>
      <c r="K1779" s="143"/>
      <c r="L1779" s="22">
        <v>0</v>
      </c>
      <c r="M1779" s="22">
        <v>0</v>
      </c>
      <c r="N1779" s="20" t="s">
        <v>14489</v>
      </c>
      <c r="O1779" s="16">
        <v>0</v>
      </c>
      <c r="P1779" s="143">
        <v>758</v>
      </c>
      <c r="Q1779" s="121" t="s">
        <v>14285</v>
      </c>
      <c r="R1779" s="16" t="s">
        <v>9235</v>
      </c>
      <c r="S1779" s="10" t="s">
        <v>1163</v>
      </c>
      <c r="T1779" s="28" t="s">
        <v>10811</v>
      </c>
      <c r="U1779" s="20" t="s">
        <v>5359</v>
      </c>
      <c r="V1779" s="16" t="s">
        <v>6263</v>
      </c>
      <c r="W1779" s="11" t="s">
        <v>14433</v>
      </c>
      <c r="X1779" s="174">
        <v>169.25</v>
      </c>
      <c r="Y1779" s="174">
        <v>216.22</v>
      </c>
    </row>
    <row r="1780" spans="1:25" ht="15" customHeight="1" x14ac:dyDescent="0.25">
      <c r="A1780" s="20" t="s">
        <v>1642</v>
      </c>
      <c r="B1780" s="14" t="s">
        <v>1643</v>
      </c>
      <c r="C1780" s="71" t="str">
        <f t="shared" si="37"/>
        <v>Product Info</v>
      </c>
      <c r="D1780" s="37" t="s">
        <v>1644</v>
      </c>
      <c r="E1780" s="143">
        <v>1</v>
      </c>
      <c r="F1780" s="12" t="s">
        <v>4992</v>
      </c>
      <c r="G1780" s="38">
        <v>264.57</v>
      </c>
      <c r="H1780" s="38">
        <v>224.89</v>
      </c>
      <c r="I1780" s="38">
        <v>185.2</v>
      </c>
      <c r="J1780" s="39"/>
      <c r="K1780" s="143"/>
      <c r="L1780" s="22">
        <v>0</v>
      </c>
      <c r="M1780" s="22">
        <v>0</v>
      </c>
      <c r="N1780" s="20" t="s">
        <v>14489</v>
      </c>
      <c r="O1780" s="16">
        <v>0</v>
      </c>
      <c r="P1780" s="143">
        <v>758</v>
      </c>
      <c r="Q1780" s="121" t="s">
        <v>14285</v>
      </c>
      <c r="R1780" s="16" t="s">
        <v>9235</v>
      </c>
      <c r="S1780" s="10" t="s">
        <v>1163</v>
      </c>
      <c r="T1780" s="28" t="s">
        <v>10812</v>
      </c>
      <c r="U1780" s="20" t="s">
        <v>5359</v>
      </c>
      <c r="V1780" s="16" t="s">
        <v>1642</v>
      </c>
      <c r="W1780" s="11" t="s">
        <v>14433</v>
      </c>
      <c r="X1780" s="174">
        <v>176.04</v>
      </c>
      <c r="Y1780" s="174">
        <v>224.89</v>
      </c>
    </row>
    <row r="1781" spans="1:25" ht="15" customHeight="1" x14ac:dyDescent="0.25">
      <c r="A1781" s="20" t="s">
        <v>6265</v>
      </c>
      <c r="B1781" s="14" t="s">
        <v>6266</v>
      </c>
      <c r="C1781" s="71" t="str">
        <f t="shared" si="37"/>
        <v>Product Info</v>
      </c>
      <c r="D1781" s="37" t="s">
        <v>7288</v>
      </c>
      <c r="E1781" s="143">
        <v>1</v>
      </c>
      <c r="F1781" s="12" t="s">
        <v>4992</v>
      </c>
      <c r="G1781" s="38">
        <v>254.37</v>
      </c>
      <c r="H1781" s="38">
        <v>216.22</v>
      </c>
      <c r="I1781" s="38">
        <v>178.06</v>
      </c>
      <c r="J1781" s="39"/>
      <c r="K1781" s="143"/>
      <c r="L1781" s="22">
        <v>0</v>
      </c>
      <c r="M1781" s="22">
        <v>0</v>
      </c>
      <c r="N1781" s="20" t="s">
        <v>14489</v>
      </c>
      <c r="O1781" s="16">
        <v>0</v>
      </c>
      <c r="P1781" s="143">
        <v>758</v>
      </c>
      <c r="Q1781" s="121" t="s">
        <v>14285</v>
      </c>
      <c r="R1781" s="16" t="s">
        <v>9235</v>
      </c>
      <c r="S1781" s="10" t="s">
        <v>1163</v>
      </c>
      <c r="T1781" s="28" t="s">
        <v>10813</v>
      </c>
      <c r="U1781" s="20" t="s">
        <v>5359</v>
      </c>
      <c r="V1781" s="16" t="s">
        <v>6265</v>
      </c>
      <c r="W1781" s="11" t="s">
        <v>14433</v>
      </c>
      <c r="X1781" s="174">
        <v>169.25</v>
      </c>
      <c r="Y1781" s="174">
        <v>216.22</v>
      </c>
    </row>
    <row r="1782" spans="1:25" ht="15" customHeight="1" x14ac:dyDescent="0.25">
      <c r="A1782" s="20" t="s">
        <v>1645</v>
      </c>
      <c r="B1782" s="14" t="s">
        <v>1646</v>
      </c>
      <c r="C1782" s="71" t="str">
        <f t="shared" si="37"/>
        <v>Product Info</v>
      </c>
      <c r="D1782" s="37" t="s">
        <v>1647</v>
      </c>
      <c r="E1782" s="143">
        <v>1</v>
      </c>
      <c r="F1782" s="12" t="s">
        <v>4992</v>
      </c>
      <c r="G1782" s="38">
        <v>268.94</v>
      </c>
      <c r="H1782" s="38">
        <v>228.61</v>
      </c>
      <c r="I1782" s="38">
        <v>188.26</v>
      </c>
      <c r="J1782" s="39"/>
      <c r="K1782" s="143"/>
      <c r="L1782" s="22">
        <v>0</v>
      </c>
      <c r="M1782" s="22">
        <v>0</v>
      </c>
      <c r="N1782" s="20" t="s">
        <v>14489</v>
      </c>
      <c r="O1782" s="16">
        <v>0</v>
      </c>
      <c r="P1782" s="143">
        <v>758</v>
      </c>
      <c r="Q1782" s="121" t="s">
        <v>14285</v>
      </c>
      <c r="R1782" s="16" t="s">
        <v>9235</v>
      </c>
      <c r="S1782" s="10" t="s">
        <v>1163</v>
      </c>
      <c r="T1782" s="28" t="s">
        <v>10814</v>
      </c>
      <c r="U1782" s="20" t="s">
        <v>5359</v>
      </c>
      <c r="V1782" s="16" t="s">
        <v>1645</v>
      </c>
      <c r="W1782" s="11" t="s">
        <v>14433</v>
      </c>
      <c r="X1782" s="174">
        <v>178.94</v>
      </c>
      <c r="Y1782" s="174">
        <v>228.61</v>
      </c>
    </row>
    <row r="1783" spans="1:25" ht="15" customHeight="1" x14ac:dyDescent="0.25">
      <c r="A1783" s="20" t="s">
        <v>1648</v>
      </c>
      <c r="B1783" s="14" t="s">
        <v>1649</v>
      </c>
      <c r="C1783" s="71" t="str">
        <f t="shared" si="37"/>
        <v>Product Info</v>
      </c>
      <c r="D1783" s="37" t="s">
        <v>1650</v>
      </c>
      <c r="E1783" s="143">
        <v>1</v>
      </c>
      <c r="F1783" s="12" t="s">
        <v>4992</v>
      </c>
      <c r="G1783" s="38">
        <v>268.94</v>
      </c>
      <c r="H1783" s="38">
        <v>228.61</v>
      </c>
      <c r="I1783" s="38">
        <v>188.26</v>
      </c>
      <c r="J1783" s="39"/>
      <c r="K1783" s="143"/>
      <c r="L1783" s="22">
        <v>0</v>
      </c>
      <c r="M1783" s="22">
        <v>0</v>
      </c>
      <c r="N1783" s="20" t="s">
        <v>14489</v>
      </c>
      <c r="O1783" s="16">
        <v>0</v>
      </c>
      <c r="P1783" s="143">
        <v>758</v>
      </c>
      <c r="Q1783" s="121" t="s">
        <v>14285</v>
      </c>
      <c r="R1783" s="16" t="s">
        <v>9235</v>
      </c>
      <c r="S1783" s="10" t="s">
        <v>1163</v>
      </c>
      <c r="T1783" s="28" t="s">
        <v>10815</v>
      </c>
      <c r="U1783" s="20" t="s">
        <v>5359</v>
      </c>
      <c r="V1783" s="16" t="s">
        <v>1648</v>
      </c>
      <c r="W1783" s="11" t="s">
        <v>14433</v>
      </c>
      <c r="X1783" s="174">
        <v>178.94</v>
      </c>
      <c r="Y1783" s="174">
        <v>228.61</v>
      </c>
    </row>
    <row r="1784" spans="1:25" ht="15" customHeight="1" x14ac:dyDescent="0.25">
      <c r="A1784" s="20" t="s">
        <v>6270</v>
      </c>
      <c r="B1784" s="14" t="s">
        <v>6271</v>
      </c>
      <c r="C1784" s="71" t="str">
        <f t="shared" si="37"/>
        <v>Product Info</v>
      </c>
      <c r="D1784" s="37" t="s">
        <v>7292</v>
      </c>
      <c r="E1784" s="143">
        <v>1</v>
      </c>
      <c r="F1784" s="12" t="s">
        <v>4992</v>
      </c>
      <c r="G1784" s="38">
        <v>217.94</v>
      </c>
      <c r="H1784" s="38">
        <v>185.26</v>
      </c>
      <c r="I1784" s="38">
        <v>152.56</v>
      </c>
      <c r="J1784" s="39"/>
      <c r="K1784" s="143"/>
      <c r="L1784" s="22">
        <v>0</v>
      </c>
      <c r="M1784" s="22">
        <v>0</v>
      </c>
      <c r="N1784" s="20" t="s">
        <v>14489</v>
      </c>
      <c r="O1784" s="16">
        <v>0</v>
      </c>
      <c r="P1784" s="143">
        <v>758</v>
      </c>
      <c r="Q1784" s="121" t="s">
        <v>14285</v>
      </c>
      <c r="R1784" s="16" t="s">
        <v>9235</v>
      </c>
      <c r="S1784" s="10" t="s">
        <v>1163</v>
      </c>
      <c r="T1784" s="28" t="s">
        <v>10816</v>
      </c>
      <c r="U1784" s="20" t="s">
        <v>5359</v>
      </c>
      <c r="V1784" s="16" t="s">
        <v>6270</v>
      </c>
      <c r="W1784" s="11" t="s">
        <v>14433</v>
      </c>
      <c r="X1784" s="174">
        <v>145.01</v>
      </c>
      <c r="Y1784" s="174">
        <v>185.26</v>
      </c>
    </row>
    <row r="1785" spans="1:25" ht="15" customHeight="1" x14ac:dyDescent="0.25">
      <c r="A1785" s="20" t="s">
        <v>1651</v>
      </c>
      <c r="B1785" s="14" t="s">
        <v>1652</v>
      </c>
      <c r="C1785" s="71" t="str">
        <f t="shared" si="37"/>
        <v>Product Info</v>
      </c>
      <c r="D1785" s="37" t="s">
        <v>1653</v>
      </c>
      <c r="E1785" s="143">
        <v>1</v>
      </c>
      <c r="F1785" s="12" t="s">
        <v>4992</v>
      </c>
      <c r="G1785" s="38">
        <v>228.14</v>
      </c>
      <c r="H1785" s="38">
        <v>193.93</v>
      </c>
      <c r="I1785" s="38">
        <v>159.69999999999999</v>
      </c>
      <c r="J1785" s="39"/>
      <c r="K1785" s="143"/>
      <c r="L1785" s="22">
        <v>0</v>
      </c>
      <c r="M1785" s="22">
        <v>0</v>
      </c>
      <c r="N1785" s="20" t="s">
        <v>14489</v>
      </c>
      <c r="O1785" s="16">
        <v>0</v>
      </c>
      <c r="P1785" s="143">
        <v>758</v>
      </c>
      <c r="Q1785" s="121" t="s">
        <v>14285</v>
      </c>
      <c r="R1785" s="16" t="s">
        <v>9235</v>
      </c>
      <c r="S1785" s="10" t="s">
        <v>1163</v>
      </c>
      <c r="T1785" s="28" t="s">
        <v>10817</v>
      </c>
      <c r="U1785" s="20" t="s">
        <v>5359</v>
      </c>
      <c r="V1785" s="16" t="s">
        <v>1651</v>
      </c>
      <c r="W1785" s="11" t="s">
        <v>14433</v>
      </c>
      <c r="X1785" s="174">
        <v>151.80000000000001</v>
      </c>
      <c r="Y1785" s="174">
        <v>193.93</v>
      </c>
    </row>
    <row r="1786" spans="1:25" ht="15" customHeight="1" x14ac:dyDescent="0.25">
      <c r="A1786" s="20" t="s">
        <v>6272</v>
      </c>
      <c r="B1786" s="14" t="s">
        <v>6273</v>
      </c>
      <c r="C1786" s="71" t="str">
        <f t="shared" si="37"/>
        <v>Product Info</v>
      </c>
      <c r="D1786" s="37" t="s">
        <v>7293</v>
      </c>
      <c r="E1786" s="143">
        <v>1</v>
      </c>
      <c r="F1786" s="12" t="s">
        <v>4992</v>
      </c>
      <c r="G1786" s="38">
        <v>217.94</v>
      </c>
      <c r="H1786" s="38">
        <v>185.26</v>
      </c>
      <c r="I1786" s="38">
        <v>152.56</v>
      </c>
      <c r="J1786" s="39"/>
      <c r="K1786" s="143"/>
      <c r="L1786" s="22">
        <v>0</v>
      </c>
      <c r="M1786" s="22">
        <v>0</v>
      </c>
      <c r="N1786" s="20" t="s">
        <v>14489</v>
      </c>
      <c r="O1786" s="16">
        <v>0</v>
      </c>
      <c r="P1786" s="143">
        <v>758</v>
      </c>
      <c r="Q1786" s="121" t="s">
        <v>14285</v>
      </c>
      <c r="R1786" s="16" t="s">
        <v>9235</v>
      </c>
      <c r="S1786" s="10" t="s">
        <v>1163</v>
      </c>
      <c r="T1786" s="28" t="s">
        <v>10818</v>
      </c>
      <c r="U1786" s="20" t="s">
        <v>5359</v>
      </c>
      <c r="V1786" s="16" t="s">
        <v>6272</v>
      </c>
      <c r="W1786" s="11" t="s">
        <v>14433</v>
      </c>
      <c r="X1786" s="174">
        <v>145.01</v>
      </c>
      <c r="Y1786" s="174">
        <v>185.26</v>
      </c>
    </row>
    <row r="1787" spans="1:25" ht="15" customHeight="1" x14ac:dyDescent="0.25">
      <c r="A1787" s="20" t="s">
        <v>1654</v>
      </c>
      <c r="B1787" s="14" t="s">
        <v>1655</v>
      </c>
      <c r="C1787" s="71" t="str">
        <f t="shared" si="37"/>
        <v>Product Info</v>
      </c>
      <c r="D1787" s="37" t="s">
        <v>1656</v>
      </c>
      <c r="E1787" s="143">
        <v>1</v>
      </c>
      <c r="F1787" s="12" t="s">
        <v>4992</v>
      </c>
      <c r="G1787" s="38">
        <v>228.14</v>
      </c>
      <c r="H1787" s="38">
        <v>193.93</v>
      </c>
      <c r="I1787" s="38">
        <v>159.69999999999999</v>
      </c>
      <c r="J1787" s="39"/>
      <c r="K1787" s="143"/>
      <c r="L1787" s="22">
        <v>0</v>
      </c>
      <c r="M1787" s="22">
        <v>0</v>
      </c>
      <c r="N1787" s="20" t="s">
        <v>14489</v>
      </c>
      <c r="O1787" s="16">
        <v>0</v>
      </c>
      <c r="P1787" s="143">
        <v>758</v>
      </c>
      <c r="Q1787" s="121" t="s">
        <v>14285</v>
      </c>
      <c r="R1787" s="16" t="s">
        <v>9235</v>
      </c>
      <c r="S1787" s="10" t="s">
        <v>1163</v>
      </c>
      <c r="T1787" s="28" t="s">
        <v>10819</v>
      </c>
      <c r="U1787" s="20" t="s">
        <v>5359</v>
      </c>
      <c r="V1787" s="16" t="s">
        <v>1654</v>
      </c>
      <c r="W1787" s="11" t="s">
        <v>14433</v>
      </c>
      <c r="X1787" s="174">
        <v>151.80000000000001</v>
      </c>
      <c r="Y1787" s="174">
        <v>193.93</v>
      </c>
    </row>
    <row r="1788" spans="1:25" ht="15" customHeight="1" x14ac:dyDescent="0.25">
      <c r="A1788" s="20" t="s">
        <v>6274</v>
      </c>
      <c r="B1788" s="14" t="s">
        <v>6275</v>
      </c>
      <c r="C1788" s="71" t="str">
        <f t="shared" si="37"/>
        <v>Product Info</v>
      </c>
      <c r="D1788" s="37" t="s">
        <v>7294</v>
      </c>
      <c r="E1788" s="143">
        <v>1</v>
      </c>
      <c r="F1788" s="12" t="s">
        <v>4992</v>
      </c>
      <c r="G1788" s="38">
        <v>217.94</v>
      </c>
      <c r="H1788" s="38">
        <v>185.26</v>
      </c>
      <c r="I1788" s="38">
        <v>152.56</v>
      </c>
      <c r="J1788" s="39"/>
      <c r="K1788" s="143"/>
      <c r="L1788" s="22">
        <v>0</v>
      </c>
      <c r="M1788" s="22">
        <v>0</v>
      </c>
      <c r="N1788" s="20" t="s">
        <v>14489</v>
      </c>
      <c r="O1788" s="16">
        <v>0</v>
      </c>
      <c r="P1788" s="143">
        <v>758</v>
      </c>
      <c r="Q1788" s="121" t="s">
        <v>14285</v>
      </c>
      <c r="R1788" s="16" t="s">
        <v>9235</v>
      </c>
      <c r="S1788" s="10" t="s">
        <v>1163</v>
      </c>
      <c r="T1788" s="28" t="s">
        <v>10820</v>
      </c>
      <c r="U1788" s="20" t="s">
        <v>5359</v>
      </c>
      <c r="V1788" s="16" t="s">
        <v>6274</v>
      </c>
      <c r="W1788" s="11" t="s">
        <v>14433</v>
      </c>
      <c r="X1788" s="174">
        <v>145.01</v>
      </c>
      <c r="Y1788" s="174">
        <v>185.26</v>
      </c>
    </row>
    <row r="1789" spans="1:25" ht="15" customHeight="1" x14ac:dyDescent="0.25">
      <c r="A1789" s="20" t="s">
        <v>1657</v>
      </c>
      <c r="B1789" s="14" t="s">
        <v>1658</v>
      </c>
      <c r="C1789" s="71" t="str">
        <f t="shared" si="37"/>
        <v>Product Info</v>
      </c>
      <c r="D1789" s="37" t="s">
        <v>1659</v>
      </c>
      <c r="E1789" s="143">
        <v>1</v>
      </c>
      <c r="F1789" s="12" t="s">
        <v>4992</v>
      </c>
      <c r="G1789" s="38">
        <v>228.14</v>
      </c>
      <c r="H1789" s="38">
        <v>193.93</v>
      </c>
      <c r="I1789" s="38">
        <v>159.69999999999999</v>
      </c>
      <c r="J1789" s="39"/>
      <c r="K1789" s="143"/>
      <c r="L1789" s="22">
        <v>0</v>
      </c>
      <c r="M1789" s="22">
        <v>0</v>
      </c>
      <c r="N1789" s="20" t="s">
        <v>14489</v>
      </c>
      <c r="O1789" s="16">
        <v>0</v>
      </c>
      <c r="P1789" s="143">
        <v>758</v>
      </c>
      <c r="Q1789" s="121" t="s">
        <v>14285</v>
      </c>
      <c r="R1789" s="16" t="s">
        <v>9235</v>
      </c>
      <c r="S1789" s="10" t="s">
        <v>1163</v>
      </c>
      <c r="T1789" s="28" t="s">
        <v>10821</v>
      </c>
      <c r="U1789" s="20" t="s">
        <v>5359</v>
      </c>
      <c r="V1789" s="16" t="s">
        <v>1657</v>
      </c>
      <c r="W1789" s="11" t="s">
        <v>14433</v>
      </c>
      <c r="X1789" s="174">
        <v>151.80000000000001</v>
      </c>
      <c r="Y1789" s="174">
        <v>193.93</v>
      </c>
    </row>
    <row r="1790" spans="1:25" ht="15" customHeight="1" x14ac:dyDescent="0.25">
      <c r="A1790" s="20" t="s">
        <v>6276</v>
      </c>
      <c r="B1790" s="14" t="s">
        <v>6277</v>
      </c>
      <c r="C1790" s="71" t="str">
        <f t="shared" si="37"/>
        <v>Product Info</v>
      </c>
      <c r="D1790" s="37" t="s">
        <v>7295</v>
      </c>
      <c r="E1790" s="143">
        <v>1</v>
      </c>
      <c r="F1790" s="12" t="s">
        <v>4992</v>
      </c>
      <c r="G1790" s="38">
        <v>217.94</v>
      </c>
      <c r="H1790" s="38">
        <v>185.26</v>
      </c>
      <c r="I1790" s="38">
        <v>152.56</v>
      </c>
      <c r="J1790" s="39"/>
      <c r="K1790" s="143"/>
      <c r="L1790" s="22">
        <v>0</v>
      </c>
      <c r="M1790" s="22">
        <v>0</v>
      </c>
      <c r="N1790" s="20" t="s">
        <v>14489</v>
      </c>
      <c r="O1790" s="16">
        <v>0</v>
      </c>
      <c r="P1790" s="143">
        <v>758</v>
      </c>
      <c r="Q1790" s="121" t="s">
        <v>14285</v>
      </c>
      <c r="R1790" s="16" t="s">
        <v>9235</v>
      </c>
      <c r="S1790" s="10" t="s">
        <v>1163</v>
      </c>
      <c r="T1790" s="28" t="s">
        <v>10822</v>
      </c>
      <c r="U1790" s="20" t="s">
        <v>5359</v>
      </c>
      <c r="V1790" s="16" t="s">
        <v>6276</v>
      </c>
      <c r="W1790" s="11" t="s">
        <v>14433</v>
      </c>
      <c r="X1790" s="174">
        <v>145.01</v>
      </c>
      <c r="Y1790" s="174">
        <v>185.26</v>
      </c>
    </row>
    <row r="1791" spans="1:25" ht="15" customHeight="1" x14ac:dyDescent="0.25">
      <c r="A1791" s="20" t="s">
        <v>1660</v>
      </c>
      <c r="B1791" s="14" t="s">
        <v>1661</v>
      </c>
      <c r="C1791" s="71" t="str">
        <f t="shared" si="37"/>
        <v>Product Info</v>
      </c>
      <c r="D1791" s="37" t="s">
        <v>1662</v>
      </c>
      <c r="E1791" s="143">
        <v>1</v>
      </c>
      <c r="F1791" s="12" t="s">
        <v>4992</v>
      </c>
      <c r="G1791" s="38">
        <v>228.14</v>
      </c>
      <c r="H1791" s="38">
        <v>193.93</v>
      </c>
      <c r="I1791" s="38">
        <v>159.69999999999999</v>
      </c>
      <c r="J1791" s="39"/>
      <c r="K1791" s="143"/>
      <c r="L1791" s="22">
        <v>0</v>
      </c>
      <c r="M1791" s="22">
        <v>0</v>
      </c>
      <c r="N1791" s="20" t="s">
        <v>14489</v>
      </c>
      <c r="O1791" s="16">
        <v>0</v>
      </c>
      <c r="P1791" s="143">
        <v>758</v>
      </c>
      <c r="Q1791" s="121" t="s">
        <v>14285</v>
      </c>
      <c r="R1791" s="16" t="s">
        <v>9235</v>
      </c>
      <c r="S1791" s="10" t="s">
        <v>1163</v>
      </c>
      <c r="T1791" s="28" t="s">
        <v>10823</v>
      </c>
      <c r="U1791" s="20" t="s">
        <v>5359</v>
      </c>
      <c r="V1791" s="16" t="s">
        <v>1660</v>
      </c>
      <c r="W1791" s="11" t="s">
        <v>14433</v>
      </c>
      <c r="X1791" s="174">
        <v>151.80000000000001</v>
      </c>
      <c r="Y1791" s="174">
        <v>193.93</v>
      </c>
    </row>
    <row r="1792" spans="1:25" ht="15" customHeight="1" x14ac:dyDescent="0.25">
      <c r="A1792" s="20" t="s">
        <v>6278</v>
      </c>
      <c r="B1792" s="14" t="s">
        <v>6279</v>
      </c>
      <c r="C1792" s="71" t="str">
        <f t="shared" si="37"/>
        <v>Product Info</v>
      </c>
      <c r="D1792" s="37" t="s">
        <v>7296</v>
      </c>
      <c r="E1792" s="143">
        <v>1</v>
      </c>
      <c r="F1792" s="12" t="s">
        <v>4992</v>
      </c>
      <c r="G1792" s="38">
        <v>254.37</v>
      </c>
      <c r="H1792" s="38">
        <v>216.22</v>
      </c>
      <c r="I1792" s="38">
        <v>178.06</v>
      </c>
      <c r="J1792" s="39"/>
      <c r="K1792" s="143"/>
      <c r="L1792" s="22">
        <v>0</v>
      </c>
      <c r="M1792" s="22">
        <v>0</v>
      </c>
      <c r="N1792" s="20" t="s">
        <v>14489</v>
      </c>
      <c r="O1792" s="16">
        <v>0</v>
      </c>
      <c r="P1792" s="143">
        <v>758</v>
      </c>
      <c r="Q1792" s="121" t="s">
        <v>14285</v>
      </c>
      <c r="R1792" s="16" t="s">
        <v>9235</v>
      </c>
      <c r="S1792" s="10" t="s">
        <v>1163</v>
      </c>
      <c r="T1792" s="28" t="s">
        <v>10824</v>
      </c>
      <c r="U1792" s="20" t="s">
        <v>5359</v>
      </c>
      <c r="V1792" s="16" t="s">
        <v>6278</v>
      </c>
      <c r="W1792" s="11" t="s">
        <v>14433</v>
      </c>
      <c r="X1792" s="174">
        <v>169.25</v>
      </c>
      <c r="Y1792" s="174">
        <v>216.22</v>
      </c>
    </row>
    <row r="1793" spans="1:25" ht="15" customHeight="1" x14ac:dyDescent="0.25">
      <c r="A1793" s="20" t="s">
        <v>1663</v>
      </c>
      <c r="B1793" s="14" t="s">
        <v>1664</v>
      </c>
      <c r="C1793" s="71" t="str">
        <f t="shared" si="37"/>
        <v>Product Info</v>
      </c>
      <c r="D1793" s="37" t="s">
        <v>1665</v>
      </c>
      <c r="E1793" s="143">
        <v>1</v>
      </c>
      <c r="F1793" s="12" t="s">
        <v>4992</v>
      </c>
      <c r="G1793" s="38">
        <v>268.94</v>
      </c>
      <c r="H1793" s="38">
        <v>228.61</v>
      </c>
      <c r="I1793" s="38">
        <v>188.26</v>
      </c>
      <c r="J1793" s="39"/>
      <c r="K1793" s="143"/>
      <c r="L1793" s="22">
        <v>0</v>
      </c>
      <c r="M1793" s="22">
        <v>0</v>
      </c>
      <c r="N1793" s="20" t="s">
        <v>14489</v>
      </c>
      <c r="O1793" s="16">
        <v>0</v>
      </c>
      <c r="P1793" s="143">
        <v>758</v>
      </c>
      <c r="Q1793" s="121" t="s">
        <v>14285</v>
      </c>
      <c r="R1793" s="16" t="s">
        <v>9235</v>
      </c>
      <c r="S1793" s="10" t="s">
        <v>1163</v>
      </c>
      <c r="T1793" s="28" t="s">
        <v>10825</v>
      </c>
      <c r="U1793" s="20" t="s">
        <v>5359</v>
      </c>
      <c r="V1793" s="16" t="s">
        <v>1663</v>
      </c>
      <c r="W1793" s="11" t="s">
        <v>14433</v>
      </c>
      <c r="X1793" s="174">
        <v>178.94</v>
      </c>
      <c r="Y1793" s="174">
        <v>228.61</v>
      </c>
    </row>
    <row r="1794" spans="1:25" ht="15" customHeight="1" x14ac:dyDescent="0.25">
      <c r="A1794" s="20" t="s">
        <v>1666</v>
      </c>
      <c r="B1794" s="14" t="s">
        <v>1667</v>
      </c>
      <c r="C1794" s="71" t="str">
        <f t="shared" si="37"/>
        <v>Product Info</v>
      </c>
      <c r="D1794" s="37" t="s">
        <v>1668</v>
      </c>
      <c r="E1794" s="143">
        <v>1</v>
      </c>
      <c r="F1794" s="12" t="s">
        <v>4992</v>
      </c>
      <c r="G1794" s="38">
        <v>268.94</v>
      </c>
      <c r="H1794" s="38">
        <v>228.61</v>
      </c>
      <c r="I1794" s="38">
        <v>188.26</v>
      </c>
      <c r="J1794" s="39"/>
      <c r="K1794" s="143"/>
      <c r="L1794" s="22">
        <v>0</v>
      </c>
      <c r="M1794" s="22">
        <v>0</v>
      </c>
      <c r="N1794" s="20" t="s">
        <v>14489</v>
      </c>
      <c r="O1794" s="16">
        <v>0</v>
      </c>
      <c r="P1794" s="143">
        <v>758</v>
      </c>
      <c r="Q1794" s="121" t="s">
        <v>14285</v>
      </c>
      <c r="R1794" s="16" t="s">
        <v>9235</v>
      </c>
      <c r="S1794" s="10" t="s">
        <v>1163</v>
      </c>
      <c r="T1794" s="28" t="s">
        <v>10826</v>
      </c>
      <c r="U1794" s="20" t="s">
        <v>5359</v>
      </c>
      <c r="V1794" s="16" t="s">
        <v>1666</v>
      </c>
      <c r="W1794" s="11" t="s">
        <v>14433</v>
      </c>
      <c r="X1794" s="174">
        <v>178.94</v>
      </c>
      <c r="Y1794" s="174">
        <v>228.61</v>
      </c>
    </row>
    <row r="1795" spans="1:25" ht="15" customHeight="1" x14ac:dyDescent="0.25">
      <c r="A1795" s="20" t="s">
        <v>6282</v>
      </c>
      <c r="B1795" s="14" t="s">
        <v>6283</v>
      </c>
      <c r="C1795" s="71" t="str">
        <f t="shared" si="37"/>
        <v>Product Info</v>
      </c>
      <c r="D1795" s="37" t="s">
        <v>4788</v>
      </c>
      <c r="E1795" s="143">
        <v>1</v>
      </c>
      <c r="F1795" s="12" t="s">
        <v>4992</v>
      </c>
      <c r="G1795" s="38">
        <v>217.94</v>
      </c>
      <c r="H1795" s="38">
        <v>185.26</v>
      </c>
      <c r="I1795" s="38">
        <v>152.56</v>
      </c>
      <c r="J1795" s="39"/>
      <c r="K1795" s="143"/>
      <c r="L1795" s="22">
        <v>0</v>
      </c>
      <c r="M1795" s="22">
        <v>0</v>
      </c>
      <c r="N1795" s="20" t="s">
        <v>14489</v>
      </c>
      <c r="O1795" s="16">
        <v>0</v>
      </c>
      <c r="P1795" s="143">
        <v>758</v>
      </c>
      <c r="Q1795" s="121" t="s">
        <v>14285</v>
      </c>
      <c r="R1795" s="16" t="s">
        <v>9235</v>
      </c>
      <c r="S1795" s="10" t="s">
        <v>1163</v>
      </c>
      <c r="T1795" s="28" t="s">
        <v>10827</v>
      </c>
      <c r="U1795" s="20" t="s">
        <v>5359</v>
      </c>
      <c r="V1795" s="16" t="s">
        <v>6282</v>
      </c>
      <c r="W1795" s="11" t="s">
        <v>14433</v>
      </c>
      <c r="X1795" s="174">
        <v>145.01</v>
      </c>
      <c r="Y1795" s="174">
        <v>185.26</v>
      </c>
    </row>
    <row r="1796" spans="1:25" ht="15" customHeight="1" x14ac:dyDescent="0.25">
      <c r="A1796" s="20" t="s">
        <v>1669</v>
      </c>
      <c r="B1796" s="14" t="s">
        <v>1670</v>
      </c>
      <c r="C1796" s="71" t="str">
        <f t="shared" si="37"/>
        <v>Product Info</v>
      </c>
      <c r="D1796" s="37" t="s">
        <v>1671</v>
      </c>
      <c r="E1796" s="143">
        <v>1</v>
      </c>
      <c r="F1796" s="12" t="s">
        <v>4992</v>
      </c>
      <c r="G1796" s="38">
        <v>228.14</v>
      </c>
      <c r="H1796" s="38">
        <v>193.93</v>
      </c>
      <c r="I1796" s="38">
        <v>159.69999999999999</v>
      </c>
      <c r="J1796" s="39"/>
      <c r="K1796" s="143"/>
      <c r="L1796" s="22">
        <v>0</v>
      </c>
      <c r="M1796" s="22">
        <v>0</v>
      </c>
      <c r="N1796" s="20" t="s">
        <v>14489</v>
      </c>
      <c r="O1796" s="16">
        <v>0</v>
      </c>
      <c r="P1796" s="143">
        <v>758</v>
      </c>
      <c r="Q1796" s="121" t="s">
        <v>14285</v>
      </c>
      <c r="R1796" s="16" t="s">
        <v>9235</v>
      </c>
      <c r="S1796" s="10" t="s">
        <v>1163</v>
      </c>
      <c r="T1796" s="28" t="s">
        <v>10828</v>
      </c>
      <c r="U1796" s="20" t="s">
        <v>5359</v>
      </c>
      <c r="V1796" s="16" t="s">
        <v>1669</v>
      </c>
      <c r="W1796" s="11" t="s">
        <v>14433</v>
      </c>
      <c r="X1796" s="174">
        <v>151.80000000000001</v>
      </c>
      <c r="Y1796" s="174">
        <v>193.93</v>
      </c>
    </row>
    <row r="1797" spans="1:25" ht="15" customHeight="1" x14ac:dyDescent="0.25">
      <c r="A1797" s="20" t="s">
        <v>1672</v>
      </c>
      <c r="B1797" s="14" t="s">
        <v>1673</v>
      </c>
      <c r="C1797" s="71" t="str">
        <f t="shared" si="37"/>
        <v>Product Info</v>
      </c>
      <c r="D1797" s="37" t="s">
        <v>1674</v>
      </c>
      <c r="E1797" s="143">
        <v>1</v>
      </c>
      <c r="F1797" s="12" t="s">
        <v>4992</v>
      </c>
      <c r="G1797" s="38">
        <v>268.94</v>
      </c>
      <c r="H1797" s="38">
        <v>228.61</v>
      </c>
      <c r="I1797" s="38">
        <v>188.26</v>
      </c>
      <c r="J1797" s="39"/>
      <c r="K1797" s="143"/>
      <c r="L1797" s="22">
        <v>0</v>
      </c>
      <c r="M1797" s="22">
        <v>0</v>
      </c>
      <c r="N1797" s="20" t="s">
        <v>14489</v>
      </c>
      <c r="O1797" s="16">
        <v>0</v>
      </c>
      <c r="P1797" s="143">
        <v>758</v>
      </c>
      <c r="Q1797" s="121" t="s">
        <v>14285</v>
      </c>
      <c r="R1797" s="16" t="s">
        <v>9235</v>
      </c>
      <c r="S1797" s="10" t="s">
        <v>1163</v>
      </c>
      <c r="T1797" s="28" t="s">
        <v>10829</v>
      </c>
      <c r="U1797" s="20" t="s">
        <v>5359</v>
      </c>
      <c r="V1797" s="16" t="s">
        <v>1672</v>
      </c>
      <c r="W1797" s="11" t="s">
        <v>14433</v>
      </c>
      <c r="X1797" s="174">
        <v>178.94</v>
      </c>
      <c r="Y1797" s="174">
        <v>228.61</v>
      </c>
    </row>
    <row r="1798" spans="1:25" ht="15" customHeight="1" x14ac:dyDescent="0.25">
      <c r="A1798" s="20" t="s">
        <v>3804</v>
      </c>
      <c r="B1798" s="14" t="s">
        <v>5968</v>
      </c>
      <c r="C1798" s="71" t="str">
        <f t="shared" ref="C1798:C1861" si="38">HYPERLINK(T1798,U1798)</f>
        <v>Product Info</v>
      </c>
      <c r="D1798" s="37" t="s">
        <v>3820</v>
      </c>
      <c r="E1798" s="143">
        <v>1</v>
      </c>
      <c r="F1798" s="12" t="s">
        <v>4992</v>
      </c>
      <c r="G1798" s="38">
        <v>301.94</v>
      </c>
      <c r="H1798" s="38">
        <v>256.66000000000003</v>
      </c>
      <c r="I1798" s="38">
        <v>211.36</v>
      </c>
      <c r="J1798" s="39"/>
      <c r="K1798" s="143"/>
      <c r="L1798" s="22">
        <v>0</v>
      </c>
      <c r="M1798" s="22">
        <v>0</v>
      </c>
      <c r="N1798" s="20" t="s">
        <v>14489</v>
      </c>
      <c r="O1798" s="16">
        <v>0</v>
      </c>
      <c r="P1798" s="143">
        <v>758</v>
      </c>
      <c r="Q1798" s="122" t="s">
        <v>12421</v>
      </c>
      <c r="R1798" s="16" t="s">
        <v>9235</v>
      </c>
      <c r="S1798" s="10" t="s">
        <v>1163</v>
      </c>
      <c r="T1798" s="28" t="s">
        <v>10830</v>
      </c>
      <c r="U1798" s="20" t="s">
        <v>5359</v>
      </c>
      <c r="V1798" s="16" t="s">
        <v>3804</v>
      </c>
      <c r="W1798" s="11" t="s">
        <v>14433</v>
      </c>
      <c r="X1798" s="174">
        <v>200.9</v>
      </c>
      <c r="Y1798" s="174">
        <v>256.66000000000003</v>
      </c>
    </row>
    <row r="1799" spans="1:25" ht="15" customHeight="1" x14ac:dyDescent="0.25">
      <c r="A1799" s="20" t="s">
        <v>3805</v>
      </c>
      <c r="B1799" s="14" t="s">
        <v>5969</v>
      </c>
      <c r="C1799" s="71" t="str">
        <f t="shared" si="38"/>
        <v>Product Info</v>
      </c>
      <c r="D1799" s="37" t="s">
        <v>3821</v>
      </c>
      <c r="E1799" s="143">
        <v>1</v>
      </c>
      <c r="F1799" s="12" t="s">
        <v>4992</v>
      </c>
      <c r="G1799" s="38">
        <v>592.11</v>
      </c>
      <c r="H1799" s="38">
        <v>503.32</v>
      </c>
      <c r="I1799" s="38">
        <v>414.48</v>
      </c>
      <c r="J1799" s="39"/>
      <c r="K1799" s="143"/>
      <c r="L1799" s="22">
        <v>0</v>
      </c>
      <c r="M1799" s="22">
        <v>0</v>
      </c>
      <c r="N1799" s="20" t="s">
        <v>14489</v>
      </c>
      <c r="O1799" s="16">
        <v>0</v>
      </c>
      <c r="P1799" s="143">
        <v>758</v>
      </c>
      <c r="Q1799" s="121" t="s">
        <v>14285</v>
      </c>
      <c r="R1799" s="16" t="s">
        <v>9235</v>
      </c>
      <c r="S1799" s="10" t="s">
        <v>1163</v>
      </c>
      <c r="T1799" s="28" t="s">
        <v>10831</v>
      </c>
      <c r="U1799" s="20" t="s">
        <v>5359</v>
      </c>
      <c r="V1799" s="16" t="s">
        <v>3805</v>
      </c>
      <c r="W1799" s="11" t="s">
        <v>14433</v>
      </c>
      <c r="X1799" s="174">
        <v>393.96</v>
      </c>
      <c r="Y1799" s="174">
        <v>503.32</v>
      </c>
    </row>
    <row r="1800" spans="1:25" ht="15" customHeight="1" x14ac:dyDescent="0.25">
      <c r="A1800" s="20" t="s">
        <v>3806</v>
      </c>
      <c r="B1800" s="14" t="s">
        <v>5970</v>
      </c>
      <c r="C1800" s="71" t="str">
        <f t="shared" si="38"/>
        <v>Product Info</v>
      </c>
      <c r="D1800" s="37" t="s">
        <v>3822</v>
      </c>
      <c r="E1800" s="143">
        <v>1</v>
      </c>
      <c r="F1800" s="12" t="s">
        <v>4992</v>
      </c>
      <c r="G1800" s="38">
        <v>882.29</v>
      </c>
      <c r="H1800" s="38">
        <v>749.97</v>
      </c>
      <c r="I1800" s="38">
        <v>617.6</v>
      </c>
      <c r="J1800" s="39"/>
      <c r="K1800" s="143"/>
      <c r="L1800" s="22">
        <v>0</v>
      </c>
      <c r="M1800" s="22">
        <v>0</v>
      </c>
      <c r="N1800" s="20" t="s">
        <v>14489</v>
      </c>
      <c r="O1800" s="16">
        <v>0</v>
      </c>
      <c r="P1800" s="143">
        <v>758</v>
      </c>
      <c r="Q1800" s="121" t="s">
        <v>14285</v>
      </c>
      <c r="R1800" s="16" t="s">
        <v>9235</v>
      </c>
      <c r="S1800" s="10" t="s">
        <v>1163</v>
      </c>
      <c r="T1800" s="28" t="s">
        <v>10832</v>
      </c>
      <c r="U1800" s="20" t="s">
        <v>5359</v>
      </c>
      <c r="V1800" s="16" t="s">
        <v>3806</v>
      </c>
      <c r="W1800" s="11" t="s">
        <v>14433</v>
      </c>
      <c r="X1800" s="174">
        <v>587.03</v>
      </c>
      <c r="Y1800" s="174">
        <v>749.97</v>
      </c>
    </row>
    <row r="1801" spans="1:25" ht="15" customHeight="1" x14ac:dyDescent="0.25">
      <c r="A1801" s="20" t="s">
        <v>3807</v>
      </c>
      <c r="B1801" s="14" t="s">
        <v>5971</v>
      </c>
      <c r="C1801" s="71" t="str">
        <f t="shared" si="38"/>
        <v>Product Info</v>
      </c>
      <c r="D1801" s="37" t="s">
        <v>3823</v>
      </c>
      <c r="E1801" s="143">
        <v>1</v>
      </c>
      <c r="F1801" s="12" t="s">
        <v>4992</v>
      </c>
      <c r="G1801" s="38">
        <v>1172.5</v>
      </c>
      <c r="H1801" s="38">
        <v>996.66</v>
      </c>
      <c r="I1801" s="38">
        <v>820.75</v>
      </c>
      <c r="J1801" s="39"/>
      <c r="K1801" s="143"/>
      <c r="L1801" s="22">
        <v>0</v>
      </c>
      <c r="M1801" s="22">
        <v>0</v>
      </c>
      <c r="N1801" s="20" t="s">
        <v>14489</v>
      </c>
      <c r="O1801" s="16">
        <v>0</v>
      </c>
      <c r="P1801" s="143">
        <v>758</v>
      </c>
      <c r="Q1801" s="121" t="s">
        <v>14285</v>
      </c>
      <c r="R1801" s="16" t="s">
        <v>9235</v>
      </c>
      <c r="S1801" s="10" t="s">
        <v>1163</v>
      </c>
      <c r="T1801" s="28" t="s">
        <v>10833</v>
      </c>
      <c r="U1801" s="20" t="s">
        <v>5359</v>
      </c>
      <c r="V1801" s="16" t="s">
        <v>3807</v>
      </c>
      <c r="W1801" s="11" t="s">
        <v>14433</v>
      </c>
      <c r="X1801" s="174">
        <v>780.12</v>
      </c>
      <c r="Y1801" s="174">
        <v>996.66</v>
      </c>
    </row>
    <row r="1802" spans="1:25" ht="15" customHeight="1" x14ac:dyDescent="0.25">
      <c r="A1802" s="20" t="s">
        <v>3121</v>
      </c>
      <c r="B1802" s="14" t="s">
        <v>3122</v>
      </c>
      <c r="C1802" s="71" t="str">
        <f t="shared" si="38"/>
        <v>Product Info</v>
      </c>
      <c r="D1802" s="37" t="s">
        <v>3123</v>
      </c>
      <c r="E1802" s="143">
        <v>1</v>
      </c>
      <c r="F1802" s="12" t="s">
        <v>4992</v>
      </c>
      <c r="G1802" s="38">
        <v>256.94</v>
      </c>
      <c r="H1802" s="38">
        <v>218.41</v>
      </c>
      <c r="I1802" s="38">
        <v>179.86</v>
      </c>
      <c r="J1802" s="39"/>
      <c r="K1802" s="143"/>
      <c r="L1802" s="22">
        <v>0</v>
      </c>
      <c r="M1802" s="22">
        <v>0</v>
      </c>
      <c r="N1802" s="20" t="s">
        <v>14489</v>
      </c>
      <c r="O1802" s="16">
        <v>0</v>
      </c>
      <c r="P1802" s="143">
        <v>758</v>
      </c>
      <c r="Q1802" s="121" t="s">
        <v>14285</v>
      </c>
      <c r="R1802" s="16" t="s">
        <v>9235</v>
      </c>
      <c r="S1802" s="10" t="s">
        <v>1163</v>
      </c>
      <c r="T1802" s="28" t="s">
        <v>10834</v>
      </c>
      <c r="U1802" s="20" t="s">
        <v>5359</v>
      </c>
      <c r="V1802" s="16" t="s">
        <v>3121</v>
      </c>
      <c r="W1802" s="11" t="s">
        <v>14433</v>
      </c>
      <c r="X1802" s="174">
        <v>170.96</v>
      </c>
      <c r="Y1802" s="174">
        <v>218.41</v>
      </c>
    </row>
    <row r="1803" spans="1:25" ht="15" customHeight="1" x14ac:dyDescent="0.25">
      <c r="A1803" s="20" t="s">
        <v>1675</v>
      </c>
      <c r="B1803" s="14" t="s">
        <v>1676</v>
      </c>
      <c r="C1803" s="71" t="str">
        <f t="shared" si="38"/>
        <v>Product Info</v>
      </c>
      <c r="D1803" s="37" t="s">
        <v>118</v>
      </c>
      <c r="E1803" s="143">
        <v>1</v>
      </c>
      <c r="F1803" s="12" t="s">
        <v>4992</v>
      </c>
      <c r="G1803" s="38">
        <v>101.29</v>
      </c>
      <c r="H1803" s="38">
        <v>86.1</v>
      </c>
      <c r="I1803" s="38">
        <v>70.900000000000006</v>
      </c>
      <c r="J1803" s="39"/>
      <c r="K1803" s="143"/>
      <c r="L1803" s="22">
        <v>0</v>
      </c>
      <c r="M1803" s="22">
        <v>0</v>
      </c>
      <c r="N1803" s="20" t="s">
        <v>14489</v>
      </c>
      <c r="O1803" s="16">
        <v>0</v>
      </c>
      <c r="P1803" s="143">
        <v>758</v>
      </c>
      <c r="Q1803" s="121" t="s">
        <v>14285</v>
      </c>
      <c r="R1803" s="16" t="s">
        <v>9235</v>
      </c>
      <c r="S1803" s="10" t="s">
        <v>1163</v>
      </c>
      <c r="T1803" s="28" t="s">
        <v>10835</v>
      </c>
      <c r="U1803" s="20" t="s">
        <v>5359</v>
      </c>
      <c r="V1803" s="16" t="s">
        <v>1675</v>
      </c>
      <c r="W1803" s="11" t="s">
        <v>14433</v>
      </c>
      <c r="X1803" s="174">
        <v>67.39</v>
      </c>
      <c r="Y1803" s="174">
        <v>86.1</v>
      </c>
    </row>
    <row r="1804" spans="1:25" ht="15" customHeight="1" x14ac:dyDescent="0.25">
      <c r="A1804" s="20" t="s">
        <v>3588</v>
      </c>
      <c r="B1804" s="14" t="s">
        <v>3589</v>
      </c>
      <c r="C1804" s="71" t="str">
        <f t="shared" si="38"/>
        <v>Product Info</v>
      </c>
      <c r="D1804" s="37" t="s">
        <v>3590</v>
      </c>
      <c r="E1804" s="143">
        <v>1</v>
      </c>
      <c r="F1804" s="12" t="s">
        <v>4992</v>
      </c>
      <c r="G1804" s="38">
        <v>528.37</v>
      </c>
      <c r="H1804" s="38">
        <v>449.13</v>
      </c>
      <c r="I1804" s="38">
        <v>369.86</v>
      </c>
      <c r="J1804" s="39"/>
      <c r="K1804" s="143"/>
      <c r="L1804" s="22">
        <v>0</v>
      </c>
      <c r="M1804" s="22">
        <v>0</v>
      </c>
      <c r="N1804" s="20" t="s">
        <v>14489</v>
      </c>
      <c r="O1804" s="16">
        <v>0</v>
      </c>
      <c r="P1804" s="143">
        <v>758</v>
      </c>
      <c r="Q1804" s="121" t="s">
        <v>14285</v>
      </c>
      <c r="R1804" s="16" t="s">
        <v>9235</v>
      </c>
      <c r="S1804" s="10" t="s">
        <v>1163</v>
      </c>
      <c r="T1804" s="28" t="s">
        <v>10836</v>
      </c>
      <c r="U1804" s="20" t="s">
        <v>5359</v>
      </c>
      <c r="V1804" s="16" t="s">
        <v>3588</v>
      </c>
      <c r="W1804" s="11" t="s">
        <v>14433</v>
      </c>
      <c r="X1804" s="174">
        <v>351.55</v>
      </c>
      <c r="Y1804" s="174">
        <v>449.13</v>
      </c>
    </row>
    <row r="1805" spans="1:25" ht="15" customHeight="1" x14ac:dyDescent="0.25">
      <c r="A1805" s="20" t="s">
        <v>3165</v>
      </c>
      <c r="B1805" s="14" t="s">
        <v>3166</v>
      </c>
      <c r="C1805" s="71" t="str">
        <f t="shared" si="38"/>
        <v>Product Info</v>
      </c>
      <c r="D1805" s="37" t="s">
        <v>1677</v>
      </c>
      <c r="E1805" s="143">
        <v>1</v>
      </c>
      <c r="F1805" s="12" t="s">
        <v>4992</v>
      </c>
      <c r="G1805" s="38">
        <v>792.53</v>
      </c>
      <c r="H1805" s="38">
        <v>673.67</v>
      </c>
      <c r="I1805" s="38">
        <v>554.77</v>
      </c>
      <c r="J1805" s="39"/>
      <c r="K1805" s="143"/>
      <c r="L1805" s="22">
        <v>0</v>
      </c>
      <c r="M1805" s="22">
        <v>0</v>
      </c>
      <c r="N1805" s="20" t="s">
        <v>14489</v>
      </c>
      <c r="O1805" s="16">
        <v>0</v>
      </c>
      <c r="P1805" s="143">
        <v>758</v>
      </c>
      <c r="Q1805" s="121" t="s">
        <v>14285</v>
      </c>
      <c r="R1805" s="16" t="s">
        <v>9235</v>
      </c>
      <c r="S1805" s="10" t="s">
        <v>1163</v>
      </c>
      <c r="T1805" s="28" t="s">
        <v>10837</v>
      </c>
      <c r="U1805" s="20" t="s">
        <v>5359</v>
      </c>
      <c r="V1805" s="16" t="s">
        <v>3165</v>
      </c>
      <c r="W1805" s="11" t="s">
        <v>14433</v>
      </c>
      <c r="X1805" s="174">
        <v>527.30999999999995</v>
      </c>
      <c r="Y1805" s="174">
        <v>673.67</v>
      </c>
    </row>
    <row r="1806" spans="1:25" ht="15" customHeight="1" x14ac:dyDescent="0.25">
      <c r="A1806" s="20" t="s">
        <v>3560</v>
      </c>
      <c r="B1806" s="14" t="s">
        <v>3561</v>
      </c>
      <c r="C1806" s="71" t="str">
        <f t="shared" si="38"/>
        <v>Product Info</v>
      </c>
      <c r="D1806" s="37" t="s">
        <v>3562</v>
      </c>
      <c r="E1806" s="143">
        <v>1</v>
      </c>
      <c r="F1806" s="12" t="s">
        <v>4992</v>
      </c>
      <c r="G1806" s="38">
        <v>634.01</v>
      </c>
      <c r="H1806" s="38">
        <v>538.92999999999995</v>
      </c>
      <c r="I1806" s="38">
        <v>443.81</v>
      </c>
      <c r="J1806" s="39"/>
      <c r="K1806" s="143"/>
      <c r="L1806" s="22">
        <v>0</v>
      </c>
      <c r="M1806" s="22">
        <v>0</v>
      </c>
      <c r="N1806" s="20" t="s">
        <v>14489</v>
      </c>
      <c r="O1806" s="16">
        <v>0</v>
      </c>
      <c r="P1806" s="143">
        <v>758</v>
      </c>
      <c r="Q1806" s="121" t="s">
        <v>14285</v>
      </c>
      <c r="R1806" s="16" t="s">
        <v>9235</v>
      </c>
      <c r="S1806" s="10" t="s">
        <v>1163</v>
      </c>
      <c r="T1806" s="28" t="s">
        <v>10838</v>
      </c>
      <c r="U1806" s="20" t="s">
        <v>5359</v>
      </c>
      <c r="V1806" s="16" t="s">
        <v>3560</v>
      </c>
      <c r="W1806" s="11" t="s">
        <v>14433</v>
      </c>
      <c r="X1806" s="174">
        <v>421.84</v>
      </c>
      <c r="Y1806" s="174">
        <v>538.92999999999995</v>
      </c>
    </row>
    <row r="1807" spans="1:25" ht="15" customHeight="1" x14ac:dyDescent="0.25">
      <c r="A1807" s="20" t="s">
        <v>3591</v>
      </c>
      <c r="B1807" s="14" t="s">
        <v>3592</v>
      </c>
      <c r="C1807" s="71" t="str">
        <f t="shared" si="38"/>
        <v>Product Info</v>
      </c>
      <c r="D1807" s="37" t="s">
        <v>1678</v>
      </c>
      <c r="E1807" s="143">
        <v>1</v>
      </c>
      <c r="F1807" s="12" t="s">
        <v>4992</v>
      </c>
      <c r="G1807" s="38">
        <v>634.01</v>
      </c>
      <c r="H1807" s="38">
        <v>538.92999999999995</v>
      </c>
      <c r="I1807" s="38">
        <v>443.81</v>
      </c>
      <c r="J1807" s="39"/>
      <c r="K1807" s="143"/>
      <c r="L1807" s="22">
        <v>0</v>
      </c>
      <c r="M1807" s="22">
        <v>0</v>
      </c>
      <c r="N1807" s="20" t="s">
        <v>14489</v>
      </c>
      <c r="O1807" s="16">
        <v>0</v>
      </c>
      <c r="P1807" s="143">
        <v>758</v>
      </c>
      <c r="Q1807" s="121" t="s">
        <v>14285</v>
      </c>
      <c r="R1807" s="16" t="s">
        <v>9235</v>
      </c>
      <c r="S1807" s="10" t="s">
        <v>1163</v>
      </c>
      <c r="T1807" s="28" t="s">
        <v>10839</v>
      </c>
      <c r="U1807" s="20" t="s">
        <v>5359</v>
      </c>
      <c r="V1807" s="16" t="s">
        <v>3591</v>
      </c>
      <c r="W1807" s="11" t="s">
        <v>14433</v>
      </c>
      <c r="X1807" s="174">
        <v>421.84</v>
      </c>
      <c r="Y1807" s="174">
        <v>538.92999999999995</v>
      </c>
    </row>
    <row r="1808" spans="1:25" ht="15" customHeight="1" x14ac:dyDescent="0.25">
      <c r="A1808" s="20" t="s">
        <v>3167</v>
      </c>
      <c r="B1808" s="14" t="s">
        <v>3168</v>
      </c>
      <c r="C1808" s="71" t="str">
        <f t="shared" si="38"/>
        <v>Product Info</v>
      </c>
      <c r="D1808" s="37" t="s">
        <v>3169</v>
      </c>
      <c r="E1808" s="143">
        <v>1</v>
      </c>
      <c r="F1808" s="12" t="s">
        <v>4992</v>
      </c>
      <c r="G1808" s="38">
        <v>951.03</v>
      </c>
      <c r="H1808" s="38">
        <v>808.4</v>
      </c>
      <c r="I1808" s="38">
        <v>665.72</v>
      </c>
      <c r="J1808" s="39"/>
      <c r="K1808" s="143"/>
      <c r="L1808" s="22">
        <v>0</v>
      </c>
      <c r="M1808" s="22">
        <v>0</v>
      </c>
      <c r="N1808" s="20" t="s">
        <v>14489</v>
      </c>
      <c r="O1808" s="16">
        <v>0</v>
      </c>
      <c r="P1808" s="143">
        <v>758</v>
      </c>
      <c r="Q1808" s="121" t="s">
        <v>14285</v>
      </c>
      <c r="R1808" s="16" t="s">
        <v>9235</v>
      </c>
      <c r="S1808" s="10" t="s">
        <v>1163</v>
      </c>
      <c r="T1808" s="28" t="s">
        <v>10840</v>
      </c>
      <c r="U1808" s="20" t="s">
        <v>5359</v>
      </c>
      <c r="V1808" s="16" t="s">
        <v>3167</v>
      </c>
      <c r="W1808" s="11" t="s">
        <v>14433</v>
      </c>
      <c r="X1808" s="174">
        <v>632.76</v>
      </c>
      <c r="Y1808" s="174">
        <v>808.4</v>
      </c>
    </row>
    <row r="1809" spans="1:25" ht="15" customHeight="1" x14ac:dyDescent="0.25">
      <c r="A1809" s="20" t="s">
        <v>3563</v>
      </c>
      <c r="B1809" s="14" t="s">
        <v>3564</v>
      </c>
      <c r="C1809" s="71" t="str">
        <f t="shared" si="38"/>
        <v>Product Info</v>
      </c>
      <c r="D1809" s="37" t="s">
        <v>3565</v>
      </c>
      <c r="E1809" s="143">
        <v>1</v>
      </c>
      <c r="F1809" s="12" t="s">
        <v>4992</v>
      </c>
      <c r="G1809" s="38">
        <v>760.81</v>
      </c>
      <c r="H1809" s="38">
        <v>646.72</v>
      </c>
      <c r="I1809" s="38">
        <v>532.57000000000005</v>
      </c>
      <c r="J1809" s="39"/>
      <c r="K1809" s="143"/>
      <c r="L1809" s="22">
        <v>0</v>
      </c>
      <c r="M1809" s="22">
        <v>0</v>
      </c>
      <c r="N1809" s="20" t="s">
        <v>14489</v>
      </c>
      <c r="O1809" s="16">
        <v>0</v>
      </c>
      <c r="P1809" s="143">
        <v>758</v>
      </c>
      <c r="Q1809" s="121" t="s">
        <v>14285</v>
      </c>
      <c r="R1809" s="16" t="s">
        <v>9235</v>
      </c>
      <c r="S1809" s="10" t="s">
        <v>1163</v>
      </c>
      <c r="T1809" s="28" t="s">
        <v>10841</v>
      </c>
      <c r="U1809" s="20" t="s">
        <v>5359</v>
      </c>
      <c r="V1809" s="16" t="s">
        <v>3563</v>
      </c>
      <c r="W1809" s="11" t="s">
        <v>14433</v>
      </c>
      <c r="X1809" s="174">
        <v>506.21</v>
      </c>
      <c r="Y1809" s="174">
        <v>646.72</v>
      </c>
    </row>
    <row r="1810" spans="1:25" ht="15" customHeight="1" x14ac:dyDescent="0.25">
      <c r="A1810" s="20" t="s">
        <v>3593</v>
      </c>
      <c r="B1810" s="14" t="s">
        <v>3594</v>
      </c>
      <c r="C1810" s="71" t="str">
        <f t="shared" si="38"/>
        <v>Product Info</v>
      </c>
      <c r="D1810" s="37" t="s">
        <v>1679</v>
      </c>
      <c r="E1810" s="143">
        <v>1</v>
      </c>
      <c r="F1810" s="12" t="s">
        <v>4992</v>
      </c>
      <c r="G1810" s="38">
        <v>760.81</v>
      </c>
      <c r="H1810" s="38">
        <v>646.72</v>
      </c>
      <c r="I1810" s="38">
        <v>532.57000000000005</v>
      </c>
      <c r="J1810" s="39"/>
      <c r="K1810" s="143"/>
      <c r="L1810" s="22">
        <v>0</v>
      </c>
      <c r="M1810" s="22">
        <v>0</v>
      </c>
      <c r="N1810" s="20" t="s">
        <v>14489</v>
      </c>
      <c r="O1810" s="16">
        <v>0</v>
      </c>
      <c r="P1810" s="143">
        <v>758</v>
      </c>
      <c r="Q1810" s="121" t="s">
        <v>14285</v>
      </c>
      <c r="R1810" s="16" t="s">
        <v>9235</v>
      </c>
      <c r="S1810" s="10" t="s">
        <v>1163</v>
      </c>
      <c r="T1810" s="28" t="s">
        <v>10842</v>
      </c>
      <c r="U1810" s="20" t="s">
        <v>5359</v>
      </c>
      <c r="V1810" s="16" t="s">
        <v>3593</v>
      </c>
      <c r="W1810" s="11" t="s">
        <v>14433</v>
      </c>
      <c r="X1810" s="174">
        <v>506.21</v>
      </c>
      <c r="Y1810" s="174">
        <v>646.72</v>
      </c>
    </row>
    <row r="1811" spans="1:25" ht="15" customHeight="1" x14ac:dyDescent="0.25">
      <c r="A1811" s="20" t="s">
        <v>3170</v>
      </c>
      <c r="B1811" s="14" t="s">
        <v>3171</v>
      </c>
      <c r="C1811" s="71" t="str">
        <f t="shared" si="38"/>
        <v>Product Info</v>
      </c>
      <c r="D1811" s="37" t="s">
        <v>1680</v>
      </c>
      <c r="E1811" s="143">
        <v>1</v>
      </c>
      <c r="F1811" s="12" t="s">
        <v>4992</v>
      </c>
      <c r="G1811" s="38">
        <v>1141.24</v>
      </c>
      <c r="H1811" s="38">
        <v>970.09</v>
      </c>
      <c r="I1811" s="38">
        <v>798.87</v>
      </c>
      <c r="J1811" s="39"/>
      <c r="K1811" s="143"/>
      <c r="L1811" s="22">
        <v>0</v>
      </c>
      <c r="M1811" s="22">
        <v>0</v>
      </c>
      <c r="N1811" s="20" t="s">
        <v>14489</v>
      </c>
      <c r="O1811" s="16">
        <v>0</v>
      </c>
      <c r="P1811" s="143">
        <v>758</v>
      </c>
      <c r="Q1811" s="121" t="s">
        <v>14285</v>
      </c>
      <c r="R1811" s="16" t="s">
        <v>9235</v>
      </c>
      <c r="S1811" s="10" t="s">
        <v>1163</v>
      </c>
      <c r="T1811" s="28" t="s">
        <v>10843</v>
      </c>
      <c r="U1811" s="20" t="s">
        <v>5359</v>
      </c>
      <c r="V1811" s="16" t="s">
        <v>3170</v>
      </c>
      <c r="W1811" s="11" t="s">
        <v>14433</v>
      </c>
      <c r="X1811" s="174">
        <v>759.32</v>
      </c>
      <c r="Y1811" s="174">
        <v>970.09</v>
      </c>
    </row>
    <row r="1812" spans="1:25" ht="15" customHeight="1" x14ac:dyDescent="0.25">
      <c r="A1812" s="20" t="s">
        <v>3566</v>
      </c>
      <c r="B1812" s="14" t="s">
        <v>3567</v>
      </c>
      <c r="C1812" s="71" t="str">
        <f t="shared" si="38"/>
        <v>Product Info</v>
      </c>
      <c r="D1812" s="37" t="s">
        <v>1681</v>
      </c>
      <c r="E1812" s="143">
        <v>1</v>
      </c>
      <c r="F1812" s="12" t="s">
        <v>4992</v>
      </c>
      <c r="G1812" s="38">
        <v>913.01</v>
      </c>
      <c r="H1812" s="38">
        <v>776.09</v>
      </c>
      <c r="I1812" s="38">
        <v>639.11</v>
      </c>
      <c r="J1812" s="39"/>
      <c r="K1812" s="143"/>
      <c r="L1812" s="22">
        <v>0</v>
      </c>
      <c r="M1812" s="22">
        <v>0</v>
      </c>
      <c r="N1812" s="20" t="s">
        <v>14489</v>
      </c>
      <c r="O1812" s="16">
        <v>0</v>
      </c>
      <c r="P1812" s="143">
        <v>758</v>
      </c>
      <c r="Q1812" s="121" t="s">
        <v>14285</v>
      </c>
      <c r="R1812" s="16" t="s">
        <v>9235</v>
      </c>
      <c r="S1812" s="10" t="s">
        <v>1163</v>
      </c>
      <c r="T1812" s="28" t="s">
        <v>10844</v>
      </c>
      <c r="U1812" s="20" t="s">
        <v>5359</v>
      </c>
      <c r="V1812" s="16" t="s">
        <v>3566</v>
      </c>
      <c r="W1812" s="11" t="s">
        <v>14433</v>
      </c>
      <c r="X1812" s="174">
        <v>607.47</v>
      </c>
      <c r="Y1812" s="174">
        <v>776.09</v>
      </c>
    </row>
    <row r="1813" spans="1:25" ht="15" customHeight="1" x14ac:dyDescent="0.25">
      <c r="A1813" s="20" t="s">
        <v>5722</v>
      </c>
      <c r="B1813" s="14" t="s">
        <v>1682</v>
      </c>
      <c r="C1813" s="71" t="str">
        <f t="shared" si="38"/>
        <v>Product Info</v>
      </c>
      <c r="D1813" s="37" t="s">
        <v>1497</v>
      </c>
      <c r="E1813" s="143">
        <v>1</v>
      </c>
      <c r="F1813" s="12" t="s">
        <v>4992</v>
      </c>
      <c r="G1813" s="38">
        <v>290.81</v>
      </c>
      <c r="H1813" s="38">
        <v>247.2</v>
      </c>
      <c r="I1813" s="38">
        <v>203.57</v>
      </c>
      <c r="J1813" s="39"/>
      <c r="K1813" s="143"/>
      <c r="L1813" s="22">
        <v>0</v>
      </c>
      <c r="M1813" s="22">
        <v>0</v>
      </c>
      <c r="N1813" s="20" t="s">
        <v>14489</v>
      </c>
      <c r="O1813" s="16">
        <v>0</v>
      </c>
      <c r="P1813" s="143">
        <v>758</v>
      </c>
      <c r="Q1813" s="121" t="s">
        <v>14285</v>
      </c>
      <c r="R1813" s="16" t="s">
        <v>9235</v>
      </c>
      <c r="S1813" s="10" t="s">
        <v>1163</v>
      </c>
      <c r="T1813" s="28" t="s">
        <v>10845</v>
      </c>
      <c r="U1813" s="20" t="s">
        <v>5359</v>
      </c>
      <c r="V1813" s="16" t="s">
        <v>5722</v>
      </c>
      <c r="W1813" s="11" t="s">
        <v>14433</v>
      </c>
      <c r="X1813" s="174">
        <v>193.49</v>
      </c>
      <c r="Y1813" s="174">
        <v>247.2</v>
      </c>
    </row>
    <row r="1814" spans="1:25" ht="15" customHeight="1" x14ac:dyDescent="0.25">
      <c r="A1814" s="20" t="s">
        <v>1683</v>
      </c>
      <c r="B1814" s="14" t="s">
        <v>1684</v>
      </c>
      <c r="C1814" s="71" t="str">
        <f t="shared" si="38"/>
        <v>Product Info</v>
      </c>
      <c r="D1814" s="37" t="s">
        <v>1685</v>
      </c>
      <c r="E1814" s="143">
        <v>1</v>
      </c>
      <c r="F1814" s="12" t="s">
        <v>4992</v>
      </c>
      <c r="G1814" s="38">
        <v>301.01</v>
      </c>
      <c r="H1814" s="38">
        <v>255.87</v>
      </c>
      <c r="I1814" s="38">
        <v>210.71</v>
      </c>
      <c r="J1814" s="39"/>
      <c r="K1814" s="143"/>
      <c r="L1814" s="22">
        <v>0</v>
      </c>
      <c r="M1814" s="22">
        <v>0</v>
      </c>
      <c r="N1814" s="20" t="s">
        <v>14489</v>
      </c>
      <c r="O1814" s="16">
        <v>0</v>
      </c>
      <c r="P1814" s="143">
        <v>758</v>
      </c>
      <c r="Q1814" s="121" t="s">
        <v>14285</v>
      </c>
      <c r="R1814" s="16" t="s">
        <v>9235</v>
      </c>
      <c r="S1814" s="10" t="s">
        <v>1163</v>
      </c>
      <c r="T1814" s="28" t="s">
        <v>10846</v>
      </c>
      <c r="U1814" s="20" t="s">
        <v>5359</v>
      </c>
      <c r="V1814" s="16" t="s">
        <v>1683</v>
      </c>
      <c r="W1814" s="11" t="s">
        <v>14433</v>
      </c>
      <c r="X1814" s="174">
        <v>200.28</v>
      </c>
      <c r="Y1814" s="174">
        <v>255.87</v>
      </c>
    </row>
    <row r="1815" spans="1:25" ht="15" customHeight="1" x14ac:dyDescent="0.25">
      <c r="A1815" s="20" t="s">
        <v>5733</v>
      </c>
      <c r="B1815" s="14" t="s">
        <v>1686</v>
      </c>
      <c r="C1815" s="71" t="str">
        <f t="shared" si="38"/>
        <v>Product Info</v>
      </c>
      <c r="D1815" s="37" t="s">
        <v>3537</v>
      </c>
      <c r="E1815" s="143">
        <v>1</v>
      </c>
      <c r="F1815" s="12" t="s">
        <v>4992</v>
      </c>
      <c r="G1815" s="38">
        <v>290.81</v>
      </c>
      <c r="H1815" s="38">
        <v>247.2</v>
      </c>
      <c r="I1815" s="38">
        <v>203.57</v>
      </c>
      <c r="J1815" s="39"/>
      <c r="K1815" s="143"/>
      <c r="L1815" s="22">
        <v>0</v>
      </c>
      <c r="M1815" s="22">
        <v>0</v>
      </c>
      <c r="N1815" s="20" t="s">
        <v>14489</v>
      </c>
      <c r="O1815" s="16">
        <v>0</v>
      </c>
      <c r="P1815" s="143">
        <v>758</v>
      </c>
      <c r="Q1815" s="121" t="s">
        <v>14285</v>
      </c>
      <c r="R1815" s="16" t="s">
        <v>9235</v>
      </c>
      <c r="S1815" s="10" t="s">
        <v>1163</v>
      </c>
      <c r="T1815" s="28" t="s">
        <v>10847</v>
      </c>
      <c r="U1815" s="20" t="s">
        <v>5359</v>
      </c>
      <c r="V1815" s="16" t="s">
        <v>5733</v>
      </c>
      <c r="W1815" s="11" t="s">
        <v>14433</v>
      </c>
      <c r="X1815" s="174">
        <v>193.49</v>
      </c>
      <c r="Y1815" s="174">
        <v>247.2</v>
      </c>
    </row>
    <row r="1816" spans="1:25" ht="15" customHeight="1" x14ac:dyDescent="0.25">
      <c r="A1816" s="20" t="s">
        <v>1687</v>
      </c>
      <c r="B1816" s="14" t="s">
        <v>1688</v>
      </c>
      <c r="C1816" s="71" t="str">
        <f t="shared" si="38"/>
        <v>Product Info</v>
      </c>
      <c r="D1816" s="37" t="s">
        <v>1689</v>
      </c>
      <c r="E1816" s="143">
        <v>1</v>
      </c>
      <c r="F1816" s="12" t="s">
        <v>4992</v>
      </c>
      <c r="G1816" s="38">
        <v>301.01</v>
      </c>
      <c r="H1816" s="38">
        <v>255.87</v>
      </c>
      <c r="I1816" s="38">
        <v>210.71</v>
      </c>
      <c r="J1816" s="39"/>
      <c r="K1816" s="143"/>
      <c r="L1816" s="22">
        <v>0</v>
      </c>
      <c r="M1816" s="22">
        <v>0</v>
      </c>
      <c r="N1816" s="20" t="s">
        <v>14489</v>
      </c>
      <c r="O1816" s="16">
        <v>0</v>
      </c>
      <c r="P1816" s="143">
        <v>758</v>
      </c>
      <c r="Q1816" s="121" t="s">
        <v>14285</v>
      </c>
      <c r="R1816" s="16" t="s">
        <v>9235</v>
      </c>
      <c r="S1816" s="10" t="s">
        <v>1163</v>
      </c>
      <c r="T1816" s="28" t="s">
        <v>10848</v>
      </c>
      <c r="U1816" s="20" t="s">
        <v>5359</v>
      </c>
      <c r="V1816" s="16" t="s">
        <v>1687</v>
      </c>
      <c r="W1816" s="11" t="s">
        <v>14433</v>
      </c>
      <c r="X1816" s="174">
        <v>200.28</v>
      </c>
      <c r="Y1816" s="174">
        <v>255.87</v>
      </c>
    </row>
    <row r="1817" spans="1:25" ht="15" customHeight="1" x14ac:dyDescent="0.25">
      <c r="A1817" s="20" t="s">
        <v>5802</v>
      </c>
      <c r="B1817" s="14" t="s">
        <v>1690</v>
      </c>
      <c r="C1817" s="71" t="str">
        <f t="shared" si="38"/>
        <v>Product Info</v>
      </c>
      <c r="D1817" s="37" t="s">
        <v>4363</v>
      </c>
      <c r="E1817" s="143">
        <v>1</v>
      </c>
      <c r="F1817" s="12" t="s">
        <v>4992</v>
      </c>
      <c r="G1817" s="38">
        <v>290.81</v>
      </c>
      <c r="H1817" s="38">
        <v>247.2</v>
      </c>
      <c r="I1817" s="38">
        <v>203.57</v>
      </c>
      <c r="J1817" s="39"/>
      <c r="K1817" s="143"/>
      <c r="L1817" s="22">
        <v>0</v>
      </c>
      <c r="M1817" s="22">
        <v>0</v>
      </c>
      <c r="N1817" s="20" t="s">
        <v>14489</v>
      </c>
      <c r="O1817" s="16">
        <v>0</v>
      </c>
      <c r="P1817" s="143">
        <v>758</v>
      </c>
      <c r="Q1817" s="121" t="s">
        <v>14285</v>
      </c>
      <c r="R1817" s="16" t="s">
        <v>9235</v>
      </c>
      <c r="S1817" s="10" t="s">
        <v>1163</v>
      </c>
      <c r="T1817" s="28" t="s">
        <v>10849</v>
      </c>
      <c r="U1817" s="20" t="s">
        <v>5359</v>
      </c>
      <c r="V1817" s="16" t="s">
        <v>5802</v>
      </c>
      <c r="W1817" s="11" t="s">
        <v>14433</v>
      </c>
      <c r="X1817" s="174">
        <v>193.49</v>
      </c>
      <c r="Y1817" s="174">
        <v>247.2</v>
      </c>
    </row>
    <row r="1818" spans="1:25" ht="15" customHeight="1" x14ac:dyDescent="0.25">
      <c r="A1818" s="20" t="s">
        <v>1691</v>
      </c>
      <c r="B1818" s="14" t="s">
        <v>1692</v>
      </c>
      <c r="C1818" s="71" t="str">
        <f t="shared" si="38"/>
        <v>Product Info</v>
      </c>
      <c r="D1818" s="37" t="s">
        <v>1693</v>
      </c>
      <c r="E1818" s="143">
        <v>1</v>
      </c>
      <c r="F1818" s="12" t="s">
        <v>4992</v>
      </c>
      <c r="G1818" s="38">
        <v>301.01</v>
      </c>
      <c r="H1818" s="38">
        <v>255.87</v>
      </c>
      <c r="I1818" s="38">
        <v>210.71</v>
      </c>
      <c r="J1818" s="39"/>
      <c r="K1818" s="143"/>
      <c r="L1818" s="22">
        <v>0</v>
      </c>
      <c r="M1818" s="22">
        <v>0</v>
      </c>
      <c r="N1818" s="20" t="s">
        <v>14489</v>
      </c>
      <c r="O1818" s="16">
        <v>0</v>
      </c>
      <c r="P1818" s="143">
        <v>758</v>
      </c>
      <c r="Q1818" s="121" t="s">
        <v>14285</v>
      </c>
      <c r="R1818" s="16" t="s">
        <v>9235</v>
      </c>
      <c r="S1818" s="10" t="s">
        <v>1163</v>
      </c>
      <c r="T1818" s="28" t="s">
        <v>10850</v>
      </c>
      <c r="U1818" s="20" t="s">
        <v>5359</v>
      </c>
      <c r="V1818" s="16" t="s">
        <v>1691</v>
      </c>
      <c r="W1818" s="11" t="s">
        <v>14433</v>
      </c>
      <c r="X1818" s="174">
        <v>200.28</v>
      </c>
      <c r="Y1818" s="174">
        <v>255.87</v>
      </c>
    </row>
    <row r="1819" spans="1:25" ht="15" customHeight="1" x14ac:dyDescent="0.25">
      <c r="A1819" s="20" t="s">
        <v>5803</v>
      </c>
      <c r="B1819" s="14" t="s">
        <v>1694</v>
      </c>
      <c r="C1819" s="71" t="str">
        <f t="shared" si="38"/>
        <v>Product Info</v>
      </c>
      <c r="D1819" s="37" t="s">
        <v>4364</v>
      </c>
      <c r="E1819" s="143">
        <v>1</v>
      </c>
      <c r="F1819" s="12" t="s">
        <v>4992</v>
      </c>
      <c r="G1819" s="38">
        <v>290.81</v>
      </c>
      <c r="H1819" s="38">
        <v>247.2</v>
      </c>
      <c r="I1819" s="38">
        <v>203.57</v>
      </c>
      <c r="J1819" s="39"/>
      <c r="K1819" s="143"/>
      <c r="L1819" s="22">
        <v>0</v>
      </c>
      <c r="M1819" s="22">
        <v>0</v>
      </c>
      <c r="N1819" s="20" t="s">
        <v>14489</v>
      </c>
      <c r="O1819" s="16">
        <v>0</v>
      </c>
      <c r="P1819" s="143">
        <v>758</v>
      </c>
      <c r="Q1819" s="121" t="s">
        <v>14285</v>
      </c>
      <c r="R1819" s="16" t="s">
        <v>9235</v>
      </c>
      <c r="S1819" s="10" t="s">
        <v>1163</v>
      </c>
      <c r="T1819" s="28" t="s">
        <v>10851</v>
      </c>
      <c r="U1819" s="20" t="s">
        <v>5359</v>
      </c>
      <c r="V1819" s="16" t="s">
        <v>5803</v>
      </c>
      <c r="W1819" s="11" t="s">
        <v>14433</v>
      </c>
      <c r="X1819" s="174">
        <v>193.49</v>
      </c>
      <c r="Y1819" s="174">
        <v>247.2</v>
      </c>
    </row>
    <row r="1820" spans="1:25" ht="15" customHeight="1" x14ac:dyDescent="0.25">
      <c r="A1820" s="20" t="s">
        <v>1695</v>
      </c>
      <c r="B1820" s="14" t="s">
        <v>1696</v>
      </c>
      <c r="C1820" s="71" t="str">
        <f t="shared" si="38"/>
        <v>Product Info</v>
      </c>
      <c r="D1820" s="37" t="s">
        <v>1697</v>
      </c>
      <c r="E1820" s="143">
        <v>1</v>
      </c>
      <c r="F1820" s="12" t="s">
        <v>4992</v>
      </c>
      <c r="G1820" s="38">
        <v>301.01</v>
      </c>
      <c r="H1820" s="38">
        <v>255.87</v>
      </c>
      <c r="I1820" s="38">
        <v>210.71</v>
      </c>
      <c r="J1820" s="39"/>
      <c r="K1820" s="143"/>
      <c r="L1820" s="22">
        <v>0</v>
      </c>
      <c r="M1820" s="22">
        <v>0</v>
      </c>
      <c r="N1820" s="20" t="s">
        <v>14489</v>
      </c>
      <c r="O1820" s="16">
        <v>0</v>
      </c>
      <c r="P1820" s="143">
        <v>758</v>
      </c>
      <c r="Q1820" s="121" t="s">
        <v>14285</v>
      </c>
      <c r="R1820" s="16" t="s">
        <v>9235</v>
      </c>
      <c r="S1820" s="10" t="s">
        <v>1163</v>
      </c>
      <c r="T1820" s="28" t="s">
        <v>10852</v>
      </c>
      <c r="U1820" s="20" t="s">
        <v>5359</v>
      </c>
      <c r="V1820" s="16" t="s">
        <v>1695</v>
      </c>
      <c r="W1820" s="11" t="s">
        <v>14433</v>
      </c>
      <c r="X1820" s="174">
        <v>200.28</v>
      </c>
      <c r="Y1820" s="174">
        <v>255.87</v>
      </c>
    </row>
    <row r="1821" spans="1:25" ht="15" customHeight="1" x14ac:dyDescent="0.25">
      <c r="A1821" s="20" t="s">
        <v>2782</v>
      </c>
      <c r="B1821" s="14" t="s">
        <v>1698</v>
      </c>
      <c r="C1821" s="71" t="str">
        <f t="shared" si="38"/>
        <v>Product Info</v>
      </c>
      <c r="D1821" s="37" t="s">
        <v>5122</v>
      </c>
      <c r="E1821" s="143">
        <v>1</v>
      </c>
      <c r="F1821" s="12" t="s">
        <v>4992</v>
      </c>
      <c r="G1821" s="38">
        <v>290.81</v>
      </c>
      <c r="H1821" s="38">
        <v>247.2</v>
      </c>
      <c r="I1821" s="38">
        <v>203.57</v>
      </c>
      <c r="J1821" s="39"/>
      <c r="K1821" s="143"/>
      <c r="L1821" s="22">
        <v>0</v>
      </c>
      <c r="M1821" s="22">
        <v>0</v>
      </c>
      <c r="N1821" s="20" t="s">
        <v>14489</v>
      </c>
      <c r="O1821" s="16">
        <v>0</v>
      </c>
      <c r="P1821" s="143">
        <v>758</v>
      </c>
      <c r="Q1821" s="122" t="s">
        <v>12421</v>
      </c>
      <c r="R1821" s="16" t="s">
        <v>9235</v>
      </c>
      <c r="S1821" s="10" t="s">
        <v>1163</v>
      </c>
      <c r="T1821" s="28" t="s">
        <v>10853</v>
      </c>
      <c r="U1821" s="20" t="s">
        <v>5359</v>
      </c>
      <c r="V1821" s="16" t="s">
        <v>2782</v>
      </c>
      <c r="W1821" s="11" t="s">
        <v>14433</v>
      </c>
      <c r="X1821" s="174">
        <v>193.49</v>
      </c>
      <c r="Y1821" s="174">
        <v>247.2</v>
      </c>
    </row>
    <row r="1822" spans="1:25" ht="15" customHeight="1" x14ac:dyDescent="0.25">
      <c r="A1822" s="20" t="s">
        <v>1699</v>
      </c>
      <c r="B1822" s="14" t="s">
        <v>1700</v>
      </c>
      <c r="C1822" s="71" t="str">
        <f t="shared" si="38"/>
        <v>Product Info</v>
      </c>
      <c r="D1822" s="37" t="s">
        <v>1701</v>
      </c>
      <c r="E1822" s="143">
        <v>1</v>
      </c>
      <c r="F1822" s="12" t="s">
        <v>4992</v>
      </c>
      <c r="G1822" s="38">
        <v>301.01</v>
      </c>
      <c r="H1822" s="38">
        <v>255.87</v>
      </c>
      <c r="I1822" s="38">
        <v>210.71</v>
      </c>
      <c r="J1822" s="39"/>
      <c r="K1822" s="143"/>
      <c r="L1822" s="22">
        <v>0</v>
      </c>
      <c r="M1822" s="22">
        <v>0</v>
      </c>
      <c r="N1822" s="20" t="s">
        <v>14489</v>
      </c>
      <c r="O1822" s="16">
        <v>0</v>
      </c>
      <c r="P1822" s="143">
        <v>758</v>
      </c>
      <c r="Q1822" s="121" t="s">
        <v>14285</v>
      </c>
      <c r="R1822" s="16" t="s">
        <v>9235</v>
      </c>
      <c r="S1822" s="10" t="s">
        <v>1163</v>
      </c>
      <c r="T1822" s="28" t="s">
        <v>10854</v>
      </c>
      <c r="U1822" s="20" t="s">
        <v>5359</v>
      </c>
      <c r="V1822" s="16" t="s">
        <v>1699</v>
      </c>
      <c r="W1822" s="11" t="s">
        <v>14433</v>
      </c>
      <c r="X1822" s="174">
        <v>200.28</v>
      </c>
      <c r="Y1822" s="174">
        <v>255.87</v>
      </c>
    </row>
    <row r="1823" spans="1:25" ht="15" customHeight="1" x14ac:dyDescent="0.25">
      <c r="A1823" s="20" t="s">
        <v>2783</v>
      </c>
      <c r="B1823" s="14" t="s">
        <v>1702</v>
      </c>
      <c r="C1823" s="71" t="str">
        <f t="shared" si="38"/>
        <v>Product Info</v>
      </c>
      <c r="D1823" s="37" t="s">
        <v>5123</v>
      </c>
      <c r="E1823" s="143">
        <v>1</v>
      </c>
      <c r="F1823" s="12" t="s">
        <v>4992</v>
      </c>
      <c r="G1823" s="38">
        <v>290.81</v>
      </c>
      <c r="H1823" s="38">
        <v>247.2</v>
      </c>
      <c r="I1823" s="38">
        <v>203.57</v>
      </c>
      <c r="J1823" s="39"/>
      <c r="K1823" s="143"/>
      <c r="L1823" s="22">
        <v>0</v>
      </c>
      <c r="M1823" s="22">
        <v>0</v>
      </c>
      <c r="N1823" s="20" t="s">
        <v>14489</v>
      </c>
      <c r="O1823" s="16">
        <v>0</v>
      </c>
      <c r="P1823" s="143">
        <v>758</v>
      </c>
      <c r="Q1823" s="121" t="s">
        <v>14285</v>
      </c>
      <c r="R1823" s="16" t="s">
        <v>9235</v>
      </c>
      <c r="S1823" s="10" t="s">
        <v>1163</v>
      </c>
      <c r="T1823" s="28" t="s">
        <v>10855</v>
      </c>
      <c r="U1823" s="20" t="s">
        <v>5359</v>
      </c>
      <c r="V1823" s="16" t="s">
        <v>2783</v>
      </c>
      <c r="W1823" s="11" t="s">
        <v>14433</v>
      </c>
      <c r="X1823" s="174">
        <v>193.49</v>
      </c>
      <c r="Y1823" s="174">
        <v>247.2</v>
      </c>
    </row>
    <row r="1824" spans="1:25" ht="15" customHeight="1" x14ac:dyDescent="0.25">
      <c r="A1824" s="20" t="s">
        <v>1703</v>
      </c>
      <c r="B1824" s="14" t="s">
        <v>1704</v>
      </c>
      <c r="C1824" s="71" t="str">
        <f t="shared" si="38"/>
        <v>Product Info</v>
      </c>
      <c r="D1824" s="37" t="s">
        <v>1705</v>
      </c>
      <c r="E1824" s="143">
        <v>1</v>
      </c>
      <c r="F1824" s="12" t="s">
        <v>4992</v>
      </c>
      <c r="G1824" s="38">
        <v>301.01</v>
      </c>
      <c r="H1824" s="38">
        <v>255.87</v>
      </c>
      <c r="I1824" s="38">
        <v>210.71</v>
      </c>
      <c r="J1824" s="39"/>
      <c r="K1824" s="143"/>
      <c r="L1824" s="22">
        <v>0</v>
      </c>
      <c r="M1824" s="22">
        <v>0</v>
      </c>
      <c r="N1824" s="20" t="s">
        <v>14489</v>
      </c>
      <c r="O1824" s="16">
        <v>0</v>
      </c>
      <c r="P1824" s="143">
        <v>758</v>
      </c>
      <c r="Q1824" s="122" t="s">
        <v>12421</v>
      </c>
      <c r="R1824" s="16" t="s">
        <v>9235</v>
      </c>
      <c r="S1824" s="10" t="s">
        <v>1163</v>
      </c>
      <c r="T1824" s="28" t="s">
        <v>10856</v>
      </c>
      <c r="U1824" s="20" t="s">
        <v>5359</v>
      </c>
      <c r="V1824" s="16" t="s">
        <v>1703</v>
      </c>
      <c r="W1824" s="11" t="s">
        <v>14433</v>
      </c>
      <c r="X1824" s="174">
        <v>200.28</v>
      </c>
      <c r="Y1824" s="174">
        <v>255.87</v>
      </c>
    </row>
    <row r="1825" spans="1:25" ht="15" customHeight="1" x14ac:dyDescent="0.25">
      <c r="A1825" s="20" t="s">
        <v>5433</v>
      </c>
      <c r="B1825" s="14" t="s">
        <v>1706</v>
      </c>
      <c r="C1825" s="71" t="str">
        <f t="shared" si="38"/>
        <v>Product Info</v>
      </c>
      <c r="D1825" s="37" t="s">
        <v>5131</v>
      </c>
      <c r="E1825" s="143">
        <v>1</v>
      </c>
      <c r="F1825" s="12" t="s">
        <v>4992</v>
      </c>
      <c r="G1825" s="38">
        <v>290.81</v>
      </c>
      <c r="H1825" s="38">
        <v>247.2</v>
      </c>
      <c r="I1825" s="38">
        <v>203.57</v>
      </c>
      <c r="J1825" s="39"/>
      <c r="K1825" s="143"/>
      <c r="L1825" s="22">
        <v>0</v>
      </c>
      <c r="M1825" s="22">
        <v>0</v>
      </c>
      <c r="N1825" s="20" t="s">
        <v>14489</v>
      </c>
      <c r="O1825" s="16">
        <v>0</v>
      </c>
      <c r="P1825" s="143">
        <v>758</v>
      </c>
      <c r="Q1825" s="121" t="s">
        <v>14285</v>
      </c>
      <c r="R1825" s="16" t="s">
        <v>9235</v>
      </c>
      <c r="S1825" s="10" t="s">
        <v>1163</v>
      </c>
      <c r="T1825" s="28" t="s">
        <v>10857</v>
      </c>
      <c r="U1825" s="20" t="s">
        <v>5359</v>
      </c>
      <c r="V1825" s="16" t="s">
        <v>5433</v>
      </c>
      <c r="W1825" s="11" t="s">
        <v>14433</v>
      </c>
      <c r="X1825" s="174">
        <v>193.49</v>
      </c>
      <c r="Y1825" s="174">
        <v>247.2</v>
      </c>
    </row>
    <row r="1826" spans="1:25" ht="15" customHeight="1" x14ac:dyDescent="0.25">
      <c r="A1826" s="20" t="s">
        <v>1707</v>
      </c>
      <c r="B1826" s="14" t="s">
        <v>1708</v>
      </c>
      <c r="C1826" s="71" t="str">
        <f t="shared" si="38"/>
        <v>Product Info</v>
      </c>
      <c r="D1826" s="37" t="s">
        <v>1709</v>
      </c>
      <c r="E1826" s="143">
        <v>1</v>
      </c>
      <c r="F1826" s="12" t="s">
        <v>4992</v>
      </c>
      <c r="G1826" s="38">
        <v>301.01</v>
      </c>
      <c r="H1826" s="38">
        <v>255.87</v>
      </c>
      <c r="I1826" s="38">
        <v>210.71</v>
      </c>
      <c r="J1826" s="39"/>
      <c r="K1826" s="143"/>
      <c r="L1826" s="22">
        <v>0</v>
      </c>
      <c r="M1826" s="22">
        <v>0</v>
      </c>
      <c r="N1826" s="20" t="s">
        <v>14489</v>
      </c>
      <c r="O1826" s="16">
        <v>0</v>
      </c>
      <c r="P1826" s="143">
        <v>758</v>
      </c>
      <c r="Q1826" s="121" t="s">
        <v>14285</v>
      </c>
      <c r="R1826" s="16" t="s">
        <v>9235</v>
      </c>
      <c r="S1826" s="10" t="s">
        <v>1163</v>
      </c>
      <c r="T1826" s="28" t="s">
        <v>10858</v>
      </c>
      <c r="U1826" s="20" t="s">
        <v>5359</v>
      </c>
      <c r="V1826" s="16" t="s">
        <v>1707</v>
      </c>
      <c r="W1826" s="11" t="s">
        <v>14433</v>
      </c>
      <c r="X1826" s="174">
        <v>200.28</v>
      </c>
      <c r="Y1826" s="174">
        <v>255.87</v>
      </c>
    </row>
    <row r="1827" spans="1:25" ht="15" customHeight="1" x14ac:dyDescent="0.25">
      <c r="A1827" s="20" t="s">
        <v>5434</v>
      </c>
      <c r="B1827" s="14" t="s">
        <v>1710</v>
      </c>
      <c r="C1827" s="71" t="str">
        <f t="shared" si="38"/>
        <v>Product Info</v>
      </c>
      <c r="D1827" s="37" t="s">
        <v>5132</v>
      </c>
      <c r="E1827" s="143">
        <v>1</v>
      </c>
      <c r="F1827" s="12" t="s">
        <v>4992</v>
      </c>
      <c r="G1827" s="38">
        <v>290.81</v>
      </c>
      <c r="H1827" s="38">
        <v>247.2</v>
      </c>
      <c r="I1827" s="38">
        <v>203.57</v>
      </c>
      <c r="J1827" s="39"/>
      <c r="K1827" s="143"/>
      <c r="L1827" s="22">
        <v>0</v>
      </c>
      <c r="M1827" s="22">
        <v>0</v>
      </c>
      <c r="N1827" s="20" t="s">
        <v>14489</v>
      </c>
      <c r="O1827" s="16">
        <v>0</v>
      </c>
      <c r="P1827" s="143">
        <v>758</v>
      </c>
      <c r="Q1827" s="121" t="s">
        <v>14285</v>
      </c>
      <c r="R1827" s="16" t="s">
        <v>9235</v>
      </c>
      <c r="S1827" s="10" t="s">
        <v>1163</v>
      </c>
      <c r="T1827" s="28" t="s">
        <v>10859</v>
      </c>
      <c r="U1827" s="20" t="s">
        <v>5359</v>
      </c>
      <c r="V1827" s="16" t="s">
        <v>5434</v>
      </c>
      <c r="W1827" s="11" t="s">
        <v>14433</v>
      </c>
      <c r="X1827" s="174">
        <v>193.49</v>
      </c>
      <c r="Y1827" s="174">
        <v>247.2</v>
      </c>
    </row>
    <row r="1828" spans="1:25" ht="15" customHeight="1" x14ac:dyDescent="0.25">
      <c r="A1828" s="20" t="s">
        <v>1711</v>
      </c>
      <c r="B1828" s="14" t="s">
        <v>1712</v>
      </c>
      <c r="C1828" s="71" t="str">
        <f t="shared" si="38"/>
        <v>Product Info</v>
      </c>
      <c r="D1828" s="37" t="s">
        <v>1713</v>
      </c>
      <c r="E1828" s="143">
        <v>1</v>
      </c>
      <c r="F1828" s="12" t="s">
        <v>4992</v>
      </c>
      <c r="G1828" s="38">
        <v>301.01</v>
      </c>
      <c r="H1828" s="38">
        <v>255.87</v>
      </c>
      <c r="I1828" s="38">
        <v>210.71</v>
      </c>
      <c r="J1828" s="39"/>
      <c r="K1828" s="143"/>
      <c r="L1828" s="22">
        <v>0</v>
      </c>
      <c r="M1828" s="22">
        <v>0</v>
      </c>
      <c r="N1828" s="20" t="s">
        <v>14489</v>
      </c>
      <c r="O1828" s="16">
        <v>0</v>
      </c>
      <c r="P1828" s="143">
        <v>758</v>
      </c>
      <c r="Q1828" s="122" t="s">
        <v>12421</v>
      </c>
      <c r="R1828" s="16" t="s">
        <v>9235</v>
      </c>
      <c r="S1828" s="10" t="s">
        <v>1163</v>
      </c>
      <c r="T1828" s="28" t="s">
        <v>10860</v>
      </c>
      <c r="U1828" s="20" t="s">
        <v>5359</v>
      </c>
      <c r="V1828" s="16" t="s">
        <v>1711</v>
      </c>
      <c r="W1828" s="11" t="s">
        <v>14433</v>
      </c>
      <c r="X1828" s="174">
        <v>200.28</v>
      </c>
      <c r="Y1828" s="174">
        <v>255.87</v>
      </c>
    </row>
    <row r="1829" spans="1:25" ht="15" customHeight="1" x14ac:dyDescent="0.25">
      <c r="A1829" s="20" t="s">
        <v>5663</v>
      </c>
      <c r="B1829" s="14" t="s">
        <v>1714</v>
      </c>
      <c r="C1829" s="71" t="str">
        <f t="shared" si="38"/>
        <v>Product Info</v>
      </c>
      <c r="D1829" s="37" t="s">
        <v>5141</v>
      </c>
      <c r="E1829" s="143">
        <v>1</v>
      </c>
      <c r="F1829" s="12" t="s">
        <v>4992</v>
      </c>
      <c r="G1829" s="38">
        <v>290.81</v>
      </c>
      <c r="H1829" s="38">
        <v>247.2</v>
      </c>
      <c r="I1829" s="38">
        <v>203.57</v>
      </c>
      <c r="J1829" s="39"/>
      <c r="K1829" s="143"/>
      <c r="L1829" s="22">
        <v>0</v>
      </c>
      <c r="M1829" s="22">
        <v>0</v>
      </c>
      <c r="N1829" s="20" t="s">
        <v>14489</v>
      </c>
      <c r="O1829" s="16">
        <v>0</v>
      </c>
      <c r="P1829" s="143">
        <v>758</v>
      </c>
      <c r="Q1829" s="122" t="s">
        <v>12421</v>
      </c>
      <c r="R1829" s="16" t="s">
        <v>9235</v>
      </c>
      <c r="S1829" s="10" t="s">
        <v>1163</v>
      </c>
      <c r="T1829" s="28" t="s">
        <v>10861</v>
      </c>
      <c r="U1829" s="20" t="s">
        <v>5359</v>
      </c>
      <c r="V1829" s="16" t="s">
        <v>5663</v>
      </c>
      <c r="W1829" s="11" t="s">
        <v>14433</v>
      </c>
      <c r="X1829" s="174">
        <v>193.49</v>
      </c>
      <c r="Y1829" s="174">
        <v>247.2</v>
      </c>
    </row>
    <row r="1830" spans="1:25" ht="15" customHeight="1" x14ac:dyDescent="0.25">
      <c r="A1830" s="20" t="s">
        <v>1715</v>
      </c>
      <c r="B1830" s="14" t="s">
        <v>1716</v>
      </c>
      <c r="C1830" s="71" t="str">
        <f t="shared" si="38"/>
        <v>Product Info</v>
      </c>
      <c r="D1830" s="37" t="s">
        <v>1717</v>
      </c>
      <c r="E1830" s="143">
        <v>1</v>
      </c>
      <c r="F1830" s="12" t="s">
        <v>4992</v>
      </c>
      <c r="G1830" s="38">
        <v>301.01</v>
      </c>
      <c r="H1830" s="38">
        <v>255.87</v>
      </c>
      <c r="I1830" s="38">
        <v>210.71</v>
      </c>
      <c r="J1830" s="39"/>
      <c r="K1830" s="143"/>
      <c r="L1830" s="22">
        <v>0</v>
      </c>
      <c r="M1830" s="22">
        <v>0</v>
      </c>
      <c r="N1830" s="20" t="s">
        <v>14489</v>
      </c>
      <c r="O1830" s="16">
        <v>0</v>
      </c>
      <c r="P1830" s="143">
        <v>758</v>
      </c>
      <c r="Q1830" s="121" t="s">
        <v>14285</v>
      </c>
      <c r="R1830" s="16" t="s">
        <v>9235</v>
      </c>
      <c r="S1830" s="10" t="s">
        <v>1163</v>
      </c>
      <c r="T1830" s="28" t="s">
        <v>10862</v>
      </c>
      <c r="U1830" s="20" t="s">
        <v>5359</v>
      </c>
      <c r="V1830" s="16" t="s">
        <v>1715</v>
      </c>
      <c r="W1830" s="11" t="s">
        <v>14433</v>
      </c>
      <c r="X1830" s="174">
        <v>200.28</v>
      </c>
      <c r="Y1830" s="174">
        <v>255.87</v>
      </c>
    </row>
    <row r="1831" spans="1:25" ht="15" customHeight="1" x14ac:dyDescent="0.25">
      <c r="A1831" s="20" t="s">
        <v>7692</v>
      </c>
      <c r="B1831" s="14" t="s">
        <v>1718</v>
      </c>
      <c r="C1831" s="71" t="str">
        <f t="shared" si="38"/>
        <v>Product Info</v>
      </c>
      <c r="D1831" s="37" t="s">
        <v>7267</v>
      </c>
      <c r="E1831" s="143">
        <v>1</v>
      </c>
      <c r="F1831" s="12" t="s">
        <v>4992</v>
      </c>
      <c r="G1831" s="38">
        <v>290.81</v>
      </c>
      <c r="H1831" s="38">
        <v>247.2</v>
      </c>
      <c r="I1831" s="38">
        <v>203.57</v>
      </c>
      <c r="J1831" s="39"/>
      <c r="K1831" s="143"/>
      <c r="L1831" s="22">
        <v>0</v>
      </c>
      <c r="M1831" s="22">
        <v>0</v>
      </c>
      <c r="N1831" s="20" t="s">
        <v>14489</v>
      </c>
      <c r="O1831" s="16">
        <v>0</v>
      </c>
      <c r="P1831" s="143">
        <v>758</v>
      </c>
      <c r="Q1831" s="121" t="s">
        <v>14285</v>
      </c>
      <c r="R1831" s="16" t="s">
        <v>9235</v>
      </c>
      <c r="S1831" s="10" t="s">
        <v>1163</v>
      </c>
      <c r="T1831" s="28" t="s">
        <v>10863</v>
      </c>
      <c r="U1831" s="20" t="s">
        <v>5359</v>
      </c>
      <c r="V1831" s="16" t="s">
        <v>7692</v>
      </c>
      <c r="W1831" s="11" t="s">
        <v>14433</v>
      </c>
      <c r="X1831" s="174">
        <v>193.49</v>
      </c>
      <c r="Y1831" s="174">
        <v>247.2</v>
      </c>
    </row>
    <row r="1832" spans="1:25" ht="15" customHeight="1" x14ac:dyDescent="0.25">
      <c r="A1832" s="20" t="s">
        <v>1719</v>
      </c>
      <c r="B1832" s="14" t="s">
        <v>1720</v>
      </c>
      <c r="C1832" s="71" t="str">
        <f t="shared" si="38"/>
        <v>Product Info</v>
      </c>
      <c r="D1832" s="37" t="s">
        <v>1721</v>
      </c>
      <c r="E1832" s="143">
        <v>1</v>
      </c>
      <c r="F1832" s="12" t="s">
        <v>4992</v>
      </c>
      <c r="G1832" s="38">
        <v>301.01</v>
      </c>
      <c r="H1832" s="38">
        <v>255.87</v>
      </c>
      <c r="I1832" s="38">
        <v>210.71</v>
      </c>
      <c r="J1832" s="39"/>
      <c r="K1832" s="143"/>
      <c r="L1832" s="22">
        <v>0</v>
      </c>
      <c r="M1832" s="22">
        <v>0</v>
      </c>
      <c r="N1832" s="20" t="s">
        <v>14489</v>
      </c>
      <c r="O1832" s="16">
        <v>0</v>
      </c>
      <c r="P1832" s="143">
        <v>758</v>
      </c>
      <c r="Q1832" s="121" t="s">
        <v>14285</v>
      </c>
      <c r="R1832" s="16" t="s">
        <v>9235</v>
      </c>
      <c r="S1832" s="10" t="s">
        <v>1163</v>
      </c>
      <c r="T1832" s="28" t="s">
        <v>10864</v>
      </c>
      <c r="U1832" s="20" t="s">
        <v>5359</v>
      </c>
      <c r="V1832" s="16" t="s">
        <v>1719</v>
      </c>
      <c r="W1832" s="11" t="s">
        <v>14433</v>
      </c>
      <c r="X1832" s="174">
        <v>200.28</v>
      </c>
      <c r="Y1832" s="174">
        <v>255.87</v>
      </c>
    </row>
    <row r="1833" spans="1:25" ht="15" customHeight="1" x14ac:dyDescent="0.25">
      <c r="A1833" s="20" t="s">
        <v>6333</v>
      </c>
      <c r="B1833" s="14" t="s">
        <v>1722</v>
      </c>
      <c r="C1833" s="71" t="str">
        <f t="shared" si="38"/>
        <v>Product Info</v>
      </c>
      <c r="D1833" s="37" t="s">
        <v>7268</v>
      </c>
      <c r="E1833" s="143">
        <v>1</v>
      </c>
      <c r="F1833" s="12" t="s">
        <v>4992</v>
      </c>
      <c r="G1833" s="38">
        <v>290.81</v>
      </c>
      <c r="H1833" s="38">
        <v>247.2</v>
      </c>
      <c r="I1833" s="38">
        <v>203.57</v>
      </c>
      <c r="J1833" s="39"/>
      <c r="K1833" s="143"/>
      <c r="L1833" s="22">
        <v>0</v>
      </c>
      <c r="M1833" s="22">
        <v>0</v>
      </c>
      <c r="N1833" s="20" t="s">
        <v>14489</v>
      </c>
      <c r="O1833" s="16">
        <v>0</v>
      </c>
      <c r="P1833" s="143">
        <v>758</v>
      </c>
      <c r="Q1833" s="121" t="s">
        <v>14285</v>
      </c>
      <c r="R1833" s="16" t="s">
        <v>9235</v>
      </c>
      <c r="S1833" s="10" t="s">
        <v>1163</v>
      </c>
      <c r="T1833" s="28" t="s">
        <v>10865</v>
      </c>
      <c r="U1833" s="20" t="s">
        <v>5359</v>
      </c>
      <c r="V1833" s="16" t="s">
        <v>6333</v>
      </c>
      <c r="W1833" s="11" t="s">
        <v>14433</v>
      </c>
      <c r="X1833" s="174">
        <v>193.49</v>
      </c>
      <c r="Y1833" s="174">
        <v>247.2</v>
      </c>
    </row>
    <row r="1834" spans="1:25" ht="15" customHeight="1" x14ac:dyDescent="0.25">
      <c r="A1834" s="20" t="s">
        <v>1723</v>
      </c>
      <c r="B1834" s="14" t="s">
        <v>1724</v>
      </c>
      <c r="C1834" s="71" t="str">
        <f t="shared" si="38"/>
        <v>Product Info</v>
      </c>
      <c r="D1834" s="37" t="s">
        <v>1725</v>
      </c>
      <c r="E1834" s="143">
        <v>1</v>
      </c>
      <c r="F1834" s="12" t="s">
        <v>4992</v>
      </c>
      <c r="G1834" s="38">
        <v>301.01</v>
      </c>
      <c r="H1834" s="38">
        <v>255.87</v>
      </c>
      <c r="I1834" s="38">
        <v>210.71</v>
      </c>
      <c r="J1834" s="39"/>
      <c r="K1834" s="143"/>
      <c r="L1834" s="22">
        <v>0</v>
      </c>
      <c r="M1834" s="22">
        <v>0</v>
      </c>
      <c r="N1834" s="20" t="s">
        <v>14489</v>
      </c>
      <c r="O1834" s="16">
        <v>0</v>
      </c>
      <c r="P1834" s="143">
        <v>758</v>
      </c>
      <c r="Q1834" s="121" t="s">
        <v>14285</v>
      </c>
      <c r="R1834" s="16" t="s">
        <v>9235</v>
      </c>
      <c r="S1834" s="10" t="s">
        <v>1163</v>
      </c>
      <c r="T1834" s="28" t="s">
        <v>10866</v>
      </c>
      <c r="U1834" s="20" t="s">
        <v>5359</v>
      </c>
      <c r="V1834" s="16" t="s">
        <v>1723</v>
      </c>
      <c r="W1834" s="11" t="s">
        <v>14433</v>
      </c>
      <c r="X1834" s="174">
        <v>200.28</v>
      </c>
      <c r="Y1834" s="174">
        <v>255.87</v>
      </c>
    </row>
    <row r="1835" spans="1:25" ht="15" customHeight="1" x14ac:dyDescent="0.25">
      <c r="A1835" s="20" t="s">
        <v>6334</v>
      </c>
      <c r="B1835" s="14" t="s">
        <v>1726</v>
      </c>
      <c r="C1835" s="71" t="str">
        <f t="shared" si="38"/>
        <v>Product Info</v>
      </c>
      <c r="D1835" s="37" t="s">
        <v>7269</v>
      </c>
      <c r="E1835" s="143">
        <v>1</v>
      </c>
      <c r="F1835" s="12" t="s">
        <v>4992</v>
      </c>
      <c r="G1835" s="38">
        <v>290.81</v>
      </c>
      <c r="H1835" s="38">
        <v>247.2</v>
      </c>
      <c r="I1835" s="38">
        <v>203.57</v>
      </c>
      <c r="J1835" s="39"/>
      <c r="K1835" s="143"/>
      <c r="L1835" s="22">
        <v>0</v>
      </c>
      <c r="M1835" s="22">
        <v>0</v>
      </c>
      <c r="N1835" s="20" t="s">
        <v>14489</v>
      </c>
      <c r="O1835" s="16">
        <v>0</v>
      </c>
      <c r="P1835" s="143">
        <v>758</v>
      </c>
      <c r="Q1835" s="121" t="s">
        <v>14285</v>
      </c>
      <c r="R1835" s="16" t="s">
        <v>9235</v>
      </c>
      <c r="S1835" s="10" t="s">
        <v>1163</v>
      </c>
      <c r="T1835" s="28" t="s">
        <v>10867</v>
      </c>
      <c r="U1835" s="20" t="s">
        <v>5359</v>
      </c>
      <c r="V1835" s="16" t="s">
        <v>6334</v>
      </c>
      <c r="W1835" s="11" t="s">
        <v>14433</v>
      </c>
      <c r="X1835" s="174">
        <v>193.49</v>
      </c>
      <c r="Y1835" s="174">
        <v>247.2</v>
      </c>
    </row>
    <row r="1836" spans="1:25" ht="15" customHeight="1" x14ac:dyDescent="0.25">
      <c r="A1836" s="20" t="s">
        <v>1727</v>
      </c>
      <c r="B1836" s="14" t="s">
        <v>1728</v>
      </c>
      <c r="C1836" s="71" t="str">
        <f t="shared" si="38"/>
        <v>Product Info</v>
      </c>
      <c r="D1836" s="37" t="s">
        <v>1729</v>
      </c>
      <c r="E1836" s="143">
        <v>1</v>
      </c>
      <c r="F1836" s="12" t="s">
        <v>4992</v>
      </c>
      <c r="G1836" s="38">
        <v>301.01</v>
      </c>
      <c r="H1836" s="38">
        <v>255.87</v>
      </c>
      <c r="I1836" s="38">
        <v>210.71</v>
      </c>
      <c r="J1836" s="39"/>
      <c r="K1836" s="143"/>
      <c r="L1836" s="22">
        <v>0</v>
      </c>
      <c r="M1836" s="22">
        <v>0</v>
      </c>
      <c r="N1836" s="20" t="s">
        <v>14489</v>
      </c>
      <c r="O1836" s="16">
        <v>0</v>
      </c>
      <c r="P1836" s="143">
        <v>758</v>
      </c>
      <c r="Q1836" s="121" t="s">
        <v>14285</v>
      </c>
      <c r="R1836" s="16" t="s">
        <v>9235</v>
      </c>
      <c r="S1836" s="10" t="s">
        <v>1163</v>
      </c>
      <c r="T1836" s="28" t="s">
        <v>10868</v>
      </c>
      <c r="U1836" s="20" t="s">
        <v>5359</v>
      </c>
      <c r="V1836" s="16" t="s">
        <v>1727</v>
      </c>
      <c r="W1836" s="11" t="s">
        <v>14433</v>
      </c>
      <c r="X1836" s="174">
        <v>200.28</v>
      </c>
      <c r="Y1836" s="174">
        <v>255.87</v>
      </c>
    </row>
    <row r="1837" spans="1:25" ht="15" customHeight="1" x14ac:dyDescent="0.25">
      <c r="A1837" s="20" t="s">
        <v>7151</v>
      </c>
      <c r="B1837" s="14" t="s">
        <v>1730</v>
      </c>
      <c r="C1837" s="71" t="str">
        <f t="shared" si="38"/>
        <v>Product Info</v>
      </c>
      <c r="D1837" s="37" t="s">
        <v>7278</v>
      </c>
      <c r="E1837" s="143">
        <v>1</v>
      </c>
      <c r="F1837" s="12" t="s">
        <v>4992</v>
      </c>
      <c r="G1837" s="38">
        <v>290.81</v>
      </c>
      <c r="H1837" s="38">
        <v>247.2</v>
      </c>
      <c r="I1837" s="38">
        <v>203.57</v>
      </c>
      <c r="J1837" s="39"/>
      <c r="K1837" s="143"/>
      <c r="L1837" s="22">
        <v>0</v>
      </c>
      <c r="M1837" s="22">
        <v>0</v>
      </c>
      <c r="N1837" s="20" t="s">
        <v>14489</v>
      </c>
      <c r="O1837" s="16">
        <v>0</v>
      </c>
      <c r="P1837" s="143">
        <v>758</v>
      </c>
      <c r="Q1837" s="121" t="s">
        <v>14285</v>
      </c>
      <c r="R1837" s="16" t="s">
        <v>9235</v>
      </c>
      <c r="S1837" s="10" t="s">
        <v>1163</v>
      </c>
      <c r="T1837" s="28" t="s">
        <v>10869</v>
      </c>
      <c r="U1837" s="20" t="s">
        <v>5359</v>
      </c>
      <c r="V1837" s="16" t="s">
        <v>7151</v>
      </c>
      <c r="W1837" s="11" t="s">
        <v>14433</v>
      </c>
      <c r="X1837" s="174">
        <v>193.49</v>
      </c>
      <c r="Y1837" s="174">
        <v>247.2</v>
      </c>
    </row>
    <row r="1838" spans="1:25" ht="15" customHeight="1" x14ac:dyDescent="0.25">
      <c r="A1838" s="20" t="s">
        <v>1731</v>
      </c>
      <c r="B1838" s="14" t="s">
        <v>1732</v>
      </c>
      <c r="C1838" s="71" t="str">
        <f t="shared" si="38"/>
        <v>Product Info</v>
      </c>
      <c r="D1838" s="37" t="s">
        <v>1733</v>
      </c>
      <c r="E1838" s="143">
        <v>1</v>
      </c>
      <c r="F1838" s="12" t="s">
        <v>4992</v>
      </c>
      <c r="G1838" s="38">
        <v>301.01</v>
      </c>
      <c r="H1838" s="38">
        <v>255.87</v>
      </c>
      <c r="I1838" s="38">
        <v>210.71</v>
      </c>
      <c r="J1838" s="39"/>
      <c r="K1838" s="143"/>
      <c r="L1838" s="22">
        <v>0</v>
      </c>
      <c r="M1838" s="22">
        <v>0</v>
      </c>
      <c r="N1838" s="20" t="s">
        <v>14489</v>
      </c>
      <c r="O1838" s="16">
        <v>0</v>
      </c>
      <c r="P1838" s="143">
        <v>758</v>
      </c>
      <c r="Q1838" s="121" t="s">
        <v>14285</v>
      </c>
      <c r="R1838" s="16" t="s">
        <v>9235</v>
      </c>
      <c r="S1838" s="10" t="s">
        <v>1163</v>
      </c>
      <c r="T1838" s="28" t="s">
        <v>10870</v>
      </c>
      <c r="U1838" s="20" t="s">
        <v>5359</v>
      </c>
      <c r="V1838" s="16" t="s">
        <v>1731</v>
      </c>
      <c r="W1838" s="11" t="s">
        <v>14433</v>
      </c>
      <c r="X1838" s="174">
        <v>200.28</v>
      </c>
      <c r="Y1838" s="174">
        <v>255.87</v>
      </c>
    </row>
    <row r="1839" spans="1:25" ht="15" customHeight="1" x14ac:dyDescent="0.25">
      <c r="A1839" s="20" t="s">
        <v>7152</v>
      </c>
      <c r="B1839" s="14" t="s">
        <v>1734</v>
      </c>
      <c r="C1839" s="71" t="str">
        <f t="shared" si="38"/>
        <v>Product Info</v>
      </c>
      <c r="D1839" s="37" t="s">
        <v>7279</v>
      </c>
      <c r="E1839" s="143">
        <v>1</v>
      </c>
      <c r="F1839" s="12" t="s">
        <v>4992</v>
      </c>
      <c r="G1839" s="38">
        <v>290.81</v>
      </c>
      <c r="H1839" s="38">
        <v>247.2</v>
      </c>
      <c r="I1839" s="38">
        <v>203.57</v>
      </c>
      <c r="J1839" s="39"/>
      <c r="K1839" s="143"/>
      <c r="L1839" s="22">
        <v>0</v>
      </c>
      <c r="M1839" s="22">
        <v>0</v>
      </c>
      <c r="N1839" s="20" t="s">
        <v>14489</v>
      </c>
      <c r="O1839" s="16">
        <v>0</v>
      </c>
      <c r="P1839" s="143">
        <v>758</v>
      </c>
      <c r="Q1839" s="121" t="s">
        <v>14285</v>
      </c>
      <c r="R1839" s="16" t="s">
        <v>9235</v>
      </c>
      <c r="S1839" s="10" t="s">
        <v>1163</v>
      </c>
      <c r="T1839" s="28" t="s">
        <v>10871</v>
      </c>
      <c r="U1839" s="20" t="s">
        <v>5359</v>
      </c>
      <c r="V1839" s="16" t="s">
        <v>7152</v>
      </c>
      <c r="W1839" s="11" t="s">
        <v>14433</v>
      </c>
      <c r="X1839" s="174">
        <v>193.49</v>
      </c>
      <c r="Y1839" s="174">
        <v>247.2</v>
      </c>
    </row>
    <row r="1840" spans="1:25" ht="15" customHeight="1" x14ac:dyDescent="0.25">
      <c r="A1840" s="20" t="s">
        <v>1735</v>
      </c>
      <c r="B1840" s="14" t="s">
        <v>1736</v>
      </c>
      <c r="C1840" s="71" t="str">
        <f t="shared" si="38"/>
        <v>Product Info</v>
      </c>
      <c r="D1840" s="37" t="s">
        <v>1737</v>
      </c>
      <c r="E1840" s="143">
        <v>1</v>
      </c>
      <c r="F1840" s="12" t="s">
        <v>4992</v>
      </c>
      <c r="G1840" s="38">
        <v>315.58999999999997</v>
      </c>
      <c r="H1840" s="38">
        <v>268.26</v>
      </c>
      <c r="I1840" s="38">
        <v>220.91</v>
      </c>
      <c r="J1840" s="39"/>
      <c r="K1840" s="143"/>
      <c r="L1840" s="22">
        <v>0</v>
      </c>
      <c r="M1840" s="22">
        <v>0</v>
      </c>
      <c r="N1840" s="20" t="s">
        <v>14489</v>
      </c>
      <c r="O1840" s="16">
        <v>0</v>
      </c>
      <c r="P1840" s="143">
        <v>758</v>
      </c>
      <c r="Q1840" s="121" t="s">
        <v>14285</v>
      </c>
      <c r="R1840" s="16" t="s">
        <v>9235</v>
      </c>
      <c r="S1840" s="10" t="s">
        <v>1163</v>
      </c>
      <c r="T1840" s="28" t="s">
        <v>10872</v>
      </c>
      <c r="U1840" s="20" t="s">
        <v>5359</v>
      </c>
      <c r="V1840" s="16" t="s">
        <v>1735</v>
      </c>
      <c r="W1840" s="11" t="s">
        <v>14433</v>
      </c>
      <c r="X1840" s="174">
        <v>209.97</v>
      </c>
      <c r="Y1840" s="174">
        <v>268.26</v>
      </c>
    </row>
    <row r="1841" spans="1:25" ht="15" customHeight="1" x14ac:dyDescent="0.25">
      <c r="A1841" s="20" t="s">
        <v>7153</v>
      </c>
      <c r="B1841" s="14" t="s">
        <v>1738</v>
      </c>
      <c r="C1841" s="71" t="str">
        <f t="shared" si="38"/>
        <v>Product Info</v>
      </c>
      <c r="D1841" s="37" t="s">
        <v>7280</v>
      </c>
      <c r="E1841" s="143">
        <v>1</v>
      </c>
      <c r="F1841" s="12" t="s">
        <v>4992</v>
      </c>
      <c r="G1841" s="38">
        <v>290.81</v>
      </c>
      <c r="H1841" s="38">
        <v>247.2</v>
      </c>
      <c r="I1841" s="38">
        <v>203.57</v>
      </c>
      <c r="J1841" s="39"/>
      <c r="K1841" s="143"/>
      <c r="L1841" s="22">
        <v>0</v>
      </c>
      <c r="M1841" s="22">
        <v>0</v>
      </c>
      <c r="N1841" s="20" t="s">
        <v>14489</v>
      </c>
      <c r="O1841" s="16">
        <v>0</v>
      </c>
      <c r="P1841" s="143">
        <v>758</v>
      </c>
      <c r="Q1841" s="121" t="s">
        <v>14285</v>
      </c>
      <c r="R1841" s="16" t="s">
        <v>9235</v>
      </c>
      <c r="S1841" s="10" t="s">
        <v>1163</v>
      </c>
      <c r="T1841" s="28" t="s">
        <v>10873</v>
      </c>
      <c r="U1841" s="20" t="s">
        <v>5359</v>
      </c>
      <c r="V1841" s="16" t="s">
        <v>7153</v>
      </c>
      <c r="W1841" s="11" t="s">
        <v>14433</v>
      </c>
      <c r="X1841" s="174">
        <v>193.49</v>
      </c>
      <c r="Y1841" s="174">
        <v>247.2</v>
      </c>
    </row>
    <row r="1842" spans="1:25" ht="15" customHeight="1" x14ac:dyDescent="0.25">
      <c r="A1842" s="20" t="s">
        <v>1739</v>
      </c>
      <c r="B1842" s="14" t="s">
        <v>1740</v>
      </c>
      <c r="C1842" s="71" t="str">
        <f t="shared" si="38"/>
        <v>Product Info</v>
      </c>
      <c r="D1842" s="37" t="s">
        <v>1741</v>
      </c>
      <c r="E1842" s="143">
        <v>1</v>
      </c>
      <c r="F1842" s="12" t="s">
        <v>4992</v>
      </c>
      <c r="G1842" s="38">
        <v>315.58999999999997</v>
      </c>
      <c r="H1842" s="38">
        <v>268.26</v>
      </c>
      <c r="I1842" s="38">
        <v>220.91</v>
      </c>
      <c r="J1842" s="39"/>
      <c r="K1842" s="143"/>
      <c r="L1842" s="22">
        <v>0</v>
      </c>
      <c r="M1842" s="22">
        <v>0</v>
      </c>
      <c r="N1842" s="20" t="s">
        <v>14489</v>
      </c>
      <c r="O1842" s="16">
        <v>0</v>
      </c>
      <c r="P1842" s="143">
        <v>758</v>
      </c>
      <c r="Q1842" s="121" t="s">
        <v>14285</v>
      </c>
      <c r="R1842" s="16" t="s">
        <v>9235</v>
      </c>
      <c r="S1842" s="10" t="s">
        <v>1163</v>
      </c>
      <c r="T1842" s="28" t="s">
        <v>10874</v>
      </c>
      <c r="U1842" s="20" t="s">
        <v>5359</v>
      </c>
      <c r="V1842" s="16" t="s">
        <v>1739</v>
      </c>
      <c r="W1842" s="11" t="s">
        <v>14433</v>
      </c>
      <c r="X1842" s="174">
        <v>209.97</v>
      </c>
      <c r="Y1842" s="174">
        <v>268.26</v>
      </c>
    </row>
    <row r="1843" spans="1:25" ht="15" customHeight="1" x14ac:dyDescent="0.25">
      <c r="A1843" s="20" t="s">
        <v>6267</v>
      </c>
      <c r="B1843" s="14" t="s">
        <v>1742</v>
      </c>
      <c r="C1843" s="71" t="str">
        <f t="shared" si="38"/>
        <v>Product Info</v>
      </c>
      <c r="D1843" s="37" t="s">
        <v>7289</v>
      </c>
      <c r="E1843" s="143">
        <v>1</v>
      </c>
      <c r="F1843" s="12" t="s">
        <v>4992</v>
      </c>
      <c r="G1843" s="38">
        <v>290.81</v>
      </c>
      <c r="H1843" s="38">
        <v>247.2</v>
      </c>
      <c r="I1843" s="38">
        <v>203.57</v>
      </c>
      <c r="J1843" s="39"/>
      <c r="K1843" s="143"/>
      <c r="L1843" s="22">
        <v>0</v>
      </c>
      <c r="M1843" s="22">
        <v>0</v>
      </c>
      <c r="N1843" s="20" t="s">
        <v>14489</v>
      </c>
      <c r="O1843" s="16">
        <v>0</v>
      </c>
      <c r="P1843" s="143">
        <v>758</v>
      </c>
      <c r="Q1843" s="121" t="s">
        <v>14285</v>
      </c>
      <c r="R1843" s="16" t="s">
        <v>9235</v>
      </c>
      <c r="S1843" s="10" t="s">
        <v>1163</v>
      </c>
      <c r="T1843" s="28" t="s">
        <v>10875</v>
      </c>
      <c r="U1843" s="20" t="s">
        <v>5359</v>
      </c>
      <c r="V1843" s="16" t="s">
        <v>6267</v>
      </c>
      <c r="W1843" s="11" t="s">
        <v>14433</v>
      </c>
      <c r="X1843" s="174">
        <v>193.49</v>
      </c>
      <c r="Y1843" s="174">
        <v>247.2</v>
      </c>
    </row>
    <row r="1844" spans="1:25" ht="15" customHeight="1" x14ac:dyDescent="0.25">
      <c r="A1844" s="20" t="s">
        <v>1743</v>
      </c>
      <c r="B1844" s="14" t="s">
        <v>1744</v>
      </c>
      <c r="C1844" s="71" t="str">
        <f t="shared" si="38"/>
        <v>Product Info</v>
      </c>
      <c r="D1844" s="37" t="s">
        <v>1745</v>
      </c>
      <c r="E1844" s="143">
        <v>1</v>
      </c>
      <c r="F1844" s="12" t="s">
        <v>4992</v>
      </c>
      <c r="G1844" s="38">
        <v>315.58999999999997</v>
      </c>
      <c r="H1844" s="38">
        <v>268.26</v>
      </c>
      <c r="I1844" s="38">
        <v>220.91</v>
      </c>
      <c r="J1844" s="39"/>
      <c r="K1844" s="143"/>
      <c r="L1844" s="22">
        <v>0</v>
      </c>
      <c r="M1844" s="22">
        <v>0</v>
      </c>
      <c r="N1844" s="20" t="s">
        <v>14489</v>
      </c>
      <c r="O1844" s="16">
        <v>0</v>
      </c>
      <c r="P1844" s="143">
        <v>758</v>
      </c>
      <c r="Q1844" s="121" t="s">
        <v>14285</v>
      </c>
      <c r="R1844" s="16" t="s">
        <v>9235</v>
      </c>
      <c r="S1844" s="10" t="s">
        <v>1163</v>
      </c>
      <c r="T1844" s="28" t="s">
        <v>10876</v>
      </c>
      <c r="U1844" s="20" t="s">
        <v>5359</v>
      </c>
      <c r="V1844" s="16" t="s">
        <v>1743</v>
      </c>
      <c r="W1844" s="11" t="s">
        <v>14433</v>
      </c>
      <c r="X1844" s="174">
        <v>209.97</v>
      </c>
      <c r="Y1844" s="174">
        <v>268.26</v>
      </c>
    </row>
    <row r="1845" spans="1:25" ht="15" customHeight="1" x14ac:dyDescent="0.25">
      <c r="A1845" s="20" t="s">
        <v>6268</v>
      </c>
      <c r="B1845" s="14" t="s">
        <v>1746</v>
      </c>
      <c r="C1845" s="71" t="str">
        <f t="shared" si="38"/>
        <v>Product Info</v>
      </c>
      <c r="D1845" s="37" t="s">
        <v>7290</v>
      </c>
      <c r="E1845" s="143">
        <v>1</v>
      </c>
      <c r="F1845" s="12" t="s">
        <v>4992</v>
      </c>
      <c r="G1845" s="38">
        <v>290.81</v>
      </c>
      <c r="H1845" s="38">
        <v>247.2</v>
      </c>
      <c r="I1845" s="38">
        <v>203.57</v>
      </c>
      <c r="J1845" s="39"/>
      <c r="K1845" s="143"/>
      <c r="L1845" s="22">
        <v>0</v>
      </c>
      <c r="M1845" s="22">
        <v>0</v>
      </c>
      <c r="N1845" s="20" t="s">
        <v>14489</v>
      </c>
      <c r="O1845" s="16">
        <v>0</v>
      </c>
      <c r="P1845" s="143">
        <v>758</v>
      </c>
      <c r="Q1845" s="121" t="s">
        <v>14285</v>
      </c>
      <c r="R1845" s="16" t="s">
        <v>9235</v>
      </c>
      <c r="S1845" s="10" t="s">
        <v>1163</v>
      </c>
      <c r="T1845" s="28" t="s">
        <v>10877</v>
      </c>
      <c r="U1845" s="20" t="s">
        <v>5359</v>
      </c>
      <c r="V1845" s="16" t="s">
        <v>6268</v>
      </c>
      <c r="W1845" s="11" t="s">
        <v>14433</v>
      </c>
      <c r="X1845" s="174">
        <v>193.49</v>
      </c>
      <c r="Y1845" s="174">
        <v>247.2</v>
      </c>
    </row>
    <row r="1846" spans="1:25" ht="15" customHeight="1" x14ac:dyDescent="0.25">
      <c r="A1846" s="20" t="s">
        <v>1747</v>
      </c>
      <c r="B1846" s="14" t="s">
        <v>1748</v>
      </c>
      <c r="C1846" s="71" t="str">
        <f t="shared" si="38"/>
        <v>Product Info</v>
      </c>
      <c r="D1846" s="37" t="s">
        <v>1749</v>
      </c>
      <c r="E1846" s="143">
        <v>1</v>
      </c>
      <c r="F1846" s="12" t="s">
        <v>4992</v>
      </c>
      <c r="G1846" s="38">
        <v>315.58999999999997</v>
      </c>
      <c r="H1846" s="38">
        <v>268.26</v>
      </c>
      <c r="I1846" s="38">
        <v>220.91</v>
      </c>
      <c r="J1846" s="39"/>
      <c r="K1846" s="143"/>
      <c r="L1846" s="22">
        <v>0</v>
      </c>
      <c r="M1846" s="22">
        <v>0</v>
      </c>
      <c r="N1846" s="20" t="s">
        <v>14489</v>
      </c>
      <c r="O1846" s="16">
        <v>0</v>
      </c>
      <c r="P1846" s="143">
        <v>758</v>
      </c>
      <c r="Q1846" s="121" t="s">
        <v>14285</v>
      </c>
      <c r="R1846" s="16" t="s">
        <v>9235</v>
      </c>
      <c r="S1846" s="10" t="s">
        <v>1163</v>
      </c>
      <c r="T1846" s="28" t="s">
        <v>10878</v>
      </c>
      <c r="U1846" s="20" t="s">
        <v>5359</v>
      </c>
      <c r="V1846" s="16" t="s">
        <v>1747</v>
      </c>
      <c r="W1846" s="11" t="s">
        <v>14433</v>
      </c>
      <c r="X1846" s="174">
        <v>209.97</v>
      </c>
      <c r="Y1846" s="174">
        <v>268.26</v>
      </c>
    </row>
    <row r="1847" spans="1:25" ht="15" customHeight="1" x14ac:dyDescent="0.25">
      <c r="A1847" s="20" t="s">
        <v>6269</v>
      </c>
      <c r="B1847" s="14" t="s">
        <v>1750</v>
      </c>
      <c r="C1847" s="71" t="str">
        <f t="shared" si="38"/>
        <v>Product Info</v>
      </c>
      <c r="D1847" s="37" t="s">
        <v>7291</v>
      </c>
      <c r="E1847" s="143">
        <v>1</v>
      </c>
      <c r="F1847" s="12" t="s">
        <v>4992</v>
      </c>
      <c r="G1847" s="38">
        <v>290.81</v>
      </c>
      <c r="H1847" s="38">
        <v>247.2</v>
      </c>
      <c r="I1847" s="38">
        <v>203.57</v>
      </c>
      <c r="J1847" s="39"/>
      <c r="K1847" s="143"/>
      <c r="L1847" s="22">
        <v>0</v>
      </c>
      <c r="M1847" s="22">
        <v>0</v>
      </c>
      <c r="N1847" s="20" t="s">
        <v>14489</v>
      </c>
      <c r="O1847" s="16">
        <v>0</v>
      </c>
      <c r="P1847" s="143">
        <v>758</v>
      </c>
      <c r="Q1847" s="121" t="s">
        <v>14285</v>
      </c>
      <c r="R1847" s="16" t="s">
        <v>9235</v>
      </c>
      <c r="S1847" s="10" t="s">
        <v>1163</v>
      </c>
      <c r="T1847" s="28" t="s">
        <v>10879</v>
      </c>
      <c r="U1847" s="20" t="s">
        <v>5359</v>
      </c>
      <c r="V1847" s="16" t="s">
        <v>6269</v>
      </c>
      <c r="W1847" s="11" t="s">
        <v>14433</v>
      </c>
      <c r="X1847" s="174">
        <v>193.49</v>
      </c>
      <c r="Y1847" s="174">
        <v>247.2</v>
      </c>
    </row>
    <row r="1848" spans="1:25" ht="15" customHeight="1" x14ac:dyDescent="0.25">
      <c r="A1848" s="20" t="s">
        <v>1751</v>
      </c>
      <c r="B1848" s="14" t="s">
        <v>1752</v>
      </c>
      <c r="C1848" s="71" t="str">
        <f t="shared" si="38"/>
        <v>Product Info</v>
      </c>
      <c r="D1848" s="37" t="s">
        <v>1753</v>
      </c>
      <c r="E1848" s="143">
        <v>1</v>
      </c>
      <c r="F1848" s="12" t="s">
        <v>4992</v>
      </c>
      <c r="G1848" s="38">
        <v>315.58999999999997</v>
      </c>
      <c r="H1848" s="38">
        <v>268.26</v>
      </c>
      <c r="I1848" s="38">
        <v>220.91</v>
      </c>
      <c r="J1848" s="39"/>
      <c r="K1848" s="143"/>
      <c r="L1848" s="22">
        <v>0</v>
      </c>
      <c r="M1848" s="22">
        <v>0</v>
      </c>
      <c r="N1848" s="20" t="s">
        <v>14489</v>
      </c>
      <c r="O1848" s="16">
        <v>0</v>
      </c>
      <c r="P1848" s="143">
        <v>758</v>
      </c>
      <c r="Q1848" s="121" t="s">
        <v>14285</v>
      </c>
      <c r="R1848" s="16" t="s">
        <v>9235</v>
      </c>
      <c r="S1848" s="10" t="s">
        <v>1163</v>
      </c>
      <c r="T1848" s="28" t="s">
        <v>10880</v>
      </c>
      <c r="U1848" s="20" t="s">
        <v>5359</v>
      </c>
      <c r="V1848" s="16" t="s">
        <v>1751</v>
      </c>
      <c r="W1848" s="11" t="s">
        <v>14433</v>
      </c>
      <c r="X1848" s="174">
        <v>209.97</v>
      </c>
      <c r="Y1848" s="174">
        <v>268.26</v>
      </c>
    </row>
    <row r="1849" spans="1:25" ht="15" customHeight="1" x14ac:dyDescent="0.25">
      <c r="A1849" s="20" t="s">
        <v>6280</v>
      </c>
      <c r="B1849" s="14" t="s">
        <v>1754</v>
      </c>
      <c r="C1849" s="71" t="str">
        <f t="shared" si="38"/>
        <v>Product Info</v>
      </c>
      <c r="D1849" s="37" t="s">
        <v>2103</v>
      </c>
      <c r="E1849" s="143">
        <v>1</v>
      </c>
      <c r="F1849" s="12" t="s">
        <v>4992</v>
      </c>
      <c r="G1849" s="38">
        <v>290.81</v>
      </c>
      <c r="H1849" s="38">
        <v>247.2</v>
      </c>
      <c r="I1849" s="38">
        <v>203.57</v>
      </c>
      <c r="J1849" s="39"/>
      <c r="K1849" s="143"/>
      <c r="L1849" s="22">
        <v>0</v>
      </c>
      <c r="M1849" s="22">
        <v>0</v>
      </c>
      <c r="N1849" s="20" t="s">
        <v>14489</v>
      </c>
      <c r="O1849" s="16">
        <v>0</v>
      </c>
      <c r="P1849" s="143">
        <v>758</v>
      </c>
      <c r="Q1849" s="121" t="s">
        <v>14285</v>
      </c>
      <c r="R1849" s="16" t="s">
        <v>9235</v>
      </c>
      <c r="S1849" s="10" t="s">
        <v>1163</v>
      </c>
      <c r="T1849" s="28" t="s">
        <v>10881</v>
      </c>
      <c r="U1849" s="20" t="s">
        <v>5359</v>
      </c>
      <c r="V1849" s="16" t="s">
        <v>6280</v>
      </c>
      <c r="W1849" s="11" t="s">
        <v>14433</v>
      </c>
      <c r="X1849" s="174">
        <v>193.49</v>
      </c>
      <c r="Y1849" s="174">
        <v>247.2</v>
      </c>
    </row>
    <row r="1850" spans="1:25" ht="15" customHeight="1" x14ac:dyDescent="0.25">
      <c r="A1850" s="20" t="s">
        <v>1755</v>
      </c>
      <c r="B1850" s="14" t="s">
        <v>1756</v>
      </c>
      <c r="C1850" s="71" t="str">
        <f t="shared" si="38"/>
        <v>Product Info</v>
      </c>
      <c r="D1850" s="37" t="s">
        <v>1757</v>
      </c>
      <c r="E1850" s="143">
        <v>1</v>
      </c>
      <c r="F1850" s="12" t="s">
        <v>4992</v>
      </c>
      <c r="G1850" s="38">
        <v>315.58999999999997</v>
      </c>
      <c r="H1850" s="38">
        <v>268.26</v>
      </c>
      <c r="I1850" s="38">
        <v>220.91</v>
      </c>
      <c r="J1850" s="39"/>
      <c r="K1850" s="143"/>
      <c r="L1850" s="22">
        <v>0</v>
      </c>
      <c r="M1850" s="22">
        <v>0</v>
      </c>
      <c r="N1850" s="20" t="s">
        <v>14489</v>
      </c>
      <c r="O1850" s="16">
        <v>0</v>
      </c>
      <c r="P1850" s="143">
        <v>758</v>
      </c>
      <c r="Q1850" s="121" t="s">
        <v>14285</v>
      </c>
      <c r="R1850" s="16" t="s">
        <v>9235</v>
      </c>
      <c r="S1850" s="10" t="s">
        <v>1163</v>
      </c>
      <c r="T1850" s="28" t="s">
        <v>10882</v>
      </c>
      <c r="U1850" s="20" t="s">
        <v>5359</v>
      </c>
      <c r="V1850" s="16" t="s">
        <v>1755</v>
      </c>
      <c r="W1850" s="11" t="s">
        <v>14433</v>
      </c>
      <c r="X1850" s="174">
        <v>209.97</v>
      </c>
      <c r="Y1850" s="174">
        <v>268.26</v>
      </c>
    </row>
    <row r="1851" spans="1:25" ht="15" customHeight="1" x14ac:dyDescent="0.25">
      <c r="A1851" s="20" t="s">
        <v>6281</v>
      </c>
      <c r="B1851" s="14" t="s">
        <v>1758</v>
      </c>
      <c r="C1851" s="71" t="str">
        <f t="shared" si="38"/>
        <v>Product Info</v>
      </c>
      <c r="D1851" s="37" t="s">
        <v>4787</v>
      </c>
      <c r="E1851" s="143">
        <v>1</v>
      </c>
      <c r="F1851" s="12" t="s">
        <v>4992</v>
      </c>
      <c r="G1851" s="38">
        <v>290.81</v>
      </c>
      <c r="H1851" s="38">
        <v>247.2</v>
      </c>
      <c r="I1851" s="38">
        <v>203.57</v>
      </c>
      <c r="J1851" s="39"/>
      <c r="K1851" s="143"/>
      <c r="L1851" s="22">
        <v>0</v>
      </c>
      <c r="M1851" s="22">
        <v>0</v>
      </c>
      <c r="N1851" s="20" t="s">
        <v>14489</v>
      </c>
      <c r="O1851" s="16">
        <v>0</v>
      </c>
      <c r="P1851" s="143">
        <v>758</v>
      </c>
      <c r="Q1851" s="121" t="s">
        <v>14285</v>
      </c>
      <c r="R1851" s="16" t="s">
        <v>9235</v>
      </c>
      <c r="S1851" s="10" t="s">
        <v>1163</v>
      </c>
      <c r="T1851" s="28" t="s">
        <v>10883</v>
      </c>
      <c r="U1851" s="20" t="s">
        <v>5359</v>
      </c>
      <c r="V1851" s="16" t="s">
        <v>6281</v>
      </c>
      <c r="W1851" s="11" t="s">
        <v>14433</v>
      </c>
      <c r="X1851" s="174">
        <v>193.49</v>
      </c>
      <c r="Y1851" s="174">
        <v>247.2</v>
      </c>
    </row>
    <row r="1852" spans="1:25" ht="15" customHeight="1" x14ac:dyDescent="0.25">
      <c r="A1852" s="20" t="s">
        <v>1759</v>
      </c>
      <c r="B1852" s="14" t="s">
        <v>1760</v>
      </c>
      <c r="C1852" s="71" t="str">
        <f t="shared" si="38"/>
        <v>Product Info</v>
      </c>
      <c r="D1852" s="37" t="s">
        <v>1761</v>
      </c>
      <c r="E1852" s="143">
        <v>1</v>
      </c>
      <c r="F1852" s="12" t="s">
        <v>4992</v>
      </c>
      <c r="G1852" s="38">
        <v>315.58999999999997</v>
      </c>
      <c r="H1852" s="38">
        <v>268.26</v>
      </c>
      <c r="I1852" s="38">
        <v>220.91</v>
      </c>
      <c r="J1852" s="39"/>
      <c r="K1852" s="143"/>
      <c r="L1852" s="22">
        <v>0</v>
      </c>
      <c r="M1852" s="22">
        <v>0</v>
      </c>
      <c r="N1852" s="20" t="s">
        <v>14489</v>
      </c>
      <c r="O1852" s="16">
        <v>0</v>
      </c>
      <c r="P1852" s="143">
        <v>758</v>
      </c>
      <c r="Q1852" s="121" t="s">
        <v>14285</v>
      </c>
      <c r="R1852" s="16" t="s">
        <v>9235</v>
      </c>
      <c r="S1852" s="10" t="s">
        <v>1163</v>
      </c>
      <c r="T1852" s="28" t="s">
        <v>10884</v>
      </c>
      <c r="U1852" s="20" t="s">
        <v>5359</v>
      </c>
      <c r="V1852" s="16" t="s">
        <v>1759</v>
      </c>
      <c r="W1852" s="11" t="s">
        <v>14433</v>
      </c>
      <c r="X1852" s="174">
        <v>209.97</v>
      </c>
      <c r="Y1852" s="174">
        <v>268.26</v>
      </c>
    </row>
    <row r="1853" spans="1:25" ht="15" customHeight="1" x14ac:dyDescent="0.25">
      <c r="A1853" s="20" t="s">
        <v>6284</v>
      </c>
      <c r="B1853" s="14" t="s">
        <v>1762</v>
      </c>
      <c r="C1853" s="71" t="str">
        <f t="shared" si="38"/>
        <v>Product Info</v>
      </c>
      <c r="D1853" s="37" t="s">
        <v>4789</v>
      </c>
      <c r="E1853" s="143">
        <v>1</v>
      </c>
      <c r="F1853" s="12" t="s">
        <v>4992</v>
      </c>
      <c r="G1853" s="38">
        <v>290.81</v>
      </c>
      <c r="H1853" s="38">
        <v>247.2</v>
      </c>
      <c r="I1853" s="38">
        <v>203.57</v>
      </c>
      <c r="J1853" s="39"/>
      <c r="K1853" s="143"/>
      <c r="L1853" s="22">
        <v>0</v>
      </c>
      <c r="M1853" s="22">
        <v>0</v>
      </c>
      <c r="N1853" s="20" t="s">
        <v>14489</v>
      </c>
      <c r="O1853" s="16">
        <v>0</v>
      </c>
      <c r="P1853" s="143">
        <v>758</v>
      </c>
      <c r="Q1853" s="121" t="s">
        <v>14285</v>
      </c>
      <c r="R1853" s="16" t="s">
        <v>9235</v>
      </c>
      <c r="S1853" s="10" t="s">
        <v>1163</v>
      </c>
      <c r="T1853" s="28" t="s">
        <v>10885</v>
      </c>
      <c r="U1853" s="20" t="s">
        <v>5359</v>
      </c>
      <c r="V1853" s="16" t="s">
        <v>6284</v>
      </c>
      <c r="W1853" s="11" t="s">
        <v>14433</v>
      </c>
      <c r="X1853" s="174">
        <v>193.49</v>
      </c>
      <c r="Y1853" s="174">
        <v>247.2</v>
      </c>
    </row>
    <row r="1854" spans="1:25" ht="15" customHeight="1" x14ac:dyDescent="0.25">
      <c r="A1854" s="20" t="s">
        <v>1763</v>
      </c>
      <c r="B1854" s="14" t="s">
        <v>1764</v>
      </c>
      <c r="C1854" s="71" t="str">
        <f t="shared" si="38"/>
        <v>Product Info</v>
      </c>
      <c r="D1854" s="37" t="s">
        <v>1765</v>
      </c>
      <c r="E1854" s="143">
        <v>1</v>
      </c>
      <c r="F1854" s="12" t="s">
        <v>4992</v>
      </c>
      <c r="G1854" s="38">
        <v>315.58999999999997</v>
      </c>
      <c r="H1854" s="38">
        <v>268.26</v>
      </c>
      <c r="I1854" s="38">
        <v>220.91</v>
      </c>
      <c r="J1854" s="39"/>
      <c r="K1854" s="143"/>
      <c r="L1854" s="22">
        <v>0</v>
      </c>
      <c r="M1854" s="22">
        <v>0</v>
      </c>
      <c r="N1854" s="20" t="s">
        <v>14489</v>
      </c>
      <c r="O1854" s="16">
        <v>0</v>
      </c>
      <c r="P1854" s="143">
        <v>758</v>
      </c>
      <c r="Q1854" s="121" t="s">
        <v>14285</v>
      </c>
      <c r="R1854" s="16" t="s">
        <v>9235</v>
      </c>
      <c r="S1854" s="10" t="s">
        <v>1163</v>
      </c>
      <c r="T1854" s="28" t="s">
        <v>10886</v>
      </c>
      <c r="U1854" s="20" t="s">
        <v>5359</v>
      </c>
      <c r="V1854" s="16" t="s">
        <v>1763</v>
      </c>
      <c r="W1854" s="11" t="s">
        <v>14433</v>
      </c>
      <c r="X1854" s="174">
        <v>209.97</v>
      </c>
      <c r="Y1854" s="174">
        <v>268.26</v>
      </c>
    </row>
    <row r="1855" spans="1:25" ht="15" customHeight="1" x14ac:dyDescent="0.25">
      <c r="A1855" s="20" t="s">
        <v>8089</v>
      </c>
      <c r="B1855" s="14" t="s">
        <v>12485</v>
      </c>
      <c r="C1855" s="71" t="str">
        <f t="shared" si="38"/>
        <v>Product Info</v>
      </c>
      <c r="D1855" s="37" t="s">
        <v>8710</v>
      </c>
      <c r="E1855" s="143">
        <v>1</v>
      </c>
      <c r="F1855" s="12" t="s">
        <v>4992</v>
      </c>
      <c r="G1855" s="38">
        <v>46</v>
      </c>
      <c r="H1855" s="38">
        <v>39.1</v>
      </c>
      <c r="I1855" s="38">
        <v>32.200000000000003</v>
      </c>
      <c r="J1855" s="39"/>
      <c r="K1855" s="12"/>
      <c r="L1855" s="22">
        <v>8</v>
      </c>
      <c r="M1855" s="22" t="s">
        <v>14396</v>
      </c>
      <c r="N1855" s="20" t="s">
        <v>9356</v>
      </c>
      <c r="O1855" s="16" t="s">
        <v>13914</v>
      </c>
      <c r="P1855" s="143">
        <v>758</v>
      </c>
      <c r="Q1855" s="122" t="s">
        <v>12421</v>
      </c>
      <c r="R1855" s="16" t="s">
        <v>9235</v>
      </c>
      <c r="S1855" s="10" t="s">
        <v>1163</v>
      </c>
      <c r="T1855" s="28" t="s">
        <v>10887</v>
      </c>
      <c r="U1855" s="20" t="s">
        <v>5359</v>
      </c>
      <c r="V1855" s="16" t="s">
        <v>8089</v>
      </c>
      <c r="W1855" s="11" t="s">
        <v>14433</v>
      </c>
      <c r="X1855" s="174">
        <v>25.76</v>
      </c>
      <c r="Y1855" s="174">
        <v>32.200000000000003</v>
      </c>
    </row>
    <row r="1856" spans="1:25" ht="15" customHeight="1" x14ac:dyDescent="0.25">
      <c r="A1856" s="20" t="s">
        <v>8090</v>
      </c>
      <c r="B1856" s="14" t="s">
        <v>8091</v>
      </c>
      <c r="C1856" s="71" t="str">
        <f t="shared" si="38"/>
        <v>Product Info</v>
      </c>
      <c r="D1856" s="37" t="s">
        <v>8711</v>
      </c>
      <c r="E1856" s="143">
        <v>1</v>
      </c>
      <c r="F1856" s="12" t="s">
        <v>4992</v>
      </c>
      <c r="G1856" s="38">
        <v>43.56</v>
      </c>
      <c r="H1856" s="38">
        <v>37.020000000000003</v>
      </c>
      <c r="I1856" s="38">
        <v>30.49</v>
      </c>
      <c r="J1856" s="39"/>
      <c r="K1856" s="12" t="s">
        <v>8905</v>
      </c>
      <c r="L1856" s="22">
        <v>0</v>
      </c>
      <c r="M1856" s="22">
        <v>0</v>
      </c>
      <c r="N1856" s="20" t="s">
        <v>14489</v>
      </c>
      <c r="O1856" s="16" t="s">
        <v>13914</v>
      </c>
      <c r="P1856" s="143">
        <v>758</v>
      </c>
      <c r="Q1856" s="122" t="s">
        <v>12421</v>
      </c>
      <c r="R1856" s="16" t="s">
        <v>9235</v>
      </c>
      <c r="S1856" s="10" t="s">
        <v>1163</v>
      </c>
      <c r="T1856" s="28" t="s">
        <v>10888</v>
      </c>
      <c r="U1856" s="20" t="s">
        <v>5359</v>
      </c>
      <c r="V1856" s="16" t="s">
        <v>8090</v>
      </c>
      <c r="W1856" s="11" t="s">
        <v>14433</v>
      </c>
      <c r="X1856" s="174">
        <v>24.39</v>
      </c>
      <c r="Y1856" s="174">
        <v>30.49</v>
      </c>
    </row>
    <row r="1857" spans="1:25" ht="15" customHeight="1" x14ac:dyDescent="0.25">
      <c r="A1857" s="20" t="s">
        <v>8092</v>
      </c>
      <c r="B1857" s="14" t="s">
        <v>8093</v>
      </c>
      <c r="C1857" s="71" t="str">
        <f t="shared" si="38"/>
        <v>Product Info</v>
      </c>
      <c r="D1857" s="37" t="s">
        <v>8712</v>
      </c>
      <c r="E1857" s="143">
        <v>10</v>
      </c>
      <c r="F1857" s="12" t="s">
        <v>4992</v>
      </c>
      <c r="G1857" s="38">
        <v>31.83</v>
      </c>
      <c r="H1857" s="38">
        <v>27.06</v>
      </c>
      <c r="I1857" s="38">
        <v>22.28</v>
      </c>
      <c r="J1857" s="39"/>
      <c r="K1857" s="143"/>
      <c r="L1857" s="22">
        <v>1</v>
      </c>
      <c r="M1857" s="22" t="s">
        <v>12488</v>
      </c>
      <c r="N1857" s="20" t="s">
        <v>9367</v>
      </c>
      <c r="O1857" s="16" t="s">
        <v>13912</v>
      </c>
      <c r="P1857" s="143">
        <v>758</v>
      </c>
      <c r="Q1857" s="121" t="s">
        <v>14285</v>
      </c>
      <c r="R1857" s="16" t="s">
        <v>9235</v>
      </c>
      <c r="S1857" s="10" t="s">
        <v>1163</v>
      </c>
      <c r="T1857" s="28" t="s">
        <v>10889</v>
      </c>
      <c r="U1857" s="20" t="s">
        <v>5359</v>
      </c>
      <c r="V1857" s="16" t="s">
        <v>8092</v>
      </c>
      <c r="W1857" s="11" t="s">
        <v>14433</v>
      </c>
      <c r="X1857" s="174">
        <v>17.82</v>
      </c>
      <c r="Y1857" s="174">
        <v>22.28</v>
      </c>
    </row>
    <row r="1858" spans="1:25" ht="15" customHeight="1" x14ac:dyDescent="0.25">
      <c r="A1858" s="20" t="s">
        <v>8094</v>
      </c>
      <c r="B1858" s="14" t="s">
        <v>8095</v>
      </c>
      <c r="C1858" s="71" t="str">
        <f t="shared" si="38"/>
        <v>Product Info</v>
      </c>
      <c r="D1858" s="37" t="s">
        <v>8713</v>
      </c>
      <c r="E1858" s="143">
        <v>1</v>
      </c>
      <c r="F1858" s="12" t="s">
        <v>4992</v>
      </c>
      <c r="G1858" s="38">
        <v>52.57</v>
      </c>
      <c r="H1858" s="38">
        <v>44.69</v>
      </c>
      <c r="I1858" s="38">
        <v>36.799999999999997</v>
      </c>
      <c r="J1858" s="39"/>
      <c r="K1858" s="143"/>
      <c r="L1858" s="22">
        <v>8</v>
      </c>
      <c r="M1858" s="22" t="s">
        <v>14396</v>
      </c>
      <c r="N1858" s="20" t="s">
        <v>9356</v>
      </c>
      <c r="O1858" s="16" t="s">
        <v>12608</v>
      </c>
      <c r="P1858" s="143">
        <v>758</v>
      </c>
      <c r="Q1858" s="122" t="s">
        <v>12421</v>
      </c>
      <c r="R1858" s="16" t="s">
        <v>9235</v>
      </c>
      <c r="S1858" s="10" t="s">
        <v>1163</v>
      </c>
      <c r="T1858" s="28" t="s">
        <v>10890</v>
      </c>
      <c r="U1858" s="20" t="s">
        <v>5359</v>
      </c>
      <c r="V1858" s="16" t="s">
        <v>8094</v>
      </c>
      <c r="W1858" s="11" t="s">
        <v>14433</v>
      </c>
      <c r="X1858" s="174">
        <v>29.44</v>
      </c>
      <c r="Y1858" s="174">
        <v>36.799999999999997</v>
      </c>
    </row>
    <row r="1859" spans="1:25" ht="15" customHeight="1" x14ac:dyDescent="0.25">
      <c r="A1859" s="20" t="s">
        <v>8096</v>
      </c>
      <c r="B1859" s="14" t="s">
        <v>8097</v>
      </c>
      <c r="C1859" s="71" t="str">
        <f t="shared" si="38"/>
        <v>Product Info</v>
      </c>
      <c r="D1859" s="37" t="s">
        <v>8714</v>
      </c>
      <c r="E1859" s="143">
        <v>1</v>
      </c>
      <c r="F1859" s="12" t="s">
        <v>4992</v>
      </c>
      <c r="G1859" s="38">
        <v>55.86</v>
      </c>
      <c r="H1859" s="38">
        <v>47.48</v>
      </c>
      <c r="I1859" s="38">
        <v>39.1</v>
      </c>
      <c r="J1859" s="39"/>
      <c r="K1859" s="12" t="s">
        <v>8905</v>
      </c>
      <c r="L1859" s="22">
        <v>8</v>
      </c>
      <c r="M1859" s="22" t="s">
        <v>14396</v>
      </c>
      <c r="N1859" s="20" t="s">
        <v>9356</v>
      </c>
      <c r="O1859" s="16" t="s">
        <v>13914</v>
      </c>
      <c r="P1859" s="143">
        <v>758</v>
      </c>
      <c r="Q1859" s="122" t="s">
        <v>12421</v>
      </c>
      <c r="R1859" s="16" t="s">
        <v>9235</v>
      </c>
      <c r="S1859" s="10" t="s">
        <v>1163</v>
      </c>
      <c r="T1859" s="28" t="s">
        <v>10891</v>
      </c>
      <c r="U1859" s="20" t="s">
        <v>5359</v>
      </c>
      <c r="V1859" s="16" t="s">
        <v>8096</v>
      </c>
      <c r="W1859" s="11" t="s">
        <v>14433</v>
      </c>
      <c r="X1859" s="174">
        <v>32</v>
      </c>
      <c r="Y1859" s="174">
        <v>39.1</v>
      </c>
    </row>
    <row r="1860" spans="1:25" ht="15" customHeight="1" x14ac:dyDescent="0.25">
      <c r="A1860" s="20" t="s">
        <v>9121</v>
      </c>
      <c r="B1860" s="14" t="s">
        <v>9122</v>
      </c>
      <c r="C1860" s="71" t="str">
        <f t="shared" si="38"/>
        <v>Product Info</v>
      </c>
      <c r="D1860" s="37" t="s">
        <v>9123</v>
      </c>
      <c r="E1860" s="143">
        <v>1</v>
      </c>
      <c r="F1860" s="12" t="s">
        <v>4992</v>
      </c>
      <c r="G1860" s="38">
        <v>55.86</v>
      </c>
      <c r="H1860" s="38">
        <v>47.48</v>
      </c>
      <c r="I1860" s="38">
        <v>39.1</v>
      </c>
      <c r="J1860" s="39"/>
      <c r="K1860" s="12" t="s">
        <v>8905</v>
      </c>
      <c r="L1860" s="22">
        <v>4</v>
      </c>
      <c r="M1860" s="22" t="s">
        <v>12488</v>
      </c>
      <c r="N1860" s="20" t="s">
        <v>9368</v>
      </c>
      <c r="O1860" s="16" t="s">
        <v>13912</v>
      </c>
      <c r="P1860" s="143">
        <v>758</v>
      </c>
      <c r="Q1860" s="122" t="s">
        <v>12421</v>
      </c>
      <c r="R1860" s="16" t="s">
        <v>9235</v>
      </c>
      <c r="S1860" s="10" t="s">
        <v>1163</v>
      </c>
      <c r="T1860" s="28" t="s">
        <v>12682</v>
      </c>
      <c r="U1860" s="20" t="s">
        <v>5359</v>
      </c>
      <c r="V1860" s="16" t="s">
        <v>9121</v>
      </c>
      <c r="W1860" s="11" t="s">
        <v>14433</v>
      </c>
      <c r="X1860" s="174">
        <v>32</v>
      </c>
      <c r="Y1860" s="174">
        <v>39.1</v>
      </c>
    </row>
    <row r="1861" spans="1:25" ht="15" customHeight="1" x14ac:dyDescent="0.25">
      <c r="A1861" s="20" t="s">
        <v>8098</v>
      </c>
      <c r="B1861" s="14" t="s">
        <v>8099</v>
      </c>
      <c r="C1861" s="71" t="str">
        <f t="shared" si="38"/>
        <v>Product Info</v>
      </c>
      <c r="D1861" s="37" t="s">
        <v>8715</v>
      </c>
      <c r="E1861" s="143">
        <v>1</v>
      </c>
      <c r="F1861" s="12" t="s">
        <v>4992</v>
      </c>
      <c r="G1861" s="38">
        <v>52.57</v>
      </c>
      <c r="H1861" s="38">
        <v>44.69</v>
      </c>
      <c r="I1861" s="38">
        <v>36.799999999999997</v>
      </c>
      <c r="J1861" s="39"/>
      <c r="K1861" s="143"/>
      <c r="L1861" s="22">
        <v>0</v>
      </c>
      <c r="M1861" s="22">
        <v>0</v>
      </c>
      <c r="N1861" s="20" t="s">
        <v>14489</v>
      </c>
      <c r="O1861" s="16" t="s">
        <v>13914</v>
      </c>
      <c r="P1861" s="143">
        <v>758</v>
      </c>
      <c r="Q1861" s="121" t="s">
        <v>14285</v>
      </c>
      <c r="R1861" s="16" t="s">
        <v>9235</v>
      </c>
      <c r="S1861" s="10" t="s">
        <v>1163</v>
      </c>
      <c r="T1861" s="28" t="s">
        <v>10892</v>
      </c>
      <c r="U1861" s="20" t="s">
        <v>5359</v>
      </c>
      <c r="V1861" s="16" t="s">
        <v>8098</v>
      </c>
      <c r="W1861" s="11" t="s">
        <v>14433</v>
      </c>
      <c r="X1861" s="174">
        <v>29.44</v>
      </c>
      <c r="Y1861" s="174">
        <v>36.799999999999997</v>
      </c>
    </row>
    <row r="1862" spans="1:25" ht="15" customHeight="1" x14ac:dyDescent="0.25">
      <c r="A1862" s="20" t="s">
        <v>8100</v>
      </c>
      <c r="B1862" s="14" t="s">
        <v>8101</v>
      </c>
      <c r="C1862" s="71" t="str">
        <f t="shared" ref="C1862:C1925" si="39">HYPERLINK(T1862,U1862)</f>
        <v>Product Info</v>
      </c>
      <c r="D1862" s="37" t="s">
        <v>8716</v>
      </c>
      <c r="E1862" s="143">
        <v>1</v>
      </c>
      <c r="F1862" s="12" t="s">
        <v>4992</v>
      </c>
      <c r="G1862" s="38">
        <v>52.57</v>
      </c>
      <c r="H1862" s="38">
        <v>44.69</v>
      </c>
      <c r="I1862" s="38">
        <v>36.799999999999997</v>
      </c>
      <c r="J1862" s="39"/>
      <c r="K1862" s="143"/>
      <c r="L1862" s="22">
        <v>8</v>
      </c>
      <c r="M1862" s="22" t="s">
        <v>14396</v>
      </c>
      <c r="N1862" s="20" t="s">
        <v>9356</v>
      </c>
      <c r="O1862" s="16" t="s">
        <v>13914</v>
      </c>
      <c r="P1862" s="143">
        <v>758</v>
      </c>
      <c r="Q1862" s="121" t="s">
        <v>14285</v>
      </c>
      <c r="R1862" s="16" t="s">
        <v>9235</v>
      </c>
      <c r="S1862" s="10" t="s">
        <v>1163</v>
      </c>
      <c r="T1862" s="28" t="s">
        <v>10893</v>
      </c>
      <c r="U1862" s="20" t="s">
        <v>5359</v>
      </c>
      <c r="V1862" s="16" t="s">
        <v>8100</v>
      </c>
      <c r="W1862" s="11" t="s">
        <v>14433</v>
      </c>
      <c r="X1862" s="174">
        <v>29.44</v>
      </c>
      <c r="Y1862" s="174">
        <v>36.799999999999997</v>
      </c>
    </row>
    <row r="1863" spans="1:25" ht="15" customHeight="1" x14ac:dyDescent="0.25">
      <c r="A1863" s="20" t="s">
        <v>8102</v>
      </c>
      <c r="B1863" s="14" t="s">
        <v>8103</v>
      </c>
      <c r="C1863" s="71" t="str">
        <f t="shared" si="39"/>
        <v>Product Info</v>
      </c>
      <c r="D1863" s="37" t="s">
        <v>8717</v>
      </c>
      <c r="E1863" s="143">
        <v>1</v>
      </c>
      <c r="F1863" s="12" t="s">
        <v>4992</v>
      </c>
      <c r="G1863" s="38">
        <v>55.86</v>
      </c>
      <c r="H1863" s="38">
        <v>47.48</v>
      </c>
      <c r="I1863" s="38">
        <v>39.1</v>
      </c>
      <c r="J1863" s="39"/>
      <c r="K1863" s="12"/>
      <c r="L1863" s="22">
        <v>8</v>
      </c>
      <c r="M1863" s="22" t="s">
        <v>14396</v>
      </c>
      <c r="N1863" s="20" t="s">
        <v>9356</v>
      </c>
      <c r="O1863" s="16" t="s">
        <v>13914</v>
      </c>
      <c r="P1863" s="143">
        <v>758</v>
      </c>
      <c r="Q1863" s="121" t="s">
        <v>14285</v>
      </c>
      <c r="R1863" s="16" t="s">
        <v>9235</v>
      </c>
      <c r="S1863" s="10" t="s">
        <v>1163</v>
      </c>
      <c r="T1863" s="28" t="s">
        <v>10894</v>
      </c>
      <c r="U1863" s="20" t="s">
        <v>5359</v>
      </c>
      <c r="V1863" s="16" t="s">
        <v>8102</v>
      </c>
      <c r="W1863" s="11" t="s">
        <v>14433</v>
      </c>
      <c r="X1863" s="174">
        <v>32</v>
      </c>
      <c r="Y1863" s="174">
        <v>39.1</v>
      </c>
    </row>
    <row r="1864" spans="1:25" ht="15" customHeight="1" x14ac:dyDescent="0.25">
      <c r="A1864" s="20" t="s">
        <v>8104</v>
      </c>
      <c r="B1864" s="14" t="s">
        <v>8105</v>
      </c>
      <c r="C1864" s="71" t="str">
        <f t="shared" si="39"/>
        <v>Product Info</v>
      </c>
      <c r="D1864" s="37" t="s">
        <v>8718</v>
      </c>
      <c r="E1864" s="143">
        <v>1</v>
      </c>
      <c r="F1864" s="12" t="s">
        <v>4992</v>
      </c>
      <c r="G1864" s="38">
        <v>55.86</v>
      </c>
      <c r="H1864" s="38">
        <v>47.48</v>
      </c>
      <c r="I1864" s="38">
        <v>39.1</v>
      </c>
      <c r="J1864" s="39"/>
      <c r="K1864" s="12" t="s">
        <v>8905</v>
      </c>
      <c r="L1864" s="22">
        <v>0</v>
      </c>
      <c r="M1864" s="22" t="s">
        <v>12487</v>
      </c>
      <c r="N1864" s="20" t="s">
        <v>14489</v>
      </c>
      <c r="O1864" s="16" t="s">
        <v>13912</v>
      </c>
      <c r="P1864" s="143">
        <v>758</v>
      </c>
      <c r="Q1864" s="122" t="s">
        <v>12421</v>
      </c>
      <c r="R1864" s="16" t="s">
        <v>9235</v>
      </c>
      <c r="S1864" s="10" t="s">
        <v>1163</v>
      </c>
      <c r="T1864" s="28" t="s">
        <v>10895</v>
      </c>
      <c r="U1864" s="20" t="s">
        <v>5359</v>
      </c>
      <c r="V1864" s="16" t="s">
        <v>8104</v>
      </c>
      <c r="W1864" s="11" t="s">
        <v>14433</v>
      </c>
      <c r="X1864" s="174">
        <v>32</v>
      </c>
      <c r="Y1864" s="174">
        <v>39.1</v>
      </c>
    </row>
    <row r="1865" spans="1:25" ht="15" customHeight="1" x14ac:dyDescent="0.25">
      <c r="A1865" s="20" t="s">
        <v>8106</v>
      </c>
      <c r="B1865" s="14" t="s">
        <v>8107</v>
      </c>
      <c r="C1865" s="71" t="str">
        <f t="shared" si="39"/>
        <v>Product Info</v>
      </c>
      <c r="D1865" s="37" t="s">
        <v>8719</v>
      </c>
      <c r="E1865" s="143">
        <v>10</v>
      </c>
      <c r="F1865" s="12" t="s">
        <v>4992</v>
      </c>
      <c r="G1865" s="38">
        <v>31.21</v>
      </c>
      <c r="H1865" s="38">
        <v>26.53</v>
      </c>
      <c r="I1865" s="38">
        <v>21.85</v>
      </c>
      <c r="J1865" s="39"/>
      <c r="K1865" s="143"/>
      <c r="L1865" s="22">
        <v>1</v>
      </c>
      <c r="M1865" s="22" t="s">
        <v>12488</v>
      </c>
      <c r="N1865" s="20" t="s">
        <v>9367</v>
      </c>
      <c r="O1865" s="16" t="s">
        <v>13912</v>
      </c>
      <c r="P1865" s="143">
        <v>758</v>
      </c>
      <c r="Q1865" s="121" t="s">
        <v>14285</v>
      </c>
      <c r="R1865" s="16" t="s">
        <v>9235</v>
      </c>
      <c r="S1865" s="10" t="s">
        <v>1163</v>
      </c>
      <c r="T1865" s="28" t="s">
        <v>10896</v>
      </c>
      <c r="U1865" s="20" t="s">
        <v>5359</v>
      </c>
      <c r="V1865" s="16" t="s">
        <v>8106</v>
      </c>
      <c r="W1865" s="11" t="s">
        <v>14433</v>
      </c>
      <c r="X1865" s="174">
        <v>17.48</v>
      </c>
      <c r="Y1865" s="174">
        <v>21.85</v>
      </c>
    </row>
    <row r="1866" spans="1:25" ht="15" customHeight="1" x14ac:dyDescent="0.25">
      <c r="A1866" s="20" t="s">
        <v>8108</v>
      </c>
      <c r="B1866" s="14" t="s">
        <v>8109</v>
      </c>
      <c r="C1866" s="71" t="str">
        <f t="shared" si="39"/>
        <v>Product Info</v>
      </c>
      <c r="D1866" s="37" t="s">
        <v>8720</v>
      </c>
      <c r="E1866" s="143">
        <v>10</v>
      </c>
      <c r="F1866" s="12" t="s">
        <v>4992</v>
      </c>
      <c r="G1866" s="38">
        <v>33.19</v>
      </c>
      <c r="H1866" s="38">
        <v>28.21</v>
      </c>
      <c r="I1866" s="38">
        <v>23.23</v>
      </c>
      <c r="J1866" s="39"/>
      <c r="K1866" s="143"/>
      <c r="L1866" s="22">
        <v>1</v>
      </c>
      <c r="M1866" s="22" t="s">
        <v>12488</v>
      </c>
      <c r="N1866" s="20" t="s">
        <v>9367</v>
      </c>
      <c r="O1866" s="16" t="s">
        <v>13912</v>
      </c>
      <c r="P1866" s="143">
        <v>758</v>
      </c>
      <c r="Q1866" s="121" t="s">
        <v>14285</v>
      </c>
      <c r="R1866" s="16" t="s">
        <v>9235</v>
      </c>
      <c r="S1866" s="10" t="s">
        <v>1163</v>
      </c>
      <c r="T1866" s="28" t="s">
        <v>10897</v>
      </c>
      <c r="U1866" s="20" t="s">
        <v>5359</v>
      </c>
      <c r="V1866" s="16" t="s">
        <v>8108</v>
      </c>
      <c r="W1866" s="11" t="s">
        <v>14433</v>
      </c>
      <c r="X1866" s="174">
        <v>18.579999999999998</v>
      </c>
      <c r="Y1866" s="174">
        <v>23.23</v>
      </c>
    </row>
    <row r="1867" spans="1:25" ht="15" customHeight="1" x14ac:dyDescent="0.25">
      <c r="A1867" s="20" t="s">
        <v>8110</v>
      </c>
      <c r="B1867" s="14" t="s">
        <v>8111</v>
      </c>
      <c r="C1867" s="71" t="str">
        <f t="shared" si="39"/>
        <v>Product Info</v>
      </c>
      <c r="D1867" s="37" t="s">
        <v>8721</v>
      </c>
      <c r="E1867" s="143">
        <v>1</v>
      </c>
      <c r="F1867" s="12" t="s">
        <v>4992</v>
      </c>
      <c r="G1867" s="38">
        <v>52.57</v>
      </c>
      <c r="H1867" s="38">
        <v>44.69</v>
      </c>
      <c r="I1867" s="38">
        <v>36.799999999999997</v>
      </c>
      <c r="J1867" s="39"/>
      <c r="K1867" s="143"/>
      <c r="L1867" s="22">
        <v>8</v>
      </c>
      <c r="M1867" s="22" t="s">
        <v>14396</v>
      </c>
      <c r="N1867" s="20" t="s">
        <v>9356</v>
      </c>
      <c r="O1867" s="16" t="s">
        <v>13914</v>
      </c>
      <c r="P1867" s="143">
        <v>758</v>
      </c>
      <c r="Q1867" s="121" t="s">
        <v>14285</v>
      </c>
      <c r="R1867" s="16" t="s">
        <v>9235</v>
      </c>
      <c r="S1867" s="10" t="s">
        <v>1163</v>
      </c>
      <c r="T1867" s="28" t="s">
        <v>10898</v>
      </c>
      <c r="U1867" s="20" t="s">
        <v>5359</v>
      </c>
      <c r="V1867" s="16" t="s">
        <v>8110</v>
      </c>
      <c r="W1867" s="11" t="s">
        <v>14433</v>
      </c>
      <c r="X1867" s="174">
        <v>29.44</v>
      </c>
      <c r="Y1867" s="174">
        <v>36.799999999999997</v>
      </c>
    </row>
    <row r="1868" spans="1:25" ht="15" customHeight="1" x14ac:dyDescent="0.25">
      <c r="A1868" s="20" t="s">
        <v>8112</v>
      </c>
      <c r="B1868" s="14" t="s">
        <v>8113</v>
      </c>
      <c r="C1868" s="71" t="str">
        <f t="shared" si="39"/>
        <v>Product Info</v>
      </c>
      <c r="D1868" s="37" t="s">
        <v>8722</v>
      </c>
      <c r="E1868" s="143">
        <v>1</v>
      </c>
      <c r="F1868" s="12" t="s">
        <v>4992</v>
      </c>
      <c r="G1868" s="38">
        <v>55.86</v>
      </c>
      <c r="H1868" s="38">
        <v>47.48</v>
      </c>
      <c r="I1868" s="38">
        <v>39.1</v>
      </c>
      <c r="J1868" s="39"/>
      <c r="K1868" s="12"/>
      <c r="L1868" s="22">
        <v>8</v>
      </c>
      <c r="M1868" s="22" t="s">
        <v>14396</v>
      </c>
      <c r="N1868" s="20" t="s">
        <v>9369</v>
      </c>
      <c r="O1868" s="16" t="s">
        <v>13914</v>
      </c>
      <c r="P1868" s="143">
        <v>758</v>
      </c>
      <c r="Q1868" s="121" t="s">
        <v>14285</v>
      </c>
      <c r="R1868" s="16" t="s">
        <v>9235</v>
      </c>
      <c r="S1868" s="10" t="s">
        <v>1163</v>
      </c>
      <c r="T1868" s="28" t="s">
        <v>10899</v>
      </c>
      <c r="U1868" s="20" t="s">
        <v>5359</v>
      </c>
      <c r="V1868" s="16" t="s">
        <v>8112</v>
      </c>
      <c r="W1868" s="11" t="s">
        <v>14433</v>
      </c>
      <c r="X1868" s="174">
        <v>32</v>
      </c>
      <c r="Y1868" s="174">
        <v>39.1</v>
      </c>
    </row>
    <row r="1869" spans="1:25" ht="15" customHeight="1" x14ac:dyDescent="0.25">
      <c r="A1869" s="20" t="s">
        <v>12514</v>
      </c>
      <c r="B1869" s="16" t="s">
        <v>12515</v>
      </c>
      <c r="C1869" s="71" t="str">
        <f t="shared" si="39"/>
        <v>Product Info</v>
      </c>
      <c r="D1869" s="37" t="s">
        <v>13132</v>
      </c>
      <c r="E1869" s="143">
        <v>1</v>
      </c>
      <c r="F1869" s="12" t="s">
        <v>4992</v>
      </c>
      <c r="G1869" s="38">
        <v>54.69</v>
      </c>
      <c r="H1869" s="38">
        <v>46.48</v>
      </c>
      <c r="I1869" s="38">
        <v>38.28</v>
      </c>
      <c r="J1869" s="39"/>
      <c r="K1869" s="143"/>
      <c r="L1869" s="22">
        <v>4</v>
      </c>
      <c r="M1869" s="22" t="s">
        <v>12488</v>
      </c>
      <c r="N1869" s="20" t="s">
        <v>9368</v>
      </c>
      <c r="O1869" s="16" t="s">
        <v>13912</v>
      </c>
      <c r="P1869" s="143">
        <v>758</v>
      </c>
      <c r="Q1869" s="121" t="s">
        <v>14285</v>
      </c>
      <c r="R1869" s="16" t="s">
        <v>9235</v>
      </c>
      <c r="S1869" s="10" t="s">
        <v>1163</v>
      </c>
      <c r="T1869" s="28" t="s">
        <v>12928</v>
      </c>
      <c r="U1869" s="20" t="s">
        <v>5359</v>
      </c>
      <c r="V1869" s="16" t="s">
        <v>12514</v>
      </c>
      <c r="W1869" s="11" t="s">
        <v>14433</v>
      </c>
      <c r="X1869" s="174">
        <v>30.62</v>
      </c>
      <c r="Y1869" s="174">
        <v>38.28</v>
      </c>
    </row>
    <row r="1870" spans="1:25" ht="15" customHeight="1" x14ac:dyDescent="0.25">
      <c r="A1870" s="20" t="s">
        <v>12516</v>
      </c>
      <c r="B1870" s="16" t="s">
        <v>12517</v>
      </c>
      <c r="C1870" s="71" t="str">
        <f t="shared" si="39"/>
        <v>Product Info</v>
      </c>
      <c r="D1870" s="37" t="s">
        <v>12924</v>
      </c>
      <c r="E1870" s="143">
        <v>1</v>
      </c>
      <c r="F1870" s="12" t="s">
        <v>4992</v>
      </c>
      <c r="G1870" s="38">
        <v>58.09</v>
      </c>
      <c r="H1870" s="38">
        <v>49.37</v>
      </c>
      <c r="I1870" s="38">
        <v>40.659999999999997</v>
      </c>
      <c r="J1870" s="39"/>
      <c r="K1870" s="143" t="s">
        <v>8905</v>
      </c>
      <c r="L1870" s="22">
        <v>4</v>
      </c>
      <c r="M1870" s="22" t="s">
        <v>12488</v>
      </c>
      <c r="N1870" s="20" t="s">
        <v>13080</v>
      </c>
      <c r="O1870" s="16" t="s">
        <v>13912</v>
      </c>
      <c r="P1870" s="143">
        <v>758</v>
      </c>
      <c r="Q1870" s="121" t="s">
        <v>14285</v>
      </c>
      <c r="R1870" s="16" t="s">
        <v>9235</v>
      </c>
      <c r="S1870" s="10" t="s">
        <v>1163</v>
      </c>
      <c r="T1870" s="28" t="s">
        <v>12927</v>
      </c>
      <c r="U1870" s="20" t="s">
        <v>5359</v>
      </c>
      <c r="V1870" s="16" t="s">
        <v>12516</v>
      </c>
      <c r="W1870" s="11" t="s">
        <v>14433</v>
      </c>
      <c r="X1870" s="174">
        <v>32</v>
      </c>
      <c r="Y1870" s="174">
        <v>40.659999999999997</v>
      </c>
    </row>
    <row r="1871" spans="1:25" ht="15" customHeight="1" x14ac:dyDescent="0.25">
      <c r="A1871" s="20" t="s">
        <v>8114</v>
      </c>
      <c r="B1871" s="14" t="s">
        <v>8115</v>
      </c>
      <c r="C1871" s="71" t="str">
        <f t="shared" si="39"/>
        <v>Product Info</v>
      </c>
      <c r="D1871" s="37" t="s">
        <v>8723</v>
      </c>
      <c r="E1871" s="143">
        <v>1</v>
      </c>
      <c r="F1871" s="12" t="s">
        <v>4992</v>
      </c>
      <c r="G1871" s="38">
        <v>52.57</v>
      </c>
      <c r="H1871" s="38">
        <v>44.69</v>
      </c>
      <c r="I1871" s="38">
        <v>36.799999999999997</v>
      </c>
      <c r="J1871" s="39"/>
      <c r="K1871" s="143"/>
      <c r="L1871" s="22">
        <v>4</v>
      </c>
      <c r="M1871" s="22">
        <v>0</v>
      </c>
      <c r="N1871" s="20" t="s">
        <v>9370</v>
      </c>
      <c r="O1871" s="16" t="s">
        <v>13914</v>
      </c>
      <c r="P1871" s="143">
        <v>758</v>
      </c>
      <c r="Q1871" s="122" t="s">
        <v>12421</v>
      </c>
      <c r="R1871" s="16" t="s">
        <v>9235</v>
      </c>
      <c r="S1871" s="10" t="s">
        <v>1163</v>
      </c>
      <c r="T1871" s="28" t="s">
        <v>10900</v>
      </c>
      <c r="U1871" s="20" t="s">
        <v>5359</v>
      </c>
      <c r="V1871" s="16" t="s">
        <v>8114</v>
      </c>
      <c r="W1871" s="11" t="s">
        <v>14433</v>
      </c>
      <c r="X1871" s="174">
        <v>29.44</v>
      </c>
      <c r="Y1871" s="174">
        <v>36.799999999999997</v>
      </c>
    </row>
    <row r="1872" spans="1:25" ht="15" customHeight="1" x14ac:dyDescent="0.25">
      <c r="A1872" s="20" t="s">
        <v>8116</v>
      </c>
      <c r="B1872" s="14" t="s">
        <v>8117</v>
      </c>
      <c r="C1872" s="71" t="str">
        <f t="shared" si="39"/>
        <v>Product Info</v>
      </c>
      <c r="D1872" s="37" t="s">
        <v>8724</v>
      </c>
      <c r="E1872" s="143">
        <v>1</v>
      </c>
      <c r="F1872" s="12" t="s">
        <v>4992</v>
      </c>
      <c r="G1872" s="38">
        <v>55.86</v>
      </c>
      <c r="H1872" s="38">
        <v>47.48</v>
      </c>
      <c r="I1872" s="38">
        <v>39.1</v>
      </c>
      <c r="J1872" s="39"/>
      <c r="K1872" s="12"/>
      <c r="L1872" s="22">
        <v>8</v>
      </c>
      <c r="M1872" s="22" t="s">
        <v>14396</v>
      </c>
      <c r="N1872" s="20" t="s">
        <v>9369</v>
      </c>
      <c r="O1872" s="16" t="s">
        <v>13914</v>
      </c>
      <c r="P1872" s="143">
        <v>758</v>
      </c>
      <c r="Q1872" s="122" t="s">
        <v>12421</v>
      </c>
      <c r="R1872" s="16" t="s">
        <v>9235</v>
      </c>
      <c r="S1872" s="10" t="s">
        <v>1163</v>
      </c>
      <c r="T1872" s="28" t="s">
        <v>10901</v>
      </c>
      <c r="U1872" s="20" t="s">
        <v>5359</v>
      </c>
      <c r="V1872" s="16" t="s">
        <v>8116</v>
      </c>
      <c r="W1872" s="11" t="s">
        <v>14433</v>
      </c>
      <c r="X1872" s="174">
        <v>32</v>
      </c>
      <c r="Y1872" s="174">
        <v>39.1</v>
      </c>
    </row>
    <row r="1873" spans="1:25" ht="15" customHeight="1" x14ac:dyDescent="0.25">
      <c r="A1873" s="20" t="s">
        <v>8118</v>
      </c>
      <c r="B1873" s="14" t="s">
        <v>8119</v>
      </c>
      <c r="C1873" s="71" t="str">
        <f t="shared" si="39"/>
        <v>Product Info</v>
      </c>
      <c r="D1873" s="37" t="s">
        <v>8725</v>
      </c>
      <c r="E1873" s="143">
        <v>10</v>
      </c>
      <c r="F1873" s="12" t="s">
        <v>4992</v>
      </c>
      <c r="G1873" s="38">
        <v>31.21</v>
      </c>
      <c r="H1873" s="38">
        <v>26.53</v>
      </c>
      <c r="I1873" s="38">
        <v>21.85</v>
      </c>
      <c r="J1873" s="39"/>
      <c r="K1873" s="143"/>
      <c r="L1873" s="22">
        <v>1</v>
      </c>
      <c r="M1873" s="22" t="s">
        <v>12488</v>
      </c>
      <c r="N1873" s="20" t="s">
        <v>9367</v>
      </c>
      <c r="O1873" s="16" t="s">
        <v>13912</v>
      </c>
      <c r="P1873" s="143">
        <v>758</v>
      </c>
      <c r="Q1873" s="122" t="s">
        <v>12421</v>
      </c>
      <c r="R1873" s="16" t="s">
        <v>9235</v>
      </c>
      <c r="S1873" s="10" t="s">
        <v>1163</v>
      </c>
      <c r="T1873" s="28" t="s">
        <v>10902</v>
      </c>
      <c r="U1873" s="20" t="s">
        <v>5359</v>
      </c>
      <c r="V1873" s="16" t="s">
        <v>8118</v>
      </c>
      <c r="W1873" s="11" t="s">
        <v>14433</v>
      </c>
      <c r="X1873" s="174">
        <v>17.48</v>
      </c>
      <c r="Y1873" s="174">
        <v>21.85</v>
      </c>
    </row>
    <row r="1874" spans="1:25" ht="15" customHeight="1" x14ac:dyDescent="0.25">
      <c r="A1874" s="20" t="s">
        <v>8120</v>
      </c>
      <c r="B1874" s="14" t="s">
        <v>8121</v>
      </c>
      <c r="C1874" s="71" t="str">
        <f t="shared" si="39"/>
        <v>Product Info</v>
      </c>
      <c r="D1874" s="37" t="s">
        <v>8726</v>
      </c>
      <c r="E1874" s="143">
        <v>10</v>
      </c>
      <c r="F1874" s="12" t="s">
        <v>4992</v>
      </c>
      <c r="G1874" s="38">
        <v>33.19</v>
      </c>
      <c r="H1874" s="38">
        <v>28.21</v>
      </c>
      <c r="I1874" s="38">
        <v>23.23</v>
      </c>
      <c r="J1874" s="39"/>
      <c r="K1874" s="143"/>
      <c r="L1874" s="22">
        <v>1</v>
      </c>
      <c r="M1874" s="22" t="s">
        <v>12488</v>
      </c>
      <c r="N1874" s="20" t="s">
        <v>9367</v>
      </c>
      <c r="O1874" s="16" t="s">
        <v>13912</v>
      </c>
      <c r="P1874" s="143">
        <v>758</v>
      </c>
      <c r="Q1874" s="121" t="s">
        <v>14285</v>
      </c>
      <c r="R1874" s="16" t="s">
        <v>9235</v>
      </c>
      <c r="S1874" s="10" t="s">
        <v>1163</v>
      </c>
      <c r="T1874" s="28" t="s">
        <v>10903</v>
      </c>
      <c r="U1874" s="20" t="s">
        <v>5359</v>
      </c>
      <c r="V1874" s="16" t="s">
        <v>8120</v>
      </c>
      <c r="W1874" s="11" t="s">
        <v>14433</v>
      </c>
      <c r="X1874" s="174">
        <v>18.579999999999998</v>
      </c>
      <c r="Y1874" s="174">
        <v>23.23</v>
      </c>
    </row>
    <row r="1875" spans="1:25" ht="15" customHeight="1" x14ac:dyDescent="0.25">
      <c r="A1875" s="20" t="s">
        <v>8122</v>
      </c>
      <c r="B1875" s="14" t="s">
        <v>8123</v>
      </c>
      <c r="C1875" s="71" t="str">
        <f t="shared" si="39"/>
        <v>Product Info</v>
      </c>
      <c r="D1875" s="37" t="s">
        <v>8727</v>
      </c>
      <c r="E1875" s="143">
        <v>10</v>
      </c>
      <c r="F1875" s="12" t="s">
        <v>4992</v>
      </c>
      <c r="G1875" s="38">
        <v>31.83</v>
      </c>
      <c r="H1875" s="38">
        <v>27.06</v>
      </c>
      <c r="I1875" s="38">
        <v>22.28</v>
      </c>
      <c r="J1875" s="39"/>
      <c r="K1875" s="143"/>
      <c r="L1875" s="22">
        <v>1</v>
      </c>
      <c r="M1875" s="22" t="s">
        <v>12488</v>
      </c>
      <c r="N1875" s="20" t="s">
        <v>9367</v>
      </c>
      <c r="O1875" s="16" t="s">
        <v>13912</v>
      </c>
      <c r="P1875" s="143">
        <v>758</v>
      </c>
      <c r="Q1875" s="121" t="s">
        <v>14285</v>
      </c>
      <c r="R1875" s="16" t="s">
        <v>9235</v>
      </c>
      <c r="S1875" s="10" t="s">
        <v>1163</v>
      </c>
      <c r="T1875" s="28" t="s">
        <v>10904</v>
      </c>
      <c r="U1875" s="20" t="s">
        <v>5359</v>
      </c>
      <c r="V1875" s="16" t="s">
        <v>8122</v>
      </c>
      <c r="W1875" s="11" t="s">
        <v>14433</v>
      </c>
      <c r="X1875" s="174">
        <v>17.82</v>
      </c>
      <c r="Y1875" s="174">
        <v>22.28</v>
      </c>
    </row>
    <row r="1876" spans="1:25" ht="15" customHeight="1" x14ac:dyDescent="0.25">
      <c r="A1876" s="20" t="s">
        <v>8124</v>
      </c>
      <c r="B1876" s="14" t="s">
        <v>8125</v>
      </c>
      <c r="C1876" s="71" t="str">
        <f t="shared" si="39"/>
        <v>Product Info</v>
      </c>
      <c r="D1876" s="37" t="s">
        <v>8728</v>
      </c>
      <c r="E1876" s="143">
        <v>10</v>
      </c>
      <c r="F1876" s="12" t="s">
        <v>4992</v>
      </c>
      <c r="G1876" s="38">
        <v>9.06</v>
      </c>
      <c r="H1876" s="38">
        <v>7.7</v>
      </c>
      <c r="I1876" s="38">
        <v>6.34</v>
      </c>
      <c r="J1876" s="39"/>
      <c r="K1876" s="143"/>
      <c r="L1876" s="22">
        <v>0.5</v>
      </c>
      <c r="M1876" s="22" t="s">
        <v>12488</v>
      </c>
      <c r="N1876" s="20" t="s">
        <v>9371</v>
      </c>
      <c r="O1876" s="16" t="s">
        <v>13912</v>
      </c>
      <c r="P1876" s="143">
        <v>758</v>
      </c>
      <c r="Q1876" s="122" t="s">
        <v>12421</v>
      </c>
      <c r="R1876" s="16" t="s">
        <v>9235</v>
      </c>
      <c r="S1876" s="10" t="s">
        <v>1163</v>
      </c>
      <c r="T1876" s="28" t="s">
        <v>10905</v>
      </c>
      <c r="U1876" s="20" t="s">
        <v>5359</v>
      </c>
      <c r="V1876" s="16" t="s">
        <v>8124</v>
      </c>
      <c r="W1876" s="11" t="s">
        <v>14433</v>
      </c>
      <c r="X1876" s="174">
        <v>5.07</v>
      </c>
      <c r="Y1876" s="174">
        <v>6.34</v>
      </c>
    </row>
    <row r="1877" spans="1:25" ht="15" customHeight="1" x14ac:dyDescent="0.25">
      <c r="A1877" s="20" t="s">
        <v>9017</v>
      </c>
      <c r="B1877" s="14" t="s">
        <v>9018</v>
      </c>
      <c r="C1877" s="71" t="str">
        <f t="shared" si="39"/>
        <v>Product Info</v>
      </c>
      <c r="D1877" s="37" t="s">
        <v>9025</v>
      </c>
      <c r="E1877" s="143">
        <v>1</v>
      </c>
      <c r="F1877" s="12" t="s">
        <v>4992</v>
      </c>
      <c r="G1877" s="38">
        <v>14.93</v>
      </c>
      <c r="H1877" s="38">
        <v>12.69</v>
      </c>
      <c r="I1877" s="38">
        <v>10.45</v>
      </c>
      <c r="J1877" s="39"/>
      <c r="K1877" s="143"/>
      <c r="L1877" s="22">
        <v>2</v>
      </c>
      <c r="M1877" s="22" t="s">
        <v>12488</v>
      </c>
      <c r="N1877" s="20" t="s">
        <v>9372</v>
      </c>
      <c r="O1877" s="16" t="s">
        <v>13912</v>
      </c>
      <c r="P1877" s="143">
        <v>758</v>
      </c>
      <c r="Q1877" s="121" t="s">
        <v>14285</v>
      </c>
      <c r="R1877" s="16" t="s">
        <v>9235</v>
      </c>
      <c r="S1877" s="10" t="s">
        <v>1163</v>
      </c>
      <c r="T1877" s="28" t="s">
        <v>10906</v>
      </c>
      <c r="U1877" s="20" t="s">
        <v>5359</v>
      </c>
      <c r="V1877" s="16" t="s">
        <v>9017</v>
      </c>
      <c r="W1877" s="11" t="s">
        <v>14433</v>
      </c>
      <c r="X1877" s="174">
        <v>8.2799999999999994</v>
      </c>
      <c r="Y1877" s="174">
        <v>10.45</v>
      </c>
    </row>
    <row r="1878" spans="1:25" ht="15" customHeight="1" x14ac:dyDescent="0.25">
      <c r="A1878" s="20" t="s">
        <v>9019</v>
      </c>
      <c r="B1878" s="14" t="s">
        <v>9020</v>
      </c>
      <c r="C1878" s="71" t="str">
        <f t="shared" si="39"/>
        <v>Product Info</v>
      </c>
      <c r="D1878" s="37" t="s">
        <v>9026</v>
      </c>
      <c r="E1878" s="143">
        <v>3</v>
      </c>
      <c r="F1878" s="12" t="s">
        <v>4992</v>
      </c>
      <c r="G1878" s="38">
        <v>34.01</v>
      </c>
      <c r="H1878" s="38">
        <v>28.91</v>
      </c>
      <c r="I1878" s="38">
        <v>23.81</v>
      </c>
      <c r="J1878" s="39"/>
      <c r="K1878" s="143"/>
      <c r="L1878" s="22">
        <v>3</v>
      </c>
      <c r="M1878" s="22" t="s">
        <v>12488</v>
      </c>
      <c r="N1878" s="20" t="s">
        <v>9373</v>
      </c>
      <c r="O1878" s="16" t="s">
        <v>13912</v>
      </c>
      <c r="P1878" s="143">
        <v>758</v>
      </c>
      <c r="Q1878" s="122" t="s">
        <v>12421</v>
      </c>
      <c r="R1878" s="16" t="s">
        <v>9235</v>
      </c>
      <c r="S1878" s="10" t="s">
        <v>1163</v>
      </c>
      <c r="T1878" s="28" t="s">
        <v>10907</v>
      </c>
      <c r="U1878" s="20" t="s">
        <v>5359</v>
      </c>
      <c r="V1878" s="16" t="s">
        <v>9019</v>
      </c>
      <c r="W1878" s="11" t="s">
        <v>14433</v>
      </c>
      <c r="X1878" s="174">
        <v>18.86</v>
      </c>
      <c r="Y1878" s="174">
        <v>23.81</v>
      </c>
    </row>
    <row r="1879" spans="1:25" ht="15" customHeight="1" x14ac:dyDescent="0.25">
      <c r="A1879" s="20" t="s">
        <v>9021</v>
      </c>
      <c r="B1879" s="14" t="s">
        <v>9022</v>
      </c>
      <c r="C1879" s="71" t="str">
        <f t="shared" si="39"/>
        <v>Product Info</v>
      </c>
      <c r="D1879" s="37" t="s">
        <v>9027</v>
      </c>
      <c r="E1879" s="143">
        <v>3</v>
      </c>
      <c r="F1879" s="12" t="s">
        <v>4992</v>
      </c>
      <c r="G1879" s="38">
        <v>18.690000000000001</v>
      </c>
      <c r="H1879" s="38">
        <v>15.88</v>
      </c>
      <c r="I1879" s="38">
        <v>13.08</v>
      </c>
      <c r="J1879" s="39"/>
      <c r="K1879" s="12" t="s">
        <v>8905</v>
      </c>
      <c r="L1879" s="22">
        <v>3</v>
      </c>
      <c r="M1879" s="22" t="s">
        <v>12488</v>
      </c>
      <c r="N1879" s="20" t="s">
        <v>9373</v>
      </c>
      <c r="O1879" s="16" t="s">
        <v>13912</v>
      </c>
      <c r="P1879" s="143">
        <v>758</v>
      </c>
      <c r="Q1879" s="122" t="s">
        <v>12421</v>
      </c>
      <c r="R1879" s="16" t="s">
        <v>9235</v>
      </c>
      <c r="S1879" s="10" t="s">
        <v>1163</v>
      </c>
      <c r="T1879" s="28" t="s">
        <v>10908</v>
      </c>
      <c r="U1879" s="20" t="s">
        <v>5359</v>
      </c>
      <c r="V1879" s="16" t="s">
        <v>9021</v>
      </c>
      <c r="W1879" s="11" t="s">
        <v>14433</v>
      </c>
      <c r="X1879" s="174">
        <v>10.36</v>
      </c>
      <c r="Y1879" s="174">
        <v>13.08</v>
      </c>
    </row>
    <row r="1880" spans="1:25" ht="15" customHeight="1" x14ac:dyDescent="0.25">
      <c r="A1880" s="20" t="s">
        <v>9023</v>
      </c>
      <c r="B1880" s="14" t="s">
        <v>9024</v>
      </c>
      <c r="C1880" s="71" t="str">
        <f t="shared" si="39"/>
        <v>Product Info</v>
      </c>
      <c r="D1880" s="37" t="s">
        <v>9028</v>
      </c>
      <c r="E1880" s="143">
        <v>3</v>
      </c>
      <c r="F1880" s="12" t="s">
        <v>4992</v>
      </c>
      <c r="G1880" s="38">
        <v>19.84</v>
      </c>
      <c r="H1880" s="38">
        <v>16.87</v>
      </c>
      <c r="I1880" s="38">
        <v>13.89</v>
      </c>
      <c r="J1880" s="39"/>
      <c r="K1880" s="143"/>
      <c r="L1880" s="22">
        <v>3</v>
      </c>
      <c r="M1880" s="22" t="s">
        <v>12488</v>
      </c>
      <c r="N1880" s="20" t="s">
        <v>9373</v>
      </c>
      <c r="O1880" s="16" t="s">
        <v>13912</v>
      </c>
      <c r="P1880" s="143">
        <v>758</v>
      </c>
      <c r="Q1880" s="121" t="s">
        <v>14285</v>
      </c>
      <c r="R1880" s="16" t="s">
        <v>9235</v>
      </c>
      <c r="S1880" s="10" t="s">
        <v>1163</v>
      </c>
      <c r="T1880" s="28" t="s">
        <v>10909</v>
      </c>
      <c r="U1880" s="20" t="s">
        <v>5359</v>
      </c>
      <c r="V1880" s="16" t="s">
        <v>9023</v>
      </c>
      <c r="W1880" s="11" t="s">
        <v>14433</v>
      </c>
      <c r="X1880" s="174">
        <v>11</v>
      </c>
      <c r="Y1880" s="174">
        <v>13.89</v>
      </c>
    </row>
    <row r="1881" spans="1:25" ht="15" customHeight="1" x14ac:dyDescent="0.25">
      <c r="A1881" s="20" t="s">
        <v>8126</v>
      </c>
      <c r="B1881" s="14" t="s">
        <v>8127</v>
      </c>
      <c r="C1881" s="71" t="str">
        <f t="shared" si="39"/>
        <v>Product Info</v>
      </c>
      <c r="D1881" s="37" t="s">
        <v>8729</v>
      </c>
      <c r="E1881" s="143">
        <v>1</v>
      </c>
      <c r="F1881" s="12" t="s">
        <v>4992</v>
      </c>
      <c r="G1881" s="38">
        <v>56</v>
      </c>
      <c r="H1881" s="38">
        <v>47.6</v>
      </c>
      <c r="I1881" s="38">
        <v>39.200000000000003</v>
      </c>
      <c r="J1881" s="39"/>
      <c r="K1881" s="143"/>
      <c r="L1881" s="22">
        <v>0</v>
      </c>
      <c r="M1881" s="22">
        <v>0</v>
      </c>
      <c r="N1881" s="20" t="s">
        <v>14489</v>
      </c>
      <c r="O1881" s="16" t="s">
        <v>12608</v>
      </c>
      <c r="P1881" s="143">
        <v>758</v>
      </c>
      <c r="Q1881" s="121" t="s">
        <v>14285</v>
      </c>
      <c r="R1881" s="16" t="s">
        <v>9235</v>
      </c>
      <c r="S1881" s="10" t="s">
        <v>1163</v>
      </c>
      <c r="T1881" s="28" t="s">
        <v>10910</v>
      </c>
      <c r="U1881" s="20" t="s">
        <v>5359</v>
      </c>
      <c r="V1881" s="16" t="s">
        <v>8126</v>
      </c>
      <c r="W1881" s="11" t="s">
        <v>14433</v>
      </c>
      <c r="X1881" s="174">
        <v>31.36</v>
      </c>
      <c r="Y1881" s="174">
        <v>39.200000000000003</v>
      </c>
    </row>
    <row r="1882" spans="1:25" ht="15" customHeight="1" x14ac:dyDescent="0.25">
      <c r="A1882" s="20" t="s">
        <v>8128</v>
      </c>
      <c r="B1882" s="14" t="s">
        <v>8129</v>
      </c>
      <c r="C1882" s="71" t="str">
        <f t="shared" si="39"/>
        <v>Product Info</v>
      </c>
      <c r="D1882" s="37" t="s">
        <v>8730</v>
      </c>
      <c r="E1882" s="143">
        <v>1</v>
      </c>
      <c r="F1882" s="12" t="s">
        <v>4992</v>
      </c>
      <c r="G1882" s="38">
        <v>70</v>
      </c>
      <c r="H1882" s="38">
        <v>59.5</v>
      </c>
      <c r="I1882" s="38">
        <v>49</v>
      </c>
      <c r="J1882" s="39"/>
      <c r="K1882" s="143"/>
      <c r="L1882" s="22">
        <v>0</v>
      </c>
      <c r="M1882" s="22">
        <v>0</v>
      </c>
      <c r="N1882" s="20" t="s">
        <v>14489</v>
      </c>
      <c r="O1882" s="16" t="s">
        <v>13914</v>
      </c>
      <c r="P1882" s="143">
        <v>758</v>
      </c>
      <c r="Q1882" s="122" t="s">
        <v>12421</v>
      </c>
      <c r="R1882" s="16" t="s">
        <v>9235</v>
      </c>
      <c r="S1882" s="10" t="s">
        <v>1163</v>
      </c>
      <c r="T1882" s="28" t="s">
        <v>10911</v>
      </c>
      <c r="U1882" s="20" t="s">
        <v>5359</v>
      </c>
      <c r="V1882" s="16" t="s">
        <v>8128</v>
      </c>
      <c r="W1882" s="11" t="s">
        <v>14433</v>
      </c>
      <c r="X1882" s="174">
        <v>39.200000000000003</v>
      </c>
      <c r="Y1882" s="174">
        <v>49</v>
      </c>
    </row>
    <row r="1883" spans="1:25" ht="15" customHeight="1" x14ac:dyDescent="0.25">
      <c r="A1883" s="20" t="s">
        <v>8130</v>
      </c>
      <c r="B1883" s="14" t="s">
        <v>8131</v>
      </c>
      <c r="C1883" s="71" t="str">
        <f t="shared" si="39"/>
        <v>Product Info</v>
      </c>
      <c r="D1883" s="37" t="s">
        <v>8731</v>
      </c>
      <c r="E1883" s="143">
        <v>1</v>
      </c>
      <c r="F1883" s="12" t="s">
        <v>4992</v>
      </c>
      <c r="G1883" s="38">
        <v>51.29</v>
      </c>
      <c r="H1883" s="38">
        <v>43.59</v>
      </c>
      <c r="I1883" s="38">
        <v>35.9</v>
      </c>
      <c r="J1883" s="39"/>
      <c r="K1883" s="143"/>
      <c r="L1883" s="22">
        <v>0</v>
      </c>
      <c r="M1883" s="22">
        <v>0</v>
      </c>
      <c r="N1883" s="20" t="s">
        <v>14489</v>
      </c>
      <c r="O1883" s="16" t="s">
        <v>13914</v>
      </c>
      <c r="P1883" s="143">
        <v>758</v>
      </c>
      <c r="Q1883" s="121" t="s">
        <v>14285</v>
      </c>
      <c r="R1883" s="16" t="s">
        <v>9235</v>
      </c>
      <c r="S1883" s="10" t="s">
        <v>1163</v>
      </c>
      <c r="T1883" s="28" t="s">
        <v>10912</v>
      </c>
      <c r="U1883" s="20" t="s">
        <v>5359</v>
      </c>
      <c r="V1883" s="16" t="s">
        <v>8130</v>
      </c>
      <c r="W1883" s="11" t="s">
        <v>14433</v>
      </c>
      <c r="X1883" s="174">
        <v>28.72</v>
      </c>
      <c r="Y1883" s="174">
        <v>35.9</v>
      </c>
    </row>
    <row r="1884" spans="1:25" ht="15" customHeight="1" x14ac:dyDescent="0.25">
      <c r="A1884" s="20" t="s">
        <v>8132</v>
      </c>
      <c r="B1884" s="14" t="s">
        <v>8133</v>
      </c>
      <c r="C1884" s="71" t="str">
        <f t="shared" si="39"/>
        <v>Product Info</v>
      </c>
      <c r="D1884" s="37" t="s">
        <v>8732</v>
      </c>
      <c r="E1884" s="143">
        <v>1</v>
      </c>
      <c r="F1884" s="12" t="s">
        <v>4992</v>
      </c>
      <c r="G1884" s="38">
        <v>59.71</v>
      </c>
      <c r="H1884" s="38">
        <v>50.76</v>
      </c>
      <c r="I1884" s="38">
        <v>41.8</v>
      </c>
      <c r="J1884" s="39"/>
      <c r="K1884" s="143"/>
      <c r="L1884" s="22">
        <v>2</v>
      </c>
      <c r="M1884" s="22" t="s">
        <v>12488</v>
      </c>
      <c r="N1884" s="20" t="s">
        <v>9374</v>
      </c>
      <c r="O1884" s="16" t="s">
        <v>12608</v>
      </c>
      <c r="P1884" s="143">
        <v>758</v>
      </c>
      <c r="Q1884" s="121" t="s">
        <v>14285</v>
      </c>
      <c r="R1884" s="16" t="s">
        <v>9235</v>
      </c>
      <c r="S1884" s="10" t="s">
        <v>1163</v>
      </c>
      <c r="T1884" s="28" t="s">
        <v>10913</v>
      </c>
      <c r="U1884" s="20" t="s">
        <v>5359</v>
      </c>
      <c r="V1884" s="16" t="s">
        <v>8132</v>
      </c>
      <c r="W1884" s="11" t="s">
        <v>14433</v>
      </c>
      <c r="X1884" s="174">
        <v>33.44</v>
      </c>
      <c r="Y1884" s="174">
        <v>41.8</v>
      </c>
    </row>
    <row r="1885" spans="1:25" ht="15" customHeight="1" x14ac:dyDescent="0.25">
      <c r="A1885" s="20" t="s">
        <v>8134</v>
      </c>
      <c r="B1885" s="14" t="s">
        <v>8135</v>
      </c>
      <c r="C1885" s="71" t="str">
        <f t="shared" si="39"/>
        <v>Product Info</v>
      </c>
      <c r="D1885" s="37" t="s">
        <v>8733</v>
      </c>
      <c r="E1885" s="143">
        <v>1</v>
      </c>
      <c r="F1885" s="12" t="s">
        <v>4992</v>
      </c>
      <c r="G1885" s="38">
        <v>63</v>
      </c>
      <c r="H1885" s="38">
        <v>53.55</v>
      </c>
      <c r="I1885" s="38">
        <v>44.1</v>
      </c>
      <c r="J1885" s="39"/>
      <c r="K1885" s="143"/>
      <c r="L1885" s="22">
        <v>0</v>
      </c>
      <c r="M1885" s="22" t="s">
        <v>12487</v>
      </c>
      <c r="N1885" s="20" t="s">
        <v>14489</v>
      </c>
      <c r="O1885" s="16" t="s">
        <v>13912</v>
      </c>
      <c r="P1885" s="143">
        <v>758</v>
      </c>
      <c r="Q1885" s="121" t="s">
        <v>14285</v>
      </c>
      <c r="R1885" s="16" t="s">
        <v>9235</v>
      </c>
      <c r="S1885" s="10" t="s">
        <v>1163</v>
      </c>
      <c r="T1885" s="28" t="s">
        <v>10914</v>
      </c>
      <c r="U1885" s="20" t="s">
        <v>5359</v>
      </c>
      <c r="V1885" s="16" t="s">
        <v>8134</v>
      </c>
      <c r="W1885" s="11" t="s">
        <v>14433</v>
      </c>
      <c r="X1885" s="174">
        <v>35.28</v>
      </c>
      <c r="Y1885" s="174">
        <v>44.1</v>
      </c>
    </row>
    <row r="1886" spans="1:25" ht="15" customHeight="1" x14ac:dyDescent="0.25">
      <c r="A1886" s="20" t="s">
        <v>8136</v>
      </c>
      <c r="B1886" s="14" t="s">
        <v>8137</v>
      </c>
      <c r="C1886" s="71" t="str">
        <f t="shared" si="39"/>
        <v>Product Info</v>
      </c>
      <c r="D1886" s="37" t="s">
        <v>8734</v>
      </c>
      <c r="E1886" s="143">
        <v>10</v>
      </c>
      <c r="F1886" s="12" t="s">
        <v>4992</v>
      </c>
      <c r="G1886" s="38">
        <v>37.43</v>
      </c>
      <c r="H1886" s="38">
        <v>31.82</v>
      </c>
      <c r="I1886" s="38">
        <v>26.2</v>
      </c>
      <c r="J1886" s="39"/>
      <c r="K1886" s="143"/>
      <c r="L1886" s="22">
        <v>1</v>
      </c>
      <c r="M1886" s="22" t="s">
        <v>12488</v>
      </c>
      <c r="N1886" s="20" t="s">
        <v>9367</v>
      </c>
      <c r="O1886" s="16" t="s">
        <v>13912</v>
      </c>
      <c r="P1886" s="143">
        <v>758</v>
      </c>
      <c r="Q1886" s="121" t="s">
        <v>14285</v>
      </c>
      <c r="R1886" s="16" t="s">
        <v>9235</v>
      </c>
      <c r="S1886" s="10" t="s">
        <v>1163</v>
      </c>
      <c r="T1886" s="28" t="s">
        <v>10915</v>
      </c>
      <c r="U1886" s="20" t="s">
        <v>5359</v>
      </c>
      <c r="V1886" s="16" t="s">
        <v>8136</v>
      </c>
      <c r="W1886" s="11" t="s">
        <v>14433</v>
      </c>
      <c r="X1886" s="174">
        <v>20.96</v>
      </c>
      <c r="Y1886" s="174">
        <v>26.2</v>
      </c>
    </row>
    <row r="1887" spans="1:25" ht="15" customHeight="1" x14ac:dyDescent="0.25">
      <c r="A1887" s="20" t="s">
        <v>8138</v>
      </c>
      <c r="B1887" s="14" t="s">
        <v>8139</v>
      </c>
      <c r="C1887" s="71" t="str">
        <f t="shared" si="39"/>
        <v>Product Info</v>
      </c>
      <c r="D1887" s="37" t="s">
        <v>8735</v>
      </c>
      <c r="E1887" s="143">
        <v>10</v>
      </c>
      <c r="F1887" s="12" t="s">
        <v>4992</v>
      </c>
      <c r="G1887" s="38">
        <v>40.159999999999997</v>
      </c>
      <c r="H1887" s="38">
        <v>34.130000000000003</v>
      </c>
      <c r="I1887" s="38">
        <v>28.11</v>
      </c>
      <c r="J1887" s="39"/>
      <c r="K1887" s="143"/>
      <c r="L1887" s="22">
        <v>1</v>
      </c>
      <c r="M1887" s="22" t="s">
        <v>12488</v>
      </c>
      <c r="N1887" s="20" t="s">
        <v>9375</v>
      </c>
      <c r="O1887" s="16" t="s">
        <v>13912</v>
      </c>
      <c r="P1887" s="143">
        <v>758</v>
      </c>
      <c r="Q1887" s="122" t="s">
        <v>12421</v>
      </c>
      <c r="R1887" s="16" t="s">
        <v>9235</v>
      </c>
      <c r="S1887" s="10" t="s">
        <v>1163</v>
      </c>
      <c r="T1887" s="28" t="s">
        <v>10916</v>
      </c>
      <c r="U1887" s="20" t="s">
        <v>5359</v>
      </c>
      <c r="V1887" s="16" t="s">
        <v>8138</v>
      </c>
      <c r="W1887" s="11" t="s">
        <v>14433</v>
      </c>
      <c r="X1887" s="174">
        <v>22.49</v>
      </c>
      <c r="Y1887" s="174">
        <v>28.11</v>
      </c>
    </row>
    <row r="1888" spans="1:25" ht="15" customHeight="1" x14ac:dyDescent="0.25">
      <c r="A1888" s="20" t="s">
        <v>8140</v>
      </c>
      <c r="B1888" s="14" t="s">
        <v>8141</v>
      </c>
      <c r="C1888" s="71" t="str">
        <f t="shared" si="39"/>
        <v>Product Info</v>
      </c>
      <c r="D1888" s="37" t="s">
        <v>8736</v>
      </c>
      <c r="E1888" s="143">
        <v>1</v>
      </c>
      <c r="F1888" s="12" t="s">
        <v>4992</v>
      </c>
      <c r="G1888" s="38">
        <v>59.71</v>
      </c>
      <c r="H1888" s="38">
        <v>50.76</v>
      </c>
      <c r="I1888" s="38">
        <v>41.8</v>
      </c>
      <c r="J1888" s="39"/>
      <c r="K1888" s="143"/>
      <c r="L1888" s="22">
        <v>8</v>
      </c>
      <c r="M1888" s="22" t="s">
        <v>14396</v>
      </c>
      <c r="N1888" s="20" t="s">
        <v>9369</v>
      </c>
      <c r="O1888" s="16" t="s">
        <v>13914</v>
      </c>
      <c r="P1888" s="143">
        <v>758</v>
      </c>
      <c r="Q1888" s="121" t="s">
        <v>14285</v>
      </c>
      <c r="R1888" s="16" t="s">
        <v>9235</v>
      </c>
      <c r="S1888" s="10" t="s">
        <v>1163</v>
      </c>
      <c r="T1888" s="28" t="s">
        <v>10917</v>
      </c>
      <c r="U1888" s="20" t="s">
        <v>5359</v>
      </c>
      <c r="V1888" s="16" t="s">
        <v>8140</v>
      </c>
      <c r="W1888" s="11" t="s">
        <v>14433</v>
      </c>
      <c r="X1888" s="174">
        <v>33.44</v>
      </c>
      <c r="Y1888" s="174">
        <v>41.8</v>
      </c>
    </row>
    <row r="1889" spans="1:25" ht="15" customHeight="1" x14ac:dyDescent="0.25">
      <c r="A1889" s="20" t="s">
        <v>8142</v>
      </c>
      <c r="B1889" s="14" t="s">
        <v>8143</v>
      </c>
      <c r="C1889" s="71" t="str">
        <f t="shared" si="39"/>
        <v>Product Info</v>
      </c>
      <c r="D1889" s="37" t="s">
        <v>8737</v>
      </c>
      <c r="E1889" s="143">
        <v>1</v>
      </c>
      <c r="F1889" s="12" t="s">
        <v>4992</v>
      </c>
      <c r="G1889" s="38">
        <v>63</v>
      </c>
      <c r="H1889" s="38">
        <v>53.55</v>
      </c>
      <c r="I1889" s="38">
        <v>44.1</v>
      </c>
      <c r="J1889" s="39"/>
      <c r="K1889" s="143"/>
      <c r="L1889" s="22">
        <v>0</v>
      </c>
      <c r="M1889" s="22" t="s">
        <v>12487</v>
      </c>
      <c r="N1889" s="20" t="s">
        <v>14489</v>
      </c>
      <c r="O1889" s="16" t="s">
        <v>13912</v>
      </c>
      <c r="P1889" s="143">
        <v>758</v>
      </c>
      <c r="Q1889" s="121" t="s">
        <v>14285</v>
      </c>
      <c r="R1889" s="16" t="s">
        <v>9235</v>
      </c>
      <c r="S1889" s="10" t="s">
        <v>1163</v>
      </c>
      <c r="T1889" s="28" t="s">
        <v>10918</v>
      </c>
      <c r="U1889" s="20" t="s">
        <v>5359</v>
      </c>
      <c r="V1889" s="16" t="s">
        <v>8142</v>
      </c>
      <c r="W1889" s="11" t="s">
        <v>14433</v>
      </c>
      <c r="X1889" s="174">
        <v>35.28</v>
      </c>
      <c r="Y1889" s="174">
        <v>44.1</v>
      </c>
    </row>
    <row r="1890" spans="1:25" ht="15" customHeight="1" x14ac:dyDescent="0.25">
      <c r="A1890" s="20" t="s">
        <v>8144</v>
      </c>
      <c r="B1890" s="14" t="s">
        <v>8145</v>
      </c>
      <c r="C1890" s="71" t="str">
        <f t="shared" si="39"/>
        <v>Product Info</v>
      </c>
      <c r="D1890" s="37" t="s">
        <v>8738</v>
      </c>
      <c r="E1890" s="143">
        <v>10</v>
      </c>
      <c r="F1890" s="12" t="s">
        <v>4992</v>
      </c>
      <c r="G1890" s="38">
        <v>37.43</v>
      </c>
      <c r="H1890" s="38">
        <v>31.82</v>
      </c>
      <c r="I1890" s="38">
        <v>26.2</v>
      </c>
      <c r="J1890" s="39"/>
      <c r="K1890" s="143"/>
      <c r="L1890" s="22">
        <v>1</v>
      </c>
      <c r="M1890" s="22" t="s">
        <v>12488</v>
      </c>
      <c r="N1890" s="20" t="s">
        <v>9367</v>
      </c>
      <c r="O1890" s="16" t="s">
        <v>13912</v>
      </c>
      <c r="P1890" s="143">
        <v>758</v>
      </c>
      <c r="Q1890" s="121" t="s">
        <v>14285</v>
      </c>
      <c r="R1890" s="16" t="s">
        <v>9235</v>
      </c>
      <c r="S1890" s="10" t="s">
        <v>1163</v>
      </c>
      <c r="T1890" s="28" t="s">
        <v>10919</v>
      </c>
      <c r="U1890" s="20" t="s">
        <v>5359</v>
      </c>
      <c r="V1890" s="16" t="s">
        <v>8144</v>
      </c>
      <c r="W1890" s="11" t="s">
        <v>14433</v>
      </c>
      <c r="X1890" s="174">
        <v>20.96</v>
      </c>
      <c r="Y1890" s="174">
        <v>26.2</v>
      </c>
    </row>
    <row r="1891" spans="1:25" ht="15" customHeight="1" x14ac:dyDescent="0.25">
      <c r="A1891" s="20" t="s">
        <v>8146</v>
      </c>
      <c r="B1891" s="14" t="s">
        <v>8147</v>
      </c>
      <c r="C1891" s="71" t="str">
        <f t="shared" si="39"/>
        <v>Product Info</v>
      </c>
      <c r="D1891" s="37" t="s">
        <v>8739</v>
      </c>
      <c r="E1891" s="143">
        <v>10</v>
      </c>
      <c r="F1891" s="12" t="s">
        <v>4992</v>
      </c>
      <c r="G1891" s="38">
        <v>40.159999999999997</v>
      </c>
      <c r="H1891" s="38">
        <v>34.130000000000003</v>
      </c>
      <c r="I1891" s="38">
        <v>28.11</v>
      </c>
      <c r="J1891" s="39"/>
      <c r="K1891" s="143"/>
      <c r="L1891" s="22">
        <v>1</v>
      </c>
      <c r="M1891" s="22" t="s">
        <v>12488</v>
      </c>
      <c r="N1891" s="20" t="s">
        <v>9367</v>
      </c>
      <c r="O1891" s="16" t="s">
        <v>13912</v>
      </c>
      <c r="P1891" s="143">
        <v>758</v>
      </c>
      <c r="Q1891" s="121" t="s">
        <v>14285</v>
      </c>
      <c r="R1891" s="16" t="s">
        <v>9235</v>
      </c>
      <c r="S1891" s="10" t="s">
        <v>1163</v>
      </c>
      <c r="T1891" s="28" t="s">
        <v>10920</v>
      </c>
      <c r="U1891" s="20" t="s">
        <v>5359</v>
      </c>
      <c r="V1891" s="16" t="s">
        <v>8146</v>
      </c>
      <c r="W1891" s="11" t="s">
        <v>14433</v>
      </c>
      <c r="X1891" s="174">
        <v>22.49</v>
      </c>
      <c r="Y1891" s="174">
        <v>28.11</v>
      </c>
    </row>
    <row r="1892" spans="1:25" ht="15" customHeight="1" x14ac:dyDescent="0.25">
      <c r="A1892" s="20" t="s">
        <v>8148</v>
      </c>
      <c r="B1892" s="14" t="s">
        <v>8149</v>
      </c>
      <c r="C1892" s="71" t="str">
        <f t="shared" si="39"/>
        <v>Product Info</v>
      </c>
      <c r="D1892" s="37" t="s">
        <v>8740</v>
      </c>
      <c r="E1892" s="143">
        <v>1</v>
      </c>
      <c r="F1892" s="12" t="s">
        <v>4992</v>
      </c>
      <c r="G1892" s="38">
        <v>59.71</v>
      </c>
      <c r="H1892" s="38">
        <v>50.76</v>
      </c>
      <c r="I1892" s="38">
        <v>41.8</v>
      </c>
      <c r="J1892" s="39"/>
      <c r="K1892" s="143"/>
      <c r="L1892" s="22">
        <v>8</v>
      </c>
      <c r="M1892" s="22" t="s">
        <v>14396</v>
      </c>
      <c r="N1892" s="20" t="s">
        <v>9369</v>
      </c>
      <c r="O1892" s="16" t="s">
        <v>13914</v>
      </c>
      <c r="P1892" s="143">
        <v>758</v>
      </c>
      <c r="Q1892" s="121" t="s">
        <v>14285</v>
      </c>
      <c r="R1892" s="16" t="s">
        <v>9235</v>
      </c>
      <c r="S1892" s="10" t="s">
        <v>1163</v>
      </c>
      <c r="T1892" s="28" t="s">
        <v>10921</v>
      </c>
      <c r="U1892" s="20" t="s">
        <v>5359</v>
      </c>
      <c r="V1892" s="16" t="s">
        <v>8148</v>
      </c>
      <c r="W1892" s="11" t="s">
        <v>14433</v>
      </c>
      <c r="X1892" s="174">
        <v>33.44</v>
      </c>
      <c r="Y1892" s="174">
        <v>41.8</v>
      </c>
    </row>
    <row r="1893" spans="1:25" ht="15" customHeight="1" x14ac:dyDescent="0.25">
      <c r="A1893" s="20" t="s">
        <v>8150</v>
      </c>
      <c r="B1893" s="14" t="s">
        <v>8151</v>
      </c>
      <c r="C1893" s="71" t="str">
        <f t="shared" si="39"/>
        <v>Product Info</v>
      </c>
      <c r="D1893" s="37" t="s">
        <v>8741</v>
      </c>
      <c r="E1893" s="143">
        <v>1</v>
      </c>
      <c r="F1893" s="12" t="s">
        <v>4992</v>
      </c>
      <c r="G1893" s="38">
        <v>63</v>
      </c>
      <c r="H1893" s="38">
        <v>53.55</v>
      </c>
      <c r="I1893" s="38">
        <v>44.1</v>
      </c>
      <c r="J1893" s="39"/>
      <c r="K1893" s="143"/>
      <c r="L1893" s="22">
        <v>0</v>
      </c>
      <c r="M1893" s="22" t="s">
        <v>12487</v>
      </c>
      <c r="N1893" s="20" t="s">
        <v>14489</v>
      </c>
      <c r="O1893" s="16" t="s">
        <v>13912</v>
      </c>
      <c r="P1893" s="143">
        <v>758</v>
      </c>
      <c r="Q1893" s="121" t="s">
        <v>14285</v>
      </c>
      <c r="R1893" s="16" t="s">
        <v>9235</v>
      </c>
      <c r="S1893" s="10" t="s">
        <v>1163</v>
      </c>
      <c r="T1893" s="28" t="s">
        <v>10922</v>
      </c>
      <c r="U1893" s="20" t="s">
        <v>5359</v>
      </c>
      <c r="V1893" s="16" t="s">
        <v>8150</v>
      </c>
      <c r="W1893" s="11" t="s">
        <v>14433</v>
      </c>
      <c r="X1893" s="174">
        <v>35.28</v>
      </c>
      <c r="Y1893" s="174">
        <v>44.1</v>
      </c>
    </row>
    <row r="1894" spans="1:25" ht="15" customHeight="1" x14ac:dyDescent="0.25">
      <c r="A1894" s="20" t="s">
        <v>8152</v>
      </c>
      <c r="B1894" s="14" t="s">
        <v>8153</v>
      </c>
      <c r="C1894" s="71" t="str">
        <f t="shared" si="39"/>
        <v>Product Info</v>
      </c>
      <c r="D1894" s="37" t="s">
        <v>8742</v>
      </c>
      <c r="E1894" s="143">
        <v>10</v>
      </c>
      <c r="F1894" s="12" t="s">
        <v>4992</v>
      </c>
      <c r="G1894" s="38">
        <v>37.43</v>
      </c>
      <c r="H1894" s="38">
        <v>31.82</v>
      </c>
      <c r="I1894" s="38">
        <v>26.2</v>
      </c>
      <c r="J1894" s="39"/>
      <c r="K1894" s="143"/>
      <c r="L1894" s="22">
        <v>1</v>
      </c>
      <c r="M1894" s="22" t="s">
        <v>12488</v>
      </c>
      <c r="N1894" s="20" t="s">
        <v>9367</v>
      </c>
      <c r="O1894" s="16" t="s">
        <v>13912</v>
      </c>
      <c r="P1894" s="143">
        <v>758</v>
      </c>
      <c r="Q1894" s="121" t="s">
        <v>14285</v>
      </c>
      <c r="R1894" s="16" t="s">
        <v>9235</v>
      </c>
      <c r="S1894" s="10" t="s">
        <v>1163</v>
      </c>
      <c r="T1894" s="28" t="s">
        <v>10923</v>
      </c>
      <c r="U1894" s="20" t="s">
        <v>5359</v>
      </c>
      <c r="V1894" s="16" t="s">
        <v>8152</v>
      </c>
      <c r="W1894" s="11" t="s">
        <v>14433</v>
      </c>
      <c r="X1894" s="174">
        <v>20.96</v>
      </c>
      <c r="Y1894" s="174">
        <v>26.2</v>
      </c>
    </row>
    <row r="1895" spans="1:25" ht="15" customHeight="1" x14ac:dyDescent="0.25">
      <c r="A1895" s="20" t="s">
        <v>8154</v>
      </c>
      <c r="B1895" s="14" t="s">
        <v>8155</v>
      </c>
      <c r="C1895" s="71" t="str">
        <f t="shared" si="39"/>
        <v>Product Info</v>
      </c>
      <c r="D1895" s="37" t="s">
        <v>8743</v>
      </c>
      <c r="E1895" s="143">
        <v>10</v>
      </c>
      <c r="F1895" s="12" t="s">
        <v>4992</v>
      </c>
      <c r="G1895" s="38">
        <v>40.159999999999997</v>
      </c>
      <c r="H1895" s="38">
        <v>34.130000000000003</v>
      </c>
      <c r="I1895" s="38">
        <v>28.11</v>
      </c>
      <c r="J1895" s="39"/>
      <c r="K1895" s="143"/>
      <c r="L1895" s="22">
        <v>1</v>
      </c>
      <c r="M1895" s="22" t="s">
        <v>12488</v>
      </c>
      <c r="N1895" s="20" t="s">
        <v>9367</v>
      </c>
      <c r="O1895" s="16" t="s">
        <v>13912</v>
      </c>
      <c r="P1895" s="143">
        <v>758</v>
      </c>
      <c r="Q1895" s="121" t="s">
        <v>14285</v>
      </c>
      <c r="R1895" s="16" t="s">
        <v>9235</v>
      </c>
      <c r="S1895" s="10" t="s">
        <v>1163</v>
      </c>
      <c r="T1895" s="28" t="s">
        <v>10924</v>
      </c>
      <c r="U1895" s="20" t="s">
        <v>5359</v>
      </c>
      <c r="V1895" s="16" t="s">
        <v>8154</v>
      </c>
      <c r="W1895" s="11" t="s">
        <v>14433</v>
      </c>
      <c r="X1895" s="174">
        <v>22.49</v>
      </c>
      <c r="Y1895" s="174">
        <v>28.11</v>
      </c>
    </row>
    <row r="1896" spans="1:25" ht="15" customHeight="1" x14ac:dyDescent="0.25">
      <c r="A1896" s="20" t="s">
        <v>8156</v>
      </c>
      <c r="B1896" s="14" t="s">
        <v>8157</v>
      </c>
      <c r="C1896" s="71" t="str">
        <f t="shared" si="39"/>
        <v>Product Info</v>
      </c>
      <c r="D1896" s="37" t="s">
        <v>8744</v>
      </c>
      <c r="E1896" s="143">
        <v>10</v>
      </c>
      <c r="F1896" s="12" t="s">
        <v>4992</v>
      </c>
      <c r="G1896" s="38">
        <v>12.2</v>
      </c>
      <c r="H1896" s="38">
        <v>10.37</v>
      </c>
      <c r="I1896" s="38">
        <v>8.5399999999999991</v>
      </c>
      <c r="J1896" s="39"/>
      <c r="K1896" s="143"/>
      <c r="L1896" s="22">
        <v>0.5</v>
      </c>
      <c r="M1896" s="22" t="s">
        <v>12488</v>
      </c>
      <c r="N1896" s="20" t="s">
        <v>9371</v>
      </c>
      <c r="O1896" s="16" t="s">
        <v>13912</v>
      </c>
      <c r="P1896" s="143">
        <v>758</v>
      </c>
      <c r="Q1896" s="121" t="s">
        <v>14285</v>
      </c>
      <c r="R1896" s="16" t="s">
        <v>9235</v>
      </c>
      <c r="S1896" s="10" t="s">
        <v>1163</v>
      </c>
      <c r="T1896" s="28" t="s">
        <v>10925</v>
      </c>
      <c r="U1896" s="20" t="s">
        <v>5359</v>
      </c>
      <c r="V1896" s="16" t="s">
        <v>8156</v>
      </c>
      <c r="W1896" s="11" t="s">
        <v>14433</v>
      </c>
      <c r="X1896" s="174">
        <v>6.83</v>
      </c>
      <c r="Y1896" s="174">
        <v>8.5399999999999991</v>
      </c>
    </row>
    <row r="1897" spans="1:25" ht="15" customHeight="1" x14ac:dyDescent="0.25">
      <c r="A1897" s="20" t="s">
        <v>1766</v>
      </c>
      <c r="B1897" s="14" t="s">
        <v>1767</v>
      </c>
      <c r="C1897" s="71" t="str">
        <f t="shared" si="39"/>
        <v>Product Info</v>
      </c>
      <c r="D1897" s="37" t="s">
        <v>119</v>
      </c>
      <c r="E1897" s="143">
        <v>1</v>
      </c>
      <c r="F1897" s="12" t="s">
        <v>4992</v>
      </c>
      <c r="G1897" s="38">
        <v>94.04</v>
      </c>
      <c r="H1897" s="38">
        <v>79.94</v>
      </c>
      <c r="I1897" s="38">
        <v>65.83</v>
      </c>
      <c r="J1897" s="39"/>
      <c r="K1897" s="143"/>
      <c r="L1897" s="22">
        <v>0</v>
      </c>
      <c r="M1897" s="22">
        <v>0</v>
      </c>
      <c r="N1897" s="20" t="s">
        <v>14489</v>
      </c>
      <c r="O1897" s="16">
        <v>0</v>
      </c>
      <c r="P1897" s="143">
        <v>758</v>
      </c>
      <c r="Q1897" s="121" t="s">
        <v>14285</v>
      </c>
      <c r="R1897" s="16" t="s">
        <v>9235</v>
      </c>
      <c r="S1897" s="10" t="s">
        <v>1163</v>
      </c>
      <c r="T1897" s="28" t="s">
        <v>10926</v>
      </c>
      <c r="U1897" s="20" t="s">
        <v>5359</v>
      </c>
      <c r="V1897" s="16" t="s">
        <v>1766</v>
      </c>
      <c r="W1897" s="11" t="s">
        <v>14433</v>
      </c>
      <c r="X1897" s="174">
        <v>62.57</v>
      </c>
      <c r="Y1897" s="174">
        <v>79.94</v>
      </c>
    </row>
    <row r="1898" spans="1:25" ht="15" customHeight="1" x14ac:dyDescent="0.25">
      <c r="A1898" s="20" t="s">
        <v>1768</v>
      </c>
      <c r="B1898" s="14" t="s">
        <v>1769</v>
      </c>
      <c r="C1898" s="71" t="str">
        <f t="shared" si="39"/>
        <v>Product Info</v>
      </c>
      <c r="D1898" s="37" t="s">
        <v>120</v>
      </c>
      <c r="E1898" s="143">
        <v>1</v>
      </c>
      <c r="F1898" s="12" t="s">
        <v>4992</v>
      </c>
      <c r="G1898" s="38">
        <v>100.84</v>
      </c>
      <c r="H1898" s="38">
        <v>85.72</v>
      </c>
      <c r="I1898" s="38">
        <v>70.59</v>
      </c>
      <c r="J1898" s="39"/>
      <c r="K1898" s="143"/>
      <c r="L1898" s="22">
        <v>0</v>
      </c>
      <c r="M1898" s="22">
        <v>0</v>
      </c>
      <c r="N1898" s="20" t="s">
        <v>14489</v>
      </c>
      <c r="O1898" s="16">
        <v>0</v>
      </c>
      <c r="P1898" s="143">
        <v>758</v>
      </c>
      <c r="Q1898" s="121" t="s">
        <v>14285</v>
      </c>
      <c r="R1898" s="16" t="s">
        <v>9235</v>
      </c>
      <c r="S1898" s="10" t="s">
        <v>1163</v>
      </c>
      <c r="T1898" s="28" t="s">
        <v>10927</v>
      </c>
      <c r="U1898" s="20" t="s">
        <v>5359</v>
      </c>
      <c r="V1898" s="16" t="s">
        <v>1768</v>
      </c>
      <c r="W1898" s="11" t="s">
        <v>14433</v>
      </c>
      <c r="X1898" s="174">
        <v>67.09</v>
      </c>
      <c r="Y1898" s="174">
        <v>85.72</v>
      </c>
    </row>
    <row r="1899" spans="1:25" ht="15" customHeight="1" x14ac:dyDescent="0.25">
      <c r="A1899" s="20" t="s">
        <v>3379</v>
      </c>
      <c r="B1899" s="14" t="s">
        <v>1771</v>
      </c>
      <c r="C1899" s="71" t="str">
        <f t="shared" si="39"/>
        <v>Product Info</v>
      </c>
      <c r="D1899" s="37" t="s">
        <v>4790</v>
      </c>
      <c r="E1899" s="143">
        <v>1</v>
      </c>
      <c r="F1899" s="12" t="s">
        <v>4992</v>
      </c>
      <c r="G1899" s="38">
        <v>792.06</v>
      </c>
      <c r="H1899" s="38">
        <v>673.27</v>
      </c>
      <c r="I1899" s="38">
        <v>554.44000000000005</v>
      </c>
      <c r="J1899" s="39"/>
      <c r="K1899" s="143"/>
      <c r="L1899" s="22">
        <v>0</v>
      </c>
      <c r="M1899" s="22" t="s">
        <v>12488</v>
      </c>
      <c r="N1899" s="20" t="s">
        <v>14489</v>
      </c>
      <c r="O1899" s="16" t="s">
        <v>4992</v>
      </c>
      <c r="P1899" s="143">
        <v>758</v>
      </c>
      <c r="Q1899" s="122" t="s">
        <v>12421</v>
      </c>
      <c r="R1899" s="16" t="s">
        <v>9235</v>
      </c>
      <c r="S1899" s="10" t="s">
        <v>1163</v>
      </c>
      <c r="T1899" s="28" t="s">
        <v>10929</v>
      </c>
      <c r="U1899" s="20" t="s">
        <v>5359</v>
      </c>
      <c r="V1899" s="16" t="s">
        <v>3379</v>
      </c>
      <c r="W1899" s="11" t="s">
        <v>14433</v>
      </c>
      <c r="X1899" s="174">
        <v>526.99</v>
      </c>
      <c r="Y1899" s="174">
        <v>673.27</v>
      </c>
    </row>
    <row r="1900" spans="1:25" ht="15" customHeight="1" x14ac:dyDescent="0.25">
      <c r="A1900" s="20" t="s">
        <v>3380</v>
      </c>
      <c r="B1900" s="14" t="s">
        <v>1772</v>
      </c>
      <c r="C1900" s="71" t="str">
        <f t="shared" si="39"/>
        <v>Product Info</v>
      </c>
      <c r="D1900" s="37" t="s">
        <v>4791</v>
      </c>
      <c r="E1900" s="143">
        <v>1</v>
      </c>
      <c r="F1900" s="12" t="s">
        <v>4992</v>
      </c>
      <c r="G1900" s="38">
        <v>810.94</v>
      </c>
      <c r="H1900" s="38">
        <v>689.33</v>
      </c>
      <c r="I1900" s="38">
        <v>567.66</v>
      </c>
      <c r="J1900" s="39"/>
      <c r="K1900" s="143"/>
      <c r="L1900" s="22">
        <v>0</v>
      </c>
      <c r="M1900" s="22" t="s">
        <v>12488</v>
      </c>
      <c r="N1900" s="20" t="s">
        <v>14489</v>
      </c>
      <c r="O1900" s="16" t="s">
        <v>4992</v>
      </c>
      <c r="P1900" s="143">
        <v>758</v>
      </c>
      <c r="Q1900" s="122" t="s">
        <v>12421</v>
      </c>
      <c r="R1900" s="16" t="s">
        <v>9235</v>
      </c>
      <c r="S1900" s="10" t="s">
        <v>1163</v>
      </c>
      <c r="T1900" s="28" t="s">
        <v>10930</v>
      </c>
      <c r="U1900" s="20" t="s">
        <v>5359</v>
      </c>
      <c r="V1900" s="16" t="s">
        <v>3380</v>
      </c>
      <c r="W1900" s="11" t="s">
        <v>14433</v>
      </c>
      <c r="X1900" s="174">
        <v>539.55999999999995</v>
      </c>
      <c r="Y1900" s="174">
        <v>689.33</v>
      </c>
    </row>
    <row r="1901" spans="1:25" ht="15" customHeight="1" x14ac:dyDescent="0.25">
      <c r="A1901" s="20" t="s">
        <v>6285</v>
      </c>
      <c r="B1901" s="14" t="s">
        <v>1773</v>
      </c>
      <c r="C1901" s="71" t="str">
        <f t="shared" si="39"/>
        <v>Product Info</v>
      </c>
      <c r="D1901" s="37" t="s">
        <v>4792</v>
      </c>
      <c r="E1901" s="143">
        <v>1</v>
      </c>
      <c r="F1901" s="12" t="s">
        <v>4992</v>
      </c>
      <c r="G1901" s="38">
        <v>829.84</v>
      </c>
      <c r="H1901" s="38">
        <v>705.39</v>
      </c>
      <c r="I1901" s="38">
        <v>580.89</v>
      </c>
      <c r="J1901" s="39"/>
      <c r="K1901" s="143"/>
      <c r="L1901" s="22">
        <v>0</v>
      </c>
      <c r="M1901" s="22" t="s">
        <v>12488</v>
      </c>
      <c r="N1901" s="20" t="s">
        <v>14489</v>
      </c>
      <c r="O1901" s="16" t="s">
        <v>4992</v>
      </c>
      <c r="P1901" s="143">
        <v>758</v>
      </c>
      <c r="Q1901" s="121" t="s">
        <v>14285</v>
      </c>
      <c r="R1901" s="16" t="s">
        <v>9235</v>
      </c>
      <c r="S1901" s="10" t="s">
        <v>1163</v>
      </c>
      <c r="T1901" s="28" t="s">
        <v>10931</v>
      </c>
      <c r="U1901" s="20" t="s">
        <v>5359</v>
      </c>
      <c r="V1901" s="16" t="s">
        <v>6285</v>
      </c>
      <c r="W1901" s="11" t="s">
        <v>14433</v>
      </c>
      <c r="X1901" s="174">
        <v>552.13</v>
      </c>
      <c r="Y1901" s="174">
        <v>705.39</v>
      </c>
    </row>
    <row r="1902" spans="1:25" ht="15" customHeight="1" x14ac:dyDescent="0.25">
      <c r="A1902" s="20" t="s">
        <v>1774</v>
      </c>
      <c r="B1902" s="14" t="s">
        <v>1775</v>
      </c>
      <c r="C1902" s="71" t="str">
        <f t="shared" si="39"/>
        <v>Product Info</v>
      </c>
      <c r="D1902" s="37" t="s">
        <v>122</v>
      </c>
      <c r="E1902" s="143">
        <v>1</v>
      </c>
      <c r="F1902" s="12" t="s">
        <v>4992</v>
      </c>
      <c r="G1902" s="38">
        <v>47.8</v>
      </c>
      <c r="H1902" s="38">
        <v>40.630000000000003</v>
      </c>
      <c r="I1902" s="38">
        <v>33.46</v>
      </c>
      <c r="J1902" s="39"/>
      <c r="K1902" s="143"/>
      <c r="L1902" s="22">
        <v>1.5</v>
      </c>
      <c r="M1902" s="22" t="s">
        <v>4992</v>
      </c>
      <c r="N1902" s="20" t="s">
        <v>14489</v>
      </c>
      <c r="O1902" s="16" t="s">
        <v>12608</v>
      </c>
      <c r="P1902" s="143">
        <v>758</v>
      </c>
      <c r="Q1902" s="121" t="s">
        <v>14285</v>
      </c>
      <c r="R1902" s="16" t="s">
        <v>9235</v>
      </c>
      <c r="S1902" s="10" t="s">
        <v>1163</v>
      </c>
      <c r="T1902" s="28" t="s">
        <v>10932</v>
      </c>
      <c r="U1902" s="20" t="s">
        <v>5359</v>
      </c>
      <c r="V1902" s="16" t="s">
        <v>1774</v>
      </c>
      <c r="W1902" s="11" t="s">
        <v>14433</v>
      </c>
      <c r="X1902" s="174">
        <v>31.8</v>
      </c>
      <c r="Y1902" s="174">
        <v>40.630000000000003</v>
      </c>
    </row>
    <row r="1903" spans="1:25" ht="15" customHeight="1" x14ac:dyDescent="0.25">
      <c r="A1903" s="20" t="s">
        <v>1776</v>
      </c>
      <c r="B1903" s="14" t="s">
        <v>1777</v>
      </c>
      <c r="C1903" s="71" t="str">
        <f t="shared" si="39"/>
        <v>Product Info</v>
      </c>
      <c r="D1903" s="37" t="s">
        <v>123</v>
      </c>
      <c r="E1903" s="143">
        <v>1</v>
      </c>
      <c r="F1903" s="12" t="s">
        <v>4992</v>
      </c>
      <c r="G1903" s="38">
        <v>47.8</v>
      </c>
      <c r="H1903" s="38">
        <v>40.630000000000003</v>
      </c>
      <c r="I1903" s="38">
        <v>33.46</v>
      </c>
      <c r="J1903" s="39"/>
      <c r="K1903" s="143"/>
      <c r="L1903" s="22">
        <v>0</v>
      </c>
      <c r="M1903" s="22">
        <v>0</v>
      </c>
      <c r="N1903" s="20" t="s">
        <v>14489</v>
      </c>
      <c r="O1903" s="16">
        <v>0</v>
      </c>
      <c r="P1903" s="143">
        <v>758</v>
      </c>
      <c r="Q1903" s="121" t="s">
        <v>14285</v>
      </c>
      <c r="R1903" s="16" t="s">
        <v>9235</v>
      </c>
      <c r="S1903" s="10" t="s">
        <v>1163</v>
      </c>
      <c r="T1903" s="28" t="s">
        <v>10933</v>
      </c>
      <c r="U1903" s="20" t="s">
        <v>5359</v>
      </c>
      <c r="V1903" s="16" t="s">
        <v>1776</v>
      </c>
      <c r="W1903" s="11" t="s">
        <v>14433</v>
      </c>
      <c r="X1903" s="174">
        <v>31.8</v>
      </c>
      <c r="Y1903" s="174">
        <v>40.630000000000003</v>
      </c>
    </row>
    <row r="1904" spans="1:25" ht="15" customHeight="1" x14ac:dyDescent="0.25">
      <c r="A1904" s="20" t="s">
        <v>1778</v>
      </c>
      <c r="B1904" s="14" t="s">
        <v>1779</v>
      </c>
      <c r="C1904" s="71" t="str">
        <f t="shared" si="39"/>
        <v>Product Info</v>
      </c>
      <c r="D1904" s="37" t="s">
        <v>124</v>
      </c>
      <c r="E1904" s="143">
        <v>1</v>
      </c>
      <c r="F1904" s="12" t="s">
        <v>4992</v>
      </c>
      <c r="G1904" s="38">
        <v>47.8</v>
      </c>
      <c r="H1904" s="38">
        <v>40.630000000000003</v>
      </c>
      <c r="I1904" s="38">
        <v>33.46</v>
      </c>
      <c r="J1904" s="39"/>
      <c r="K1904" s="143"/>
      <c r="L1904" s="22">
        <v>0</v>
      </c>
      <c r="M1904" s="22">
        <v>0</v>
      </c>
      <c r="N1904" s="20" t="s">
        <v>14489</v>
      </c>
      <c r="O1904" s="16">
        <v>0</v>
      </c>
      <c r="P1904" s="143">
        <v>758</v>
      </c>
      <c r="Q1904" s="121" t="s">
        <v>14285</v>
      </c>
      <c r="R1904" s="16" t="s">
        <v>9235</v>
      </c>
      <c r="S1904" s="10" t="s">
        <v>1163</v>
      </c>
      <c r="T1904" s="28" t="s">
        <v>10934</v>
      </c>
      <c r="U1904" s="20" t="s">
        <v>5359</v>
      </c>
      <c r="V1904" s="16" t="s">
        <v>1778</v>
      </c>
      <c r="W1904" s="11" t="s">
        <v>14433</v>
      </c>
      <c r="X1904" s="174">
        <v>31.8</v>
      </c>
      <c r="Y1904" s="174">
        <v>40.630000000000003</v>
      </c>
    </row>
    <row r="1905" spans="1:25" ht="15" customHeight="1" x14ac:dyDescent="0.25">
      <c r="A1905" s="20" t="s">
        <v>1780</v>
      </c>
      <c r="B1905" s="14" t="s">
        <v>1781</v>
      </c>
      <c r="C1905" s="71" t="str">
        <f t="shared" si="39"/>
        <v>Product Info</v>
      </c>
      <c r="D1905" s="37" t="s">
        <v>125</v>
      </c>
      <c r="E1905" s="143">
        <v>1</v>
      </c>
      <c r="F1905" s="12" t="s">
        <v>4992</v>
      </c>
      <c r="G1905" s="38">
        <v>47.8</v>
      </c>
      <c r="H1905" s="38">
        <v>40.630000000000003</v>
      </c>
      <c r="I1905" s="38">
        <v>33.46</v>
      </c>
      <c r="J1905" s="39"/>
      <c r="K1905" s="143"/>
      <c r="L1905" s="22">
        <v>0</v>
      </c>
      <c r="M1905" s="22">
        <v>0</v>
      </c>
      <c r="N1905" s="20" t="s">
        <v>14489</v>
      </c>
      <c r="O1905" s="16">
        <v>0</v>
      </c>
      <c r="P1905" s="143">
        <v>758</v>
      </c>
      <c r="Q1905" s="121" t="s">
        <v>14285</v>
      </c>
      <c r="R1905" s="16" t="s">
        <v>9235</v>
      </c>
      <c r="S1905" s="10" t="s">
        <v>1163</v>
      </c>
      <c r="T1905" s="28" t="s">
        <v>10935</v>
      </c>
      <c r="U1905" s="20" t="s">
        <v>5359</v>
      </c>
      <c r="V1905" s="16" t="s">
        <v>1780</v>
      </c>
      <c r="W1905" s="11" t="s">
        <v>14433</v>
      </c>
      <c r="X1905" s="174">
        <v>31.8</v>
      </c>
      <c r="Y1905" s="174">
        <v>40.630000000000003</v>
      </c>
    </row>
    <row r="1906" spans="1:25" ht="15" customHeight="1" x14ac:dyDescent="0.25">
      <c r="A1906" s="20" t="s">
        <v>1782</v>
      </c>
      <c r="B1906" s="14" t="s">
        <v>1783</v>
      </c>
      <c r="C1906" s="71" t="str">
        <f t="shared" si="39"/>
        <v>Product Info</v>
      </c>
      <c r="D1906" s="37" t="s">
        <v>126</v>
      </c>
      <c r="E1906" s="143">
        <v>1</v>
      </c>
      <c r="F1906" s="12" t="s">
        <v>4992</v>
      </c>
      <c r="G1906" s="38">
        <v>47.8</v>
      </c>
      <c r="H1906" s="38">
        <v>40.630000000000003</v>
      </c>
      <c r="I1906" s="38">
        <v>33.46</v>
      </c>
      <c r="J1906" s="39"/>
      <c r="K1906" s="143"/>
      <c r="L1906" s="22">
        <v>0</v>
      </c>
      <c r="M1906" s="22">
        <v>0</v>
      </c>
      <c r="N1906" s="20" t="s">
        <v>14489</v>
      </c>
      <c r="O1906" s="16">
        <v>0</v>
      </c>
      <c r="P1906" s="143">
        <v>758</v>
      </c>
      <c r="Q1906" s="122" t="s">
        <v>12421</v>
      </c>
      <c r="R1906" s="16" t="s">
        <v>9235</v>
      </c>
      <c r="S1906" s="10" t="s">
        <v>1163</v>
      </c>
      <c r="T1906" s="28" t="s">
        <v>10936</v>
      </c>
      <c r="U1906" s="20" t="s">
        <v>5359</v>
      </c>
      <c r="V1906" s="16" t="s">
        <v>1782</v>
      </c>
      <c r="W1906" s="11" t="s">
        <v>14433</v>
      </c>
      <c r="X1906" s="174">
        <v>31.8</v>
      </c>
      <c r="Y1906" s="174">
        <v>40.630000000000003</v>
      </c>
    </row>
    <row r="1907" spans="1:25" ht="15" customHeight="1" x14ac:dyDescent="0.25">
      <c r="A1907" s="20" t="s">
        <v>1784</v>
      </c>
      <c r="B1907" s="14" t="s">
        <v>1785</v>
      </c>
      <c r="C1907" s="71" t="str">
        <f t="shared" si="39"/>
        <v>Product Info</v>
      </c>
      <c r="D1907" s="37" t="s">
        <v>127</v>
      </c>
      <c r="E1907" s="143">
        <v>1</v>
      </c>
      <c r="F1907" s="12" t="s">
        <v>4992</v>
      </c>
      <c r="G1907" s="38">
        <v>47.8</v>
      </c>
      <c r="H1907" s="38">
        <v>40.630000000000003</v>
      </c>
      <c r="I1907" s="38">
        <v>33.46</v>
      </c>
      <c r="J1907" s="39"/>
      <c r="K1907" s="143"/>
      <c r="L1907" s="22">
        <v>0</v>
      </c>
      <c r="M1907" s="22">
        <v>0</v>
      </c>
      <c r="N1907" s="20" t="s">
        <v>14489</v>
      </c>
      <c r="O1907" s="16">
        <v>0</v>
      </c>
      <c r="P1907" s="143">
        <v>758</v>
      </c>
      <c r="Q1907" s="121" t="s">
        <v>14285</v>
      </c>
      <c r="R1907" s="16" t="s">
        <v>9235</v>
      </c>
      <c r="S1907" s="10" t="s">
        <v>1163</v>
      </c>
      <c r="T1907" s="28" t="s">
        <v>10937</v>
      </c>
      <c r="U1907" s="20" t="s">
        <v>5359</v>
      </c>
      <c r="V1907" s="16" t="s">
        <v>1784</v>
      </c>
      <c r="W1907" s="11" t="s">
        <v>14433</v>
      </c>
      <c r="X1907" s="174">
        <v>31.8</v>
      </c>
      <c r="Y1907" s="174">
        <v>40.630000000000003</v>
      </c>
    </row>
    <row r="1908" spans="1:25" ht="15" customHeight="1" x14ac:dyDescent="0.25">
      <c r="A1908" s="20" t="s">
        <v>1786</v>
      </c>
      <c r="B1908" s="14" t="s">
        <v>1787</v>
      </c>
      <c r="C1908" s="71" t="str">
        <f t="shared" si="39"/>
        <v>Product Info</v>
      </c>
      <c r="D1908" s="37" t="s">
        <v>128</v>
      </c>
      <c r="E1908" s="143">
        <v>1</v>
      </c>
      <c r="F1908" s="12" t="s">
        <v>4992</v>
      </c>
      <c r="G1908" s="38">
        <v>47.8</v>
      </c>
      <c r="H1908" s="38">
        <v>40.630000000000003</v>
      </c>
      <c r="I1908" s="38">
        <v>33.46</v>
      </c>
      <c r="J1908" s="39"/>
      <c r="K1908" s="143"/>
      <c r="L1908" s="22">
        <v>0</v>
      </c>
      <c r="M1908" s="22">
        <v>0</v>
      </c>
      <c r="N1908" s="20" t="s">
        <v>14489</v>
      </c>
      <c r="O1908" s="16">
        <v>0</v>
      </c>
      <c r="P1908" s="143">
        <v>758</v>
      </c>
      <c r="Q1908" s="121" t="s">
        <v>14285</v>
      </c>
      <c r="R1908" s="16" t="s">
        <v>9235</v>
      </c>
      <c r="S1908" s="10" t="s">
        <v>1163</v>
      </c>
      <c r="T1908" s="28" t="s">
        <v>10938</v>
      </c>
      <c r="U1908" s="20" t="s">
        <v>5359</v>
      </c>
      <c r="V1908" s="16" t="s">
        <v>1786</v>
      </c>
      <c r="W1908" s="11" t="s">
        <v>14433</v>
      </c>
      <c r="X1908" s="174">
        <v>31.8</v>
      </c>
      <c r="Y1908" s="174">
        <v>40.630000000000003</v>
      </c>
    </row>
    <row r="1909" spans="1:25" ht="15" customHeight="1" x14ac:dyDescent="0.25">
      <c r="A1909" s="20" t="s">
        <v>1788</v>
      </c>
      <c r="B1909" s="14" t="s">
        <v>1789</v>
      </c>
      <c r="C1909" s="71" t="str">
        <f t="shared" si="39"/>
        <v>Product Info</v>
      </c>
      <c r="D1909" s="37" t="s">
        <v>129</v>
      </c>
      <c r="E1909" s="143">
        <v>1</v>
      </c>
      <c r="F1909" s="12" t="s">
        <v>4992</v>
      </c>
      <c r="G1909" s="38">
        <v>47.8</v>
      </c>
      <c r="H1909" s="38">
        <v>40.630000000000003</v>
      </c>
      <c r="I1909" s="38">
        <v>33.46</v>
      </c>
      <c r="J1909" s="39"/>
      <c r="K1909" s="143"/>
      <c r="L1909" s="22">
        <v>0</v>
      </c>
      <c r="M1909" s="22">
        <v>0</v>
      </c>
      <c r="N1909" s="20" t="s">
        <v>14489</v>
      </c>
      <c r="O1909" s="16">
        <v>0</v>
      </c>
      <c r="P1909" s="143">
        <v>758</v>
      </c>
      <c r="Q1909" s="122" t="s">
        <v>12421</v>
      </c>
      <c r="R1909" s="16" t="s">
        <v>9235</v>
      </c>
      <c r="S1909" s="10" t="s">
        <v>1163</v>
      </c>
      <c r="T1909" s="28" t="s">
        <v>10939</v>
      </c>
      <c r="U1909" s="20" t="s">
        <v>5359</v>
      </c>
      <c r="V1909" s="16" t="s">
        <v>1788</v>
      </c>
      <c r="W1909" s="11" t="s">
        <v>14433</v>
      </c>
      <c r="X1909" s="174">
        <v>31.8</v>
      </c>
      <c r="Y1909" s="174">
        <v>40.630000000000003</v>
      </c>
    </row>
    <row r="1910" spans="1:25" ht="15" customHeight="1" x14ac:dyDescent="0.25">
      <c r="A1910" s="20" t="s">
        <v>1790</v>
      </c>
      <c r="B1910" s="14" t="s">
        <v>1791</v>
      </c>
      <c r="C1910" s="71" t="str">
        <f t="shared" si="39"/>
        <v>Product Info</v>
      </c>
      <c r="D1910" s="37" t="s">
        <v>130</v>
      </c>
      <c r="E1910" s="143">
        <v>1</v>
      </c>
      <c r="F1910" s="12" t="s">
        <v>4992</v>
      </c>
      <c r="G1910" s="38">
        <v>47.8</v>
      </c>
      <c r="H1910" s="38">
        <v>40.630000000000003</v>
      </c>
      <c r="I1910" s="38">
        <v>33.46</v>
      </c>
      <c r="J1910" s="39"/>
      <c r="K1910" s="143"/>
      <c r="L1910" s="22">
        <v>0</v>
      </c>
      <c r="M1910" s="22">
        <v>0</v>
      </c>
      <c r="N1910" s="20" t="s">
        <v>14489</v>
      </c>
      <c r="O1910" s="16">
        <v>0</v>
      </c>
      <c r="P1910" s="143">
        <v>758</v>
      </c>
      <c r="Q1910" s="121" t="s">
        <v>14285</v>
      </c>
      <c r="R1910" s="16" t="s">
        <v>9235</v>
      </c>
      <c r="S1910" s="10" t="s">
        <v>1163</v>
      </c>
      <c r="T1910" s="28" t="s">
        <v>10940</v>
      </c>
      <c r="U1910" s="20" t="s">
        <v>5359</v>
      </c>
      <c r="V1910" s="16" t="s">
        <v>1790</v>
      </c>
      <c r="W1910" s="11" t="s">
        <v>14433</v>
      </c>
      <c r="X1910" s="174">
        <v>31.8</v>
      </c>
      <c r="Y1910" s="174">
        <v>40.630000000000003</v>
      </c>
    </row>
    <row r="1911" spans="1:25" ht="15" customHeight="1" x14ac:dyDescent="0.25">
      <c r="A1911" s="20" t="s">
        <v>1792</v>
      </c>
      <c r="B1911" s="14" t="s">
        <v>1793</v>
      </c>
      <c r="C1911" s="71" t="str">
        <f t="shared" si="39"/>
        <v>Product Info</v>
      </c>
      <c r="D1911" s="37" t="s">
        <v>131</v>
      </c>
      <c r="E1911" s="143">
        <v>1</v>
      </c>
      <c r="F1911" s="12" t="s">
        <v>4992</v>
      </c>
      <c r="G1911" s="38">
        <v>47.8</v>
      </c>
      <c r="H1911" s="38">
        <v>40.630000000000003</v>
      </c>
      <c r="I1911" s="38">
        <v>33.46</v>
      </c>
      <c r="J1911" s="39"/>
      <c r="K1911" s="143"/>
      <c r="L1911" s="22">
        <v>0</v>
      </c>
      <c r="M1911" s="22">
        <v>0</v>
      </c>
      <c r="N1911" s="20" t="s">
        <v>14489</v>
      </c>
      <c r="O1911" s="16">
        <v>0</v>
      </c>
      <c r="P1911" s="143">
        <v>758</v>
      </c>
      <c r="Q1911" s="121" t="s">
        <v>14285</v>
      </c>
      <c r="R1911" s="16" t="s">
        <v>9235</v>
      </c>
      <c r="S1911" s="10" t="s">
        <v>1163</v>
      </c>
      <c r="T1911" s="28" t="s">
        <v>10941</v>
      </c>
      <c r="U1911" s="20" t="s">
        <v>5359</v>
      </c>
      <c r="V1911" s="16" t="s">
        <v>1792</v>
      </c>
      <c r="W1911" s="11" t="s">
        <v>14433</v>
      </c>
      <c r="X1911" s="174">
        <v>31.8</v>
      </c>
      <c r="Y1911" s="174">
        <v>40.630000000000003</v>
      </c>
    </row>
    <row r="1912" spans="1:25" ht="15" customHeight="1" x14ac:dyDescent="0.25">
      <c r="A1912" s="20" t="s">
        <v>1794</v>
      </c>
      <c r="B1912" s="14" t="s">
        <v>1795</v>
      </c>
      <c r="C1912" s="71" t="str">
        <f t="shared" si="39"/>
        <v>Product Info</v>
      </c>
      <c r="D1912" s="37" t="s">
        <v>132</v>
      </c>
      <c r="E1912" s="143">
        <v>1</v>
      </c>
      <c r="F1912" s="12" t="s">
        <v>4992</v>
      </c>
      <c r="G1912" s="38">
        <v>47.8</v>
      </c>
      <c r="H1912" s="38">
        <v>40.630000000000003</v>
      </c>
      <c r="I1912" s="38">
        <v>33.46</v>
      </c>
      <c r="J1912" s="39"/>
      <c r="K1912" s="143"/>
      <c r="L1912" s="22">
        <v>0</v>
      </c>
      <c r="M1912" s="22">
        <v>0</v>
      </c>
      <c r="N1912" s="20" t="s">
        <v>14489</v>
      </c>
      <c r="O1912" s="16">
        <v>0</v>
      </c>
      <c r="P1912" s="143">
        <v>758</v>
      </c>
      <c r="Q1912" s="121" t="s">
        <v>14285</v>
      </c>
      <c r="R1912" s="16" t="s">
        <v>9235</v>
      </c>
      <c r="S1912" s="10" t="s">
        <v>1163</v>
      </c>
      <c r="T1912" s="28" t="s">
        <v>10942</v>
      </c>
      <c r="U1912" s="20" t="s">
        <v>5359</v>
      </c>
      <c r="V1912" s="16" t="s">
        <v>1794</v>
      </c>
      <c r="W1912" s="11" t="s">
        <v>14433</v>
      </c>
      <c r="X1912" s="174">
        <v>31.8</v>
      </c>
      <c r="Y1912" s="174">
        <v>40.630000000000003</v>
      </c>
    </row>
    <row r="1913" spans="1:25" ht="15" customHeight="1" x14ac:dyDescent="0.25">
      <c r="A1913" s="20" t="s">
        <v>1796</v>
      </c>
      <c r="B1913" s="14" t="s">
        <v>1797</v>
      </c>
      <c r="C1913" s="71" t="str">
        <f t="shared" si="39"/>
        <v>Product Info</v>
      </c>
      <c r="D1913" s="37" t="s">
        <v>133</v>
      </c>
      <c r="E1913" s="143">
        <v>1</v>
      </c>
      <c r="F1913" s="12" t="s">
        <v>4992</v>
      </c>
      <c r="G1913" s="38">
        <v>47.8</v>
      </c>
      <c r="H1913" s="38">
        <v>40.630000000000003</v>
      </c>
      <c r="I1913" s="38">
        <v>33.46</v>
      </c>
      <c r="J1913" s="39"/>
      <c r="K1913" s="143"/>
      <c r="L1913" s="22">
        <v>0</v>
      </c>
      <c r="M1913" s="22" t="s">
        <v>12488</v>
      </c>
      <c r="N1913" s="20" t="s">
        <v>14489</v>
      </c>
      <c r="O1913" s="16" t="s">
        <v>12608</v>
      </c>
      <c r="P1913" s="143">
        <v>758</v>
      </c>
      <c r="Q1913" s="121" t="s">
        <v>14285</v>
      </c>
      <c r="R1913" s="16" t="s">
        <v>9235</v>
      </c>
      <c r="S1913" s="10" t="s">
        <v>1163</v>
      </c>
      <c r="T1913" s="28" t="s">
        <v>10943</v>
      </c>
      <c r="U1913" s="20" t="s">
        <v>5359</v>
      </c>
      <c r="V1913" s="16" t="s">
        <v>1796</v>
      </c>
      <c r="W1913" s="11" t="s">
        <v>14433</v>
      </c>
      <c r="X1913" s="174">
        <v>31.8</v>
      </c>
      <c r="Y1913" s="174">
        <v>40.630000000000003</v>
      </c>
    </row>
    <row r="1914" spans="1:25" ht="15" customHeight="1" x14ac:dyDescent="0.25">
      <c r="A1914" s="20" t="s">
        <v>1798</v>
      </c>
      <c r="B1914" s="14" t="s">
        <v>1799</v>
      </c>
      <c r="C1914" s="71" t="str">
        <f t="shared" si="39"/>
        <v>Product Info</v>
      </c>
      <c r="D1914" s="37" t="s">
        <v>134</v>
      </c>
      <c r="E1914" s="143">
        <v>1</v>
      </c>
      <c r="F1914" s="12" t="s">
        <v>4992</v>
      </c>
      <c r="G1914" s="38">
        <v>47.8</v>
      </c>
      <c r="H1914" s="38">
        <v>40.630000000000003</v>
      </c>
      <c r="I1914" s="38">
        <v>33.46</v>
      </c>
      <c r="J1914" s="39"/>
      <c r="K1914" s="143"/>
      <c r="L1914" s="22">
        <v>0</v>
      </c>
      <c r="M1914" s="22">
        <v>0</v>
      </c>
      <c r="N1914" s="20" t="s">
        <v>14489</v>
      </c>
      <c r="O1914" s="16">
        <v>0</v>
      </c>
      <c r="P1914" s="143">
        <v>758</v>
      </c>
      <c r="Q1914" s="121" t="s">
        <v>14285</v>
      </c>
      <c r="R1914" s="16" t="s">
        <v>9235</v>
      </c>
      <c r="S1914" s="10" t="s">
        <v>1163</v>
      </c>
      <c r="T1914" s="28" t="s">
        <v>10944</v>
      </c>
      <c r="U1914" s="20" t="s">
        <v>5359</v>
      </c>
      <c r="V1914" s="16" t="s">
        <v>1798</v>
      </c>
      <c r="W1914" s="11" t="s">
        <v>14433</v>
      </c>
      <c r="X1914" s="174">
        <v>31.8</v>
      </c>
      <c r="Y1914" s="174">
        <v>40.630000000000003</v>
      </c>
    </row>
    <row r="1915" spans="1:25" ht="15" customHeight="1" x14ac:dyDescent="0.25">
      <c r="A1915" s="20" t="s">
        <v>1800</v>
      </c>
      <c r="B1915" s="14" t="s">
        <v>1801</v>
      </c>
      <c r="C1915" s="71" t="str">
        <f t="shared" si="39"/>
        <v>Product Info</v>
      </c>
      <c r="D1915" s="37" t="s">
        <v>135</v>
      </c>
      <c r="E1915" s="143">
        <v>1</v>
      </c>
      <c r="F1915" s="12" t="s">
        <v>4992</v>
      </c>
      <c r="G1915" s="38">
        <v>47.8</v>
      </c>
      <c r="H1915" s="38">
        <v>40.630000000000003</v>
      </c>
      <c r="I1915" s="38">
        <v>33.46</v>
      </c>
      <c r="J1915" s="39"/>
      <c r="K1915" s="143"/>
      <c r="L1915" s="22">
        <v>0</v>
      </c>
      <c r="M1915" s="22">
        <v>0</v>
      </c>
      <c r="N1915" s="20" t="s">
        <v>14489</v>
      </c>
      <c r="O1915" s="16">
        <v>0</v>
      </c>
      <c r="P1915" s="143">
        <v>758</v>
      </c>
      <c r="Q1915" s="121" t="s">
        <v>14285</v>
      </c>
      <c r="R1915" s="16" t="s">
        <v>9235</v>
      </c>
      <c r="S1915" s="10" t="s">
        <v>1163</v>
      </c>
      <c r="T1915" s="28" t="s">
        <v>10945</v>
      </c>
      <c r="U1915" s="20" t="s">
        <v>5359</v>
      </c>
      <c r="V1915" s="16" t="s">
        <v>1800</v>
      </c>
      <c r="W1915" s="11" t="s">
        <v>14433</v>
      </c>
      <c r="X1915" s="174">
        <v>31.8</v>
      </c>
      <c r="Y1915" s="174">
        <v>40.630000000000003</v>
      </c>
    </row>
    <row r="1916" spans="1:25" ht="15" customHeight="1" x14ac:dyDescent="0.25">
      <c r="A1916" s="20" t="s">
        <v>1802</v>
      </c>
      <c r="B1916" s="14" t="s">
        <v>1803</v>
      </c>
      <c r="C1916" s="71" t="str">
        <f t="shared" si="39"/>
        <v>Product Info</v>
      </c>
      <c r="D1916" s="37" t="s">
        <v>136</v>
      </c>
      <c r="E1916" s="143">
        <v>1</v>
      </c>
      <c r="F1916" s="12" t="s">
        <v>4992</v>
      </c>
      <c r="G1916" s="38">
        <v>47.8</v>
      </c>
      <c r="H1916" s="38">
        <v>40.630000000000003</v>
      </c>
      <c r="I1916" s="38">
        <v>33.46</v>
      </c>
      <c r="J1916" s="39"/>
      <c r="K1916" s="143"/>
      <c r="L1916" s="22">
        <v>0</v>
      </c>
      <c r="M1916" s="22">
        <v>0</v>
      </c>
      <c r="N1916" s="20" t="s">
        <v>14489</v>
      </c>
      <c r="O1916" s="16">
        <v>0</v>
      </c>
      <c r="P1916" s="143">
        <v>758</v>
      </c>
      <c r="Q1916" s="121" t="s">
        <v>14285</v>
      </c>
      <c r="R1916" s="16" t="s">
        <v>9235</v>
      </c>
      <c r="S1916" s="10" t="s">
        <v>1163</v>
      </c>
      <c r="T1916" s="28" t="s">
        <v>10946</v>
      </c>
      <c r="U1916" s="20" t="s">
        <v>5359</v>
      </c>
      <c r="V1916" s="16" t="s">
        <v>1802</v>
      </c>
      <c r="W1916" s="11" t="s">
        <v>14433</v>
      </c>
      <c r="X1916" s="174">
        <v>31.8</v>
      </c>
      <c r="Y1916" s="174">
        <v>40.630000000000003</v>
      </c>
    </row>
    <row r="1917" spans="1:25" ht="15" customHeight="1" x14ac:dyDescent="0.25">
      <c r="A1917" s="20" t="s">
        <v>3119</v>
      </c>
      <c r="B1917" s="14" t="s">
        <v>3120</v>
      </c>
      <c r="C1917" s="71" t="str">
        <f t="shared" si="39"/>
        <v>Product Info</v>
      </c>
      <c r="D1917" s="37" t="s">
        <v>1804</v>
      </c>
      <c r="E1917" s="143">
        <v>1</v>
      </c>
      <c r="F1917" s="12" t="s">
        <v>4992</v>
      </c>
      <c r="G1917" s="38">
        <v>161.19999999999999</v>
      </c>
      <c r="H1917" s="38">
        <v>137.02000000000001</v>
      </c>
      <c r="I1917" s="38">
        <v>112.84</v>
      </c>
      <c r="J1917" s="39"/>
      <c r="K1917" s="143"/>
      <c r="L1917" s="22">
        <v>0</v>
      </c>
      <c r="M1917" s="22">
        <v>0</v>
      </c>
      <c r="N1917" s="20" t="s">
        <v>14489</v>
      </c>
      <c r="O1917" s="16">
        <v>0</v>
      </c>
      <c r="P1917" s="143">
        <v>758</v>
      </c>
      <c r="Q1917" s="122" t="s">
        <v>12421</v>
      </c>
      <c r="R1917" s="16" t="s">
        <v>9235</v>
      </c>
      <c r="S1917" s="10" t="s">
        <v>1163</v>
      </c>
      <c r="T1917" s="28" t="s">
        <v>10947</v>
      </c>
      <c r="U1917" s="20" t="s">
        <v>5359</v>
      </c>
      <c r="V1917" s="16" t="s">
        <v>3119</v>
      </c>
      <c r="W1917" s="11" t="s">
        <v>14433</v>
      </c>
      <c r="X1917" s="174">
        <v>107.25</v>
      </c>
      <c r="Y1917" s="174">
        <v>137.02000000000001</v>
      </c>
    </row>
    <row r="1918" spans="1:25" ht="15" customHeight="1" x14ac:dyDescent="0.25">
      <c r="A1918" s="20" t="s">
        <v>6286</v>
      </c>
      <c r="B1918" s="14" t="s">
        <v>6287</v>
      </c>
      <c r="C1918" s="71" t="str">
        <f t="shared" si="39"/>
        <v>Product Info</v>
      </c>
      <c r="D1918" s="37" t="s">
        <v>4793</v>
      </c>
      <c r="E1918" s="143">
        <v>1</v>
      </c>
      <c r="F1918" s="12" t="s">
        <v>4992</v>
      </c>
      <c r="G1918" s="38">
        <v>417.79</v>
      </c>
      <c r="H1918" s="38">
        <v>355.13</v>
      </c>
      <c r="I1918" s="38">
        <v>292.45</v>
      </c>
      <c r="J1918" s="39"/>
      <c r="K1918" s="143"/>
      <c r="L1918" s="22">
        <v>0</v>
      </c>
      <c r="M1918" s="22">
        <v>0</v>
      </c>
      <c r="N1918" s="20" t="s">
        <v>14489</v>
      </c>
      <c r="O1918" s="16">
        <v>0</v>
      </c>
      <c r="P1918" s="143">
        <v>758</v>
      </c>
      <c r="Q1918" s="121" t="s">
        <v>14285</v>
      </c>
      <c r="R1918" s="16" t="s">
        <v>9235</v>
      </c>
      <c r="S1918" s="10" t="s">
        <v>1163</v>
      </c>
      <c r="T1918" s="28" t="s">
        <v>10948</v>
      </c>
      <c r="U1918" s="20" t="s">
        <v>5359</v>
      </c>
      <c r="V1918" s="16" t="s">
        <v>6286</v>
      </c>
      <c r="W1918" s="11" t="s">
        <v>14433</v>
      </c>
      <c r="X1918" s="174">
        <v>277.97000000000003</v>
      </c>
      <c r="Y1918" s="174">
        <v>355.13</v>
      </c>
    </row>
    <row r="1919" spans="1:25" ht="15" customHeight="1" x14ac:dyDescent="0.25">
      <c r="A1919" s="20" t="s">
        <v>1805</v>
      </c>
      <c r="B1919" s="14" t="s">
        <v>1806</v>
      </c>
      <c r="C1919" s="71" t="str">
        <f t="shared" si="39"/>
        <v>Product Info</v>
      </c>
      <c r="D1919" s="37" t="s">
        <v>1807</v>
      </c>
      <c r="E1919" s="143">
        <v>1</v>
      </c>
      <c r="F1919" s="12" t="s">
        <v>4992</v>
      </c>
      <c r="G1919" s="38">
        <v>430.61</v>
      </c>
      <c r="H1919" s="38">
        <v>366.04</v>
      </c>
      <c r="I1919" s="38">
        <v>301.43</v>
      </c>
      <c r="J1919" s="39"/>
      <c r="K1919" s="143"/>
      <c r="L1919" s="22">
        <v>0</v>
      </c>
      <c r="M1919" s="22">
        <v>0</v>
      </c>
      <c r="N1919" s="20" t="s">
        <v>14489</v>
      </c>
      <c r="O1919" s="16">
        <v>0</v>
      </c>
      <c r="P1919" s="143">
        <v>758</v>
      </c>
      <c r="Q1919" s="121" t="s">
        <v>14285</v>
      </c>
      <c r="R1919" s="16" t="s">
        <v>9235</v>
      </c>
      <c r="S1919" s="10" t="s">
        <v>1163</v>
      </c>
      <c r="T1919" s="28" t="s">
        <v>10949</v>
      </c>
      <c r="U1919" s="20" t="s">
        <v>5359</v>
      </c>
      <c r="V1919" s="16" t="s">
        <v>1805</v>
      </c>
      <c r="W1919" s="11" t="s">
        <v>14433</v>
      </c>
      <c r="X1919" s="174">
        <v>286.51</v>
      </c>
      <c r="Y1919" s="174">
        <v>366.04</v>
      </c>
    </row>
    <row r="1920" spans="1:25" ht="15" customHeight="1" x14ac:dyDescent="0.25">
      <c r="A1920" s="20" t="s">
        <v>5706</v>
      </c>
      <c r="B1920" s="14" t="s">
        <v>5707</v>
      </c>
      <c r="C1920" s="71" t="str">
        <f t="shared" si="39"/>
        <v>Product Info</v>
      </c>
      <c r="D1920" s="37" t="s">
        <v>7068</v>
      </c>
      <c r="E1920" s="143">
        <v>3</v>
      </c>
      <c r="F1920" s="12" t="s">
        <v>4992</v>
      </c>
      <c r="G1920" s="38">
        <v>19.27</v>
      </c>
      <c r="H1920" s="38">
        <v>16.38</v>
      </c>
      <c r="I1920" s="38">
        <v>13.49</v>
      </c>
      <c r="J1920" s="39"/>
      <c r="K1920" s="143"/>
      <c r="L1920" s="22">
        <v>0</v>
      </c>
      <c r="M1920" s="22" t="s">
        <v>12488</v>
      </c>
      <c r="N1920" s="20" t="s">
        <v>14489</v>
      </c>
      <c r="O1920" s="16" t="s">
        <v>12608</v>
      </c>
      <c r="P1920" s="143">
        <v>758</v>
      </c>
      <c r="Q1920" s="121" t="s">
        <v>14285</v>
      </c>
      <c r="R1920" s="16" t="s">
        <v>9235</v>
      </c>
      <c r="S1920" s="10" t="s">
        <v>1163</v>
      </c>
      <c r="T1920" s="28" t="s">
        <v>10950</v>
      </c>
      <c r="U1920" s="20" t="s">
        <v>5359</v>
      </c>
      <c r="V1920" s="16" t="s">
        <v>5706</v>
      </c>
      <c r="W1920" s="11" t="s">
        <v>14433</v>
      </c>
      <c r="X1920" s="174">
        <v>12.83</v>
      </c>
      <c r="Y1920" s="174">
        <v>16.38</v>
      </c>
    </row>
    <row r="1921" spans="1:25" ht="15" customHeight="1" x14ac:dyDescent="0.25">
      <c r="A1921" s="20" t="s">
        <v>6289</v>
      </c>
      <c r="B1921" s="14" t="s">
        <v>6290</v>
      </c>
      <c r="C1921" s="71" t="str">
        <f t="shared" si="39"/>
        <v>Product Info</v>
      </c>
      <c r="D1921" s="37" t="s">
        <v>4795</v>
      </c>
      <c r="E1921" s="143">
        <v>1</v>
      </c>
      <c r="F1921" s="12" t="s">
        <v>4992</v>
      </c>
      <c r="G1921" s="38">
        <v>371.89</v>
      </c>
      <c r="H1921" s="38">
        <v>316.11</v>
      </c>
      <c r="I1921" s="38">
        <v>260.32</v>
      </c>
      <c r="J1921" s="39"/>
      <c r="K1921" s="143"/>
      <c r="L1921" s="22">
        <v>0</v>
      </c>
      <c r="M1921" s="22">
        <v>0</v>
      </c>
      <c r="N1921" s="20" t="s">
        <v>14489</v>
      </c>
      <c r="O1921" s="16">
        <v>0</v>
      </c>
      <c r="P1921" s="143">
        <v>758</v>
      </c>
      <c r="Q1921" s="121" t="s">
        <v>14285</v>
      </c>
      <c r="R1921" s="16" t="s">
        <v>9235</v>
      </c>
      <c r="S1921" s="10" t="s">
        <v>1163</v>
      </c>
      <c r="T1921" s="28" t="s">
        <v>10951</v>
      </c>
      <c r="U1921" s="20" t="s">
        <v>5359</v>
      </c>
      <c r="V1921" s="16" t="s">
        <v>6289</v>
      </c>
      <c r="W1921" s="11" t="s">
        <v>14433</v>
      </c>
      <c r="X1921" s="174">
        <v>247.43</v>
      </c>
      <c r="Y1921" s="174">
        <v>316.11</v>
      </c>
    </row>
    <row r="1922" spans="1:25" ht="15" customHeight="1" x14ac:dyDescent="0.25">
      <c r="A1922" s="20" t="s">
        <v>6291</v>
      </c>
      <c r="B1922" s="14" t="s">
        <v>6292</v>
      </c>
      <c r="C1922" s="71" t="str">
        <f t="shared" si="39"/>
        <v>Product Info</v>
      </c>
      <c r="D1922" s="37" t="s">
        <v>3264</v>
      </c>
      <c r="E1922" s="143">
        <v>1</v>
      </c>
      <c r="F1922" s="12" t="s">
        <v>4992</v>
      </c>
      <c r="G1922" s="38">
        <v>371.89</v>
      </c>
      <c r="H1922" s="38">
        <v>316.11</v>
      </c>
      <c r="I1922" s="38">
        <v>260.32</v>
      </c>
      <c r="J1922" s="39"/>
      <c r="K1922" s="143"/>
      <c r="L1922" s="22">
        <v>0</v>
      </c>
      <c r="M1922" s="22">
        <v>0</v>
      </c>
      <c r="N1922" s="20" t="s">
        <v>14489</v>
      </c>
      <c r="O1922" s="16">
        <v>0</v>
      </c>
      <c r="P1922" s="143">
        <v>758</v>
      </c>
      <c r="Q1922" s="121" t="s">
        <v>14285</v>
      </c>
      <c r="R1922" s="16" t="s">
        <v>9235</v>
      </c>
      <c r="S1922" s="10" t="s">
        <v>1163</v>
      </c>
      <c r="T1922" s="28" t="s">
        <v>10952</v>
      </c>
      <c r="U1922" s="20" t="s">
        <v>5359</v>
      </c>
      <c r="V1922" s="16" t="s">
        <v>6291</v>
      </c>
      <c r="W1922" s="11" t="s">
        <v>14433</v>
      </c>
      <c r="X1922" s="174">
        <v>247.43</v>
      </c>
      <c r="Y1922" s="174">
        <v>316.11</v>
      </c>
    </row>
    <row r="1923" spans="1:25" ht="15" customHeight="1" x14ac:dyDescent="0.25">
      <c r="A1923" s="20" t="s">
        <v>1808</v>
      </c>
      <c r="B1923" s="14" t="s">
        <v>1809</v>
      </c>
      <c r="C1923" s="71" t="str">
        <f t="shared" si="39"/>
        <v>Product Info</v>
      </c>
      <c r="D1923" s="37" t="s">
        <v>1810</v>
      </c>
      <c r="E1923" s="143">
        <v>1</v>
      </c>
      <c r="F1923" s="12" t="s">
        <v>4992</v>
      </c>
      <c r="G1923" s="38">
        <v>384.71</v>
      </c>
      <c r="H1923" s="38">
        <v>327.02</v>
      </c>
      <c r="I1923" s="38">
        <v>269.3</v>
      </c>
      <c r="J1923" s="39"/>
      <c r="K1923" s="143"/>
      <c r="L1923" s="22">
        <v>0</v>
      </c>
      <c r="M1923" s="22">
        <v>0</v>
      </c>
      <c r="N1923" s="20" t="s">
        <v>14489</v>
      </c>
      <c r="O1923" s="16">
        <v>0</v>
      </c>
      <c r="P1923" s="143">
        <v>758</v>
      </c>
      <c r="Q1923" s="121" t="s">
        <v>14285</v>
      </c>
      <c r="R1923" s="16" t="s">
        <v>9235</v>
      </c>
      <c r="S1923" s="10" t="s">
        <v>1163</v>
      </c>
      <c r="T1923" s="28" t="s">
        <v>10953</v>
      </c>
      <c r="U1923" s="20" t="s">
        <v>5359</v>
      </c>
      <c r="V1923" s="16" t="s">
        <v>1808</v>
      </c>
      <c r="W1923" s="11" t="s">
        <v>14433</v>
      </c>
      <c r="X1923" s="174">
        <v>255.96</v>
      </c>
      <c r="Y1923" s="174">
        <v>327.02</v>
      </c>
    </row>
    <row r="1924" spans="1:25" ht="15" customHeight="1" x14ac:dyDescent="0.25">
      <c r="A1924" s="20" t="s">
        <v>1811</v>
      </c>
      <c r="B1924" s="14" t="s">
        <v>1812</v>
      </c>
      <c r="C1924" s="71" t="str">
        <f t="shared" si="39"/>
        <v>Product Info</v>
      </c>
      <c r="D1924" s="37" t="s">
        <v>1813</v>
      </c>
      <c r="E1924" s="143">
        <v>1</v>
      </c>
      <c r="F1924" s="12" t="s">
        <v>4992</v>
      </c>
      <c r="G1924" s="38">
        <v>384.71</v>
      </c>
      <c r="H1924" s="38">
        <v>327.02</v>
      </c>
      <c r="I1924" s="38">
        <v>269.3</v>
      </c>
      <c r="J1924" s="39"/>
      <c r="K1924" s="143"/>
      <c r="L1924" s="22">
        <v>0</v>
      </c>
      <c r="M1924" s="22" t="s">
        <v>12488</v>
      </c>
      <c r="N1924" s="20" t="s">
        <v>14489</v>
      </c>
      <c r="O1924" s="16" t="s">
        <v>12608</v>
      </c>
      <c r="P1924" s="143">
        <v>758</v>
      </c>
      <c r="Q1924" s="121" t="s">
        <v>14285</v>
      </c>
      <c r="R1924" s="16" t="s">
        <v>9235</v>
      </c>
      <c r="S1924" s="10" t="s">
        <v>1163</v>
      </c>
      <c r="T1924" s="28" t="s">
        <v>10954</v>
      </c>
      <c r="U1924" s="20" t="s">
        <v>5359</v>
      </c>
      <c r="V1924" s="16" t="s">
        <v>1811</v>
      </c>
      <c r="W1924" s="11" t="s">
        <v>14433</v>
      </c>
      <c r="X1924" s="174">
        <v>255.96</v>
      </c>
      <c r="Y1924" s="174">
        <v>327.02</v>
      </c>
    </row>
    <row r="1925" spans="1:25" ht="15" customHeight="1" x14ac:dyDescent="0.25">
      <c r="A1925" s="20" t="s">
        <v>3057</v>
      </c>
      <c r="B1925" s="14" t="s">
        <v>3058</v>
      </c>
      <c r="C1925" s="71" t="str">
        <f t="shared" si="39"/>
        <v>Product Info</v>
      </c>
      <c r="D1925" s="37" t="s">
        <v>3265</v>
      </c>
      <c r="E1925" s="143">
        <v>1</v>
      </c>
      <c r="F1925" s="12" t="s">
        <v>4992</v>
      </c>
      <c r="G1925" s="38">
        <v>417.79</v>
      </c>
      <c r="H1925" s="38">
        <v>355.13</v>
      </c>
      <c r="I1925" s="38">
        <v>292.45</v>
      </c>
      <c r="J1925" s="39"/>
      <c r="K1925" s="143"/>
      <c r="L1925" s="22">
        <v>0</v>
      </c>
      <c r="M1925" s="22">
        <v>0</v>
      </c>
      <c r="N1925" s="20" t="s">
        <v>14489</v>
      </c>
      <c r="O1925" s="16">
        <v>0</v>
      </c>
      <c r="P1925" s="143">
        <v>758</v>
      </c>
      <c r="Q1925" s="121" t="s">
        <v>14285</v>
      </c>
      <c r="R1925" s="16" t="s">
        <v>9235</v>
      </c>
      <c r="S1925" s="10" t="s">
        <v>1163</v>
      </c>
      <c r="T1925" s="28" t="s">
        <v>10955</v>
      </c>
      <c r="U1925" s="20" t="s">
        <v>5359</v>
      </c>
      <c r="V1925" s="16" t="s">
        <v>3057</v>
      </c>
      <c r="W1925" s="11" t="s">
        <v>14433</v>
      </c>
      <c r="X1925" s="174">
        <v>277.97000000000003</v>
      </c>
      <c r="Y1925" s="174">
        <v>355.13</v>
      </c>
    </row>
    <row r="1926" spans="1:25" ht="15" customHeight="1" x14ac:dyDescent="0.25">
      <c r="A1926" s="20" t="s">
        <v>1814</v>
      </c>
      <c r="B1926" s="14" t="s">
        <v>1815</v>
      </c>
      <c r="C1926" s="71" t="str">
        <f t="shared" ref="C1926:C1989" si="40">HYPERLINK(T1926,U1926)</f>
        <v>Product Info</v>
      </c>
      <c r="D1926" s="37" t="s">
        <v>1816</v>
      </c>
      <c r="E1926" s="143">
        <v>1</v>
      </c>
      <c r="F1926" s="12" t="s">
        <v>4992</v>
      </c>
      <c r="G1926" s="38">
        <v>430.61</v>
      </c>
      <c r="H1926" s="38">
        <v>366.04</v>
      </c>
      <c r="I1926" s="38">
        <v>301.43</v>
      </c>
      <c r="J1926" s="39"/>
      <c r="K1926" s="143"/>
      <c r="L1926" s="22">
        <v>0</v>
      </c>
      <c r="M1926" s="22">
        <v>0</v>
      </c>
      <c r="N1926" s="20" t="s">
        <v>14489</v>
      </c>
      <c r="O1926" s="16">
        <v>0</v>
      </c>
      <c r="P1926" s="143">
        <v>758</v>
      </c>
      <c r="Q1926" s="121" t="s">
        <v>14285</v>
      </c>
      <c r="R1926" s="16" t="s">
        <v>9235</v>
      </c>
      <c r="S1926" s="10" t="s">
        <v>1163</v>
      </c>
      <c r="T1926" s="28" t="s">
        <v>10956</v>
      </c>
      <c r="U1926" s="20" t="s">
        <v>5359</v>
      </c>
      <c r="V1926" s="16" t="s">
        <v>1814</v>
      </c>
      <c r="W1926" s="11" t="s">
        <v>14433</v>
      </c>
      <c r="X1926" s="174">
        <v>286.51</v>
      </c>
      <c r="Y1926" s="174">
        <v>366.04</v>
      </c>
    </row>
    <row r="1927" spans="1:25" ht="15" customHeight="1" x14ac:dyDescent="0.25">
      <c r="A1927" s="20" t="s">
        <v>2901</v>
      </c>
      <c r="B1927" s="14" t="s">
        <v>2902</v>
      </c>
      <c r="C1927" s="71" t="str">
        <f t="shared" si="40"/>
        <v>Product Info</v>
      </c>
      <c r="D1927" s="37" t="s">
        <v>2448</v>
      </c>
      <c r="E1927" s="143">
        <v>3</v>
      </c>
      <c r="F1927" s="12" t="s">
        <v>4992</v>
      </c>
      <c r="G1927" s="38">
        <v>23.23</v>
      </c>
      <c r="H1927" s="38">
        <v>19.739999999999998</v>
      </c>
      <c r="I1927" s="38">
        <v>16.260000000000002</v>
      </c>
      <c r="J1927" s="39"/>
      <c r="K1927" s="143"/>
      <c r="L1927" s="22">
        <v>0</v>
      </c>
      <c r="M1927" s="22">
        <v>0</v>
      </c>
      <c r="N1927" s="20" t="s">
        <v>14489</v>
      </c>
      <c r="O1927" s="16">
        <v>0</v>
      </c>
      <c r="P1927" s="143">
        <v>758</v>
      </c>
      <c r="Q1927" s="122" t="s">
        <v>12421</v>
      </c>
      <c r="R1927" s="16" t="s">
        <v>9235</v>
      </c>
      <c r="S1927" s="10" t="s">
        <v>1163</v>
      </c>
      <c r="T1927" s="28" t="s">
        <v>10957</v>
      </c>
      <c r="U1927" s="20" t="s">
        <v>5359</v>
      </c>
      <c r="V1927" s="16" t="s">
        <v>2901</v>
      </c>
      <c r="W1927" s="11" t="s">
        <v>14433</v>
      </c>
      <c r="X1927" s="174">
        <v>15.46</v>
      </c>
      <c r="Y1927" s="174">
        <v>19.739999999999998</v>
      </c>
    </row>
    <row r="1928" spans="1:25" ht="15" customHeight="1" x14ac:dyDescent="0.25">
      <c r="A1928" s="20" t="s">
        <v>4205</v>
      </c>
      <c r="B1928" s="14" t="s">
        <v>2903</v>
      </c>
      <c r="C1928" s="71" t="str">
        <f t="shared" si="40"/>
        <v>Product Info</v>
      </c>
      <c r="D1928" s="37" t="s">
        <v>2449</v>
      </c>
      <c r="E1928" s="143">
        <v>3</v>
      </c>
      <c r="F1928" s="12" t="s">
        <v>4992</v>
      </c>
      <c r="G1928" s="38">
        <v>24.94</v>
      </c>
      <c r="H1928" s="38">
        <v>21.2</v>
      </c>
      <c r="I1928" s="38">
        <v>17.46</v>
      </c>
      <c r="J1928" s="39"/>
      <c r="K1928" s="143"/>
      <c r="L1928" s="22">
        <v>0</v>
      </c>
      <c r="M1928" s="22">
        <v>0</v>
      </c>
      <c r="N1928" s="20" t="s">
        <v>14489</v>
      </c>
      <c r="O1928" s="16">
        <v>0</v>
      </c>
      <c r="P1928" s="143">
        <v>758</v>
      </c>
      <c r="Q1928" s="122" t="s">
        <v>12421</v>
      </c>
      <c r="R1928" s="16" t="s">
        <v>9235</v>
      </c>
      <c r="S1928" s="10" t="s">
        <v>1163</v>
      </c>
      <c r="T1928" s="28" t="s">
        <v>10958</v>
      </c>
      <c r="U1928" s="20" t="s">
        <v>5359</v>
      </c>
      <c r="V1928" s="16" t="s">
        <v>4205</v>
      </c>
      <c r="W1928" s="11" t="s">
        <v>14433</v>
      </c>
      <c r="X1928" s="174">
        <v>16.600000000000001</v>
      </c>
      <c r="Y1928" s="174">
        <v>21.2</v>
      </c>
    </row>
    <row r="1929" spans="1:25" ht="15" customHeight="1" x14ac:dyDescent="0.25">
      <c r="A1929" s="20" t="s">
        <v>2904</v>
      </c>
      <c r="B1929" s="14" t="s">
        <v>2905</v>
      </c>
      <c r="C1929" s="71" t="str">
        <f t="shared" si="40"/>
        <v>Product Info</v>
      </c>
      <c r="D1929" s="37" t="s">
        <v>1817</v>
      </c>
      <c r="E1929" s="143">
        <v>1</v>
      </c>
      <c r="F1929" s="12" t="s">
        <v>4992</v>
      </c>
      <c r="G1929" s="38">
        <v>31.06</v>
      </c>
      <c r="H1929" s="38">
        <v>26.4</v>
      </c>
      <c r="I1929" s="38">
        <v>21.74</v>
      </c>
      <c r="J1929" s="39"/>
      <c r="K1929" s="143"/>
      <c r="L1929" s="22">
        <v>0</v>
      </c>
      <c r="M1929" s="22">
        <v>0</v>
      </c>
      <c r="N1929" s="20" t="s">
        <v>14489</v>
      </c>
      <c r="O1929" s="16">
        <v>0</v>
      </c>
      <c r="P1929" s="143">
        <v>758</v>
      </c>
      <c r="Q1929" s="121" t="s">
        <v>14285</v>
      </c>
      <c r="R1929" s="16" t="s">
        <v>9235</v>
      </c>
      <c r="S1929" s="10" t="s">
        <v>1163</v>
      </c>
      <c r="T1929" s="28" t="s">
        <v>10959</v>
      </c>
      <c r="U1929" s="20" t="s">
        <v>5359</v>
      </c>
      <c r="V1929" s="16" t="s">
        <v>2904</v>
      </c>
      <c r="W1929" s="11" t="s">
        <v>14433</v>
      </c>
      <c r="X1929" s="174">
        <v>20.66</v>
      </c>
      <c r="Y1929" s="174">
        <v>26.4</v>
      </c>
    </row>
    <row r="1930" spans="1:25" ht="15" customHeight="1" x14ac:dyDescent="0.25">
      <c r="A1930" s="20" t="s">
        <v>1818</v>
      </c>
      <c r="B1930" s="14" t="s">
        <v>1819</v>
      </c>
      <c r="C1930" s="71" t="str">
        <f t="shared" si="40"/>
        <v>Product Info</v>
      </c>
      <c r="D1930" s="37" t="s">
        <v>1820</v>
      </c>
      <c r="E1930" s="143">
        <v>1</v>
      </c>
      <c r="F1930" s="12" t="s">
        <v>4992</v>
      </c>
      <c r="G1930" s="38">
        <v>388.76</v>
      </c>
      <c r="H1930" s="38">
        <v>330.46</v>
      </c>
      <c r="I1930" s="38">
        <v>272.13</v>
      </c>
      <c r="J1930" s="39"/>
      <c r="K1930" s="143"/>
      <c r="L1930" s="22">
        <v>0</v>
      </c>
      <c r="M1930" s="22">
        <v>0</v>
      </c>
      <c r="N1930" s="20" t="s">
        <v>14489</v>
      </c>
      <c r="O1930" s="16">
        <v>0</v>
      </c>
      <c r="P1930" s="143">
        <v>758</v>
      </c>
      <c r="Q1930" s="122" t="s">
        <v>12421</v>
      </c>
      <c r="R1930" s="16" t="s">
        <v>9235</v>
      </c>
      <c r="S1930" s="10" t="s">
        <v>1163</v>
      </c>
      <c r="T1930" s="28" t="s">
        <v>10960</v>
      </c>
      <c r="U1930" s="20" t="s">
        <v>5359</v>
      </c>
      <c r="V1930" s="16" t="s">
        <v>1818</v>
      </c>
      <c r="W1930" s="11" t="s">
        <v>14433</v>
      </c>
      <c r="X1930" s="174">
        <v>258.66000000000003</v>
      </c>
      <c r="Y1930" s="174">
        <v>330.46</v>
      </c>
    </row>
    <row r="1931" spans="1:25" ht="15" customHeight="1" x14ac:dyDescent="0.25">
      <c r="A1931" s="20" t="s">
        <v>3060</v>
      </c>
      <c r="B1931" s="14" t="s">
        <v>3061</v>
      </c>
      <c r="C1931" s="71" t="str">
        <f t="shared" si="40"/>
        <v>Product Info</v>
      </c>
      <c r="D1931" s="37" t="s">
        <v>3267</v>
      </c>
      <c r="E1931" s="143">
        <v>1</v>
      </c>
      <c r="F1931" s="12" t="s">
        <v>4992</v>
      </c>
      <c r="G1931" s="38">
        <v>417.79</v>
      </c>
      <c r="H1931" s="38">
        <v>355.13</v>
      </c>
      <c r="I1931" s="38">
        <v>292.45</v>
      </c>
      <c r="J1931" s="39"/>
      <c r="K1931" s="143"/>
      <c r="L1931" s="22">
        <v>0</v>
      </c>
      <c r="M1931" s="22">
        <v>0</v>
      </c>
      <c r="N1931" s="20" t="s">
        <v>14489</v>
      </c>
      <c r="O1931" s="16">
        <v>0</v>
      </c>
      <c r="P1931" s="143">
        <v>758</v>
      </c>
      <c r="Q1931" s="121" t="s">
        <v>14285</v>
      </c>
      <c r="R1931" s="16" t="s">
        <v>9235</v>
      </c>
      <c r="S1931" s="10" t="s">
        <v>1163</v>
      </c>
      <c r="T1931" s="28" t="s">
        <v>10961</v>
      </c>
      <c r="U1931" s="20" t="s">
        <v>5359</v>
      </c>
      <c r="V1931" s="16" t="s">
        <v>3060</v>
      </c>
      <c r="W1931" s="11" t="s">
        <v>14433</v>
      </c>
      <c r="X1931" s="174">
        <v>277.97000000000003</v>
      </c>
      <c r="Y1931" s="174">
        <v>355.13</v>
      </c>
    </row>
    <row r="1932" spans="1:25" ht="15" customHeight="1" x14ac:dyDescent="0.25">
      <c r="A1932" s="20" t="s">
        <v>1821</v>
      </c>
      <c r="B1932" s="14" t="s">
        <v>1822</v>
      </c>
      <c r="C1932" s="71" t="str">
        <f t="shared" si="40"/>
        <v>Product Info</v>
      </c>
      <c r="D1932" s="37" t="s">
        <v>1823</v>
      </c>
      <c r="E1932" s="143">
        <v>1</v>
      </c>
      <c r="F1932" s="12" t="s">
        <v>4992</v>
      </c>
      <c r="G1932" s="38">
        <v>434.67</v>
      </c>
      <c r="H1932" s="38">
        <v>369.48</v>
      </c>
      <c r="I1932" s="38">
        <v>304.27</v>
      </c>
      <c r="J1932" s="39"/>
      <c r="K1932" s="143"/>
      <c r="L1932" s="22">
        <v>0</v>
      </c>
      <c r="M1932" s="22">
        <v>0</v>
      </c>
      <c r="N1932" s="20" t="s">
        <v>14489</v>
      </c>
      <c r="O1932" s="16">
        <v>0</v>
      </c>
      <c r="P1932" s="143">
        <v>758</v>
      </c>
      <c r="Q1932" s="121" t="s">
        <v>14285</v>
      </c>
      <c r="R1932" s="16" t="s">
        <v>9235</v>
      </c>
      <c r="S1932" s="10" t="s">
        <v>1163</v>
      </c>
      <c r="T1932" s="28" t="s">
        <v>10962</v>
      </c>
      <c r="U1932" s="20" t="s">
        <v>5359</v>
      </c>
      <c r="V1932" s="16" t="s">
        <v>1821</v>
      </c>
      <c r="W1932" s="11" t="s">
        <v>14433</v>
      </c>
      <c r="X1932" s="174">
        <v>289.20999999999998</v>
      </c>
      <c r="Y1932" s="174">
        <v>369.48</v>
      </c>
    </row>
    <row r="1933" spans="1:25" ht="15" customHeight="1" x14ac:dyDescent="0.25">
      <c r="A1933" s="20" t="s">
        <v>1824</v>
      </c>
      <c r="B1933" s="14" t="s">
        <v>1825</v>
      </c>
      <c r="C1933" s="71" t="str">
        <f t="shared" si="40"/>
        <v>Product Info</v>
      </c>
      <c r="D1933" s="37" t="s">
        <v>1826</v>
      </c>
      <c r="E1933" s="143">
        <v>1</v>
      </c>
      <c r="F1933" s="12" t="s">
        <v>4992</v>
      </c>
      <c r="G1933" s="38">
        <v>384.71</v>
      </c>
      <c r="H1933" s="38">
        <v>327.02</v>
      </c>
      <c r="I1933" s="38">
        <v>269.3</v>
      </c>
      <c r="J1933" s="39"/>
      <c r="K1933" s="143"/>
      <c r="L1933" s="22">
        <v>0</v>
      </c>
      <c r="M1933" s="22">
        <v>0</v>
      </c>
      <c r="N1933" s="20" t="s">
        <v>14489</v>
      </c>
      <c r="O1933" s="16">
        <v>0</v>
      </c>
      <c r="P1933" s="143">
        <v>758</v>
      </c>
      <c r="Q1933" s="121" t="s">
        <v>14285</v>
      </c>
      <c r="R1933" s="16" t="s">
        <v>9235</v>
      </c>
      <c r="S1933" s="10" t="s">
        <v>1163</v>
      </c>
      <c r="T1933" s="28" t="s">
        <v>10963</v>
      </c>
      <c r="U1933" s="20" t="s">
        <v>5359</v>
      </c>
      <c r="V1933" s="16" t="s">
        <v>1824</v>
      </c>
      <c r="W1933" s="11" t="s">
        <v>14433</v>
      </c>
      <c r="X1933" s="174">
        <v>255.96</v>
      </c>
      <c r="Y1933" s="174">
        <v>327.02</v>
      </c>
    </row>
    <row r="1934" spans="1:25" ht="15" customHeight="1" x14ac:dyDescent="0.25">
      <c r="A1934" s="20" t="s">
        <v>3595</v>
      </c>
      <c r="B1934" s="14" t="s">
        <v>3596</v>
      </c>
      <c r="C1934" s="71" t="str">
        <f t="shared" si="40"/>
        <v>Product Info</v>
      </c>
      <c r="D1934" s="37" t="s">
        <v>3597</v>
      </c>
      <c r="E1934" s="143">
        <v>1</v>
      </c>
      <c r="F1934" s="12" t="s">
        <v>4992</v>
      </c>
      <c r="G1934" s="38">
        <v>366.34</v>
      </c>
      <c r="H1934" s="38">
        <v>311.39999999999998</v>
      </c>
      <c r="I1934" s="38">
        <v>256.44</v>
      </c>
      <c r="J1934" s="39"/>
      <c r="K1934" s="143"/>
      <c r="L1934" s="22">
        <v>7</v>
      </c>
      <c r="M1934" s="22" t="s">
        <v>14396</v>
      </c>
      <c r="N1934" s="20" t="s">
        <v>9376</v>
      </c>
      <c r="O1934" s="16" t="s">
        <v>13914</v>
      </c>
      <c r="P1934" s="143">
        <v>758</v>
      </c>
      <c r="Q1934" s="122" t="s">
        <v>12421</v>
      </c>
      <c r="R1934" s="16" t="s">
        <v>9235</v>
      </c>
      <c r="S1934" s="10" t="s">
        <v>1163</v>
      </c>
      <c r="T1934" s="28" t="s">
        <v>10964</v>
      </c>
      <c r="U1934" s="20" t="s">
        <v>5359</v>
      </c>
      <c r="V1934" s="16" t="s">
        <v>3595</v>
      </c>
      <c r="W1934" s="11" t="s">
        <v>14433</v>
      </c>
      <c r="X1934" s="174">
        <v>243.74</v>
      </c>
      <c r="Y1934" s="174">
        <v>311.39999999999998</v>
      </c>
    </row>
    <row r="1935" spans="1:25" ht="15" customHeight="1" x14ac:dyDescent="0.25">
      <c r="A1935" s="20" t="s">
        <v>3172</v>
      </c>
      <c r="B1935" s="14" t="s">
        <v>3173</v>
      </c>
      <c r="C1935" s="71" t="str">
        <f t="shared" si="40"/>
        <v>Product Info</v>
      </c>
      <c r="D1935" s="37" t="s">
        <v>1827</v>
      </c>
      <c r="E1935" s="143">
        <v>1</v>
      </c>
      <c r="F1935" s="12" t="s">
        <v>4992</v>
      </c>
      <c r="G1935" s="38">
        <v>549.53</v>
      </c>
      <c r="H1935" s="38">
        <v>467.12</v>
      </c>
      <c r="I1935" s="38">
        <v>384.67</v>
      </c>
      <c r="J1935" s="39"/>
      <c r="K1935" s="143"/>
      <c r="L1935" s="22">
        <v>0</v>
      </c>
      <c r="M1935" s="22">
        <v>0</v>
      </c>
      <c r="N1935" s="20" t="s">
        <v>14489</v>
      </c>
      <c r="O1935" s="16">
        <v>0</v>
      </c>
      <c r="P1935" s="143">
        <v>758</v>
      </c>
      <c r="Q1935" s="121" t="s">
        <v>14285</v>
      </c>
      <c r="R1935" s="16" t="s">
        <v>9235</v>
      </c>
      <c r="S1935" s="10" t="s">
        <v>1163</v>
      </c>
      <c r="T1935" s="28" t="s">
        <v>10965</v>
      </c>
      <c r="U1935" s="20" t="s">
        <v>5359</v>
      </c>
      <c r="V1935" s="16" t="s">
        <v>3172</v>
      </c>
      <c r="W1935" s="11" t="s">
        <v>14433</v>
      </c>
      <c r="X1935" s="174">
        <v>365.63</v>
      </c>
      <c r="Y1935" s="174">
        <v>467.12</v>
      </c>
    </row>
    <row r="1936" spans="1:25" ht="15" customHeight="1" x14ac:dyDescent="0.25">
      <c r="A1936" s="20" t="s">
        <v>3568</v>
      </c>
      <c r="B1936" s="14" t="s">
        <v>3569</v>
      </c>
      <c r="C1936" s="71" t="str">
        <f t="shared" si="40"/>
        <v>Product Info</v>
      </c>
      <c r="D1936" s="37" t="s">
        <v>1828</v>
      </c>
      <c r="E1936" s="143">
        <v>1</v>
      </c>
      <c r="F1936" s="12" t="s">
        <v>4992</v>
      </c>
      <c r="G1936" s="38">
        <v>439.64</v>
      </c>
      <c r="H1936" s="38">
        <v>373.71</v>
      </c>
      <c r="I1936" s="38">
        <v>307.75</v>
      </c>
      <c r="J1936" s="39"/>
      <c r="K1936" s="143"/>
      <c r="L1936" s="22">
        <v>0</v>
      </c>
      <c r="M1936" s="22">
        <v>0</v>
      </c>
      <c r="N1936" s="20" t="s">
        <v>14489</v>
      </c>
      <c r="O1936" s="16">
        <v>0</v>
      </c>
      <c r="P1936" s="143">
        <v>758</v>
      </c>
      <c r="Q1936" s="121" t="s">
        <v>14285</v>
      </c>
      <c r="R1936" s="16" t="s">
        <v>9235</v>
      </c>
      <c r="S1936" s="10" t="s">
        <v>1163</v>
      </c>
      <c r="T1936" s="28" t="s">
        <v>10966</v>
      </c>
      <c r="U1936" s="20" t="s">
        <v>5359</v>
      </c>
      <c r="V1936" s="16" t="s">
        <v>3568</v>
      </c>
      <c r="W1936" s="11" t="s">
        <v>14433</v>
      </c>
      <c r="X1936" s="174">
        <v>292.51</v>
      </c>
      <c r="Y1936" s="174">
        <v>373.71</v>
      </c>
    </row>
    <row r="1937" spans="1:25" ht="15" customHeight="1" x14ac:dyDescent="0.25">
      <c r="A1937" s="20" t="s">
        <v>3063</v>
      </c>
      <c r="B1937" s="14" t="s">
        <v>3064</v>
      </c>
      <c r="C1937" s="71" t="str">
        <f t="shared" si="40"/>
        <v>Product Info</v>
      </c>
      <c r="D1937" s="37" t="s">
        <v>3269</v>
      </c>
      <c r="E1937" s="143">
        <v>1</v>
      </c>
      <c r="F1937" s="12" t="s">
        <v>4992</v>
      </c>
      <c r="G1937" s="38">
        <v>380.14</v>
      </c>
      <c r="H1937" s="38">
        <v>323.13</v>
      </c>
      <c r="I1937" s="38">
        <v>266.10000000000002</v>
      </c>
      <c r="J1937" s="39"/>
      <c r="K1937" s="143"/>
      <c r="L1937" s="22">
        <v>0</v>
      </c>
      <c r="M1937" s="22">
        <v>0</v>
      </c>
      <c r="N1937" s="20" t="s">
        <v>14489</v>
      </c>
      <c r="O1937" s="16">
        <v>0</v>
      </c>
      <c r="P1937" s="143">
        <v>758</v>
      </c>
      <c r="Q1937" s="121" t="s">
        <v>14285</v>
      </c>
      <c r="R1937" s="16" t="s">
        <v>9235</v>
      </c>
      <c r="S1937" s="10" t="s">
        <v>1163</v>
      </c>
      <c r="T1937" s="28" t="s">
        <v>10967</v>
      </c>
      <c r="U1937" s="20" t="s">
        <v>5359</v>
      </c>
      <c r="V1937" s="16" t="s">
        <v>3063</v>
      </c>
      <c r="W1937" s="11" t="s">
        <v>14433</v>
      </c>
      <c r="X1937" s="174">
        <v>252.93</v>
      </c>
      <c r="Y1937" s="174">
        <v>323.13</v>
      </c>
    </row>
    <row r="1938" spans="1:25" ht="15" customHeight="1" x14ac:dyDescent="0.25">
      <c r="A1938" s="20" t="s">
        <v>1829</v>
      </c>
      <c r="B1938" s="14" t="s">
        <v>1830</v>
      </c>
      <c r="C1938" s="71" t="str">
        <f t="shared" si="40"/>
        <v>Product Info</v>
      </c>
      <c r="D1938" s="37" t="s">
        <v>1831</v>
      </c>
      <c r="E1938" s="143">
        <v>1</v>
      </c>
      <c r="F1938" s="12" t="s">
        <v>4992</v>
      </c>
      <c r="G1938" s="38">
        <v>397.4</v>
      </c>
      <c r="H1938" s="38">
        <v>337.8</v>
      </c>
      <c r="I1938" s="38">
        <v>278.18</v>
      </c>
      <c r="J1938" s="39"/>
      <c r="K1938" s="143"/>
      <c r="L1938" s="22">
        <v>0</v>
      </c>
      <c r="M1938" s="22">
        <v>0</v>
      </c>
      <c r="N1938" s="20" t="s">
        <v>14489</v>
      </c>
      <c r="O1938" s="16">
        <v>0</v>
      </c>
      <c r="P1938" s="143">
        <v>758</v>
      </c>
      <c r="Q1938" s="121" t="s">
        <v>14285</v>
      </c>
      <c r="R1938" s="16" t="s">
        <v>9235</v>
      </c>
      <c r="S1938" s="10" t="s">
        <v>1163</v>
      </c>
      <c r="T1938" s="28" t="s">
        <v>10968</v>
      </c>
      <c r="U1938" s="20" t="s">
        <v>5359</v>
      </c>
      <c r="V1938" s="16" t="s">
        <v>1829</v>
      </c>
      <c r="W1938" s="11" t="s">
        <v>14433</v>
      </c>
      <c r="X1938" s="174">
        <v>264.41000000000003</v>
      </c>
      <c r="Y1938" s="174">
        <v>337.8</v>
      </c>
    </row>
    <row r="1939" spans="1:25" ht="15" customHeight="1" x14ac:dyDescent="0.25">
      <c r="A1939" s="20" t="s">
        <v>3598</v>
      </c>
      <c r="B1939" s="14" t="s">
        <v>3599</v>
      </c>
      <c r="C1939" s="71" t="str">
        <f t="shared" si="40"/>
        <v>Product Info</v>
      </c>
      <c r="D1939" s="37" t="s">
        <v>3600</v>
      </c>
      <c r="E1939" s="143">
        <v>1</v>
      </c>
      <c r="F1939" s="12" t="s">
        <v>4992</v>
      </c>
      <c r="G1939" s="38">
        <v>439.64</v>
      </c>
      <c r="H1939" s="38">
        <v>373.71</v>
      </c>
      <c r="I1939" s="38">
        <v>307.75</v>
      </c>
      <c r="J1939" s="39"/>
      <c r="K1939" s="143"/>
      <c r="L1939" s="22">
        <v>11</v>
      </c>
      <c r="M1939" s="22" t="s">
        <v>14396</v>
      </c>
      <c r="N1939" s="20" t="s">
        <v>9377</v>
      </c>
      <c r="O1939" s="16" t="s">
        <v>13914</v>
      </c>
      <c r="P1939" s="143">
        <v>758</v>
      </c>
      <c r="Q1939" s="121" t="s">
        <v>14285</v>
      </c>
      <c r="R1939" s="16" t="s">
        <v>9235</v>
      </c>
      <c r="S1939" s="10" t="s">
        <v>1163</v>
      </c>
      <c r="T1939" s="28" t="s">
        <v>10969</v>
      </c>
      <c r="U1939" s="20" t="s">
        <v>5359</v>
      </c>
      <c r="V1939" s="16" t="s">
        <v>3598</v>
      </c>
      <c r="W1939" s="11" t="s">
        <v>14433</v>
      </c>
      <c r="X1939" s="174">
        <v>292.51</v>
      </c>
      <c r="Y1939" s="174">
        <v>373.71</v>
      </c>
    </row>
    <row r="1940" spans="1:25" ht="15" customHeight="1" x14ac:dyDescent="0.25">
      <c r="A1940" s="20" t="s">
        <v>3604</v>
      </c>
      <c r="B1940" s="14" t="s">
        <v>3607</v>
      </c>
      <c r="C1940" s="71" t="str">
        <f t="shared" si="40"/>
        <v>Product Info</v>
      </c>
      <c r="D1940" s="37" t="s">
        <v>3608</v>
      </c>
      <c r="E1940" s="143">
        <v>1</v>
      </c>
      <c r="F1940" s="12" t="s">
        <v>4992</v>
      </c>
      <c r="G1940" s="38">
        <v>659.44</v>
      </c>
      <c r="H1940" s="38">
        <v>560.54999999999995</v>
      </c>
      <c r="I1940" s="38">
        <v>461.61</v>
      </c>
      <c r="J1940" s="39"/>
      <c r="K1940" s="143"/>
      <c r="L1940" s="22">
        <v>0</v>
      </c>
      <c r="M1940" s="22">
        <v>0</v>
      </c>
      <c r="N1940" s="20" t="s">
        <v>14489</v>
      </c>
      <c r="O1940" s="16">
        <v>0</v>
      </c>
      <c r="P1940" s="143">
        <v>758</v>
      </c>
      <c r="Q1940" s="121" t="s">
        <v>14285</v>
      </c>
      <c r="R1940" s="16" t="s">
        <v>9235</v>
      </c>
      <c r="S1940" s="10" t="s">
        <v>1163</v>
      </c>
      <c r="T1940" s="28" t="s">
        <v>10970</v>
      </c>
      <c r="U1940" s="20" t="s">
        <v>5359</v>
      </c>
      <c r="V1940" s="16" t="s">
        <v>3604</v>
      </c>
      <c r="W1940" s="11" t="s">
        <v>14433</v>
      </c>
      <c r="X1940" s="174">
        <v>438.76</v>
      </c>
      <c r="Y1940" s="174">
        <v>560.54999999999995</v>
      </c>
    </row>
    <row r="1941" spans="1:25" ht="15" customHeight="1" x14ac:dyDescent="0.25">
      <c r="A1941" s="20" t="s">
        <v>3570</v>
      </c>
      <c r="B1941" s="14" t="s">
        <v>3571</v>
      </c>
      <c r="C1941" s="71" t="str">
        <f t="shared" si="40"/>
        <v>Product Info</v>
      </c>
      <c r="D1941" s="37" t="s">
        <v>1832</v>
      </c>
      <c r="E1941" s="143">
        <v>1</v>
      </c>
      <c r="F1941" s="12" t="s">
        <v>4992</v>
      </c>
      <c r="G1941" s="38">
        <v>527.54</v>
      </c>
      <c r="H1941" s="38">
        <v>448.43</v>
      </c>
      <c r="I1941" s="38">
        <v>369.28</v>
      </c>
      <c r="J1941" s="39"/>
      <c r="K1941" s="143"/>
      <c r="L1941" s="22">
        <v>0</v>
      </c>
      <c r="M1941" s="22">
        <v>0</v>
      </c>
      <c r="N1941" s="20" t="s">
        <v>14489</v>
      </c>
      <c r="O1941" s="16">
        <v>0</v>
      </c>
      <c r="P1941" s="143">
        <v>758</v>
      </c>
      <c r="Q1941" s="121" t="s">
        <v>14285</v>
      </c>
      <c r="R1941" s="16" t="s">
        <v>9235</v>
      </c>
      <c r="S1941" s="10" t="s">
        <v>1163</v>
      </c>
      <c r="T1941" s="28" t="s">
        <v>10971</v>
      </c>
      <c r="U1941" s="20" t="s">
        <v>5359</v>
      </c>
      <c r="V1941" s="16" t="s">
        <v>3570</v>
      </c>
      <c r="W1941" s="11" t="s">
        <v>14433</v>
      </c>
      <c r="X1941" s="174">
        <v>351</v>
      </c>
      <c r="Y1941" s="174">
        <v>448.43</v>
      </c>
    </row>
    <row r="1942" spans="1:25" ht="15" customHeight="1" x14ac:dyDescent="0.25">
      <c r="A1942" s="20" t="s">
        <v>3065</v>
      </c>
      <c r="B1942" s="14" t="s">
        <v>3066</v>
      </c>
      <c r="C1942" s="71" t="str">
        <f t="shared" si="40"/>
        <v>Product Info</v>
      </c>
      <c r="D1942" s="37" t="s">
        <v>3270</v>
      </c>
      <c r="E1942" s="143">
        <v>1</v>
      </c>
      <c r="F1942" s="12" t="s">
        <v>4992</v>
      </c>
      <c r="G1942" s="38">
        <v>380.14</v>
      </c>
      <c r="H1942" s="38">
        <v>323.13</v>
      </c>
      <c r="I1942" s="38">
        <v>266.10000000000002</v>
      </c>
      <c r="J1942" s="39"/>
      <c r="K1942" s="143"/>
      <c r="L1942" s="22">
        <v>0</v>
      </c>
      <c r="M1942" s="22">
        <v>0</v>
      </c>
      <c r="N1942" s="20" t="s">
        <v>14489</v>
      </c>
      <c r="O1942" s="16">
        <v>0</v>
      </c>
      <c r="P1942" s="143">
        <v>758</v>
      </c>
      <c r="Q1942" s="121" t="s">
        <v>14285</v>
      </c>
      <c r="R1942" s="16" t="s">
        <v>9235</v>
      </c>
      <c r="S1942" s="10" t="s">
        <v>1163</v>
      </c>
      <c r="T1942" s="28" t="s">
        <v>10972</v>
      </c>
      <c r="U1942" s="20" t="s">
        <v>5359</v>
      </c>
      <c r="V1942" s="16" t="s">
        <v>3065</v>
      </c>
      <c r="W1942" s="11" t="s">
        <v>14433</v>
      </c>
      <c r="X1942" s="174">
        <v>252.93</v>
      </c>
      <c r="Y1942" s="174">
        <v>323.13</v>
      </c>
    </row>
    <row r="1943" spans="1:25" ht="15" customHeight="1" x14ac:dyDescent="0.25">
      <c r="A1943" s="20" t="s">
        <v>1833</v>
      </c>
      <c r="B1943" s="14" t="s">
        <v>1834</v>
      </c>
      <c r="C1943" s="71" t="str">
        <f t="shared" si="40"/>
        <v>Product Info</v>
      </c>
      <c r="D1943" s="37" t="s">
        <v>1835</v>
      </c>
      <c r="E1943" s="143">
        <v>1</v>
      </c>
      <c r="F1943" s="12" t="s">
        <v>4992</v>
      </c>
      <c r="G1943" s="38">
        <v>397.4</v>
      </c>
      <c r="H1943" s="38">
        <v>337.8</v>
      </c>
      <c r="I1943" s="38">
        <v>278.18</v>
      </c>
      <c r="J1943" s="39"/>
      <c r="K1943" s="143"/>
      <c r="L1943" s="22">
        <v>0</v>
      </c>
      <c r="M1943" s="22">
        <v>0</v>
      </c>
      <c r="N1943" s="20" t="s">
        <v>14489</v>
      </c>
      <c r="O1943" s="16">
        <v>0</v>
      </c>
      <c r="P1943" s="143">
        <v>758</v>
      </c>
      <c r="Q1943" s="121" t="s">
        <v>14285</v>
      </c>
      <c r="R1943" s="16" t="s">
        <v>9235</v>
      </c>
      <c r="S1943" s="10" t="s">
        <v>1163</v>
      </c>
      <c r="T1943" s="28" t="s">
        <v>10973</v>
      </c>
      <c r="U1943" s="20" t="s">
        <v>5359</v>
      </c>
      <c r="V1943" s="16" t="s">
        <v>1833</v>
      </c>
      <c r="W1943" s="11" t="s">
        <v>14433</v>
      </c>
      <c r="X1943" s="174">
        <v>264.41000000000003</v>
      </c>
      <c r="Y1943" s="174">
        <v>337.8</v>
      </c>
    </row>
    <row r="1944" spans="1:25" ht="15" customHeight="1" x14ac:dyDescent="0.25">
      <c r="A1944" s="20" t="s">
        <v>3601</v>
      </c>
      <c r="B1944" s="14" t="s">
        <v>3602</v>
      </c>
      <c r="C1944" s="71" t="str">
        <f t="shared" si="40"/>
        <v>Product Info</v>
      </c>
      <c r="D1944" s="37" t="s">
        <v>3603</v>
      </c>
      <c r="E1944" s="143">
        <v>1</v>
      </c>
      <c r="F1944" s="12" t="s">
        <v>4992</v>
      </c>
      <c r="G1944" s="38">
        <v>527.54</v>
      </c>
      <c r="H1944" s="38">
        <v>448.43</v>
      </c>
      <c r="I1944" s="38">
        <v>369.28</v>
      </c>
      <c r="J1944" s="39"/>
      <c r="K1944" s="143"/>
      <c r="L1944" s="22">
        <v>0</v>
      </c>
      <c r="M1944" s="22">
        <v>0</v>
      </c>
      <c r="N1944" s="20" t="s">
        <v>14489</v>
      </c>
      <c r="O1944" s="16">
        <v>0</v>
      </c>
      <c r="P1944" s="143">
        <v>758</v>
      </c>
      <c r="Q1944" s="121" t="s">
        <v>14285</v>
      </c>
      <c r="R1944" s="16" t="s">
        <v>9235</v>
      </c>
      <c r="S1944" s="10" t="s">
        <v>1163</v>
      </c>
      <c r="T1944" s="28" t="s">
        <v>10974</v>
      </c>
      <c r="U1944" s="20" t="s">
        <v>5359</v>
      </c>
      <c r="V1944" s="16" t="s">
        <v>3601</v>
      </c>
      <c r="W1944" s="11" t="s">
        <v>14433</v>
      </c>
      <c r="X1944" s="174">
        <v>351</v>
      </c>
      <c r="Y1944" s="174">
        <v>448.43</v>
      </c>
    </row>
    <row r="1945" spans="1:25" ht="15" customHeight="1" x14ac:dyDescent="0.25">
      <c r="A1945" s="20" t="s">
        <v>3609</v>
      </c>
      <c r="B1945" s="14" t="s">
        <v>3610</v>
      </c>
      <c r="C1945" s="71" t="str">
        <f t="shared" si="40"/>
        <v>Product Info</v>
      </c>
      <c r="D1945" s="37" t="s">
        <v>1836</v>
      </c>
      <c r="E1945" s="143">
        <v>1</v>
      </c>
      <c r="F1945" s="12" t="s">
        <v>4992</v>
      </c>
      <c r="G1945" s="38">
        <v>791.31</v>
      </c>
      <c r="H1945" s="38">
        <v>672.64</v>
      </c>
      <c r="I1945" s="38">
        <v>553.91999999999996</v>
      </c>
      <c r="J1945" s="39"/>
      <c r="K1945" s="143"/>
      <c r="L1945" s="22">
        <v>0</v>
      </c>
      <c r="M1945" s="22">
        <v>0</v>
      </c>
      <c r="N1945" s="20" t="s">
        <v>14489</v>
      </c>
      <c r="O1945" s="16">
        <v>0</v>
      </c>
      <c r="P1945" s="143">
        <v>758</v>
      </c>
      <c r="Q1945" s="121" t="s">
        <v>14285</v>
      </c>
      <c r="R1945" s="16" t="s">
        <v>9235</v>
      </c>
      <c r="S1945" s="10" t="s">
        <v>1163</v>
      </c>
      <c r="T1945" s="28" t="s">
        <v>10975</v>
      </c>
      <c r="U1945" s="20" t="s">
        <v>5359</v>
      </c>
      <c r="V1945" s="16" t="s">
        <v>3609</v>
      </c>
      <c r="W1945" s="11" t="s">
        <v>14433</v>
      </c>
      <c r="X1945" s="174">
        <v>526.5</v>
      </c>
      <c r="Y1945" s="174">
        <v>672.64</v>
      </c>
    </row>
    <row r="1946" spans="1:25" ht="15" customHeight="1" x14ac:dyDescent="0.25">
      <c r="A1946" s="20" t="s">
        <v>978</v>
      </c>
      <c r="B1946" s="14" t="s">
        <v>979</v>
      </c>
      <c r="C1946" s="71" t="str">
        <f t="shared" si="40"/>
        <v>Product Info</v>
      </c>
      <c r="D1946" s="37" t="s">
        <v>980</v>
      </c>
      <c r="E1946" s="143">
        <v>1</v>
      </c>
      <c r="F1946" s="12" t="s">
        <v>4992</v>
      </c>
      <c r="G1946" s="38">
        <v>633.05999999999995</v>
      </c>
      <c r="H1946" s="38">
        <v>538.12</v>
      </c>
      <c r="I1946" s="38">
        <v>443.14</v>
      </c>
      <c r="J1946" s="39"/>
      <c r="K1946" s="143"/>
      <c r="L1946" s="22">
        <v>0</v>
      </c>
      <c r="M1946" s="22">
        <v>0</v>
      </c>
      <c r="N1946" s="20" t="s">
        <v>14489</v>
      </c>
      <c r="O1946" s="16">
        <v>0</v>
      </c>
      <c r="P1946" s="143">
        <v>758</v>
      </c>
      <c r="Q1946" s="121" t="s">
        <v>14285</v>
      </c>
      <c r="R1946" s="16" t="s">
        <v>9235</v>
      </c>
      <c r="S1946" s="10" t="s">
        <v>1163</v>
      </c>
      <c r="T1946" s="28" t="s">
        <v>10976</v>
      </c>
      <c r="U1946" s="20" t="s">
        <v>5359</v>
      </c>
      <c r="V1946" s="16" t="s">
        <v>978</v>
      </c>
      <c r="W1946" s="11" t="s">
        <v>14433</v>
      </c>
      <c r="X1946" s="174">
        <v>421.2</v>
      </c>
      <c r="Y1946" s="174">
        <v>538.12</v>
      </c>
    </row>
    <row r="1947" spans="1:25" ht="15" customHeight="1" x14ac:dyDescent="0.25">
      <c r="A1947" s="20" t="s">
        <v>3956</v>
      </c>
      <c r="B1947" s="14" t="s">
        <v>3957</v>
      </c>
      <c r="C1947" s="71" t="str">
        <f t="shared" si="40"/>
        <v>Product Info</v>
      </c>
      <c r="D1947" s="37" t="s">
        <v>3271</v>
      </c>
      <c r="E1947" s="143">
        <v>1</v>
      </c>
      <c r="F1947" s="12" t="s">
        <v>4992</v>
      </c>
      <c r="G1947" s="38">
        <v>417.79</v>
      </c>
      <c r="H1947" s="38">
        <v>355.13</v>
      </c>
      <c r="I1947" s="38">
        <v>292.45</v>
      </c>
      <c r="J1947" s="39"/>
      <c r="K1947" s="143"/>
      <c r="L1947" s="22">
        <v>0</v>
      </c>
      <c r="M1947" s="22">
        <v>0</v>
      </c>
      <c r="N1947" s="20" t="s">
        <v>14489</v>
      </c>
      <c r="O1947" s="16">
        <v>0</v>
      </c>
      <c r="P1947" s="143">
        <v>758</v>
      </c>
      <c r="Q1947" s="121" t="s">
        <v>14285</v>
      </c>
      <c r="R1947" s="16" t="s">
        <v>9235</v>
      </c>
      <c r="S1947" s="10" t="s">
        <v>1163</v>
      </c>
      <c r="T1947" s="28" t="s">
        <v>10977</v>
      </c>
      <c r="U1947" s="20" t="s">
        <v>5359</v>
      </c>
      <c r="V1947" s="16" t="s">
        <v>3956</v>
      </c>
      <c r="W1947" s="11" t="s">
        <v>14433</v>
      </c>
      <c r="X1947" s="174">
        <v>277.97000000000003</v>
      </c>
      <c r="Y1947" s="174">
        <v>355.13</v>
      </c>
    </row>
    <row r="1948" spans="1:25" ht="15" customHeight="1" x14ac:dyDescent="0.25">
      <c r="A1948" s="20" t="s">
        <v>1837</v>
      </c>
      <c r="B1948" s="14" t="s">
        <v>1838</v>
      </c>
      <c r="C1948" s="71" t="str">
        <f t="shared" si="40"/>
        <v>Product Info</v>
      </c>
      <c r="D1948" s="37" t="s">
        <v>1839</v>
      </c>
      <c r="E1948" s="143">
        <v>1</v>
      </c>
      <c r="F1948" s="12" t="s">
        <v>4992</v>
      </c>
      <c r="G1948" s="38">
        <v>434.67</v>
      </c>
      <c r="H1948" s="38">
        <v>369.48</v>
      </c>
      <c r="I1948" s="38">
        <v>304.27</v>
      </c>
      <c r="J1948" s="39"/>
      <c r="K1948" s="143"/>
      <c r="L1948" s="22">
        <v>0</v>
      </c>
      <c r="M1948" s="22">
        <v>0</v>
      </c>
      <c r="N1948" s="20" t="s">
        <v>14489</v>
      </c>
      <c r="O1948" s="16">
        <v>0</v>
      </c>
      <c r="P1948" s="143">
        <v>758</v>
      </c>
      <c r="Q1948" s="121" t="s">
        <v>14285</v>
      </c>
      <c r="R1948" s="16" t="s">
        <v>9235</v>
      </c>
      <c r="S1948" s="10" t="s">
        <v>1163</v>
      </c>
      <c r="T1948" s="28" t="s">
        <v>10978</v>
      </c>
      <c r="U1948" s="20" t="s">
        <v>5359</v>
      </c>
      <c r="V1948" s="16" t="s">
        <v>1837</v>
      </c>
      <c r="W1948" s="11" t="s">
        <v>14433</v>
      </c>
      <c r="X1948" s="174">
        <v>289.20999999999998</v>
      </c>
      <c r="Y1948" s="174">
        <v>369.48</v>
      </c>
    </row>
    <row r="1949" spans="1:25" ht="15" customHeight="1" x14ac:dyDescent="0.25">
      <c r="A1949" s="20" t="s">
        <v>3960</v>
      </c>
      <c r="B1949" s="14" t="s">
        <v>3961</v>
      </c>
      <c r="C1949" s="71" t="str">
        <f t="shared" si="40"/>
        <v>Product Info</v>
      </c>
      <c r="D1949" s="37" t="s">
        <v>3274</v>
      </c>
      <c r="E1949" s="143">
        <v>1</v>
      </c>
      <c r="F1949" s="12" t="s">
        <v>4992</v>
      </c>
      <c r="G1949" s="38">
        <v>371.89</v>
      </c>
      <c r="H1949" s="38">
        <v>316.11</v>
      </c>
      <c r="I1949" s="38">
        <v>260.32</v>
      </c>
      <c r="J1949" s="39"/>
      <c r="K1949" s="143"/>
      <c r="L1949" s="22">
        <v>8.36</v>
      </c>
      <c r="M1949" s="22" t="s">
        <v>12488</v>
      </c>
      <c r="N1949" s="20" t="s">
        <v>8850</v>
      </c>
      <c r="O1949" s="16" t="s">
        <v>12608</v>
      </c>
      <c r="P1949" s="143">
        <v>758</v>
      </c>
      <c r="Q1949" s="121" t="s">
        <v>14285</v>
      </c>
      <c r="R1949" s="16" t="s">
        <v>9235</v>
      </c>
      <c r="S1949" s="10" t="s">
        <v>1163</v>
      </c>
      <c r="T1949" s="28" t="s">
        <v>10979</v>
      </c>
      <c r="U1949" s="20" t="s">
        <v>5359</v>
      </c>
      <c r="V1949" s="16" t="s">
        <v>3960</v>
      </c>
      <c r="W1949" s="11" t="s">
        <v>14433</v>
      </c>
      <c r="X1949" s="174">
        <v>247.43</v>
      </c>
      <c r="Y1949" s="174">
        <v>316.11</v>
      </c>
    </row>
    <row r="1950" spans="1:25" ht="15" customHeight="1" x14ac:dyDescent="0.25">
      <c r="A1950" s="20" t="s">
        <v>1840</v>
      </c>
      <c r="B1950" s="14" t="s">
        <v>1841</v>
      </c>
      <c r="C1950" s="71" t="str">
        <f t="shared" si="40"/>
        <v>Product Info</v>
      </c>
      <c r="D1950" s="37" t="s">
        <v>1842</v>
      </c>
      <c r="E1950" s="143">
        <v>1</v>
      </c>
      <c r="F1950" s="12" t="s">
        <v>4992</v>
      </c>
      <c r="G1950" s="38">
        <v>384.71</v>
      </c>
      <c r="H1950" s="38">
        <v>327.02</v>
      </c>
      <c r="I1950" s="38">
        <v>269.3</v>
      </c>
      <c r="J1950" s="39"/>
      <c r="K1950" s="143"/>
      <c r="L1950" s="22">
        <v>0</v>
      </c>
      <c r="M1950" s="22">
        <v>0</v>
      </c>
      <c r="N1950" s="20" t="s">
        <v>14489</v>
      </c>
      <c r="O1950" s="16">
        <v>0</v>
      </c>
      <c r="P1950" s="143">
        <v>758</v>
      </c>
      <c r="Q1950" s="121" t="s">
        <v>14285</v>
      </c>
      <c r="R1950" s="16" t="s">
        <v>9235</v>
      </c>
      <c r="S1950" s="10" t="s">
        <v>1163</v>
      </c>
      <c r="T1950" s="28" t="s">
        <v>10980</v>
      </c>
      <c r="U1950" s="20" t="s">
        <v>5359</v>
      </c>
      <c r="V1950" s="16" t="s">
        <v>1840</v>
      </c>
      <c r="W1950" s="11" t="s">
        <v>14433</v>
      </c>
      <c r="X1950" s="174">
        <v>255.96</v>
      </c>
      <c r="Y1950" s="174">
        <v>327.02</v>
      </c>
    </row>
    <row r="1951" spans="1:25" ht="15" customHeight="1" x14ac:dyDescent="0.25">
      <c r="A1951" s="20" t="s">
        <v>1843</v>
      </c>
      <c r="B1951" s="14" t="s">
        <v>1844</v>
      </c>
      <c r="C1951" s="71" t="str">
        <f t="shared" si="40"/>
        <v>Product Info</v>
      </c>
      <c r="D1951" s="37" t="s">
        <v>1845</v>
      </c>
      <c r="E1951" s="143">
        <v>1</v>
      </c>
      <c r="F1951" s="12" t="s">
        <v>4992</v>
      </c>
      <c r="G1951" s="38">
        <v>388.76</v>
      </c>
      <c r="H1951" s="38">
        <v>330.46</v>
      </c>
      <c r="I1951" s="38">
        <v>272.13</v>
      </c>
      <c r="J1951" s="39"/>
      <c r="K1951" s="143"/>
      <c r="L1951" s="22">
        <v>0</v>
      </c>
      <c r="M1951" s="22">
        <v>0</v>
      </c>
      <c r="N1951" s="20" t="s">
        <v>14489</v>
      </c>
      <c r="O1951" s="16">
        <v>0</v>
      </c>
      <c r="P1951" s="143">
        <v>758</v>
      </c>
      <c r="Q1951" s="121" t="s">
        <v>14285</v>
      </c>
      <c r="R1951" s="16" t="s">
        <v>9235</v>
      </c>
      <c r="S1951" s="10" t="s">
        <v>1163</v>
      </c>
      <c r="T1951" s="28" t="s">
        <v>10981</v>
      </c>
      <c r="U1951" s="20" t="s">
        <v>5359</v>
      </c>
      <c r="V1951" s="16" t="s">
        <v>1843</v>
      </c>
      <c r="W1951" s="11" t="s">
        <v>14433</v>
      </c>
      <c r="X1951" s="174">
        <v>258.66000000000003</v>
      </c>
      <c r="Y1951" s="174">
        <v>330.46</v>
      </c>
    </row>
    <row r="1952" spans="1:25" ht="15" customHeight="1" x14ac:dyDescent="0.25">
      <c r="A1952" s="20" t="s">
        <v>3962</v>
      </c>
      <c r="B1952" s="14" t="s">
        <v>3963</v>
      </c>
      <c r="C1952" s="71" t="str">
        <f t="shared" si="40"/>
        <v>Product Info</v>
      </c>
      <c r="D1952" s="37" t="s">
        <v>3275</v>
      </c>
      <c r="E1952" s="143">
        <v>1</v>
      </c>
      <c r="F1952" s="12" t="s">
        <v>4992</v>
      </c>
      <c r="G1952" s="38">
        <v>371.89</v>
      </c>
      <c r="H1952" s="38">
        <v>316.11</v>
      </c>
      <c r="I1952" s="38">
        <v>260.32</v>
      </c>
      <c r="J1952" s="39"/>
      <c r="K1952" s="143"/>
      <c r="L1952" s="22">
        <v>0</v>
      </c>
      <c r="M1952" s="22">
        <v>0</v>
      </c>
      <c r="N1952" s="20" t="s">
        <v>14489</v>
      </c>
      <c r="O1952" s="16">
        <v>0</v>
      </c>
      <c r="P1952" s="143">
        <v>758</v>
      </c>
      <c r="Q1952" s="121" t="s">
        <v>14285</v>
      </c>
      <c r="R1952" s="16" t="s">
        <v>9235</v>
      </c>
      <c r="S1952" s="10" t="s">
        <v>1163</v>
      </c>
      <c r="T1952" s="28" t="s">
        <v>10982</v>
      </c>
      <c r="U1952" s="20" t="s">
        <v>5359</v>
      </c>
      <c r="V1952" s="16" t="s">
        <v>3962</v>
      </c>
      <c r="W1952" s="11" t="s">
        <v>14433</v>
      </c>
      <c r="X1952" s="174">
        <v>247.43</v>
      </c>
      <c r="Y1952" s="174">
        <v>316.11</v>
      </c>
    </row>
    <row r="1953" spans="1:25" ht="15" customHeight="1" x14ac:dyDescent="0.25">
      <c r="A1953" s="20" t="s">
        <v>1846</v>
      </c>
      <c r="B1953" s="14" t="s">
        <v>1847</v>
      </c>
      <c r="C1953" s="71" t="str">
        <f t="shared" si="40"/>
        <v>Product Info</v>
      </c>
      <c r="D1953" s="37" t="s">
        <v>1848</v>
      </c>
      <c r="E1953" s="143">
        <v>1</v>
      </c>
      <c r="F1953" s="12" t="s">
        <v>4992</v>
      </c>
      <c r="G1953" s="38">
        <v>388.76</v>
      </c>
      <c r="H1953" s="38">
        <v>330.46</v>
      </c>
      <c r="I1953" s="38">
        <v>272.13</v>
      </c>
      <c r="J1953" s="39"/>
      <c r="K1953" s="143"/>
      <c r="L1953" s="22">
        <v>0</v>
      </c>
      <c r="M1953" s="22">
        <v>0</v>
      </c>
      <c r="N1953" s="20" t="s">
        <v>14489</v>
      </c>
      <c r="O1953" s="16">
        <v>0</v>
      </c>
      <c r="P1953" s="143">
        <v>758</v>
      </c>
      <c r="Q1953" s="121" t="s">
        <v>14285</v>
      </c>
      <c r="R1953" s="16" t="s">
        <v>9235</v>
      </c>
      <c r="S1953" s="10" t="s">
        <v>1163</v>
      </c>
      <c r="T1953" s="28" t="s">
        <v>10983</v>
      </c>
      <c r="U1953" s="20" t="s">
        <v>5359</v>
      </c>
      <c r="V1953" s="16" t="s">
        <v>1846</v>
      </c>
      <c r="W1953" s="11" t="s">
        <v>14433</v>
      </c>
      <c r="X1953" s="174">
        <v>258.66000000000003</v>
      </c>
      <c r="Y1953" s="174">
        <v>330.46</v>
      </c>
    </row>
    <row r="1954" spans="1:25" ht="15" customHeight="1" x14ac:dyDescent="0.25">
      <c r="A1954" s="20" t="s">
        <v>6142</v>
      </c>
      <c r="B1954" s="14" t="s">
        <v>6143</v>
      </c>
      <c r="C1954" s="71" t="str">
        <f t="shared" si="40"/>
        <v>Product Info</v>
      </c>
      <c r="D1954" s="37" t="s">
        <v>3276</v>
      </c>
      <c r="E1954" s="143">
        <v>1</v>
      </c>
      <c r="F1954" s="12" t="s">
        <v>4992</v>
      </c>
      <c r="G1954" s="38">
        <v>417.79</v>
      </c>
      <c r="H1954" s="38">
        <v>355.13</v>
      </c>
      <c r="I1954" s="38">
        <v>292.45</v>
      </c>
      <c r="J1954" s="39"/>
      <c r="K1954" s="143"/>
      <c r="L1954" s="22">
        <v>0</v>
      </c>
      <c r="M1954" s="22">
        <v>0</v>
      </c>
      <c r="N1954" s="20" t="s">
        <v>14489</v>
      </c>
      <c r="O1954" s="16">
        <v>0</v>
      </c>
      <c r="P1954" s="143">
        <v>758</v>
      </c>
      <c r="Q1954" s="121" t="s">
        <v>14285</v>
      </c>
      <c r="R1954" s="16" t="s">
        <v>9235</v>
      </c>
      <c r="S1954" s="10" t="s">
        <v>1163</v>
      </c>
      <c r="T1954" s="28" t="s">
        <v>10984</v>
      </c>
      <c r="U1954" s="20" t="s">
        <v>5359</v>
      </c>
      <c r="V1954" s="16" t="s">
        <v>6142</v>
      </c>
      <c r="W1954" s="11" t="s">
        <v>14433</v>
      </c>
      <c r="X1954" s="174">
        <v>277.97000000000003</v>
      </c>
      <c r="Y1954" s="174">
        <v>355.13</v>
      </c>
    </row>
    <row r="1955" spans="1:25" ht="15" customHeight="1" x14ac:dyDescent="0.25">
      <c r="A1955" s="20" t="s">
        <v>1849</v>
      </c>
      <c r="B1955" s="14" t="s">
        <v>1850</v>
      </c>
      <c r="C1955" s="71" t="str">
        <f t="shared" si="40"/>
        <v>Product Info</v>
      </c>
      <c r="D1955" s="37" t="s">
        <v>1851</v>
      </c>
      <c r="E1955" s="143">
        <v>1</v>
      </c>
      <c r="F1955" s="12" t="s">
        <v>4992</v>
      </c>
      <c r="G1955" s="38">
        <v>434.67</v>
      </c>
      <c r="H1955" s="38">
        <v>369.48</v>
      </c>
      <c r="I1955" s="38">
        <v>304.27</v>
      </c>
      <c r="J1955" s="39"/>
      <c r="K1955" s="143"/>
      <c r="L1955" s="22">
        <v>0</v>
      </c>
      <c r="M1955" s="22">
        <v>0</v>
      </c>
      <c r="N1955" s="20" t="s">
        <v>14489</v>
      </c>
      <c r="O1955" s="16">
        <v>0</v>
      </c>
      <c r="P1955" s="143">
        <v>758</v>
      </c>
      <c r="Q1955" s="121" t="s">
        <v>14285</v>
      </c>
      <c r="R1955" s="16" t="s">
        <v>9235</v>
      </c>
      <c r="S1955" s="10" t="s">
        <v>1163</v>
      </c>
      <c r="T1955" s="28" t="s">
        <v>10985</v>
      </c>
      <c r="U1955" s="20" t="s">
        <v>5359</v>
      </c>
      <c r="V1955" s="16" t="s">
        <v>1849</v>
      </c>
      <c r="W1955" s="11" t="s">
        <v>14433</v>
      </c>
      <c r="X1955" s="174">
        <v>289.20999999999998</v>
      </c>
      <c r="Y1955" s="174">
        <v>369.48</v>
      </c>
    </row>
    <row r="1956" spans="1:25" ht="15" customHeight="1" x14ac:dyDescent="0.25">
      <c r="A1956" s="20" t="s">
        <v>6146</v>
      </c>
      <c r="B1956" s="14" t="s">
        <v>6147</v>
      </c>
      <c r="C1956" s="71" t="str">
        <f t="shared" si="40"/>
        <v>Product Info</v>
      </c>
      <c r="D1956" s="37" t="s">
        <v>3279</v>
      </c>
      <c r="E1956" s="143">
        <v>1</v>
      </c>
      <c r="F1956" s="12" t="s">
        <v>4992</v>
      </c>
      <c r="G1956" s="38">
        <v>371.89</v>
      </c>
      <c r="H1956" s="38">
        <v>316.11</v>
      </c>
      <c r="I1956" s="38">
        <v>260.32</v>
      </c>
      <c r="J1956" s="39"/>
      <c r="K1956" s="143"/>
      <c r="L1956" s="22">
        <v>0</v>
      </c>
      <c r="M1956" s="22">
        <v>0</v>
      </c>
      <c r="N1956" s="20" t="s">
        <v>14489</v>
      </c>
      <c r="O1956" s="16">
        <v>0</v>
      </c>
      <c r="P1956" s="143">
        <v>758</v>
      </c>
      <c r="Q1956" s="121" t="s">
        <v>14285</v>
      </c>
      <c r="R1956" s="16" t="s">
        <v>9235</v>
      </c>
      <c r="S1956" s="10" t="s">
        <v>1163</v>
      </c>
      <c r="T1956" s="28" t="s">
        <v>10986</v>
      </c>
      <c r="U1956" s="20" t="s">
        <v>5359</v>
      </c>
      <c r="V1956" s="16" t="s">
        <v>6146</v>
      </c>
      <c r="W1956" s="11" t="s">
        <v>14433</v>
      </c>
      <c r="X1956" s="174">
        <v>247.43</v>
      </c>
      <c r="Y1956" s="174">
        <v>316.11</v>
      </c>
    </row>
    <row r="1957" spans="1:25" ht="15" customHeight="1" x14ac:dyDescent="0.25">
      <c r="A1957" s="20" t="s">
        <v>1852</v>
      </c>
      <c r="B1957" s="14" t="s">
        <v>1853</v>
      </c>
      <c r="C1957" s="71" t="str">
        <f t="shared" si="40"/>
        <v>Product Info</v>
      </c>
      <c r="D1957" s="37" t="s">
        <v>1854</v>
      </c>
      <c r="E1957" s="143">
        <v>1</v>
      </c>
      <c r="F1957" s="12" t="s">
        <v>4992</v>
      </c>
      <c r="G1957" s="38">
        <v>388.76</v>
      </c>
      <c r="H1957" s="38">
        <v>330.46</v>
      </c>
      <c r="I1957" s="38">
        <v>272.13</v>
      </c>
      <c r="J1957" s="39"/>
      <c r="K1957" s="143"/>
      <c r="L1957" s="22">
        <v>0</v>
      </c>
      <c r="M1957" s="22">
        <v>0</v>
      </c>
      <c r="N1957" s="20" t="s">
        <v>14489</v>
      </c>
      <c r="O1957" s="16">
        <v>0</v>
      </c>
      <c r="P1957" s="143">
        <v>758</v>
      </c>
      <c r="Q1957" s="121" t="s">
        <v>14285</v>
      </c>
      <c r="R1957" s="16" t="s">
        <v>9235</v>
      </c>
      <c r="S1957" s="10" t="s">
        <v>1163</v>
      </c>
      <c r="T1957" s="28" t="s">
        <v>10987</v>
      </c>
      <c r="U1957" s="20" t="s">
        <v>5359</v>
      </c>
      <c r="V1957" s="16" t="s">
        <v>1852</v>
      </c>
      <c r="W1957" s="11" t="s">
        <v>14433</v>
      </c>
      <c r="X1957" s="174">
        <v>258.66000000000003</v>
      </c>
      <c r="Y1957" s="174">
        <v>330.46</v>
      </c>
    </row>
    <row r="1958" spans="1:25" ht="15" customHeight="1" x14ac:dyDescent="0.25">
      <c r="A1958" s="20" t="s">
        <v>1855</v>
      </c>
      <c r="B1958" s="14" t="s">
        <v>1856</v>
      </c>
      <c r="C1958" s="71" t="str">
        <f t="shared" si="40"/>
        <v>Product Info</v>
      </c>
      <c r="D1958" s="37" t="s">
        <v>1857</v>
      </c>
      <c r="E1958" s="143">
        <v>1</v>
      </c>
      <c r="F1958" s="12" t="s">
        <v>4992</v>
      </c>
      <c r="G1958" s="38">
        <v>388.76</v>
      </c>
      <c r="H1958" s="38">
        <v>330.46</v>
      </c>
      <c r="I1958" s="38">
        <v>272.13</v>
      </c>
      <c r="J1958" s="39"/>
      <c r="K1958" s="143"/>
      <c r="L1958" s="22">
        <v>0</v>
      </c>
      <c r="M1958" s="22">
        <v>0</v>
      </c>
      <c r="N1958" s="20" t="s">
        <v>14489</v>
      </c>
      <c r="O1958" s="16">
        <v>0</v>
      </c>
      <c r="P1958" s="143">
        <v>758</v>
      </c>
      <c r="Q1958" s="121" t="s">
        <v>14285</v>
      </c>
      <c r="R1958" s="16" t="s">
        <v>9235</v>
      </c>
      <c r="S1958" s="10" t="s">
        <v>1163</v>
      </c>
      <c r="T1958" s="28" t="s">
        <v>10988</v>
      </c>
      <c r="U1958" s="20" t="s">
        <v>5359</v>
      </c>
      <c r="V1958" s="16" t="s">
        <v>1855</v>
      </c>
      <c r="W1958" s="11" t="s">
        <v>14433</v>
      </c>
      <c r="X1958" s="174">
        <v>258.66000000000003</v>
      </c>
      <c r="Y1958" s="174">
        <v>330.46</v>
      </c>
    </row>
    <row r="1959" spans="1:25" ht="15" customHeight="1" x14ac:dyDescent="0.25">
      <c r="A1959" s="20" t="s">
        <v>6148</v>
      </c>
      <c r="B1959" s="14" t="s">
        <v>6149</v>
      </c>
      <c r="C1959" s="71" t="str">
        <f t="shared" si="40"/>
        <v>Product Info</v>
      </c>
      <c r="D1959" s="37" t="s">
        <v>3280</v>
      </c>
      <c r="E1959" s="143">
        <v>1</v>
      </c>
      <c r="F1959" s="12" t="s">
        <v>4992</v>
      </c>
      <c r="G1959" s="38">
        <v>417.79</v>
      </c>
      <c r="H1959" s="38">
        <v>355.13</v>
      </c>
      <c r="I1959" s="38">
        <v>292.45</v>
      </c>
      <c r="J1959" s="39"/>
      <c r="K1959" s="143"/>
      <c r="L1959" s="22">
        <v>0</v>
      </c>
      <c r="M1959" s="22">
        <v>0</v>
      </c>
      <c r="N1959" s="20" t="s">
        <v>14489</v>
      </c>
      <c r="O1959" s="16">
        <v>0</v>
      </c>
      <c r="P1959" s="143">
        <v>758</v>
      </c>
      <c r="Q1959" s="121" t="s">
        <v>14285</v>
      </c>
      <c r="R1959" s="16" t="s">
        <v>9235</v>
      </c>
      <c r="S1959" s="10" t="s">
        <v>1163</v>
      </c>
      <c r="T1959" s="28" t="s">
        <v>10989</v>
      </c>
      <c r="U1959" s="20" t="s">
        <v>5359</v>
      </c>
      <c r="V1959" s="16" t="s">
        <v>6148</v>
      </c>
      <c r="W1959" s="11" t="s">
        <v>14433</v>
      </c>
      <c r="X1959" s="174">
        <v>277.97000000000003</v>
      </c>
      <c r="Y1959" s="174">
        <v>355.13</v>
      </c>
    </row>
    <row r="1960" spans="1:25" ht="15" customHeight="1" x14ac:dyDescent="0.25">
      <c r="A1960" s="20" t="s">
        <v>1858</v>
      </c>
      <c r="B1960" s="14" t="s">
        <v>1859</v>
      </c>
      <c r="C1960" s="71" t="str">
        <f t="shared" si="40"/>
        <v>Product Info</v>
      </c>
      <c r="D1960" s="37" t="s">
        <v>1860</v>
      </c>
      <c r="E1960" s="143">
        <v>1</v>
      </c>
      <c r="F1960" s="12" t="s">
        <v>4992</v>
      </c>
      <c r="G1960" s="38">
        <v>434.67</v>
      </c>
      <c r="H1960" s="38">
        <v>369.48</v>
      </c>
      <c r="I1960" s="38">
        <v>304.27</v>
      </c>
      <c r="J1960" s="39"/>
      <c r="K1960" s="143"/>
      <c r="L1960" s="22">
        <v>0</v>
      </c>
      <c r="M1960" s="22">
        <v>0</v>
      </c>
      <c r="N1960" s="20" t="s">
        <v>14489</v>
      </c>
      <c r="O1960" s="16">
        <v>0</v>
      </c>
      <c r="P1960" s="143">
        <v>758</v>
      </c>
      <c r="Q1960" s="121" t="s">
        <v>14285</v>
      </c>
      <c r="R1960" s="16" t="s">
        <v>9235</v>
      </c>
      <c r="S1960" s="10" t="s">
        <v>1163</v>
      </c>
      <c r="T1960" s="28" t="s">
        <v>10990</v>
      </c>
      <c r="U1960" s="20" t="s">
        <v>5359</v>
      </c>
      <c r="V1960" s="16" t="s">
        <v>1858</v>
      </c>
      <c r="W1960" s="11" t="s">
        <v>14433</v>
      </c>
      <c r="X1960" s="174">
        <v>289.20999999999998</v>
      </c>
      <c r="Y1960" s="174">
        <v>369.48</v>
      </c>
    </row>
    <row r="1961" spans="1:25" ht="15" customHeight="1" x14ac:dyDescent="0.25">
      <c r="A1961" s="20" t="s">
        <v>1861</v>
      </c>
      <c r="B1961" s="14" t="s">
        <v>1862</v>
      </c>
      <c r="C1961" s="71" t="str">
        <f t="shared" si="40"/>
        <v>Product Info</v>
      </c>
      <c r="D1961" s="37" t="s">
        <v>1863</v>
      </c>
      <c r="E1961" s="143">
        <v>1</v>
      </c>
      <c r="F1961" s="12" t="s">
        <v>4992</v>
      </c>
      <c r="G1961" s="38">
        <v>388.76</v>
      </c>
      <c r="H1961" s="38">
        <v>330.46</v>
      </c>
      <c r="I1961" s="38">
        <v>272.13</v>
      </c>
      <c r="J1961" s="39"/>
      <c r="K1961" s="143"/>
      <c r="L1961" s="22">
        <v>0</v>
      </c>
      <c r="M1961" s="22">
        <v>0</v>
      </c>
      <c r="N1961" s="20" t="s">
        <v>14489</v>
      </c>
      <c r="O1961" s="16">
        <v>0</v>
      </c>
      <c r="P1961" s="143">
        <v>758</v>
      </c>
      <c r="Q1961" s="121" t="s">
        <v>14285</v>
      </c>
      <c r="R1961" s="16" t="s">
        <v>9235</v>
      </c>
      <c r="S1961" s="10" t="s">
        <v>1163</v>
      </c>
      <c r="T1961" s="28" t="s">
        <v>10991</v>
      </c>
      <c r="U1961" s="20" t="s">
        <v>5359</v>
      </c>
      <c r="V1961" s="16" t="s">
        <v>1861</v>
      </c>
      <c r="W1961" s="11" t="s">
        <v>14433</v>
      </c>
      <c r="X1961" s="174">
        <v>258.66000000000003</v>
      </c>
      <c r="Y1961" s="174">
        <v>330.46</v>
      </c>
    </row>
    <row r="1962" spans="1:25" ht="15" customHeight="1" x14ac:dyDescent="0.25">
      <c r="A1962" s="20" t="s">
        <v>6151</v>
      </c>
      <c r="B1962" s="14" t="s">
        <v>6152</v>
      </c>
      <c r="C1962" s="71" t="str">
        <f t="shared" si="40"/>
        <v>Product Info</v>
      </c>
      <c r="D1962" s="37" t="s">
        <v>3282</v>
      </c>
      <c r="E1962" s="143">
        <v>1</v>
      </c>
      <c r="F1962" s="12" t="s">
        <v>4992</v>
      </c>
      <c r="G1962" s="38">
        <v>371.89</v>
      </c>
      <c r="H1962" s="38">
        <v>316.11</v>
      </c>
      <c r="I1962" s="38">
        <v>260.32</v>
      </c>
      <c r="J1962" s="39"/>
      <c r="K1962" s="143"/>
      <c r="L1962" s="22">
        <v>0</v>
      </c>
      <c r="M1962" s="22">
        <v>0</v>
      </c>
      <c r="N1962" s="20" t="s">
        <v>14489</v>
      </c>
      <c r="O1962" s="16">
        <v>0</v>
      </c>
      <c r="P1962" s="143">
        <v>758</v>
      </c>
      <c r="Q1962" s="121" t="s">
        <v>14285</v>
      </c>
      <c r="R1962" s="16" t="s">
        <v>9235</v>
      </c>
      <c r="S1962" s="10" t="s">
        <v>1163</v>
      </c>
      <c r="T1962" s="28" t="s">
        <v>10992</v>
      </c>
      <c r="U1962" s="20" t="s">
        <v>5359</v>
      </c>
      <c r="V1962" s="16" t="s">
        <v>6151</v>
      </c>
      <c r="W1962" s="11" t="s">
        <v>14433</v>
      </c>
      <c r="X1962" s="174">
        <v>247.43</v>
      </c>
      <c r="Y1962" s="174">
        <v>316.11</v>
      </c>
    </row>
    <row r="1963" spans="1:25" ht="15" customHeight="1" x14ac:dyDescent="0.25">
      <c r="A1963" s="20" t="s">
        <v>1864</v>
      </c>
      <c r="B1963" s="14" t="s">
        <v>1865</v>
      </c>
      <c r="C1963" s="71" t="str">
        <f t="shared" si="40"/>
        <v>Product Info</v>
      </c>
      <c r="D1963" s="37" t="s">
        <v>1866</v>
      </c>
      <c r="E1963" s="143">
        <v>1</v>
      </c>
      <c r="F1963" s="12" t="s">
        <v>4992</v>
      </c>
      <c r="G1963" s="38">
        <v>388.76</v>
      </c>
      <c r="H1963" s="38">
        <v>330.46</v>
      </c>
      <c r="I1963" s="38">
        <v>272.13</v>
      </c>
      <c r="J1963" s="39"/>
      <c r="K1963" s="143"/>
      <c r="L1963" s="22">
        <v>0</v>
      </c>
      <c r="M1963" s="22">
        <v>0</v>
      </c>
      <c r="N1963" s="20" t="s">
        <v>14489</v>
      </c>
      <c r="O1963" s="16">
        <v>0</v>
      </c>
      <c r="P1963" s="143">
        <v>758</v>
      </c>
      <c r="Q1963" s="121" t="s">
        <v>14285</v>
      </c>
      <c r="R1963" s="16" t="s">
        <v>9235</v>
      </c>
      <c r="S1963" s="10" t="s">
        <v>1163</v>
      </c>
      <c r="T1963" s="28" t="s">
        <v>10993</v>
      </c>
      <c r="U1963" s="20" t="s">
        <v>5359</v>
      </c>
      <c r="V1963" s="16" t="s">
        <v>1864</v>
      </c>
      <c r="W1963" s="11" t="s">
        <v>14433</v>
      </c>
      <c r="X1963" s="174">
        <v>258.66000000000003</v>
      </c>
      <c r="Y1963" s="174">
        <v>330.46</v>
      </c>
    </row>
    <row r="1964" spans="1:25" ht="15" customHeight="1" x14ac:dyDescent="0.25">
      <c r="A1964" s="20" t="s">
        <v>7924</v>
      </c>
      <c r="B1964" s="14" t="s">
        <v>7925</v>
      </c>
      <c r="C1964" s="71" t="str">
        <f t="shared" si="40"/>
        <v>Product Info</v>
      </c>
      <c r="D1964" s="37" t="s">
        <v>3283</v>
      </c>
      <c r="E1964" s="143">
        <v>1</v>
      </c>
      <c r="F1964" s="12" t="s">
        <v>4992</v>
      </c>
      <c r="G1964" s="38">
        <v>371.89</v>
      </c>
      <c r="H1964" s="38">
        <v>316.11</v>
      </c>
      <c r="I1964" s="38">
        <v>260.32</v>
      </c>
      <c r="J1964" s="39"/>
      <c r="K1964" s="143"/>
      <c r="L1964" s="22">
        <v>0</v>
      </c>
      <c r="M1964" s="22">
        <v>0</v>
      </c>
      <c r="N1964" s="20" t="s">
        <v>14489</v>
      </c>
      <c r="O1964" s="16">
        <v>0</v>
      </c>
      <c r="P1964" s="143">
        <v>758</v>
      </c>
      <c r="Q1964" s="121" t="s">
        <v>14285</v>
      </c>
      <c r="R1964" s="16" t="s">
        <v>9235</v>
      </c>
      <c r="S1964" s="10" t="s">
        <v>1163</v>
      </c>
      <c r="T1964" s="28" t="s">
        <v>10994</v>
      </c>
      <c r="U1964" s="20" t="s">
        <v>5359</v>
      </c>
      <c r="V1964" s="16" t="s">
        <v>7924</v>
      </c>
      <c r="W1964" s="11" t="s">
        <v>14433</v>
      </c>
      <c r="X1964" s="174">
        <v>247.43</v>
      </c>
      <c r="Y1964" s="174">
        <v>316.11</v>
      </c>
    </row>
    <row r="1965" spans="1:25" ht="15" customHeight="1" x14ac:dyDescent="0.25">
      <c r="A1965" s="20" t="s">
        <v>1867</v>
      </c>
      <c r="B1965" s="14" t="s">
        <v>1868</v>
      </c>
      <c r="C1965" s="71" t="str">
        <f t="shared" si="40"/>
        <v>Product Info</v>
      </c>
      <c r="D1965" s="37" t="s">
        <v>1869</v>
      </c>
      <c r="E1965" s="143">
        <v>1</v>
      </c>
      <c r="F1965" s="12" t="s">
        <v>4992</v>
      </c>
      <c r="G1965" s="38">
        <v>388.76</v>
      </c>
      <c r="H1965" s="38">
        <v>330.46</v>
      </c>
      <c r="I1965" s="38">
        <v>272.13</v>
      </c>
      <c r="J1965" s="39"/>
      <c r="K1965" s="143"/>
      <c r="L1965" s="22">
        <v>0</v>
      </c>
      <c r="M1965" s="22">
        <v>0</v>
      </c>
      <c r="N1965" s="20" t="s">
        <v>14489</v>
      </c>
      <c r="O1965" s="16">
        <v>0</v>
      </c>
      <c r="P1965" s="143">
        <v>758</v>
      </c>
      <c r="Q1965" s="121" t="s">
        <v>14285</v>
      </c>
      <c r="R1965" s="16" t="s">
        <v>9235</v>
      </c>
      <c r="S1965" s="10" t="s">
        <v>1163</v>
      </c>
      <c r="T1965" s="28" t="s">
        <v>10995</v>
      </c>
      <c r="U1965" s="20" t="s">
        <v>5359</v>
      </c>
      <c r="V1965" s="16" t="s">
        <v>1867</v>
      </c>
      <c r="W1965" s="11" t="s">
        <v>14433</v>
      </c>
      <c r="X1965" s="174">
        <v>258.66000000000003</v>
      </c>
      <c r="Y1965" s="174">
        <v>330.46</v>
      </c>
    </row>
    <row r="1966" spans="1:25" ht="15" customHeight="1" x14ac:dyDescent="0.25">
      <c r="A1966" s="20" t="s">
        <v>1870</v>
      </c>
      <c r="B1966" s="14" t="s">
        <v>1871</v>
      </c>
      <c r="C1966" s="71" t="str">
        <f t="shared" si="40"/>
        <v>Product Info</v>
      </c>
      <c r="D1966" s="37" t="s">
        <v>1872</v>
      </c>
      <c r="E1966" s="143">
        <v>1</v>
      </c>
      <c r="F1966" s="12" t="s">
        <v>4992</v>
      </c>
      <c r="G1966" s="38">
        <v>388.76</v>
      </c>
      <c r="H1966" s="38">
        <v>330.46</v>
      </c>
      <c r="I1966" s="38">
        <v>272.13</v>
      </c>
      <c r="J1966" s="39"/>
      <c r="K1966" s="143"/>
      <c r="L1966" s="22">
        <v>0</v>
      </c>
      <c r="M1966" s="22">
        <v>0</v>
      </c>
      <c r="N1966" s="20" t="s">
        <v>14489</v>
      </c>
      <c r="O1966" s="16">
        <v>0</v>
      </c>
      <c r="P1966" s="143">
        <v>758</v>
      </c>
      <c r="Q1966" s="121" t="s">
        <v>14285</v>
      </c>
      <c r="R1966" s="16" t="s">
        <v>9235</v>
      </c>
      <c r="S1966" s="10" t="s">
        <v>1163</v>
      </c>
      <c r="T1966" s="28" t="s">
        <v>10996</v>
      </c>
      <c r="U1966" s="20" t="s">
        <v>5359</v>
      </c>
      <c r="V1966" s="16" t="s">
        <v>1870</v>
      </c>
      <c r="W1966" s="11" t="s">
        <v>14433</v>
      </c>
      <c r="X1966" s="174">
        <v>258.66000000000003</v>
      </c>
      <c r="Y1966" s="174">
        <v>330.46</v>
      </c>
    </row>
    <row r="1967" spans="1:25" ht="15" customHeight="1" x14ac:dyDescent="0.25">
      <c r="A1967" s="20" t="s">
        <v>7926</v>
      </c>
      <c r="B1967" s="14" t="s">
        <v>7927</v>
      </c>
      <c r="C1967" s="71" t="str">
        <f t="shared" si="40"/>
        <v>Product Info</v>
      </c>
      <c r="D1967" s="37" t="s">
        <v>3284</v>
      </c>
      <c r="E1967" s="143">
        <v>1</v>
      </c>
      <c r="F1967" s="12" t="s">
        <v>4992</v>
      </c>
      <c r="G1967" s="38">
        <v>417.79</v>
      </c>
      <c r="H1967" s="38">
        <v>355.13</v>
      </c>
      <c r="I1967" s="38">
        <v>292.45</v>
      </c>
      <c r="J1967" s="39"/>
      <c r="K1967" s="143"/>
      <c r="L1967" s="22">
        <v>0</v>
      </c>
      <c r="M1967" s="22">
        <v>0</v>
      </c>
      <c r="N1967" s="20" t="s">
        <v>14489</v>
      </c>
      <c r="O1967" s="16">
        <v>0</v>
      </c>
      <c r="P1967" s="143">
        <v>758</v>
      </c>
      <c r="Q1967" s="121" t="s">
        <v>14285</v>
      </c>
      <c r="R1967" s="16" t="s">
        <v>9235</v>
      </c>
      <c r="S1967" s="10" t="s">
        <v>1163</v>
      </c>
      <c r="T1967" s="28" t="s">
        <v>10997</v>
      </c>
      <c r="U1967" s="20" t="s">
        <v>5359</v>
      </c>
      <c r="V1967" s="16" t="s">
        <v>7926</v>
      </c>
      <c r="W1967" s="11" t="s">
        <v>14433</v>
      </c>
      <c r="X1967" s="174">
        <v>277.97000000000003</v>
      </c>
      <c r="Y1967" s="174">
        <v>355.13</v>
      </c>
    </row>
    <row r="1968" spans="1:25" ht="15" customHeight="1" x14ac:dyDescent="0.25">
      <c r="A1968" s="20" t="s">
        <v>1873</v>
      </c>
      <c r="B1968" s="14" t="s">
        <v>1874</v>
      </c>
      <c r="C1968" s="71" t="str">
        <f t="shared" si="40"/>
        <v>Product Info</v>
      </c>
      <c r="D1968" s="37" t="s">
        <v>1875</v>
      </c>
      <c r="E1968" s="143">
        <v>1</v>
      </c>
      <c r="F1968" s="12" t="s">
        <v>4992</v>
      </c>
      <c r="G1968" s="38">
        <v>434.67</v>
      </c>
      <c r="H1968" s="38">
        <v>369.48</v>
      </c>
      <c r="I1968" s="38">
        <v>304.27</v>
      </c>
      <c r="J1968" s="39"/>
      <c r="K1968" s="143"/>
      <c r="L1968" s="22">
        <v>0</v>
      </c>
      <c r="M1968" s="22">
        <v>0</v>
      </c>
      <c r="N1968" s="20" t="s">
        <v>14489</v>
      </c>
      <c r="O1968" s="16">
        <v>0</v>
      </c>
      <c r="P1968" s="143">
        <v>758</v>
      </c>
      <c r="Q1968" s="121" t="s">
        <v>14285</v>
      </c>
      <c r="R1968" s="16" t="s">
        <v>9235</v>
      </c>
      <c r="S1968" s="10" t="s">
        <v>1163</v>
      </c>
      <c r="T1968" s="28" t="s">
        <v>10998</v>
      </c>
      <c r="U1968" s="20" t="s">
        <v>5359</v>
      </c>
      <c r="V1968" s="16" t="s">
        <v>1873</v>
      </c>
      <c r="W1968" s="11" t="s">
        <v>14433</v>
      </c>
      <c r="X1968" s="174">
        <v>289.20999999999998</v>
      </c>
      <c r="Y1968" s="174">
        <v>369.48</v>
      </c>
    </row>
    <row r="1969" spans="1:25" ht="15" customHeight="1" x14ac:dyDescent="0.25">
      <c r="A1969" s="20" t="s">
        <v>7928</v>
      </c>
      <c r="B1969" s="14" t="s">
        <v>7929</v>
      </c>
      <c r="C1969" s="71" t="str">
        <f t="shared" si="40"/>
        <v>Product Info</v>
      </c>
      <c r="D1969" s="37" t="s">
        <v>3285</v>
      </c>
      <c r="E1969" s="143">
        <v>1</v>
      </c>
      <c r="F1969" s="12" t="s">
        <v>4992</v>
      </c>
      <c r="G1969" s="38">
        <v>417.79</v>
      </c>
      <c r="H1969" s="38">
        <v>355.13</v>
      </c>
      <c r="I1969" s="38">
        <v>292.45</v>
      </c>
      <c r="J1969" s="39"/>
      <c r="K1969" s="143"/>
      <c r="L1969" s="22">
        <v>0</v>
      </c>
      <c r="M1969" s="22">
        <v>0</v>
      </c>
      <c r="N1969" s="20" t="s">
        <v>14489</v>
      </c>
      <c r="O1969" s="16">
        <v>0</v>
      </c>
      <c r="P1969" s="143">
        <v>758</v>
      </c>
      <c r="Q1969" s="121" t="s">
        <v>14285</v>
      </c>
      <c r="R1969" s="16" t="s">
        <v>9235</v>
      </c>
      <c r="S1969" s="10" t="s">
        <v>1163</v>
      </c>
      <c r="T1969" s="28" t="s">
        <v>10999</v>
      </c>
      <c r="U1969" s="20" t="s">
        <v>5359</v>
      </c>
      <c r="V1969" s="16" t="s">
        <v>7928</v>
      </c>
      <c r="W1969" s="11" t="s">
        <v>14433</v>
      </c>
      <c r="X1969" s="174">
        <v>277.97000000000003</v>
      </c>
      <c r="Y1969" s="174">
        <v>355.13</v>
      </c>
    </row>
    <row r="1970" spans="1:25" ht="15" customHeight="1" x14ac:dyDescent="0.25">
      <c r="A1970" s="20" t="s">
        <v>1876</v>
      </c>
      <c r="B1970" s="14" t="s">
        <v>1877</v>
      </c>
      <c r="C1970" s="71" t="str">
        <f t="shared" si="40"/>
        <v>Product Info</v>
      </c>
      <c r="D1970" s="37" t="s">
        <v>1878</v>
      </c>
      <c r="E1970" s="143">
        <v>1</v>
      </c>
      <c r="F1970" s="12" t="s">
        <v>4992</v>
      </c>
      <c r="G1970" s="38">
        <v>434.67</v>
      </c>
      <c r="H1970" s="38">
        <v>369.48</v>
      </c>
      <c r="I1970" s="38">
        <v>304.27</v>
      </c>
      <c r="J1970" s="39"/>
      <c r="K1970" s="143"/>
      <c r="L1970" s="22">
        <v>0</v>
      </c>
      <c r="M1970" s="22">
        <v>0</v>
      </c>
      <c r="N1970" s="20" t="s">
        <v>14489</v>
      </c>
      <c r="O1970" s="16">
        <v>0</v>
      </c>
      <c r="P1970" s="143">
        <v>758</v>
      </c>
      <c r="Q1970" s="121" t="s">
        <v>14285</v>
      </c>
      <c r="R1970" s="16" t="s">
        <v>9235</v>
      </c>
      <c r="S1970" s="10" t="s">
        <v>1163</v>
      </c>
      <c r="T1970" s="28" t="s">
        <v>11000</v>
      </c>
      <c r="U1970" s="20" t="s">
        <v>5359</v>
      </c>
      <c r="V1970" s="16" t="s">
        <v>1876</v>
      </c>
      <c r="W1970" s="11" t="s">
        <v>14433</v>
      </c>
      <c r="X1970" s="174">
        <v>289.20999999999998</v>
      </c>
      <c r="Y1970" s="174">
        <v>369.48</v>
      </c>
    </row>
    <row r="1971" spans="1:25" ht="15" customHeight="1" x14ac:dyDescent="0.25">
      <c r="A1971" s="20" t="s">
        <v>1879</v>
      </c>
      <c r="B1971" s="14" t="s">
        <v>1880</v>
      </c>
      <c r="C1971" s="71" t="str">
        <f t="shared" si="40"/>
        <v>Product Info</v>
      </c>
      <c r="D1971" s="37" t="s">
        <v>1881</v>
      </c>
      <c r="E1971" s="143">
        <v>1</v>
      </c>
      <c r="F1971" s="12" t="s">
        <v>4992</v>
      </c>
      <c r="G1971" s="38">
        <v>388.76</v>
      </c>
      <c r="H1971" s="38">
        <v>330.46</v>
      </c>
      <c r="I1971" s="38">
        <v>272.13</v>
      </c>
      <c r="J1971" s="39"/>
      <c r="K1971" s="143"/>
      <c r="L1971" s="22">
        <v>0</v>
      </c>
      <c r="M1971" s="22">
        <v>0</v>
      </c>
      <c r="N1971" s="20" t="s">
        <v>14489</v>
      </c>
      <c r="O1971" s="16">
        <v>0</v>
      </c>
      <c r="P1971" s="143">
        <v>758</v>
      </c>
      <c r="Q1971" s="121" t="s">
        <v>14285</v>
      </c>
      <c r="R1971" s="16" t="s">
        <v>9235</v>
      </c>
      <c r="S1971" s="10" t="s">
        <v>1163</v>
      </c>
      <c r="T1971" s="28" t="s">
        <v>11001</v>
      </c>
      <c r="U1971" s="20" t="s">
        <v>5359</v>
      </c>
      <c r="V1971" s="16" t="s">
        <v>1879</v>
      </c>
      <c r="W1971" s="11" t="s">
        <v>14433</v>
      </c>
      <c r="X1971" s="174">
        <v>258.66000000000003</v>
      </c>
      <c r="Y1971" s="174">
        <v>330.46</v>
      </c>
    </row>
    <row r="1972" spans="1:25" ht="15" customHeight="1" x14ac:dyDescent="0.25">
      <c r="A1972" s="20" t="s">
        <v>7931</v>
      </c>
      <c r="B1972" s="14" t="s">
        <v>7932</v>
      </c>
      <c r="C1972" s="71" t="str">
        <f t="shared" si="40"/>
        <v>Product Info</v>
      </c>
      <c r="D1972" s="37" t="s">
        <v>3287</v>
      </c>
      <c r="E1972" s="143">
        <v>1</v>
      </c>
      <c r="F1972" s="12" t="s">
        <v>4992</v>
      </c>
      <c r="G1972" s="38">
        <v>371.89</v>
      </c>
      <c r="H1972" s="38">
        <v>316.11</v>
      </c>
      <c r="I1972" s="38">
        <v>260.32</v>
      </c>
      <c r="J1972" s="39"/>
      <c r="K1972" s="143"/>
      <c r="L1972" s="22">
        <v>0</v>
      </c>
      <c r="M1972" s="22">
        <v>0</v>
      </c>
      <c r="N1972" s="20" t="s">
        <v>14489</v>
      </c>
      <c r="O1972" s="16">
        <v>0</v>
      </c>
      <c r="P1972" s="143">
        <v>758</v>
      </c>
      <c r="Q1972" s="121" t="s">
        <v>14285</v>
      </c>
      <c r="R1972" s="16" t="s">
        <v>9235</v>
      </c>
      <c r="S1972" s="10" t="s">
        <v>1163</v>
      </c>
      <c r="T1972" s="28" t="s">
        <v>11002</v>
      </c>
      <c r="U1972" s="20" t="s">
        <v>5359</v>
      </c>
      <c r="V1972" s="16" t="s">
        <v>7931</v>
      </c>
      <c r="W1972" s="11" t="s">
        <v>14433</v>
      </c>
      <c r="X1972" s="174">
        <v>247.43</v>
      </c>
      <c r="Y1972" s="174">
        <v>316.11</v>
      </c>
    </row>
    <row r="1973" spans="1:25" ht="15" customHeight="1" x14ac:dyDescent="0.25">
      <c r="A1973" s="20" t="s">
        <v>1882</v>
      </c>
      <c r="B1973" s="14" t="s">
        <v>1883</v>
      </c>
      <c r="C1973" s="71" t="str">
        <f t="shared" si="40"/>
        <v>Product Info</v>
      </c>
      <c r="D1973" s="37" t="s">
        <v>1884</v>
      </c>
      <c r="E1973" s="143">
        <v>1</v>
      </c>
      <c r="F1973" s="12" t="s">
        <v>4992</v>
      </c>
      <c r="G1973" s="38">
        <v>388.76</v>
      </c>
      <c r="H1973" s="38">
        <v>330.46</v>
      </c>
      <c r="I1973" s="38">
        <v>272.13</v>
      </c>
      <c r="J1973" s="39"/>
      <c r="K1973" s="143"/>
      <c r="L1973" s="22">
        <v>0</v>
      </c>
      <c r="M1973" s="22">
        <v>0</v>
      </c>
      <c r="N1973" s="20" t="s">
        <v>14489</v>
      </c>
      <c r="O1973" s="16">
        <v>0</v>
      </c>
      <c r="P1973" s="143">
        <v>758</v>
      </c>
      <c r="Q1973" s="121" t="s">
        <v>14285</v>
      </c>
      <c r="R1973" s="16" t="s">
        <v>9235</v>
      </c>
      <c r="S1973" s="10" t="s">
        <v>1163</v>
      </c>
      <c r="T1973" s="28" t="s">
        <v>11003</v>
      </c>
      <c r="U1973" s="20" t="s">
        <v>5359</v>
      </c>
      <c r="V1973" s="16" t="s">
        <v>1882</v>
      </c>
      <c r="W1973" s="11" t="s">
        <v>14433</v>
      </c>
      <c r="X1973" s="174">
        <v>258.66000000000003</v>
      </c>
      <c r="Y1973" s="174">
        <v>330.46</v>
      </c>
    </row>
    <row r="1974" spans="1:25" ht="15" customHeight="1" x14ac:dyDescent="0.25">
      <c r="A1974" s="20" t="s">
        <v>7933</v>
      </c>
      <c r="B1974" s="14" t="s">
        <v>7934</v>
      </c>
      <c r="C1974" s="71" t="str">
        <f t="shared" si="40"/>
        <v>Product Info</v>
      </c>
      <c r="D1974" s="37" t="s">
        <v>3288</v>
      </c>
      <c r="E1974" s="143">
        <v>1</v>
      </c>
      <c r="F1974" s="12" t="s">
        <v>4992</v>
      </c>
      <c r="G1974" s="38">
        <v>371.89</v>
      </c>
      <c r="H1974" s="38">
        <v>316.11</v>
      </c>
      <c r="I1974" s="38">
        <v>260.32</v>
      </c>
      <c r="J1974" s="39"/>
      <c r="K1974" s="143"/>
      <c r="L1974" s="22">
        <v>0</v>
      </c>
      <c r="M1974" s="22">
        <v>0</v>
      </c>
      <c r="N1974" s="20" t="s">
        <v>14489</v>
      </c>
      <c r="O1974" s="16">
        <v>0</v>
      </c>
      <c r="P1974" s="143">
        <v>758</v>
      </c>
      <c r="Q1974" s="121" t="s">
        <v>14285</v>
      </c>
      <c r="R1974" s="16" t="s">
        <v>9235</v>
      </c>
      <c r="S1974" s="10" t="s">
        <v>1163</v>
      </c>
      <c r="T1974" s="28" t="s">
        <v>11004</v>
      </c>
      <c r="U1974" s="20" t="s">
        <v>5359</v>
      </c>
      <c r="V1974" s="16" t="s">
        <v>7933</v>
      </c>
      <c r="W1974" s="11" t="s">
        <v>14433</v>
      </c>
      <c r="X1974" s="174">
        <v>247.43</v>
      </c>
      <c r="Y1974" s="174">
        <v>316.11</v>
      </c>
    </row>
    <row r="1975" spans="1:25" ht="15" customHeight="1" x14ac:dyDescent="0.25">
      <c r="A1975" s="20" t="s">
        <v>1885</v>
      </c>
      <c r="B1975" s="14" t="s">
        <v>1886</v>
      </c>
      <c r="C1975" s="71" t="str">
        <f t="shared" si="40"/>
        <v>Product Info</v>
      </c>
      <c r="D1975" s="37" t="s">
        <v>1887</v>
      </c>
      <c r="E1975" s="143">
        <v>1</v>
      </c>
      <c r="F1975" s="12" t="s">
        <v>4992</v>
      </c>
      <c r="G1975" s="38">
        <v>388.76</v>
      </c>
      <c r="H1975" s="38">
        <v>330.46</v>
      </c>
      <c r="I1975" s="38">
        <v>272.13</v>
      </c>
      <c r="J1975" s="39"/>
      <c r="K1975" s="143"/>
      <c r="L1975" s="22">
        <v>0</v>
      </c>
      <c r="M1975" s="22">
        <v>0</v>
      </c>
      <c r="N1975" s="20" t="s">
        <v>14489</v>
      </c>
      <c r="O1975" s="16">
        <v>0</v>
      </c>
      <c r="P1975" s="143">
        <v>758</v>
      </c>
      <c r="Q1975" s="121" t="s">
        <v>14285</v>
      </c>
      <c r="R1975" s="16" t="s">
        <v>9235</v>
      </c>
      <c r="S1975" s="10" t="s">
        <v>1163</v>
      </c>
      <c r="T1975" s="28" t="s">
        <v>11005</v>
      </c>
      <c r="U1975" s="20" t="s">
        <v>5359</v>
      </c>
      <c r="V1975" s="16" t="s">
        <v>1885</v>
      </c>
      <c r="W1975" s="11" t="s">
        <v>14433</v>
      </c>
      <c r="X1975" s="174">
        <v>258.66000000000003</v>
      </c>
      <c r="Y1975" s="174">
        <v>330.46</v>
      </c>
    </row>
    <row r="1976" spans="1:25" ht="15" customHeight="1" x14ac:dyDescent="0.25">
      <c r="A1976" s="20" t="s">
        <v>7935</v>
      </c>
      <c r="B1976" s="14" t="s">
        <v>7936</v>
      </c>
      <c r="C1976" s="71" t="str">
        <f t="shared" si="40"/>
        <v>Product Info</v>
      </c>
      <c r="D1976" s="37" t="s">
        <v>3289</v>
      </c>
      <c r="E1976" s="143">
        <v>1</v>
      </c>
      <c r="F1976" s="12" t="s">
        <v>4992</v>
      </c>
      <c r="G1976" s="38">
        <v>417.79</v>
      </c>
      <c r="H1976" s="38">
        <v>355.13</v>
      </c>
      <c r="I1976" s="38">
        <v>292.45</v>
      </c>
      <c r="J1976" s="39"/>
      <c r="K1976" s="143"/>
      <c r="L1976" s="22">
        <v>0</v>
      </c>
      <c r="M1976" s="22">
        <v>0</v>
      </c>
      <c r="N1976" s="20" t="s">
        <v>14489</v>
      </c>
      <c r="O1976" s="16">
        <v>0</v>
      </c>
      <c r="P1976" s="143">
        <v>758</v>
      </c>
      <c r="Q1976" s="121" t="s">
        <v>14285</v>
      </c>
      <c r="R1976" s="16" t="s">
        <v>9235</v>
      </c>
      <c r="S1976" s="10" t="s">
        <v>1163</v>
      </c>
      <c r="T1976" s="28" t="s">
        <v>11006</v>
      </c>
      <c r="U1976" s="20" t="s">
        <v>5359</v>
      </c>
      <c r="V1976" s="16" t="s">
        <v>7935</v>
      </c>
      <c r="W1976" s="11" t="s">
        <v>14433</v>
      </c>
      <c r="X1976" s="174">
        <v>277.97000000000003</v>
      </c>
      <c r="Y1976" s="174">
        <v>355.13</v>
      </c>
    </row>
    <row r="1977" spans="1:25" ht="15" customHeight="1" x14ac:dyDescent="0.25">
      <c r="A1977" s="20" t="s">
        <v>1888</v>
      </c>
      <c r="B1977" s="14" t="s">
        <v>1889</v>
      </c>
      <c r="C1977" s="71" t="str">
        <f t="shared" si="40"/>
        <v>Product Info</v>
      </c>
      <c r="D1977" s="37" t="s">
        <v>1890</v>
      </c>
      <c r="E1977" s="143">
        <v>1</v>
      </c>
      <c r="F1977" s="12" t="s">
        <v>4992</v>
      </c>
      <c r="G1977" s="38">
        <v>434.67</v>
      </c>
      <c r="H1977" s="38">
        <v>369.48</v>
      </c>
      <c r="I1977" s="38">
        <v>304.27</v>
      </c>
      <c r="J1977" s="39"/>
      <c r="K1977" s="143"/>
      <c r="L1977" s="22">
        <v>0</v>
      </c>
      <c r="M1977" s="22">
        <v>0</v>
      </c>
      <c r="N1977" s="20" t="s">
        <v>14489</v>
      </c>
      <c r="O1977" s="16">
        <v>0</v>
      </c>
      <c r="P1977" s="143">
        <v>758</v>
      </c>
      <c r="Q1977" s="121" t="s">
        <v>14285</v>
      </c>
      <c r="R1977" s="16" t="s">
        <v>9235</v>
      </c>
      <c r="S1977" s="10" t="s">
        <v>1163</v>
      </c>
      <c r="T1977" s="28" t="s">
        <v>11007</v>
      </c>
      <c r="U1977" s="20" t="s">
        <v>5359</v>
      </c>
      <c r="V1977" s="16" t="s">
        <v>1888</v>
      </c>
      <c r="W1977" s="11" t="s">
        <v>14433</v>
      </c>
      <c r="X1977" s="174">
        <v>289.20999999999998</v>
      </c>
      <c r="Y1977" s="174">
        <v>369.48</v>
      </c>
    </row>
    <row r="1978" spans="1:25" ht="15" customHeight="1" x14ac:dyDescent="0.25">
      <c r="A1978" s="20" t="s">
        <v>7338</v>
      </c>
      <c r="B1978" s="14" t="s">
        <v>7339</v>
      </c>
      <c r="C1978" s="71" t="str">
        <f t="shared" si="40"/>
        <v>Product Info</v>
      </c>
      <c r="D1978" s="37" t="s">
        <v>3292</v>
      </c>
      <c r="E1978" s="143">
        <v>1</v>
      </c>
      <c r="F1978" s="12" t="s">
        <v>4992</v>
      </c>
      <c r="G1978" s="38">
        <v>371.89</v>
      </c>
      <c r="H1978" s="38">
        <v>316.11</v>
      </c>
      <c r="I1978" s="38">
        <v>260.32</v>
      </c>
      <c r="J1978" s="39"/>
      <c r="K1978" s="143"/>
      <c r="L1978" s="22">
        <v>0</v>
      </c>
      <c r="M1978" s="22">
        <v>0</v>
      </c>
      <c r="N1978" s="20" t="s">
        <v>14489</v>
      </c>
      <c r="O1978" s="16">
        <v>0</v>
      </c>
      <c r="P1978" s="143">
        <v>758</v>
      </c>
      <c r="Q1978" s="121" t="s">
        <v>14285</v>
      </c>
      <c r="R1978" s="16" t="s">
        <v>9235</v>
      </c>
      <c r="S1978" s="10" t="s">
        <v>1163</v>
      </c>
      <c r="T1978" s="28" t="s">
        <v>11008</v>
      </c>
      <c r="U1978" s="20" t="s">
        <v>5359</v>
      </c>
      <c r="V1978" s="16" t="s">
        <v>7338</v>
      </c>
      <c r="W1978" s="11" t="s">
        <v>14433</v>
      </c>
      <c r="X1978" s="174">
        <v>247.43</v>
      </c>
      <c r="Y1978" s="174">
        <v>316.11</v>
      </c>
    </row>
    <row r="1979" spans="1:25" ht="15" customHeight="1" x14ac:dyDescent="0.25">
      <c r="A1979" s="20" t="s">
        <v>1891</v>
      </c>
      <c r="B1979" s="14" t="s">
        <v>1892</v>
      </c>
      <c r="C1979" s="71" t="str">
        <f t="shared" si="40"/>
        <v>Product Info</v>
      </c>
      <c r="D1979" s="37" t="s">
        <v>1893</v>
      </c>
      <c r="E1979" s="143">
        <v>1</v>
      </c>
      <c r="F1979" s="12" t="s">
        <v>4992</v>
      </c>
      <c r="G1979" s="38">
        <v>388.76</v>
      </c>
      <c r="H1979" s="38">
        <v>330.46</v>
      </c>
      <c r="I1979" s="38">
        <v>272.13</v>
      </c>
      <c r="J1979" s="39"/>
      <c r="K1979" s="143"/>
      <c r="L1979" s="22">
        <v>0</v>
      </c>
      <c r="M1979" s="22">
        <v>0</v>
      </c>
      <c r="N1979" s="20" t="s">
        <v>14489</v>
      </c>
      <c r="O1979" s="16">
        <v>0</v>
      </c>
      <c r="P1979" s="143">
        <v>758</v>
      </c>
      <c r="Q1979" s="121" t="s">
        <v>14285</v>
      </c>
      <c r="R1979" s="16" t="s">
        <v>9235</v>
      </c>
      <c r="S1979" s="10" t="s">
        <v>1163</v>
      </c>
      <c r="T1979" s="28" t="s">
        <v>11009</v>
      </c>
      <c r="U1979" s="20" t="s">
        <v>5359</v>
      </c>
      <c r="V1979" s="16" t="s">
        <v>1891</v>
      </c>
      <c r="W1979" s="11" t="s">
        <v>14433</v>
      </c>
      <c r="X1979" s="174">
        <v>258.66000000000003</v>
      </c>
      <c r="Y1979" s="174">
        <v>330.46</v>
      </c>
    </row>
    <row r="1980" spans="1:25" ht="15" customHeight="1" x14ac:dyDescent="0.25">
      <c r="A1980" s="20" t="s">
        <v>7340</v>
      </c>
      <c r="B1980" s="14" t="s">
        <v>7341</v>
      </c>
      <c r="C1980" s="71" t="str">
        <f t="shared" si="40"/>
        <v>Product Info</v>
      </c>
      <c r="D1980" s="37" t="s">
        <v>3293</v>
      </c>
      <c r="E1980" s="143">
        <v>1</v>
      </c>
      <c r="F1980" s="12" t="s">
        <v>4992</v>
      </c>
      <c r="G1980" s="38">
        <v>417.79</v>
      </c>
      <c r="H1980" s="38">
        <v>355.13</v>
      </c>
      <c r="I1980" s="38">
        <v>292.45</v>
      </c>
      <c r="J1980" s="39"/>
      <c r="K1980" s="143"/>
      <c r="L1980" s="22">
        <v>0</v>
      </c>
      <c r="M1980" s="22">
        <v>0</v>
      </c>
      <c r="N1980" s="20" t="s">
        <v>14489</v>
      </c>
      <c r="O1980" s="16">
        <v>0</v>
      </c>
      <c r="P1980" s="143">
        <v>758</v>
      </c>
      <c r="Q1980" s="121" t="s">
        <v>14285</v>
      </c>
      <c r="R1980" s="16" t="s">
        <v>9235</v>
      </c>
      <c r="S1980" s="10" t="s">
        <v>1163</v>
      </c>
      <c r="T1980" s="28" t="s">
        <v>11010</v>
      </c>
      <c r="U1980" s="20" t="s">
        <v>5359</v>
      </c>
      <c r="V1980" s="16" t="s">
        <v>7340</v>
      </c>
      <c r="W1980" s="11" t="s">
        <v>14433</v>
      </c>
      <c r="X1980" s="174">
        <v>277.97000000000003</v>
      </c>
      <c r="Y1980" s="174">
        <v>355.13</v>
      </c>
    </row>
    <row r="1981" spans="1:25" ht="15" customHeight="1" x14ac:dyDescent="0.25">
      <c r="A1981" s="20" t="s">
        <v>1894</v>
      </c>
      <c r="B1981" s="14" t="s">
        <v>1895</v>
      </c>
      <c r="C1981" s="71" t="str">
        <f t="shared" si="40"/>
        <v>Product Info</v>
      </c>
      <c r="D1981" s="37" t="s">
        <v>1896</v>
      </c>
      <c r="E1981" s="143">
        <v>1</v>
      </c>
      <c r="F1981" s="12" t="s">
        <v>4992</v>
      </c>
      <c r="G1981" s="38">
        <v>434.67</v>
      </c>
      <c r="H1981" s="38">
        <v>369.48</v>
      </c>
      <c r="I1981" s="38">
        <v>304.27</v>
      </c>
      <c r="J1981" s="39"/>
      <c r="K1981" s="143"/>
      <c r="L1981" s="22">
        <v>0</v>
      </c>
      <c r="M1981" s="22">
        <v>0</v>
      </c>
      <c r="N1981" s="20" t="s">
        <v>14489</v>
      </c>
      <c r="O1981" s="16">
        <v>0</v>
      </c>
      <c r="P1981" s="143">
        <v>758</v>
      </c>
      <c r="Q1981" s="121" t="s">
        <v>14285</v>
      </c>
      <c r="R1981" s="16" t="s">
        <v>9235</v>
      </c>
      <c r="S1981" s="10" t="s">
        <v>1163</v>
      </c>
      <c r="T1981" s="28" t="s">
        <v>11011</v>
      </c>
      <c r="U1981" s="20" t="s">
        <v>5359</v>
      </c>
      <c r="V1981" s="16" t="s">
        <v>1894</v>
      </c>
      <c r="W1981" s="11" t="s">
        <v>14433</v>
      </c>
      <c r="X1981" s="174">
        <v>289.20999999999998</v>
      </c>
      <c r="Y1981" s="174">
        <v>369.48</v>
      </c>
    </row>
    <row r="1982" spans="1:25" ht="15" customHeight="1" x14ac:dyDescent="0.25">
      <c r="A1982" s="20" t="s">
        <v>5071</v>
      </c>
      <c r="B1982" s="14" t="s">
        <v>5072</v>
      </c>
      <c r="C1982" s="71" t="str">
        <f t="shared" si="40"/>
        <v>Product Info</v>
      </c>
      <c r="D1982" s="37" t="s">
        <v>3296</v>
      </c>
      <c r="E1982" s="143">
        <v>1</v>
      </c>
      <c r="F1982" s="12" t="s">
        <v>4992</v>
      </c>
      <c r="G1982" s="38">
        <v>371.89</v>
      </c>
      <c r="H1982" s="38">
        <v>316.11</v>
      </c>
      <c r="I1982" s="38">
        <v>260.32</v>
      </c>
      <c r="J1982" s="39"/>
      <c r="K1982" s="143"/>
      <c r="L1982" s="22">
        <v>0</v>
      </c>
      <c r="M1982" s="22">
        <v>0</v>
      </c>
      <c r="N1982" s="20" t="s">
        <v>14489</v>
      </c>
      <c r="O1982" s="16">
        <v>0</v>
      </c>
      <c r="P1982" s="143">
        <v>758</v>
      </c>
      <c r="Q1982" s="121" t="s">
        <v>14285</v>
      </c>
      <c r="R1982" s="16" t="s">
        <v>9235</v>
      </c>
      <c r="S1982" s="10" t="s">
        <v>1163</v>
      </c>
      <c r="T1982" s="28" t="s">
        <v>11012</v>
      </c>
      <c r="U1982" s="20" t="s">
        <v>5359</v>
      </c>
      <c r="V1982" s="16" t="s">
        <v>5071</v>
      </c>
      <c r="W1982" s="11" t="s">
        <v>14433</v>
      </c>
      <c r="X1982" s="174">
        <v>247.43</v>
      </c>
      <c r="Y1982" s="174">
        <v>316.11</v>
      </c>
    </row>
    <row r="1983" spans="1:25" ht="15" customHeight="1" x14ac:dyDescent="0.25">
      <c r="A1983" s="20" t="s">
        <v>1897</v>
      </c>
      <c r="B1983" s="14" t="s">
        <v>1898</v>
      </c>
      <c r="C1983" s="71" t="str">
        <f t="shared" si="40"/>
        <v>Product Info</v>
      </c>
      <c r="D1983" s="37" t="s">
        <v>1899</v>
      </c>
      <c r="E1983" s="143">
        <v>1</v>
      </c>
      <c r="F1983" s="12" t="s">
        <v>4992</v>
      </c>
      <c r="G1983" s="38">
        <v>392.81</v>
      </c>
      <c r="H1983" s="38">
        <v>333.9</v>
      </c>
      <c r="I1983" s="38">
        <v>274.97000000000003</v>
      </c>
      <c r="J1983" s="39"/>
      <c r="K1983" s="143"/>
      <c r="L1983" s="22">
        <v>0</v>
      </c>
      <c r="M1983" s="22">
        <v>0</v>
      </c>
      <c r="N1983" s="20" t="s">
        <v>14489</v>
      </c>
      <c r="O1983" s="16">
        <v>0</v>
      </c>
      <c r="P1983" s="143">
        <v>758</v>
      </c>
      <c r="Q1983" s="121" t="s">
        <v>14285</v>
      </c>
      <c r="R1983" s="16" t="s">
        <v>9235</v>
      </c>
      <c r="S1983" s="10" t="s">
        <v>1163</v>
      </c>
      <c r="T1983" s="28" t="s">
        <v>11013</v>
      </c>
      <c r="U1983" s="20" t="s">
        <v>5359</v>
      </c>
      <c r="V1983" s="16" t="s">
        <v>1897</v>
      </c>
      <c r="W1983" s="11" t="s">
        <v>14433</v>
      </c>
      <c r="X1983" s="174">
        <v>261.36</v>
      </c>
      <c r="Y1983" s="174">
        <v>333.9</v>
      </c>
    </row>
    <row r="1984" spans="1:25" ht="15" customHeight="1" x14ac:dyDescent="0.25">
      <c r="A1984" s="20" t="s">
        <v>5073</v>
      </c>
      <c r="B1984" s="14" t="s">
        <v>5074</v>
      </c>
      <c r="C1984" s="71" t="str">
        <f t="shared" si="40"/>
        <v>Product Info</v>
      </c>
      <c r="D1984" s="37" t="s">
        <v>3297</v>
      </c>
      <c r="E1984" s="143">
        <v>1</v>
      </c>
      <c r="F1984" s="12" t="s">
        <v>4992</v>
      </c>
      <c r="G1984" s="38">
        <v>417.79</v>
      </c>
      <c r="H1984" s="38">
        <v>355.13</v>
      </c>
      <c r="I1984" s="38">
        <v>292.45</v>
      </c>
      <c r="J1984" s="39"/>
      <c r="K1984" s="143"/>
      <c r="L1984" s="22">
        <v>0</v>
      </c>
      <c r="M1984" s="22">
        <v>0</v>
      </c>
      <c r="N1984" s="20" t="s">
        <v>14489</v>
      </c>
      <c r="O1984" s="16">
        <v>0</v>
      </c>
      <c r="P1984" s="143">
        <v>758</v>
      </c>
      <c r="Q1984" s="121" t="s">
        <v>14285</v>
      </c>
      <c r="R1984" s="16" t="s">
        <v>9235</v>
      </c>
      <c r="S1984" s="10" t="s">
        <v>1163</v>
      </c>
      <c r="T1984" s="28" t="s">
        <v>11014</v>
      </c>
      <c r="U1984" s="20" t="s">
        <v>5359</v>
      </c>
      <c r="V1984" s="16" t="s">
        <v>5073</v>
      </c>
      <c r="W1984" s="11" t="s">
        <v>14433</v>
      </c>
      <c r="X1984" s="174">
        <v>277.97000000000003</v>
      </c>
      <c r="Y1984" s="174">
        <v>355.13</v>
      </c>
    </row>
    <row r="1985" spans="1:25" ht="15" customHeight="1" x14ac:dyDescent="0.25">
      <c r="A1985" s="20" t="s">
        <v>1900</v>
      </c>
      <c r="B1985" s="14" t="s">
        <v>1901</v>
      </c>
      <c r="C1985" s="71" t="str">
        <f t="shared" si="40"/>
        <v>Product Info</v>
      </c>
      <c r="D1985" s="37" t="s">
        <v>1902</v>
      </c>
      <c r="E1985" s="143">
        <v>1</v>
      </c>
      <c r="F1985" s="12" t="s">
        <v>4992</v>
      </c>
      <c r="G1985" s="38">
        <v>438.71</v>
      </c>
      <c r="H1985" s="38">
        <v>372.92</v>
      </c>
      <c r="I1985" s="38">
        <v>307.10000000000002</v>
      </c>
      <c r="J1985" s="39"/>
      <c r="K1985" s="143"/>
      <c r="L1985" s="22">
        <v>0</v>
      </c>
      <c r="M1985" s="22">
        <v>0</v>
      </c>
      <c r="N1985" s="20" t="s">
        <v>14489</v>
      </c>
      <c r="O1985" s="16">
        <v>0</v>
      </c>
      <c r="P1985" s="143">
        <v>758</v>
      </c>
      <c r="Q1985" s="121" t="s">
        <v>14285</v>
      </c>
      <c r="R1985" s="16" t="s">
        <v>9235</v>
      </c>
      <c r="S1985" s="10" t="s">
        <v>1163</v>
      </c>
      <c r="T1985" s="28" t="s">
        <v>11015</v>
      </c>
      <c r="U1985" s="20" t="s">
        <v>5359</v>
      </c>
      <c r="V1985" s="16" t="s">
        <v>1900</v>
      </c>
      <c r="W1985" s="11" t="s">
        <v>14433</v>
      </c>
      <c r="X1985" s="174">
        <v>291.89999999999998</v>
      </c>
      <c r="Y1985" s="174">
        <v>372.92</v>
      </c>
    </row>
    <row r="1986" spans="1:25" ht="15" customHeight="1" x14ac:dyDescent="0.25">
      <c r="A1986" s="20" t="s">
        <v>1903</v>
      </c>
      <c r="B1986" s="14" t="s">
        <v>1904</v>
      </c>
      <c r="C1986" s="71" t="str">
        <f t="shared" si="40"/>
        <v>Product Info</v>
      </c>
      <c r="D1986" s="37" t="s">
        <v>1905</v>
      </c>
      <c r="E1986" s="143">
        <v>1</v>
      </c>
      <c r="F1986" s="12" t="s">
        <v>4992</v>
      </c>
      <c r="G1986" s="38">
        <v>388.76</v>
      </c>
      <c r="H1986" s="38">
        <v>330.46</v>
      </c>
      <c r="I1986" s="38">
        <v>272.13</v>
      </c>
      <c r="J1986" s="39"/>
      <c r="K1986" s="143"/>
      <c r="L1986" s="22">
        <v>0</v>
      </c>
      <c r="M1986" s="22">
        <v>0</v>
      </c>
      <c r="N1986" s="20" t="s">
        <v>14489</v>
      </c>
      <c r="O1986" s="16">
        <v>0</v>
      </c>
      <c r="P1986" s="143">
        <v>758</v>
      </c>
      <c r="Q1986" s="121" t="s">
        <v>14285</v>
      </c>
      <c r="R1986" s="16" t="s">
        <v>9235</v>
      </c>
      <c r="S1986" s="10" t="s">
        <v>1163</v>
      </c>
      <c r="T1986" s="28" t="s">
        <v>11016</v>
      </c>
      <c r="U1986" s="20" t="s">
        <v>5359</v>
      </c>
      <c r="V1986" s="16" t="s">
        <v>1903</v>
      </c>
      <c r="W1986" s="11" t="s">
        <v>14433</v>
      </c>
      <c r="X1986" s="174">
        <v>258.66000000000003</v>
      </c>
      <c r="Y1986" s="174">
        <v>330.46</v>
      </c>
    </row>
    <row r="1987" spans="1:25" ht="15" customHeight="1" x14ac:dyDescent="0.25">
      <c r="A1987" s="20" t="s">
        <v>5076</v>
      </c>
      <c r="B1987" s="14" t="s">
        <v>5077</v>
      </c>
      <c r="C1987" s="71" t="str">
        <f t="shared" si="40"/>
        <v>Product Info</v>
      </c>
      <c r="D1987" s="37" t="s">
        <v>3299</v>
      </c>
      <c r="E1987" s="143">
        <v>1</v>
      </c>
      <c r="F1987" s="12" t="s">
        <v>4992</v>
      </c>
      <c r="G1987" s="38">
        <v>371.89</v>
      </c>
      <c r="H1987" s="38">
        <v>316.11</v>
      </c>
      <c r="I1987" s="38">
        <v>260.32</v>
      </c>
      <c r="J1987" s="39"/>
      <c r="K1987" s="143"/>
      <c r="L1987" s="22">
        <v>0</v>
      </c>
      <c r="M1987" s="22">
        <v>0</v>
      </c>
      <c r="N1987" s="20" t="s">
        <v>14489</v>
      </c>
      <c r="O1987" s="16" t="s">
        <v>12608</v>
      </c>
      <c r="P1987" s="143">
        <v>758</v>
      </c>
      <c r="Q1987" s="121" t="s">
        <v>14285</v>
      </c>
      <c r="R1987" s="16" t="s">
        <v>9235</v>
      </c>
      <c r="S1987" s="10" t="s">
        <v>1163</v>
      </c>
      <c r="T1987" s="28" t="s">
        <v>11017</v>
      </c>
      <c r="U1987" s="20" t="s">
        <v>5359</v>
      </c>
      <c r="V1987" s="16" t="s">
        <v>5076</v>
      </c>
      <c r="W1987" s="11" t="s">
        <v>14433</v>
      </c>
      <c r="X1987" s="174">
        <v>247.43</v>
      </c>
      <c r="Y1987" s="174">
        <v>316.11</v>
      </c>
    </row>
    <row r="1988" spans="1:25" ht="15" customHeight="1" x14ac:dyDescent="0.25">
      <c r="A1988" s="20" t="s">
        <v>1906</v>
      </c>
      <c r="B1988" s="14" t="s">
        <v>1907</v>
      </c>
      <c r="C1988" s="71" t="str">
        <f t="shared" si="40"/>
        <v>Product Info</v>
      </c>
      <c r="D1988" s="37" t="s">
        <v>1908</v>
      </c>
      <c r="E1988" s="143">
        <v>1</v>
      </c>
      <c r="F1988" s="12" t="s">
        <v>4992</v>
      </c>
      <c r="G1988" s="38">
        <v>392.81</v>
      </c>
      <c r="H1988" s="38">
        <v>333.9</v>
      </c>
      <c r="I1988" s="38">
        <v>274.97000000000003</v>
      </c>
      <c r="J1988" s="39"/>
      <c r="K1988" s="143"/>
      <c r="L1988" s="22">
        <v>0</v>
      </c>
      <c r="M1988" s="22">
        <v>0</v>
      </c>
      <c r="N1988" s="20" t="s">
        <v>14489</v>
      </c>
      <c r="O1988" s="16">
        <v>0</v>
      </c>
      <c r="P1988" s="143">
        <v>758</v>
      </c>
      <c r="Q1988" s="121" t="s">
        <v>14285</v>
      </c>
      <c r="R1988" s="16" t="s">
        <v>9235</v>
      </c>
      <c r="S1988" s="10" t="s">
        <v>1163</v>
      </c>
      <c r="T1988" s="28" t="s">
        <v>11018</v>
      </c>
      <c r="U1988" s="20" t="s">
        <v>5359</v>
      </c>
      <c r="V1988" s="16" t="s">
        <v>1906</v>
      </c>
      <c r="W1988" s="11" t="s">
        <v>14433</v>
      </c>
      <c r="X1988" s="174">
        <v>261.36</v>
      </c>
      <c r="Y1988" s="174">
        <v>333.9</v>
      </c>
    </row>
    <row r="1989" spans="1:25" ht="15" customHeight="1" x14ac:dyDescent="0.25">
      <c r="A1989" s="20" t="s">
        <v>5078</v>
      </c>
      <c r="B1989" s="14" t="s">
        <v>5079</v>
      </c>
      <c r="C1989" s="71" t="str">
        <f t="shared" si="40"/>
        <v>Product Info</v>
      </c>
      <c r="D1989" s="37" t="s">
        <v>3300</v>
      </c>
      <c r="E1989" s="143">
        <v>1</v>
      </c>
      <c r="F1989" s="12" t="s">
        <v>4992</v>
      </c>
      <c r="G1989" s="38">
        <v>371.89</v>
      </c>
      <c r="H1989" s="38">
        <v>316.11</v>
      </c>
      <c r="I1989" s="38">
        <v>260.32</v>
      </c>
      <c r="J1989" s="39"/>
      <c r="K1989" s="143"/>
      <c r="L1989" s="22">
        <v>0</v>
      </c>
      <c r="M1989" s="22">
        <v>0</v>
      </c>
      <c r="N1989" s="20" t="s">
        <v>14489</v>
      </c>
      <c r="O1989" s="16">
        <v>0</v>
      </c>
      <c r="P1989" s="143">
        <v>758</v>
      </c>
      <c r="Q1989" s="121" t="s">
        <v>14285</v>
      </c>
      <c r="R1989" s="16" t="s">
        <v>9235</v>
      </c>
      <c r="S1989" s="10" t="s">
        <v>1163</v>
      </c>
      <c r="T1989" s="28" t="s">
        <v>11019</v>
      </c>
      <c r="U1989" s="20" t="s">
        <v>5359</v>
      </c>
      <c r="V1989" s="16" t="s">
        <v>5078</v>
      </c>
      <c r="W1989" s="11" t="s">
        <v>14433</v>
      </c>
      <c r="X1989" s="174">
        <v>247.43</v>
      </c>
      <c r="Y1989" s="174">
        <v>316.11</v>
      </c>
    </row>
    <row r="1990" spans="1:25" ht="15" customHeight="1" x14ac:dyDescent="0.25">
      <c r="A1990" s="20" t="s">
        <v>1909</v>
      </c>
      <c r="B1990" s="14" t="s">
        <v>1910</v>
      </c>
      <c r="C1990" s="71" t="str">
        <f t="shared" ref="C1990:C2053" si="41">HYPERLINK(T1990,U1990)</f>
        <v>Product Info</v>
      </c>
      <c r="D1990" s="37" t="s">
        <v>1911</v>
      </c>
      <c r="E1990" s="143">
        <v>1</v>
      </c>
      <c r="F1990" s="12" t="s">
        <v>4992</v>
      </c>
      <c r="G1990" s="38">
        <v>392.81</v>
      </c>
      <c r="H1990" s="38">
        <v>333.9</v>
      </c>
      <c r="I1990" s="38">
        <v>274.97000000000003</v>
      </c>
      <c r="J1990" s="39"/>
      <c r="K1990" s="143"/>
      <c r="L1990" s="22">
        <v>0</v>
      </c>
      <c r="M1990" s="22">
        <v>0</v>
      </c>
      <c r="N1990" s="20" t="s">
        <v>14489</v>
      </c>
      <c r="O1990" s="16">
        <v>0</v>
      </c>
      <c r="P1990" s="143">
        <v>758</v>
      </c>
      <c r="Q1990" s="121" t="s">
        <v>14285</v>
      </c>
      <c r="R1990" s="16" t="s">
        <v>9235</v>
      </c>
      <c r="S1990" s="10" t="s">
        <v>1163</v>
      </c>
      <c r="T1990" s="28" t="s">
        <v>11020</v>
      </c>
      <c r="U1990" s="20" t="s">
        <v>5359</v>
      </c>
      <c r="V1990" s="16" t="s">
        <v>1909</v>
      </c>
      <c r="W1990" s="11" t="s">
        <v>14433</v>
      </c>
      <c r="X1990" s="174">
        <v>261.36</v>
      </c>
      <c r="Y1990" s="174">
        <v>333.9</v>
      </c>
    </row>
    <row r="1991" spans="1:25" ht="15" customHeight="1" x14ac:dyDescent="0.25">
      <c r="A1991" s="20" t="s">
        <v>5080</v>
      </c>
      <c r="B1991" s="14" t="s">
        <v>5081</v>
      </c>
      <c r="C1991" s="71" t="str">
        <f t="shared" si="41"/>
        <v>Product Info</v>
      </c>
      <c r="D1991" s="37" t="s">
        <v>3301</v>
      </c>
      <c r="E1991" s="143">
        <v>1</v>
      </c>
      <c r="F1991" s="12" t="s">
        <v>4992</v>
      </c>
      <c r="G1991" s="38">
        <v>371.89</v>
      </c>
      <c r="H1991" s="38">
        <v>316.11</v>
      </c>
      <c r="I1991" s="38">
        <v>260.32</v>
      </c>
      <c r="J1991" s="39"/>
      <c r="K1991" s="143"/>
      <c r="L1991" s="22">
        <v>0</v>
      </c>
      <c r="M1991" s="22">
        <v>0</v>
      </c>
      <c r="N1991" s="20" t="s">
        <v>14489</v>
      </c>
      <c r="O1991" s="16">
        <v>0</v>
      </c>
      <c r="P1991" s="143">
        <v>758</v>
      </c>
      <c r="Q1991" s="121" t="s">
        <v>14285</v>
      </c>
      <c r="R1991" s="16" t="s">
        <v>9235</v>
      </c>
      <c r="S1991" s="10" t="s">
        <v>1163</v>
      </c>
      <c r="T1991" s="28" t="s">
        <v>11021</v>
      </c>
      <c r="U1991" s="20" t="s">
        <v>5359</v>
      </c>
      <c r="V1991" s="16" t="s">
        <v>5080</v>
      </c>
      <c r="W1991" s="11" t="s">
        <v>14433</v>
      </c>
      <c r="X1991" s="174">
        <v>247.43</v>
      </c>
      <c r="Y1991" s="174">
        <v>316.11</v>
      </c>
    </row>
    <row r="1992" spans="1:25" ht="15" customHeight="1" x14ac:dyDescent="0.25">
      <c r="A1992" s="20" t="s">
        <v>1912</v>
      </c>
      <c r="B1992" s="14" t="s">
        <v>1913</v>
      </c>
      <c r="C1992" s="71" t="str">
        <f t="shared" si="41"/>
        <v>Product Info</v>
      </c>
      <c r="D1992" s="37" t="s">
        <v>1914</v>
      </c>
      <c r="E1992" s="143">
        <v>1</v>
      </c>
      <c r="F1992" s="12" t="s">
        <v>4992</v>
      </c>
      <c r="G1992" s="38">
        <v>392.81</v>
      </c>
      <c r="H1992" s="38">
        <v>333.9</v>
      </c>
      <c r="I1992" s="38">
        <v>274.97000000000003</v>
      </c>
      <c r="J1992" s="39"/>
      <c r="K1992" s="143"/>
      <c r="L1992" s="22">
        <v>0</v>
      </c>
      <c r="M1992" s="22">
        <v>0</v>
      </c>
      <c r="N1992" s="20" t="s">
        <v>14489</v>
      </c>
      <c r="O1992" s="16">
        <v>0</v>
      </c>
      <c r="P1992" s="143">
        <v>758</v>
      </c>
      <c r="Q1992" s="121" t="s">
        <v>14285</v>
      </c>
      <c r="R1992" s="16" t="s">
        <v>9235</v>
      </c>
      <c r="S1992" s="10" t="s">
        <v>1163</v>
      </c>
      <c r="T1992" s="28" t="s">
        <v>11022</v>
      </c>
      <c r="U1992" s="20" t="s">
        <v>5359</v>
      </c>
      <c r="V1992" s="16" t="s">
        <v>1912</v>
      </c>
      <c r="W1992" s="11" t="s">
        <v>14433</v>
      </c>
      <c r="X1992" s="174">
        <v>261.36</v>
      </c>
      <c r="Y1992" s="174">
        <v>333.9</v>
      </c>
    </row>
    <row r="1993" spans="1:25" ht="15" customHeight="1" x14ac:dyDescent="0.25">
      <c r="A1993" s="20" t="s">
        <v>5082</v>
      </c>
      <c r="B1993" s="14" t="s">
        <v>5083</v>
      </c>
      <c r="C1993" s="71" t="str">
        <f t="shared" si="41"/>
        <v>Product Info</v>
      </c>
      <c r="D1993" s="37" t="s">
        <v>4168</v>
      </c>
      <c r="E1993" s="143">
        <v>1</v>
      </c>
      <c r="F1993" s="12" t="s">
        <v>4992</v>
      </c>
      <c r="G1993" s="38">
        <v>417.79</v>
      </c>
      <c r="H1993" s="38">
        <v>355.13</v>
      </c>
      <c r="I1993" s="38">
        <v>292.45</v>
      </c>
      <c r="J1993" s="39"/>
      <c r="K1993" s="143"/>
      <c r="L1993" s="22">
        <v>0</v>
      </c>
      <c r="M1993" s="22">
        <v>0</v>
      </c>
      <c r="N1993" s="20" t="s">
        <v>14489</v>
      </c>
      <c r="O1993" s="16">
        <v>0</v>
      </c>
      <c r="P1993" s="143">
        <v>758</v>
      </c>
      <c r="Q1993" s="121" t="s">
        <v>14285</v>
      </c>
      <c r="R1993" s="16" t="s">
        <v>9235</v>
      </c>
      <c r="S1993" s="10" t="s">
        <v>1163</v>
      </c>
      <c r="T1993" s="28" t="s">
        <v>11023</v>
      </c>
      <c r="U1993" s="20" t="s">
        <v>5359</v>
      </c>
      <c r="V1993" s="16" t="s">
        <v>5082</v>
      </c>
      <c r="W1993" s="11" t="s">
        <v>14433</v>
      </c>
      <c r="X1993" s="174">
        <v>277.97000000000003</v>
      </c>
      <c r="Y1993" s="174">
        <v>355.13</v>
      </c>
    </row>
    <row r="1994" spans="1:25" ht="15" customHeight="1" x14ac:dyDescent="0.25">
      <c r="A1994" s="20" t="s">
        <v>1915</v>
      </c>
      <c r="B1994" s="14" t="s">
        <v>1916</v>
      </c>
      <c r="C1994" s="71" t="str">
        <f t="shared" si="41"/>
        <v>Product Info</v>
      </c>
      <c r="D1994" s="37" t="s">
        <v>1917</v>
      </c>
      <c r="E1994" s="143">
        <v>1</v>
      </c>
      <c r="F1994" s="12" t="s">
        <v>4992</v>
      </c>
      <c r="G1994" s="38">
        <v>438.71</v>
      </c>
      <c r="H1994" s="38">
        <v>372.92</v>
      </c>
      <c r="I1994" s="38">
        <v>307.10000000000002</v>
      </c>
      <c r="J1994" s="39"/>
      <c r="K1994" s="143"/>
      <c r="L1994" s="22">
        <v>0</v>
      </c>
      <c r="M1994" s="22">
        <v>0</v>
      </c>
      <c r="N1994" s="20" t="s">
        <v>14489</v>
      </c>
      <c r="O1994" s="16">
        <v>0</v>
      </c>
      <c r="P1994" s="143">
        <v>758</v>
      </c>
      <c r="Q1994" s="121" t="s">
        <v>14285</v>
      </c>
      <c r="R1994" s="16" t="s">
        <v>9235</v>
      </c>
      <c r="S1994" s="10" t="s">
        <v>1163</v>
      </c>
      <c r="T1994" s="28" t="s">
        <v>11024</v>
      </c>
      <c r="U1994" s="20" t="s">
        <v>5359</v>
      </c>
      <c r="V1994" s="16" t="s">
        <v>1915</v>
      </c>
      <c r="W1994" s="11" t="s">
        <v>14433</v>
      </c>
      <c r="X1994" s="174">
        <v>291.89999999999998</v>
      </c>
      <c r="Y1994" s="174">
        <v>372.92</v>
      </c>
    </row>
    <row r="1995" spans="1:25" ht="15" customHeight="1" x14ac:dyDescent="0.25">
      <c r="A1995" s="20" t="s">
        <v>5084</v>
      </c>
      <c r="B1995" s="14" t="s">
        <v>5085</v>
      </c>
      <c r="C1995" s="71" t="str">
        <f t="shared" si="41"/>
        <v>Product Info</v>
      </c>
      <c r="D1995" s="37" t="s">
        <v>4169</v>
      </c>
      <c r="E1995" s="143">
        <v>1</v>
      </c>
      <c r="F1995" s="12" t="s">
        <v>4992</v>
      </c>
      <c r="G1995" s="38">
        <v>417.79</v>
      </c>
      <c r="H1995" s="38">
        <v>355.13</v>
      </c>
      <c r="I1995" s="38">
        <v>292.45</v>
      </c>
      <c r="J1995" s="39"/>
      <c r="K1995" s="143"/>
      <c r="L1995" s="22">
        <v>0</v>
      </c>
      <c r="M1995" s="22">
        <v>0</v>
      </c>
      <c r="N1995" s="20" t="s">
        <v>14489</v>
      </c>
      <c r="O1995" s="16">
        <v>0</v>
      </c>
      <c r="P1995" s="143">
        <v>758</v>
      </c>
      <c r="Q1995" s="121" t="s">
        <v>14285</v>
      </c>
      <c r="R1995" s="16" t="s">
        <v>9235</v>
      </c>
      <c r="S1995" s="10" t="s">
        <v>1163</v>
      </c>
      <c r="T1995" s="28" t="s">
        <v>11025</v>
      </c>
      <c r="U1995" s="20" t="s">
        <v>5359</v>
      </c>
      <c r="V1995" s="16" t="s">
        <v>5084</v>
      </c>
      <c r="W1995" s="11" t="s">
        <v>14433</v>
      </c>
      <c r="X1995" s="174">
        <v>277.97000000000003</v>
      </c>
      <c r="Y1995" s="174">
        <v>355.13</v>
      </c>
    </row>
    <row r="1996" spans="1:25" ht="15" customHeight="1" x14ac:dyDescent="0.25">
      <c r="A1996" s="20" t="s">
        <v>1918</v>
      </c>
      <c r="B1996" s="14" t="s">
        <v>1919</v>
      </c>
      <c r="C1996" s="71" t="str">
        <f t="shared" si="41"/>
        <v>Product Info</v>
      </c>
      <c r="D1996" s="37" t="s">
        <v>1920</v>
      </c>
      <c r="E1996" s="143">
        <v>1</v>
      </c>
      <c r="F1996" s="12" t="s">
        <v>4992</v>
      </c>
      <c r="G1996" s="38">
        <v>438.71</v>
      </c>
      <c r="H1996" s="38">
        <v>372.92</v>
      </c>
      <c r="I1996" s="38">
        <v>307.10000000000002</v>
      </c>
      <c r="J1996" s="39"/>
      <c r="K1996" s="143"/>
      <c r="L1996" s="22">
        <v>0</v>
      </c>
      <c r="M1996" s="22">
        <v>0</v>
      </c>
      <c r="N1996" s="20" t="s">
        <v>14489</v>
      </c>
      <c r="O1996" s="16">
        <v>0</v>
      </c>
      <c r="P1996" s="143">
        <v>758</v>
      </c>
      <c r="Q1996" s="121" t="s">
        <v>14285</v>
      </c>
      <c r="R1996" s="16" t="s">
        <v>9235</v>
      </c>
      <c r="S1996" s="10" t="s">
        <v>1163</v>
      </c>
      <c r="T1996" s="28" t="s">
        <v>11026</v>
      </c>
      <c r="U1996" s="20" t="s">
        <v>5359</v>
      </c>
      <c r="V1996" s="16" t="s">
        <v>1918</v>
      </c>
      <c r="W1996" s="11" t="s">
        <v>14433</v>
      </c>
      <c r="X1996" s="174">
        <v>291.89999999999998</v>
      </c>
      <c r="Y1996" s="174">
        <v>372.92</v>
      </c>
    </row>
    <row r="1997" spans="1:25" ht="15" customHeight="1" x14ac:dyDescent="0.25">
      <c r="A1997" s="20" t="s">
        <v>5088</v>
      </c>
      <c r="B1997" s="14" t="s">
        <v>5089</v>
      </c>
      <c r="C1997" s="71" t="str">
        <f t="shared" si="41"/>
        <v>Product Info</v>
      </c>
      <c r="D1997" s="37" t="s">
        <v>4172</v>
      </c>
      <c r="E1997" s="143">
        <v>1</v>
      </c>
      <c r="F1997" s="12" t="s">
        <v>4992</v>
      </c>
      <c r="G1997" s="38">
        <v>371.89</v>
      </c>
      <c r="H1997" s="38">
        <v>316.11</v>
      </c>
      <c r="I1997" s="38">
        <v>260.32</v>
      </c>
      <c r="J1997" s="39"/>
      <c r="K1997" s="143"/>
      <c r="L1997" s="22">
        <v>0</v>
      </c>
      <c r="M1997" s="22">
        <v>0</v>
      </c>
      <c r="N1997" s="20" t="s">
        <v>14489</v>
      </c>
      <c r="O1997" s="16">
        <v>0</v>
      </c>
      <c r="P1997" s="143">
        <v>758</v>
      </c>
      <c r="Q1997" s="121" t="s">
        <v>14285</v>
      </c>
      <c r="R1997" s="16" t="s">
        <v>9235</v>
      </c>
      <c r="S1997" s="10" t="s">
        <v>1163</v>
      </c>
      <c r="T1997" s="28" t="s">
        <v>11027</v>
      </c>
      <c r="U1997" s="20" t="s">
        <v>5359</v>
      </c>
      <c r="V1997" s="16" t="s">
        <v>5088</v>
      </c>
      <c r="W1997" s="11" t="s">
        <v>14433</v>
      </c>
      <c r="X1997" s="174">
        <v>247.43</v>
      </c>
      <c r="Y1997" s="174">
        <v>316.11</v>
      </c>
    </row>
    <row r="1998" spans="1:25" ht="15" customHeight="1" x14ac:dyDescent="0.25">
      <c r="A1998" s="20" t="s">
        <v>1921</v>
      </c>
      <c r="B1998" s="14" t="s">
        <v>1922</v>
      </c>
      <c r="C1998" s="71" t="str">
        <f t="shared" si="41"/>
        <v>Product Info</v>
      </c>
      <c r="D1998" s="37" t="s">
        <v>1923</v>
      </c>
      <c r="E1998" s="143">
        <v>1</v>
      </c>
      <c r="F1998" s="12" t="s">
        <v>4992</v>
      </c>
      <c r="G1998" s="38">
        <v>392.81</v>
      </c>
      <c r="H1998" s="38">
        <v>333.9</v>
      </c>
      <c r="I1998" s="38">
        <v>274.97000000000003</v>
      </c>
      <c r="J1998" s="39"/>
      <c r="K1998" s="143"/>
      <c r="L1998" s="22">
        <v>0</v>
      </c>
      <c r="M1998" s="22">
        <v>0</v>
      </c>
      <c r="N1998" s="20" t="s">
        <v>14489</v>
      </c>
      <c r="O1998" s="16">
        <v>0</v>
      </c>
      <c r="P1998" s="143">
        <v>758</v>
      </c>
      <c r="Q1998" s="121" t="s">
        <v>14285</v>
      </c>
      <c r="R1998" s="16" t="s">
        <v>9235</v>
      </c>
      <c r="S1998" s="10" t="s">
        <v>1163</v>
      </c>
      <c r="T1998" s="28" t="s">
        <v>11028</v>
      </c>
      <c r="U1998" s="20" t="s">
        <v>5359</v>
      </c>
      <c r="V1998" s="16" t="s">
        <v>1921</v>
      </c>
      <c r="W1998" s="11" t="s">
        <v>14433</v>
      </c>
      <c r="X1998" s="174">
        <v>261.36</v>
      </c>
      <c r="Y1998" s="174">
        <v>333.9</v>
      </c>
    </row>
    <row r="1999" spans="1:25" ht="15" customHeight="1" x14ac:dyDescent="0.25">
      <c r="A1999" s="20" t="s">
        <v>5090</v>
      </c>
      <c r="B1999" s="14" t="s">
        <v>5091</v>
      </c>
      <c r="C1999" s="71" t="str">
        <f t="shared" si="41"/>
        <v>Product Info</v>
      </c>
      <c r="D1999" s="37" t="s">
        <v>4173</v>
      </c>
      <c r="E1999" s="143">
        <v>1</v>
      </c>
      <c r="F1999" s="12" t="s">
        <v>4992</v>
      </c>
      <c r="G1999" s="38">
        <v>371.89</v>
      </c>
      <c r="H1999" s="38">
        <v>316.11</v>
      </c>
      <c r="I1999" s="38">
        <v>260.32</v>
      </c>
      <c r="J1999" s="39"/>
      <c r="K1999" s="143"/>
      <c r="L1999" s="22">
        <v>0</v>
      </c>
      <c r="M1999" s="22">
        <v>0</v>
      </c>
      <c r="N1999" s="20" t="s">
        <v>14489</v>
      </c>
      <c r="O1999" s="16">
        <v>0</v>
      </c>
      <c r="P1999" s="143">
        <v>758</v>
      </c>
      <c r="Q1999" s="121" t="s">
        <v>14285</v>
      </c>
      <c r="R1999" s="16" t="s">
        <v>9235</v>
      </c>
      <c r="S1999" s="10" t="s">
        <v>1163</v>
      </c>
      <c r="T1999" s="28" t="s">
        <v>11029</v>
      </c>
      <c r="U1999" s="20" t="s">
        <v>5359</v>
      </c>
      <c r="V1999" s="16" t="s">
        <v>5090</v>
      </c>
      <c r="W1999" s="11" t="s">
        <v>14433</v>
      </c>
      <c r="X1999" s="174">
        <v>247.43</v>
      </c>
      <c r="Y1999" s="174">
        <v>316.11</v>
      </c>
    </row>
    <row r="2000" spans="1:25" ht="15" customHeight="1" x14ac:dyDescent="0.25">
      <c r="A2000" s="20" t="s">
        <v>1924</v>
      </c>
      <c r="B2000" s="14" t="s">
        <v>1925</v>
      </c>
      <c r="C2000" s="71" t="str">
        <f t="shared" si="41"/>
        <v>Product Info</v>
      </c>
      <c r="D2000" s="37" t="s">
        <v>1926</v>
      </c>
      <c r="E2000" s="143">
        <v>1</v>
      </c>
      <c r="F2000" s="12" t="s">
        <v>4992</v>
      </c>
      <c r="G2000" s="38">
        <v>392.81</v>
      </c>
      <c r="H2000" s="38">
        <v>333.9</v>
      </c>
      <c r="I2000" s="38">
        <v>274.97000000000003</v>
      </c>
      <c r="J2000" s="39"/>
      <c r="K2000" s="143"/>
      <c r="L2000" s="22">
        <v>0</v>
      </c>
      <c r="M2000" s="22">
        <v>0</v>
      </c>
      <c r="N2000" s="20" t="s">
        <v>14489</v>
      </c>
      <c r="O2000" s="16">
        <v>0</v>
      </c>
      <c r="P2000" s="143">
        <v>758</v>
      </c>
      <c r="Q2000" s="121" t="s">
        <v>14285</v>
      </c>
      <c r="R2000" s="16" t="s">
        <v>9235</v>
      </c>
      <c r="S2000" s="10" t="s">
        <v>1163</v>
      </c>
      <c r="T2000" s="28" t="s">
        <v>11030</v>
      </c>
      <c r="U2000" s="20" t="s">
        <v>5359</v>
      </c>
      <c r="V2000" s="16" t="s">
        <v>1924</v>
      </c>
      <c r="W2000" s="11" t="s">
        <v>14433</v>
      </c>
      <c r="X2000" s="174">
        <v>261.36</v>
      </c>
      <c r="Y2000" s="174">
        <v>333.9</v>
      </c>
    </row>
    <row r="2001" spans="1:25" ht="15" customHeight="1" x14ac:dyDescent="0.25">
      <c r="A2001" s="20" t="s">
        <v>4504</v>
      </c>
      <c r="B2001" s="14" t="s">
        <v>4505</v>
      </c>
      <c r="C2001" s="71" t="str">
        <f t="shared" si="41"/>
        <v>Product Info</v>
      </c>
      <c r="D2001" s="37" t="s">
        <v>4174</v>
      </c>
      <c r="E2001" s="143">
        <v>1</v>
      </c>
      <c r="F2001" s="12" t="s">
        <v>4992</v>
      </c>
      <c r="G2001" s="38">
        <v>371.89</v>
      </c>
      <c r="H2001" s="38">
        <v>316.11</v>
      </c>
      <c r="I2001" s="38">
        <v>260.32</v>
      </c>
      <c r="J2001" s="39"/>
      <c r="K2001" s="143"/>
      <c r="L2001" s="22">
        <v>0</v>
      </c>
      <c r="M2001" s="22">
        <v>0</v>
      </c>
      <c r="N2001" s="20" t="s">
        <v>14489</v>
      </c>
      <c r="O2001" s="16">
        <v>0</v>
      </c>
      <c r="P2001" s="143">
        <v>758</v>
      </c>
      <c r="Q2001" s="121" t="s">
        <v>14285</v>
      </c>
      <c r="R2001" s="16" t="s">
        <v>9235</v>
      </c>
      <c r="S2001" s="10" t="s">
        <v>1163</v>
      </c>
      <c r="T2001" s="28" t="s">
        <v>11031</v>
      </c>
      <c r="U2001" s="20" t="s">
        <v>5359</v>
      </c>
      <c r="V2001" s="16" t="s">
        <v>4504</v>
      </c>
      <c r="W2001" s="11" t="s">
        <v>14433</v>
      </c>
      <c r="X2001" s="174">
        <v>247.43</v>
      </c>
      <c r="Y2001" s="174">
        <v>316.11</v>
      </c>
    </row>
    <row r="2002" spans="1:25" ht="15" customHeight="1" x14ac:dyDescent="0.25">
      <c r="A2002" s="20" t="s">
        <v>1927</v>
      </c>
      <c r="B2002" s="14" t="s">
        <v>1928</v>
      </c>
      <c r="C2002" s="71" t="str">
        <f t="shared" si="41"/>
        <v>Product Info</v>
      </c>
      <c r="D2002" s="37" t="s">
        <v>1929</v>
      </c>
      <c r="E2002" s="143">
        <v>1</v>
      </c>
      <c r="F2002" s="12" t="s">
        <v>4992</v>
      </c>
      <c r="G2002" s="38">
        <v>392.81</v>
      </c>
      <c r="H2002" s="38">
        <v>333.9</v>
      </c>
      <c r="I2002" s="38">
        <v>274.97000000000003</v>
      </c>
      <c r="J2002" s="39"/>
      <c r="K2002" s="143"/>
      <c r="L2002" s="22">
        <v>0</v>
      </c>
      <c r="M2002" s="22">
        <v>0</v>
      </c>
      <c r="N2002" s="20" t="s">
        <v>14489</v>
      </c>
      <c r="O2002" s="16">
        <v>0</v>
      </c>
      <c r="P2002" s="143">
        <v>758</v>
      </c>
      <c r="Q2002" s="121" t="s">
        <v>14285</v>
      </c>
      <c r="R2002" s="16" t="s">
        <v>9235</v>
      </c>
      <c r="S2002" s="10" t="s">
        <v>1163</v>
      </c>
      <c r="T2002" s="28" t="s">
        <v>11032</v>
      </c>
      <c r="U2002" s="20" t="s">
        <v>5359</v>
      </c>
      <c r="V2002" s="16" t="s">
        <v>1927</v>
      </c>
      <c r="W2002" s="11" t="s">
        <v>14433</v>
      </c>
      <c r="X2002" s="174">
        <v>261.36</v>
      </c>
      <c r="Y2002" s="174">
        <v>333.9</v>
      </c>
    </row>
    <row r="2003" spans="1:25" ht="15" customHeight="1" x14ac:dyDescent="0.25">
      <c r="A2003" s="20" t="s">
        <v>4506</v>
      </c>
      <c r="B2003" s="14" t="s">
        <v>4507</v>
      </c>
      <c r="C2003" s="71" t="str">
        <f t="shared" si="41"/>
        <v>Product Info</v>
      </c>
      <c r="D2003" s="37" t="s">
        <v>3308</v>
      </c>
      <c r="E2003" s="143">
        <v>1</v>
      </c>
      <c r="F2003" s="12" t="s">
        <v>4992</v>
      </c>
      <c r="G2003" s="38">
        <v>417.79</v>
      </c>
      <c r="H2003" s="38">
        <v>355.13</v>
      </c>
      <c r="I2003" s="38">
        <v>292.45</v>
      </c>
      <c r="J2003" s="39"/>
      <c r="K2003" s="143"/>
      <c r="L2003" s="22">
        <v>0</v>
      </c>
      <c r="M2003" s="22">
        <v>0</v>
      </c>
      <c r="N2003" s="20" t="s">
        <v>14489</v>
      </c>
      <c r="O2003" s="16">
        <v>0</v>
      </c>
      <c r="P2003" s="143">
        <v>758</v>
      </c>
      <c r="Q2003" s="121" t="s">
        <v>14285</v>
      </c>
      <c r="R2003" s="16" t="s">
        <v>9235</v>
      </c>
      <c r="S2003" s="10" t="s">
        <v>1163</v>
      </c>
      <c r="T2003" s="28" t="s">
        <v>11033</v>
      </c>
      <c r="U2003" s="20" t="s">
        <v>5359</v>
      </c>
      <c r="V2003" s="16" t="s">
        <v>4506</v>
      </c>
      <c r="W2003" s="11" t="s">
        <v>14433</v>
      </c>
      <c r="X2003" s="174">
        <v>277.97000000000003</v>
      </c>
      <c r="Y2003" s="174">
        <v>355.13</v>
      </c>
    </row>
    <row r="2004" spans="1:25" ht="15" customHeight="1" x14ac:dyDescent="0.25">
      <c r="A2004" s="20" t="s">
        <v>1930</v>
      </c>
      <c r="B2004" s="14" t="s">
        <v>1931</v>
      </c>
      <c r="C2004" s="71" t="str">
        <f t="shared" si="41"/>
        <v>Product Info</v>
      </c>
      <c r="D2004" s="37" t="s">
        <v>1932</v>
      </c>
      <c r="E2004" s="143">
        <v>1</v>
      </c>
      <c r="F2004" s="12" t="s">
        <v>4992</v>
      </c>
      <c r="G2004" s="38">
        <v>438.71</v>
      </c>
      <c r="H2004" s="38">
        <v>372.92</v>
      </c>
      <c r="I2004" s="38">
        <v>307.10000000000002</v>
      </c>
      <c r="J2004" s="39"/>
      <c r="K2004" s="143"/>
      <c r="L2004" s="22">
        <v>0</v>
      </c>
      <c r="M2004" s="22">
        <v>0</v>
      </c>
      <c r="N2004" s="20" t="s">
        <v>14489</v>
      </c>
      <c r="O2004" s="16">
        <v>0</v>
      </c>
      <c r="P2004" s="143">
        <v>758</v>
      </c>
      <c r="Q2004" s="121" t="s">
        <v>14285</v>
      </c>
      <c r="R2004" s="16" t="s">
        <v>9235</v>
      </c>
      <c r="S2004" s="10" t="s">
        <v>1163</v>
      </c>
      <c r="T2004" s="28" t="s">
        <v>11034</v>
      </c>
      <c r="U2004" s="20" t="s">
        <v>5359</v>
      </c>
      <c r="V2004" s="16" t="s">
        <v>1930</v>
      </c>
      <c r="W2004" s="11" t="s">
        <v>14433</v>
      </c>
      <c r="X2004" s="174">
        <v>291.89999999999998</v>
      </c>
      <c r="Y2004" s="174">
        <v>372.92</v>
      </c>
    </row>
    <row r="2005" spans="1:25" ht="15" customHeight="1" x14ac:dyDescent="0.25">
      <c r="A2005" s="20" t="s">
        <v>4508</v>
      </c>
      <c r="B2005" s="14" t="s">
        <v>4509</v>
      </c>
      <c r="C2005" s="71" t="str">
        <f t="shared" si="41"/>
        <v>Product Info</v>
      </c>
      <c r="D2005" s="37" t="s">
        <v>3309</v>
      </c>
      <c r="E2005" s="143">
        <v>1</v>
      </c>
      <c r="F2005" s="12" t="s">
        <v>4992</v>
      </c>
      <c r="G2005" s="38">
        <v>417.79</v>
      </c>
      <c r="H2005" s="38">
        <v>355.13</v>
      </c>
      <c r="I2005" s="38">
        <v>292.45</v>
      </c>
      <c r="J2005" s="39"/>
      <c r="K2005" s="143"/>
      <c r="L2005" s="22">
        <v>0</v>
      </c>
      <c r="M2005" s="22">
        <v>0</v>
      </c>
      <c r="N2005" s="20" t="s">
        <v>14489</v>
      </c>
      <c r="O2005" s="16">
        <v>0</v>
      </c>
      <c r="P2005" s="143">
        <v>758</v>
      </c>
      <c r="Q2005" s="121" t="s">
        <v>14285</v>
      </c>
      <c r="R2005" s="16" t="s">
        <v>9235</v>
      </c>
      <c r="S2005" s="10" t="s">
        <v>1163</v>
      </c>
      <c r="T2005" s="28" t="s">
        <v>11035</v>
      </c>
      <c r="U2005" s="20" t="s">
        <v>5359</v>
      </c>
      <c r="V2005" s="16" t="s">
        <v>4508</v>
      </c>
      <c r="W2005" s="11" t="s">
        <v>14433</v>
      </c>
      <c r="X2005" s="174">
        <v>277.97000000000003</v>
      </c>
      <c r="Y2005" s="174">
        <v>355.13</v>
      </c>
    </row>
    <row r="2006" spans="1:25" ht="15" customHeight="1" x14ac:dyDescent="0.25">
      <c r="A2006" s="20" t="s">
        <v>1933</v>
      </c>
      <c r="B2006" s="14" t="s">
        <v>1934</v>
      </c>
      <c r="C2006" s="71" t="str">
        <f t="shared" si="41"/>
        <v>Product Info</v>
      </c>
      <c r="D2006" s="37" t="s">
        <v>1935</v>
      </c>
      <c r="E2006" s="143">
        <v>1</v>
      </c>
      <c r="F2006" s="12" t="s">
        <v>4992</v>
      </c>
      <c r="G2006" s="38">
        <v>438.71</v>
      </c>
      <c r="H2006" s="38">
        <v>372.92</v>
      </c>
      <c r="I2006" s="38">
        <v>307.10000000000002</v>
      </c>
      <c r="J2006" s="39"/>
      <c r="K2006" s="143"/>
      <c r="L2006" s="22">
        <v>0</v>
      </c>
      <c r="M2006" s="22">
        <v>0</v>
      </c>
      <c r="N2006" s="20" t="s">
        <v>14489</v>
      </c>
      <c r="O2006" s="16">
        <v>0</v>
      </c>
      <c r="P2006" s="143">
        <v>758</v>
      </c>
      <c r="Q2006" s="121" t="s">
        <v>14285</v>
      </c>
      <c r="R2006" s="16" t="s">
        <v>9235</v>
      </c>
      <c r="S2006" s="10" t="s">
        <v>1163</v>
      </c>
      <c r="T2006" s="28" t="s">
        <v>11036</v>
      </c>
      <c r="U2006" s="20" t="s">
        <v>5359</v>
      </c>
      <c r="V2006" s="16" t="s">
        <v>1933</v>
      </c>
      <c r="W2006" s="11" t="s">
        <v>14433</v>
      </c>
      <c r="X2006" s="174">
        <v>291.89999999999998</v>
      </c>
      <c r="Y2006" s="174">
        <v>372.92</v>
      </c>
    </row>
    <row r="2007" spans="1:25" ht="15" customHeight="1" x14ac:dyDescent="0.25">
      <c r="A2007" s="20" t="s">
        <v>1936</v>
      </c>
      <c r="B2007" s="14" t="s">
        <v>1937</v>
      </c>
      <c r="C2007" s="71" t="str">
        <f t="shared" si="41"/>
        <v>Product Info</v>
      </c>
      <c r="D2007" s="37" t="s">
        <v>1938</v>
      </c>
      <c r="E2007" s="143">
        <v>1</v>
      </c>
      <c r="F2007" s="12" t="s">
        <v>4992</v>
      </c>
      <c r="G2007" s="38">
        <v>438.71</v>
      </c>
      <c r="H2007" s="38">
        <v>372.92</v>
      </c>
      <c r="I2007" s="38">
        <v>307.10000000000002</v>
      </c>
      <c r="J2007" s="39"/>
      <c r="K2007" s="143"/>
      <c r="L2007" s="22">
        <v>0</v>
      </c>
      <c r="M2007" s="22">
        <v>0</v>
      </c>
      <c r="N2007" s="20" t="s">
        <v>14489</v>
      </c>
      <c r="O2007" s="16">
        <v>0</v>
      </c>
      <c r="P2007" s="143">
        <v>758</v>
      </c>
      <c r="Q2007" s="121" t="s">
        <v>14285</v>
      </c>
      <c r="R2007" s="16" t="s">
        <v>9235</v>
      </c>
      <c r="S2007" s="10" t="s">
        <v>1163</v>
      </c>
      <c r="T2007" s="28" t="s">
        <v>11037</v>
      </c>
      <c r="U2007" s="20" t="s">
        <v>5359</v>
      </c>
      <c r="V2007" s="16" t="s">
        <v>1936</v>
      </c>
      <c r="W2007" s="11" t="s">
        <v>14433</v>
      </c>
      <c r="X2007" s="174">
        <v>291.89999999999998</v>
      </c>
      <c r="Y2007" s="174">
        <v>372.92</v>
      </c>
    </row>
    <row r="2008" spans="1:25" ht="15" customHeight="1" x14ac:dyDescent="0.25">
      <c r="A2008" s="20" t="s">
        <v>3113</v>
      </c>
      <c r="B2008" s="14" t="s">
        <v>3114</v>
      </c>
      <c r="C2008" s="71" t="str">
        <f t="shared" si="41"/>
        <v>Product Info</v>
      </c>
      <c r="D2008" s="37" t="s">
        <v>3115</v>
      </c>
      <c r="E2008" s="143">
        <v>1</v>
      </c>
      <c r="F2008" s="12" t="s">
        <v>4992</v>
      </c>
      <c r="G2008" s="38">
        <v>132.74</v>
      </c>
      <c r="H2008" s="38">
        <v>112.84</v>
      </c>
      <c r="I2008" s="38">
        <v>92.92</v>
      </c>
      <c r="J2008" s="39"/>
      <c r="K2008" s="143"/>
      <c r="L2008" s="22">
        <v>0</v>
      </c>
      <c r="M2008" s="22">
        <v>0</v>
      </c>
      <c r="N2008" s="20" t="s">
        <v>14489</v>
      </c>
      <c r="O2008" s="16">
        <v>0</v>
      </c>
      <c r="P2008" s="143">
        <v>758</v>
      </c>
      <c r="Q2008" s="121" t="s">
        <v>14285</v>
      </c>
      <c r="R2008" s="16" t="s">
        <v>9235</v>
      </c>
      <c r="S2008" s="10" t="s">
        <v>1163</v>
      </c>
      <c r="T2008" s="28" t="s">
        <v>11038</v>
      </c>
      <c r="U2008" s="20" t="s">
        <v>5359</v>
      </c>
      <c r="V2008" s="16" t="s">
        <v>3113</v>
      </c>
      <c r="W2008" s="11" t="s">
        <v>14433</v>
      </c>
      <c r="X2008" s="174">
        <v>88.32</v>
      </c>
      <c r="Y2008" s="174">
        <v>112.84</v>
      </c>
    </row>
    <row r="2009" spans="1:25" ht="15" customHeight="1" x14ac:dyDescent="0.25">
      <c r="A2009" s="20" t="s">
        <v>4513</v>
      </c>
      <c r="B2009" s="14" t="s">
        <v>4514</v>
      </c>
      <c r="C2009" s="71" t="str">
        <f t="shared" si="41"/>
        <v>Product Info</v>
      </c>
      <c r="D2009" s="37" t="s">
        <v>3313</v>
      </c>
      <c r="E2009" s="143">
        <v>1</v>
      </c>
      <c r="F2009" s="12" t="s">
        <v>4992</v>
      </c>
      <c r="G2009" s="38">
        <v>371.89</v>
      </c>
      <c r="H2009" s="38">
        <v>316.11</v>
      </c>
      <c r="I2009" s="38">
        <v>260.32</v>
      </c>
      <c r="J2009" s="39"/>
      <c r="K2009" s="143"/>
      <c r="L2009" s="22">
        <v>0</v>
      </c>
      <c r="M2009" s="22">
        <v>0</v>
      </c>
      <c r="N2009" s="20" t="s">
        <v>14489</v>
      </c>
      <c r="O2009" s="16">
        <v>0</v>
      </c>
      <c r="P2009" s="143">
        <v>758</v>
      </c>
      <c r="Q2009" s="121" t="s">
        <v>14285</v>
      </c>
      <c r="R2009" s="16" t="s">
        <v>9235</v>
      </c>
      <c r="S2009" s="10" t="s">
        <v>1163</v>
      </c>
      <c r="T2009" s="28" t="s">
        <v>11039</v>
      </c>
      <c r="U2009" s="20" t="s">
        <v>5359</v>
      </c>
      <c r="V2009" s="16" t="s">
        <v>4513</v>
      </c>
      <c r="W2009" s="11" t="s">
        <v>14433</v>
      </c>
      <c r="X2009" s="174">
        <v>247.43</v>
      </c>
      <c r="Y2009" s="174">
        <v>316.11</v>
      </c>
    </row>
    <row r="2010" spans="1:25" ht="15" customHeight="1" x14ac:dyDescent="0.25">
      <c r="A2010" s="20" t="s">
        <v>1939</v>
      </c>
      <c r="B2010" s="14" t="s">
        <v>1940</v>
      </c>
      <c r="C2010" s="71" t="str">
        <f t="shared" si="41"/>
        <v>Product Info</v>
      </c>
      <c r="D2010" s="37" t="s">
        <v>1941</v>
      </c>
      <c r="E2010" s="143">
        <v>1</v>
      </c>
      <c r="F2010" s="12" t="s">
        <v>4992</v>
      </c>
      <c r="G2010" s="38">
        <v>392.81</v>
      </c>
      <c r="H2010" s="38">
        <v>333.9</v>
      </c>
      <c r="I2010" s="38">
        <v>274.97000000000003</v>
      </c>
      <c r="J2010" s="39"/>
      <c r="K2010" s="143"/>
      <c r="L2010" s="22">
        <v>0</v>
      </c>
      <c r="M2010" s="22">
        <v>0</v>
      </c>
      <c r="N2010" s="20" t="s">
        <v>14489</v>
      </c>
      <c r="O2010" s="16">
        <v>0</v>
      </c>
      <c r="P2010" s="143">
        <v>758</v>
      </c>
      <c r="Q2010" s="121" t="s">
        <v>14285</v>
      </c>
      <c r="R2010" s="16" t="s">
        <v>9235</v>
      </c>
      <c r="S2010" s="10" t="s">
        <v>1163</v>
      </c>
      <c r="T2010" s="28" t="s">
        <v>11040</v>
      </c>
      <c r="U2010" s="20" t="s">
        <v>5359</v>
      </c>
      <c r="V2010" s="16" t="s">
        <v>1939</v>
      </c>
      <c r="W2010" s="11" t="s">
        <v>14433</v>
      </c>
      <c r="X2010" s="174">
        <v>261.36</v>
      </c>
      <c r="Y2010" s="174">
        <v>333.9</v>
      </c>
    </row>
    <row r="2011" spans="1:25" ht="15" customHeight="1" x14ac:dyDescent="0.25">
      <c r="A2011" s="20" t="s">
        <v>3808</v>
      </c>
      <c r="B2011" s="14" t="s">
        <v>5972</v>
      </c>
      <c r="C2011" s="71" t="str">
        <f t="shared" si="41"/>
        <v>Product Info</v>
      </c>
      <c r="D2011" s="37" t="s">
        <v>3824</v>
      </c>
      <c r="E2011" s="143">
        <v>1</v>
      </c>
      <c r="F2011" s="12" t="s">
        <v>4992</v>
      </c>
      <c r="G2011" s="38">
        <v>358.2</v>
      </c>
      <c r="H2011" s="38">
        <v>304.48</v>
      </c>
      <c r="I2011" s="38">
        <v>250.74</v>
      </c>
      <c r="J2011" s="39"/>
      <c r="K2011" s="143"/>
      <c r="L2011" s="22">
        <v>0</v>
      </c>
      <c r="M2011" s="22">
        <v>0</v>
      </c>
      <c r="N2011" s="20" t="s">
        <v>14489</v>
      </c>
      <c r="O2011" s="16">
        <v>0</v>
      </c>
      <c r="P2011" s="143">
        <v>758</v>
      </c>
      <c r="Q2011" s="121" t="s">
        <v>14285</v>
      </c>
      <c r="R2011" s="16" t="s">
        <v>9235</v>
      </c>
      <c r="S2011" s="10" t="s">
        <v>1163</v>
      </c>
      <c r="T2011" s="28" t="s">
        <v>11041</v>
      </c>
      <c r="U2011" s="20" t="s">
        <v>5359</v>
      </c>
      <c r="V2011" s="16" t="s">
        <v>3808</v>
      </c>
      <c r="W2011" s="11" t="s">
        <v>14433</v>
      </c>
      <c r="X2011" s="174">
        <v>238.33</v>
      </c>
      <c r="Y2011" s="174">
        <v>304.48</v>
      </c>
    </row>
    <row r="2012" spans="1:25" ht="15" customHeight="1" x14ac:dyDescent="0.25">
      <c r="A2012" s="20" t="s">
        <v>3809</v>
      </c>
      <c r="B2012" s="14" t="s">
        <v>5973</v>
      </c>
      <c r="C2012" s="71" t="str">
        <f t="shared" si="41"/>
        <v>Product Info</v>
      </c>
      <c r="D2012" s="37" t="s">
        <v>3825</v>
      </c>
      <c r="E2012" s="143">
        <v>1</v>
      </c>
      <c r="F2012" s="12" t="s">
        <v>4992</v>
      </c>
      <c r="G2012" s="38">
        <v>675.84</v>
      </c>
      <c r="H2012" s="38">
        <v>574.49</v>
      </c>
      <c r="I2012" s="38">
        <v>473.09</v>
      </c>
      <c r="J2012" s="39"/>
      <c r="K2012" s="143"/>
      <c r="L2012" s="22">
        <v>0</v>
      </c>
      <c r="M2012" s="22">
        <v>0</v>
      </c>
      <c r="N2012" s="20" t="s">
        <v>14489</v>
      </c>
      <c r="O2012" s="16">
        <v>0</v>
      </c>
      <c r="P2012" s="143">
        <v>758</v>
      </c>
      <c r="Q2012" s="121" t="s">
        <v>14285</v>
      </c>
      <c r="R2012" s="16" t="s">
        <v>9235</v>
      </c>
      <c r="S2012" s="10" t="s">
        <v>1163</v>
      </c>
      <c r="T2012" s="28" t="s">
        <v>11042</v>
      </c>
      <c r="U2012" s="20" t="s">
        <v>5359</v>
      </c>
      <c r="V2012" s="16" t="s">
        <v>3809</v>
      </c>
      <c r="W2012" s="11" t="s">
        <v>14433</v>
      </c>
      <c r="X2012" s="174">
        <v>449.67</v>
      </c>
      <c r="Y2012" s="174">
        <v>574.49</v>
      </c>
    </row>
    <row r="2013" spans="1:25" ht="15" customHeight="1" x14ac:dyDescent="0.25">
      <c r="A2013" s="20" t="s">
        <v>3810</v>
      </c>
      <c r="B2013" s="14" t="s">
        <v>5974</v>
      </c>
      <c r="C2013" s="71" t="str">
        <f t="shared" si="41"/>
        <v>Product Info</v>
      </c>
      <c r="D2013" s="37" t="s">
        <v>3826</v>
      </c>
      <c r="E2013" s="143">
        <v>1</v>
      </c>
      <c r="F2013" s="12" t="s">
        <v>4992</v>
      </c>
      <c r="G2013" s="38">
        <v>993.49</v>
      </c>
      <c r="H2013" s="38">
        <v>844.49</v>
      </c>
      <c r="I2013" s="38">
        <v>695.44</v>
      </c>
      <c r="J2013" s="39"/>
      <c r="K2013" s="143"/>
      <c r="L2013" s="22">
        <v>0</v>
      </c>
      <c r="M2013" s="22">
        <v>0</v>
      </c>
      <c r="N2013" s="20" t="s">
        <v>14489</v>
      </c>
      <c r="O2013" s="16">
        <v>0</v>
      </c>
      <c r="P2013" s="143">
        <v>758</v>
      </c>
      <c r="Q2013" s="121" t="s">
        <v>14285</v>
      </c>
      <c r="R2013" s="16" t="s">
        <v>9235</v>
      </c>
      <c r="S2013" s="10" t="s">
        <v>1163</v>
      </c>
      <c r="T2013" s="28" t="s">
        <v>11043</v>
      </c>
      <c r="U2013" s="20" t="s">
        <v>5359</v>
      </c>
      <c r="V2013" s="16" t="s">
        <v>3810</v>
      </c>
      <c r="W2013" s="11" t="s">
        <v>14433</v>
      </c>
      <c r="X2013" s="174">
        <v>661.01</v>
      </c>
      <c r="Y2013" s="174">
        <v>844.49</v>
      </c>
    </row>
    <row r="2014" spans="1:25" ht="15" customHeight="1" x14ac:dyDescent="0.25">
      <c r="A2014" s="20" t="s">
        <v>3811</v>
      </c>
      <c r="B2014" s="14" t="s">
        <v>5975</v>
      </c>
      <c r="C2014" s="71" t="str">
        <f t="shared" si="41"/>
        <v>Product Info</v>
      </c>
      <c r="D2014" s="37" t="s">
        <v>3827</v>
      </c>
      <c r="E2014" s="143">
        <v>1</v>
      </c>
      <c r="F2014" s="12" t="s">
        <v>4992</v>
      </c>
      <c r="G2014" s="38">
        <v>1311.11</v>
      </c>
      <c r="H2014" s="38">
        <v>1114.49</v>
      </c>
      <c r="I2014" s="38">
        <v>917.78</v>
      </c>
      <c r="J2014" s="39"/>
      <c r="K2014" s="143"/>
      <c r="L2014" s="22">
        <v>0</v>
      </c>
      <c r="M2014" s="22">
        <v>0</v>
      </c>
      <c r="N2014" s="20" t="s">
        <v>14489</v>
      </c>
      <c r="O2014" s="16">
        <v>0</v>
      </c>
      <c r="P2014" s="143">
        <v>758</v>
      </c>
      <c r="Q2014" s="121" t="s">
        <v>14285</v>
      </c>
      <c r="R2014" s="16" t="s">
        <v>9235</v>
      </c>
      <c r="S2014" s="10" t="s">
        <v>1163</v>
      </c>
      <c r="T2014" s="28" t="s">
        <v>11044</v>
      </c>
      <c r="U2014" s="20" t="s">
        <v>5359</v>
      </c>
      <c r="V2014" s="16" t="s">
        <v>3811</v>
      </c>
      <c r="W2014" s="11" t="s">
        <v>14433</v>
      </c>
      <c r="X2014" s="174">
        <v>872.34</v>
      </c>
      <c r="Y2014" s="174">
        <v>1114.49</v>
      </c>
    </row>
    <row r="2015" spans="1:25" ht="15" customHeight="1" x14ac:dyDescent="0.25">
      <c r="A2015" s="20" t="s">
        <v>1942</v>
      </c>
      <c r="B2015" s="14" t="s">
        <v>1943</v>
      </c>
      <c r="C2015" s="71" t="str">
        <f t="shared" si="41"/>
        <v>Product Info</v>
      </c>
      <c r="D2015" s="37" t="s">
        <v>1944</v>
      </c>
      <c r="E2015" s="143">
        <v>1</v>
      </c>
      <c r="F2015" s="12" t="s">
        <v>4992</v>
      </c>
      <c r="G2015" s="38">
        <v>392.81</v>
      </c>
      <c r="H2015" s="38">
        <v>333.9</v>
      </c>
      <c r="I2015" s="38">
        <v>274.97000000000003</v>
      </c>
      <c r="J2015" s="39"/>
      <c r="K2015" s="143"/>
      <c r="L2015" s="22">
        <v>0</v>
      </c>
      <c r="M2015" s="22">
        <v>0</v>
      </c>
      <c r="N2015" s="20" t="s">
        <v>14489</v>
      </c>
      <c r="O2015" s="16">
        <v>0</v>
      </c>
      <c r="P2015" s="143">
        <v>758</v>
      </c>
      <c r="Q2015" s="121" t="s">
        <v>14285</v>
      </c>
      <c r="R2015" s="16" t="s">
        <v>9235</v>
      </c>
      <c r="S2015" s="10" t="s">
        <v>1163</v>
      </c>
      <c r="T2015" s="28" t="s">
        <v>11045</v>
      </c>
      <c r="U2015" s="20" t="s">
        <v>5359</v>
      </c>
      <c r="V2015" s="16" t="s">
        <v>1942</v>
      </c>
      <c r="W2015" s="11" t="s">
        <v>14433</v>
      </c>
      <c r="X2015" s="174">
        <v>261.36</v>
      </c>
      <c r="Y2015" s="174">
        <v>333.9</v>
      </c>
    </row>
    <row r="2016" spans="1:25" ht="15" customHeight="1" x14ac:dyDescent="0.25">
      <c r="A2016" s="20" t="s">
        <v>4515</v>
      </c>
      <c r="B2016" s="14" t="s">
        <v>4516</v>
      </c>
      <c r="C2016" s="71" t="str">
        <f t="shared" si="41"/>
        <v>Product Info</v>
      </c>
      <c r="D2016" s="37" t="s">
        <v>3314</v>
      </c>
      <c r="E2016" s="143">
        <v>1</v>
      </c>
      <c r="F2016" s="12" t="s">
        <v>4992</v>
      </c>
      <c r="G2016" s="38">
        <v>371.89</v>
      </c>
      <c r="H2016" s="38">
        <v>316.11</v>
      </c>
      <c r="I2016" s="38">
        <v>260.32</v>
      </c>
      <c r="J2016" s="39"/>
      <c r="K2016" s="143"/>
      <c r="L2016" s="22">
        <v>0</v>
      </c>
      <c r="M2016" s="22">
        <v>0</v>
      </c>
      <c r="N2016" s="20" t="s">
        <v>14489</v>
      </c>
      <c r="O2016" s="16">
        <v>0</v>
      </c>
      <c r="P2016" s="143">
        <v>758</v>
      </c>
      <c r="Q2016" s="121" t="s">
        <v>14285</v>
      </c>
      <c r="R2016" s="16" t="s">
        <v>9235</v>
      </c>
      <c r="S2016" s="10" t="s">
        <v>1163</v>
      </c>
      <c r="T2016" s="28" t="s">
        <v>11046</v>
      </c>
      <c r="U2016" s="20" t="s">
        <v>5359</v>
      </c>
      <c r="V2016" s="16" t="s">
        <v>4515</v>
      </c>
      <c r="W2016" s="11" t="s">
        <v>14433</v>
      </c>
      <c r="X2016" s="174">
        <v>247.43</v>
      </c>
      <c r="Y2016" s="174">
        <v>316.11</v>
      </c>
    </row>
    <row r="2017" spans="1:25" ht="15" customHeight="1" x14ac:dyDescent="0.25">
      <c r="A2017" s="20" t="s">
        <v>1945</v>
      </c>
      <c r="B2017" s="14" t="s">
        <v>1946</v>
      </c>
      <c r="C2017" s="71" t="str">
        <f t="shared" si="41"/>
        <v>Product Info</v>
      </c>
      <c r="D2017" s="37" t="s">
        <v>1947</v>
      </c>
      <c r="E2017" s="143">
        <v>1</v>
      </c>
      <c r="F2017" s="12" t="s">
        <v>4992</v>
      </c>
      <c r="G2017" s="38">
        <v>392.81</v>
      </c>
      <c r="H2017" s="38">
        <v>333.9</v>
      </c>
      <c r="I2017" s="38">
        <v>274.97000000000003</v>
      </c>
      <c r="J2017" s="39"/>
      <c r="K2017" s="143"/>
      <c r="L2017" s="22">
        <v>0</v>
      </c>
      <c r="M2017" s="22">
        <v>0</v>
      </c>
      <c r="N2017" s="20" t="s">
        <v>14489</v>
      </c>
      <c r="O2017" s="16">
        <v>0</v>
      </c>
      <c r="P2017" s="143">
        <v>758</v>
      </c>
      <c r="Q2017" s="121" t="s">
        <v>14285</v>
      </c>
      <c r="R2017" s="16" t="s">
        <v>9235</v>
      </c>
      <c r="S2017" s="10" t="s">
        <v>1163</v>
      </c>
      <c r="T2017" s="28" t="s">
        <v>11047</v>
      </c>
      <c r="U2017" s="20" t="s">
        <v>5359</v>
      </c>
      <c r="V2017" s="16" t="s">
        <v>1945</v>
      </c>
      <c r="W2017" s="11" t="s">
        <v>14433</v>
      </c>
      <c r="X2017" s="174">
        <v>261.36</v>
      </c>
      <c r="Y2017" s="174">
        <v>333.9</v>
      </c>
    </row>
    <row r="2018" spans="1:25" ht="15" customHeight="1" x14ac:dyDescent="0.25">
      <c r="A2018" s="20" t="s">
        <v>4517</v>
      </c>
      <c r="B2018" s="14" t="s">
        <v>4518</v>
      </c>
      <c r="C2018" s="71" t="str">
        <f t="shared" si="41"/>
        <v>Product Info</v>
      </c>
      <c r="D2018" s="37" t="s">
        <v>3315</v>
      </c>
      <c r="E2018" s="143">
        <v>1</v>
      </c>
      <c r="F2018" s="12" t="s">
        <v>4992</v>
      </c>
      <c r="G2018" s="38">
        <v>417.79</v>
      </c>
      <c r="H2018" s="38">
        <v>355.13</v>
      </c>
      <c r="I2018" s="38">
        <v>292.45</v>
      </c>
      <c r="J2018" s="39"/>
      <c r="K2018" s="143"/>
      <c r="L2018" s="22">
        <v>0</v>
      </c>
      <c r="M2018" s="22">
        <v>0</v>
      </c>
      <c r="N2018" s="20" t="s">
        <v>14489</v>
      </c>
      <c r="O2018" s="16">
        <v>0</v>
      </c>
      <c r="P2018" s="143">
        <v>758</v>
      </c>
      <c r="Q2018" s="121" t="s">
        <v>14285</v>
      </c>
      <c r="R2018" s="16" t="s">
        <v>9235</v>
      </c>
      <c r="S2018" s="10" t="s">
        <v>1163</v>
      </c>
      <c r="T2018" s="28" t="s">
        <v>11048</v>
      </c>
      <c r="U2018" s="20" t="s">
        <v>5359</v>
      </c>
      <c r="V2018" s="16" t="s">
        <v>4517</v>
      </c>
      <c r="W2018" s="11" t="s">
        <v>14433</v>
      </c>
      <c r="X2018" s="174">
        <v>277.97000000000003</v>
      </c>
      <c r="Y2018" s="174">
        <v>355.13</v>
      </c>
    </row>
    <row r="2019" spans="1:25" ht="15" customHeight="1" x14ac:dyDescent="0.25">
      <c r="A2019" s="20" t="s">
        <v>1948</v>
      </c>
      <c r="B2019" s="14" t="s">
        <v>1949</v>
      </c>
      <c r="C2019" s="71" t="str">
        <f t="shared" si="41"/>
        <v>Product Info</v>
      </c>
      <c r="D2019" s="37" t="s">
        <v>1950</v>
      </c>
      <c r="E2019" s="143">
        <v>1</v>
      </c>
      <c r="F2019" s="12" t="s">
        <v>4992</v>
      </c>
      <c r="G2019" s="38">
        <v>438.71</v>
      </c>
      <c r="H2019" s="38">
        <v>372.92</v>
      </c>
      <c r="I2019" s="38">
        <v>307.10000000000002</v>
      </c>
      <c r="J2019" s="39"/>
      <c r="K2019" s="143"/>
      <c r="L2019" s="22">
        <v>0</v>
      </c>
      <c r="M2019" s="22">
        <v>0</v>
      </c>
      <c r="N2019" s="20" t="s">
        <v>14489</v>
      </c>
      <c r="O2019" s="16">
        <v>0</v>
      </c>
      <c r="P2019" s="143">
        <v>758</v>
      </c>
      <c r="Q2019" s="121" t="s">
        <v>14285</v>
      </c>
      <c r="R2019" s="16" t="s">
        <v>9235</v>
      </c>
      <c r="S2019" s="10" t="s">
        <v>1163</v>
      </c>
      <c r="T2019" s="28" t="s">
        <v>11049</v>
      </c>
      <c r="U2019" s="20" t="s">
        <v>5359</v>
      </c>
      <c r="V2019" s="16" t="s">
        <v>1948</v>
      </c>
      <c r="W2019" s="11" t="s">
        <v>14433</v>
      </c>
      <c r="X2019" s="174">
        <v>291.89999999999998</v>
      </c>
      <c r="Y2019" s="174">
        <v>372.92</v>
      </c>
    </row>
    <row r="2020" spans="1:25" ht="15" customHeight="1" x14ac:dyDescent="0.25">
      <c r="A2020" s="20" t="s">
        <v>4519</v>
      </c>
      <c r="B2020" s="14" t="s">
        <v>4520</v>
      </c>
      <c r="C2020" s="71" t="str">
        <f t="shared" si="41"/>
        <v>Product Info</v>
      </c>
      <c r="D2020" s="37" t="s">
        <v>3316</v>
      </c>
      <c r="E2020" s="143">
        <v>1</v>
      </c>
      <c r="F2020" s="12" t="s">
        <v>4992</v>
      </c>
      <c r="G2020" s="38">
        <v>417.79</v>
      </c>
      <c r="H2020" s="38">
        <v>355.13</v>
      </c>
      <c r="I2020" s="38">
        <v>292.45</v>
      </c>
      <c r="J2020" s="39"/>
      <c r="K2020" s="143"/>
      <c r="L2020" s="22">
        <v>0</v>
      </c>
      <c r="M2020" s="22">
        <v>0</v>
      </c>
      <c r="N2020" s="20" t="s">
        <v>14489</v>
      </c>
      <c r="O2020" s="16">
        <v>0</v>
      </c>
      <c r="P2020" s="143">
        <v>758</v>
      </c>
      <c r="Q2020" s="121" t="s">
        <v>14285</v>
      </c>
      <c r="R2020" s="16" t="s">
        <v>9235</v>
      </c>
      <c r="S2020" s="10" t="s">
        <v>1163</v>
      </c>
      <c r="T2020" s="28" t="s">
        <v>11050</v>
      </c>
      <c r="U2020" s="20" t="s">
        <v>5359</v>
      </c>
      <c r="V2020" s="16" t="s">
        <v>4519</v>
      </c>
      <c r="W2020" s="11" t="s">
        <v>14433</v>
      </c>
      <c r="X2020" s="174">
        <v>277.97000000000003</v>
      </c>
      <c r="Y2020" s="174">
        <v>355.13</v>
      </c>
    </row>
    <row r="2021" spans="1:25" ht="15" customHeight="1" x14ac:dyDescent="0.25">
      <c r="A2021" s="20" t="s">
        <v>1951</v>
      </c>
      <c r="B2021" s="14" t="s">
        <v>1952</v>
      </c>
      <c r="C2021" s="71" t="str">
        <f t="shared" si="41"/>
        <v>Product Info</v>
      </c>
      <c r="D2021" s="37" t="s">
        <v>1953</v>
      </c>
      <c r="E2021" s="143">
        <v>1</v>
      </c>
      <c r="F2021" s="12" t="s">
        <v>4992</v>
      </c>
      <c r="G2021" s="38">
        <v>438.71</v>
      </c>
      <c r="H2021" s="38">
        <v>372.92</v>
      </c>
      <c r="I2021" s="38">
        <v>307.10000000000002</v>
      </c>
      <c r="J2021" s="39"/>
      <c r="K2021" s="143"/>
      <c r="L2021" s="22">
        <v>0</v>
      </c>
      <c r="M2021" s="22">
        <v>0</v>
      </c>
      <c r="N2021" s="20" t="s">
        <v>14489</v>
      </c>
      <c r="O2021" s="16">
        <v>0</v>
      </c>
      <c r="P2021" s="143">
        <v>758</v>
      </c>
      <c r="Q2021" s="121" t="s">
        <v>14285</v>
      </c>
      <c r="R2021" s="16" t="s">
        <v>9235</v>
      </c>
      <c r="S2021" s="10" t="s">
        <v>1163</v>
      </c>
      <c r="T2021" s="28" t="s">
        <v>11051</v>
      </c>
      <c r="U2021" s="20" t="s">
        <v>5359</v>
      </c>
      <c r="V2021" s="16" t="s">
        <v>1951</v>
      </c>
      <c r="W2021" s="11" t="s">
        <v>14433</v>
      </c>
      <c r="X2021" s="174">
        <v>291.89999999999998</v>
      </c>
      <c r="Y2021" s="174">
        <v>372.92</v>
      </c>
    </row>
    <row r="2022" spans="1:25" ht="15" customHeight="1" x14ac:dyDescent="0.25">
      <c r="A2022" s="20" t="s">
        <v>1954</v>
      </c>
      <c r="B2022" s="14" t="s">
        <v>1955</v>
      </c>
      <c r="C2022" s="71" t="str">
        <f t="shared" si="41"/>
        <v>Product Info</v>
      </c>
      <c r="D2022" s="37" t="s">
        <v>137</v>
      </c>
      <c r="E2022" s="143">
        <v>1</v>
      </c>
      <c r="F2022" s="12" t="s">
        <v>4992</v>
      </c>
      <c r="G2022" s="38">
        <v>194.94</v>
      </c>
      <c r="H2022" s="38">
        <v>165.71</v>
      </c>
      <c r="I2022" s="38">
        <v>136.46</v>
      </c>
      <c r="J2022" s="39"/>
      <c r="K2022" s="143"/>
      <c r="L2022" s="22">
        <v>0</v>
      </c>
      <c r="M2022" s="22">
        <v>0</v>
      </c>
      <c r="N2022" s="20" t="s">
        <v>14489</v>
      </c>
      <c r="O2022" s="16">
        <v>0</v>
      </c>
      <c r="P2022" s="143">
        <v>758</v>
      </c>
      <c r="Q2022" s="121" t="s">
        <v>14285</v>
      </c>
      <c r="R2022" s="16" t="s">
        <v>9235</v>
      </c>
      <c r="S2022" s="10" t="s">
        <v>1163</v>
      </c>
      <c r="T2022" s="28" t="s">
        <v>11052</v>
      </c>
      <c r="U2022" s="20" t="s">
        <v>5359</v>
      </c>
      <c r="V2022" s="16" t="s">
        <v>1954</v>
      </c>
      <c r="W2022" s="11" t="s">
        <v>14433</v>
      </c>
      <c r="X2022" s="174">
        <v>129.71</v>
      </c>
      <c r="Y2022" s="174">
        <v>165.71</v>
      </c>
    </row>
    <row r="2023" spans="1:25" ht="15" customHeight="1" x14ac:dyDescent="0.25">
      <c r="A2023" s="20" t="s">
        <v>1956</v>
      </c>
      <c r="B2023" s="14" t="s">
        <v>1957</v>
      </c>
      <c r="C2023" s="71" t="str">
        <f t="shared" si="41"/>
        <v>Product Info</v>
      </c>
      <c r="D2023" s="37" t="s">
        <v>138</v>
      </c>
      <c r="E2023" s="143">
        <v>1</v>
      </c>
      <c r="F2023" s="12" t="s">
        <v>4992</v>
      </c>
      <c r="G2023" s="38">
        <v>198.97</v>
      </c>
      <c r="H2023" s="38">
        <v>169.13</v>
      </c>
      <c r="I2023" s="38">
        <v>139.28</v>
      </c>
      <c r="J2023" s="39"/>
      <c r="K2023" s="143"/>
      <c r="L2023" s="22">
        <v>0</v>
      </c>
      <c r="M2023" s="22">
        <v>0</v>
      </c>
      <c r="N2023" s="20" t="s">
        <v>14489</v>
      </c>
      <c r="O2023" s="16">
        <v>0</v>
      </c>
      <c r="P2023" s="143">
        <v>758</v>
      </c>
      <c r="Q2023" s="122" t="s">
        <v>12421</v>
      </c>
      <c r="R2023" s="16" t="s">
        <v>9235</v>
      </c>
      <c r="S2023" s="10" t="s">
        <v>1163</v>
      </c>
      <c r="T2023" s="28" t="s">
        <v>11053</v>
      </c>
      <c r="U2023" s="20" t="s">
        <v>5359</v>
      </c>
      <c r="V2023" s="16" t="s">
        <v>1956</v>
      </c>
      <c r="W2023" s="11" t="s">
        <v>14433</v>
      </c>
      <c r="X2023" s="174">
        <v>132.38</v>
      </c>
      <c r="Y2023" s="174">
        <v>169.13</v>
      </c>
    </row>
    <row r="2024" spans="1:25" ht="15" customHeight="1" x14ac:dyDescent="0.25">
      <c r="A2024" s="20" t="s">
        <v>4523</v>
      </c>
      <c r="B2024" s="14" t="s">
        <v>4524</v>
      </c>
      <c r="C2024" s="71" t="str">
        <f t="shared" si="41"/>
        <v>Product Info</v>
      </c>
      <c r="D2024" s="37" t="s">
        <v>3319</v>
      </c>
      <c r="E2024" s="143">
        <v>1</v>
      </c>
      <c r="F2024" s="12" t="s">
        <v>4992</v>
      </c>
      <c r="G2024" s="38">
        <v>371.89</v>
      </c>
      <c r="H2024" s="38">
        <v>316.11</v>
      </c>
      <c r="I2024" s="38">
        <v>260.32</v>
      </c>
      <c r="J2024" s="39"/>
      <c r="K2024" s="143"/>
      <c r="L2024" s="22">
        <v>0</v>
      </c>
      <c r="M2024" s="22">
        <v>0</v>
      </c>
      <c r="N2024" s="20" t="s">
        <v>14489</v>
      </c>
      <c r="O2024" s="16" t="s">
        <v>12608</v>
      </c>
      <c r="P2024" s="143">
        <v>758</v>
      </c>
      <c r="Q2024" s="122" t="s">
        <v>12421</v>
      </c>
      <c r="R2024" s="16" t="s">
        <v>9235</v>
      </c>
      <c r="S2024" s="10" t="s">
        <v>1163</v>
      </c>
      <c r="T2024" s="28" t="s">
        <v>11054</v>
      </c>
      <c r="U2024" s="20" t="s">
        <v>5359</v>
      </c>
      <c r="V2024" s="16" t="s">
        <v>4523</v>
      </c>
      <c r="W2024" s="11" t="s">
        <v>14433</v>
      </c>
      <c r="X2024" s="174">
        <v>247.43</v>
      </c>
      <c r="Y2024" s="174">
        <v>316.11</v>
      </c>
    </row>
    <row r="2025" spans="1:25" ht="15" customHeight="1" x14ac:dyDescent="0.25">
      <c r="A2025" s="20" t="s">
        <v>1958</v>
      </c>
      <c r="B2025" s="14" t="s">
        <v>1959</v>
      </c>
      <c r="C2025" s="71" t="str">
        <f t="shared" si="41"/>
        <v>Product Info</v>
      </c>
      <c r="D2025" s="37" t="s">
        <v>1960</v>
      </c>
      <c r="E2025" s="143">
        <v>1</v>
      </c>
      <c r="F2025" s="12" t="s">
        <v>4992</v>
      </c>
      <c r="G2025" s="38">
        <v>392.81</v>
      </c>
      <c r="H2025" s="38">
        <v>333.9</v>
      </c>
      <c r="I2025" s="38">
        <v>274.97000000000003</v>
      </c>
      <c r="J2025" s="39"/>
      <c r="K2025" s="143"/>
      <c r="L2025" s="22">
        <v>0</v>
      </c>
      <c r="M2025" s="22">
        <v>0</v>
      </c>
      <c r="N2025" s="20" t="s">
        <v>14489</v>
      </c>
      <c r="O2025" s="16">
        <v>0</v>
      </c>
      <c r="P2025" s="143">
        <v>758</v>
      </c>
      <c r="Q2025" s="121" t="s">
        <v>14285</v>
      </c>
      <c r="R2025" s="16" t="s">
        <v>9235</v>
      </c>
      <c r="S2025" s="10" t="s">
        <v>1163</v>
      </c>
      <c r="T2025" s="28" t="s">
        <v>11055</v>
      </c>
      <c r="U2025" s="20" t="s">
        <v>5359</v>
      </c>
      <c r="V2025" s="16" t="s">
        <v>1958</v>
      </c>
      <c r="W2025" s="11" t="s">
        <v>14433</v>
      </c>
      <c r="X2025" s="174">
        <v>261.36</v>
      </c>
      <c r="Y2025" s="174">
        <v>333.9</v>
      </c>
    </row>
    <row r="2026" spans="1:25" ht="15" customHeight="1" x14ac:dyDescent="0.25">
      <c r="A2026" s="20" t="s">
        <v>1961</v>
      </c>
      <c r="B2026" s="14" t="s">
        <v>1962</v>
      </c>
      <c r="C2026" s="71" t="str">
        <f t="shared" si="41"/>
        <v>Product Info</v>
      </c>
      <c r="D2026" s="37" t="s">
        <v>1963</v>
      </c>
      <c r="E2026" s="143">
        <v>1</v>
      </c>
      <c r="F2026" s="12" t="s">
        <v>4992</v>
      </c>
      <c r="G2026" s="38">
        <v>438.71</v>
      </c>
      <c r="H2026" s="38">
        <v>372.92</v>
      </c>
      <c r="I2026" s="38">
        <v>307.10000000000002</v>
      </c>
      <c r="J2026" s="39"/>
      <c r="K2026" s="143"/>
      <c r="L2026" s="22">
        <v>0</v>
      </c>
      <c r="M2026" s="22">
        <v>0</v>
      </c>
      <c r="N2026" s="20" t="s">
        <v>14489</v>
      </c>
      <c r="O2026" s="16">
        <v>0</v>
      </c>
      <c r="P2026" s="143">
        <v>758</v>
      </c>
      <c r="Q2026" s="121" t="s">
        <v>14285</v>
      </c>
      <c r="R2026" s="16" t="s">
        <v>9235</v>
      </c>
      <c r="S2026" s="10" t="s">
        <v>1163</v>
      </c>
      <c r="T2026" s="28" t="s">
        <v>11056</v>
      </c>
      <c r="U2026" s="20" t="s">
        <v>5359</v>
      </c>
      <c r="V2026" s="16" t="s">
        <v>1961</v>
      </c>
      <c r="W2026" s="11" t="s">
        <v>14433</v>
      </c>
      <c r="X2026" s="174">
        <v>291.89999999999998</v>
      </c>
      <c r="Y2026" s="174">
        <v>372.92</v>
      </c>
    </row>
    <row r="2027" spans="1:25" ht="15" customHeight="1" x14ac:dyDescent="0.25">
      <c r="A2027" s="20" t="s">
        <v>1964</v>
      </c>
      <c r="B2027" s="14" t="s">
        <v>1965</v>
      </c>
      <c r="C2027" s="71" t="str">
        <f t="shared" si="41"/>
        <v>Product Info</v>
      </c>
      <c r="D2027" s="37" t="s">
        <v>1966</v>
      </c>
      <c r="E2027" s="143">
        <v>1</v>
      </c>
      <c r="F2027" s="12" t="s">
        <v>4992</v>
      </c>
      <c r="G2027" s="38">
        <v>392.81</v>
      </c>
      <c r="H2027" s="38">
        <v>333.9</v>
      </c>
      <c r="I2027" s="38">
        <v>274.97000000000003</v>
      </c>
      <c r="J2027" s="39"/>
      <c r="K2027" s="143"/>
      <c r="L2027" s="22">
        <v>0</v>
      </c>
      <c r="M2027" s="22">
        <v>0</v>
      </c>
      <c r="N2027" s="20" t="s">
        <v>14489</v>
      </c>
      <c r="O2027" s="16">
        <v>0</v>
      </c>
      <c r="P2027" s="143">
        <v>758</v>
      </c>
      <c r="Q2027" s="121" t="s">
        <v>14285</v>
      </c>
      <c r="R2027" s="16" t="s">
        <v>9235</v>
      </c>
      <c r="S2027" s="10" t="s">
        <v>1163</v>
      </c>
      <c r="T2027" s="28" t="s">
        <v>11057</v>
      </c>
      <c r="U2027" s="20" t="s">
        <v>5359</v>
      </c>
      <c r="V2027" s="16" t="s">
        <v>1964</v>
      </c>
      <c r="W2027" s="11" t="s">
        <v>14433</v>
      </c>
      <c r="X2027" s="174">
        <v>261.36</v>
      </c>
      <c r="Y2027" s="174">
        <v>333.9</v>
      </c>
    </row>
    <row r="2028" spans="1:25" ht="15" customHeight="1" x14ac:dyDescent="0.25">
      <c r="A2028" s="20" t="s">
        <v>4526</v>
      </c>
      <c r="B2028" s="14" t="s">
        <v>4527</v>
      </c>
      <c r="C2028" s="71" t="str">
        <f t="shared" si="41"/>
        <v>Product Info</v>
      </c>
      <c r="D2028" s="37" t="s">
        <v>3321</v>
      </c>
      <c r="E2028" s="143">
        <v>1</v>
      </c>
      <c r="F2028" s="12" t="s">
        <v>4992</v>
      </c>
      <c r="G2028" s="38">
        <v>371.89</v>
      </c>
      <c r="H2028" s="38">
        <v>316.11</v>
      </c>
      <c r="I2028" s="38">
        <v>260.32</v>
      </c>
      <c r="J2028" s="39"/>
      <c r="K2028" s="143"/>
      <c r="L2028" s="22">
        <v>0</v>
      </c>
      <c r="M2028" s="22">
        <v>0</v>
      </c>
      <c r="N2028" s="20" t="s">
        <v>14489</v>
      </c>
      <c r="O2028" s="16">
        <v>0</v>
      </c>
      <c r="P2028" s="143">
        <v>758</v>
      </c>
      <c r="Q2028" s="121" t="s">
        <v>14285</v>
      </c>
      <c r="R2028" s="16" t="s">
        <v>9235</v>
      </c>
      <c r="S2028" s="10" t="s">
        <v>1163</v>
      </c>
      <c r="T2028" s="28" t="s">
        <v>11058</v>
      </c>
      <c r="U2028" s="20" t="s">
        <v>5359</v>
      </c>
      <c r="V2028" s="16" t="s">
        <v>4526</v>
      </c>
      <c r="W2028" s="11" t="s">
        <v>14433</v>
      </c>
      <c r="X2028" s="174">
        <v>247.43</v>
      </c>
      <c r="Y2028" s="174">
        <v>316.11</v>
      </c>
    </row>
    <row r="2029" spans="1:25" ht="15" customHeight="1" x14ac:dyDescent="0.25">
      <c r="A2029" s="20" t="s">
        <v>1967</v>
      </c>
      <c r="B2029" s="14" t="s">
        <v>1968</v>
      </c>
      <c r="C2029" s="71" t="str">
        <f t="shared" si="41"/>
        <v>Product Info</v>
      </c>
      <c r="D2029" s="37" t="s">
        <v>1969</v>
      </c>
      <c r="E2029" s="143">
        <v>1</v>
      </c>
      <c r="F2029" s="12" t="s">
        <v>4992</v>
      </c>
      <c r="G2029" s="38">
        <v>392.81</v>
      </c>
      <c r="H2029" s="38">
        <v>333.9</v>
      </c>
      <c r="I2029" s="38">
        <v>274.97000000000003</v>
      </c>
      <c r="J2029" s="39"/>
      <c r="K2029" s="143"/>
      <c r="L2029" s="22">
        <v>0</v>
      </c>
      <c r="M2029" s="22">
        <v>0</v>
      </c>
      <c r="N2029" s="20" t="s">
        <v>14489</v>
      </c>
      <c r="O2029" s="16">
        <v>0</v>
      </c>
      <c r="P2029" s="143">
        <v>758</v>
      </c>
      <c r="Q2029" s="121" t="s">
        <v>14285</v>
      </c>
      <c r="R2029" s="16" t="s">
        <v>9235</v>
      </c>
      <c r="S2029" s="10" t="s">
        <v>1163</v>
      </c>
      <c r="T2029" s="28" t="s">
        <v>11059</v>
      </c>
      <c r="U2029" s="20" t="s">
        <v>5359</v>
      </c>
      <c r="V2029" s="16" t="s">
        <v>1967</v>
      </c>
      <c r="W2029" s="11" t="s">
        <v>14433</v>
      </c>
      <c r="X2029" s="174">
        <v>261.36</v>
      </c>
      <c r="Y2029" s="174">
        <v>333.9</v>
      </c>
    </row>
    <row r="2030" spans="1:25" ht="15" customHeight="1" x14ac:dyDescent="0.25">
      <c r="A2030" s="20" t="s">
        <v>1970</v>
      </c>
      <c r="B2030" s="14" t="s">
        <v>1971</v>
      </c>
      <c r="C2030" s="71" t="str">
        <f t="shared" si="41"/>
        <v>Product Info</v>
      </c>
      <c r="D2030" s="37" t="s">
        <v>1972</v>
      </c>
      <c r="E2030" s="143">
        <v>1</v>
      </c>
      <c r="F2030" s="12" t="s">
        <v>4992</v>
      </c>
      <c r="G2030" s="38">
        <v>438.71</v>
      </c>
      <c r="H2030" s="38">
        <v>372.92</v>
      </c>
      <c r="I2030" s="38">
        <v>307.10000000000002</v>
      </c>
      <c r="J2030" s="39"/>
      <c r="K2030" s="143"/>
      <c r="L2030" s="22">
        <v>0</v>
      </c>
      <c r="M2030" s="22">
        <v>0</v>
      </c>
      <c r="N2030" s="20" t="s">
        <v>14489</v>
      </c>
      <c r="O2030" s="16">
        <v>0</v>
      </c>
      <c r="P2030" s="143">
        <v>758</v>
      </c>
      <c r="Q2030" s="121" t="s">
        <v>14285</v>
      </c>
      <c r="R2030" s="16" t="s">
        <v>9235</v>
      </c>
      <c r="S2030" s="10" t="s">
        <v>1163</v>
      </c>
      <c r="T2030" s="28" t="s">
        <v>11060</v>
      </c>
      <c r="U2030" s="20" t="s">
        <v>5359</v>
      </c>
      <c r="V2030" s="16" t="s">
        <v>1970</v>
      </c>
      <c r="W2030" s="11" t="s">
        <v>14433</v>
      </c>
      <c r="X2030" s="174">
        <v>291.89999999999998</v>
      </c>
      <c r="Y2030" s="174">
        <v>372.92</v>
      </c>
    </row>
    <row r="2031" spans="1:25" ht="15" customHeight="1" x14ac:dyDescent="0.25">
      <c r="A2031" s="20" t="s">
        <v>4529</v>
      </c>
      <c r="B2031" s="14" t="s">
        <v>4530</v>
      </c>
      <c r="C2031" s="71" t="str">
        <f t="shared" si="41"/>
        <v>Product Info</v>
      </c>
      <c r="D2031" s="37" t="s">
        <v>3323</v>
      </c>
      <c r="E2031" s="143">
        <v>1</v>
      </c>
      <c r="F2031" s="12" t="s">
        <v>4992</v>
      </c>
      <c r="G2031" s="38">
        <v>426.79</v>
      </c>
      <c r="H2031" s="38">
        <v>362.78</v>
      </c>
      <c r="I2031" s="38">
        <v>298.75</v>
      </c>
      <c r="J2031" s="39"/>
      <c r="K2031" s="143"/>
      <c r="L2031" s="22">
        <v>0</v>
      </c>
      <c r="M2031" s="22">
        <v>0</v>
      </c>
      <c r="N2031" s="20" t="s">
        <v>14489</v>
      </c>
      <c r="O2031" s="16">
        <v>0</v>
      </c>
      <c r="P2031" s="143">
        <v>758</v>
      </c>
      <c r="Q2031" s="122" t="s">
        <v>12421</v>
      </c>
      <c r="R2031" s="16" t="s">
        <v>9235</v>
      </c>
      <c r="S2031" s="10" t="s">
        <v>1163</v>
      </c>
      <c r="T2031" s="28" t="s">
        <v>11061</v>
      </c>
      <c r="U2031" s="20" t="s">
        <v>5359</v>
      </c>
      <c r="V2031" s="16" t="s">
        <v>4529</v>
      </c>
      <c r="W2031" s="11" t="s">
        <v>14433</v>
      </c>
      <c r="X2031" s="174">
        <v>283.95999999999998</v>
      </c>
      <c r="Y2031" s="174">
        <v>362.78</v>
      </c>
    </row>
    <row r="2032" spans="1:25" ht="15" customHeight="1" x14ac:dyDescent="0.25">
      <c r="A2032" s="20" t="s">
        <v>1973</v>
      </c>
      <c r="B2032" s="14" t="s">
        <v>1974</v>
      </c>
      <c r="C2032" s="71" t="str">
        <f t="shared" si="41"/>
        <v>Product Info</v>
      </c>
      <c r="D2032" s="37" t="s">
        <v>1975</v>
      </c>
      <c r="E2032" s="143">
        <v>1</v>
      </c>
      <c r="F2032" s="12" t="s">
        <v>4992</v>
      </c>
      <c r="G2032" s="38">
        <v>439.63</v>
      </c>
      <c r="H2032" s="38">
        <v>373.7</v>
      </c>
      <c r="I2032" s="38">
        <v>307.74</v>
      </c>
      <c r="J2032" s="39"/>
      <c r="K2032" s="143"/>
      <c r="L2032" s="22">
        <v>0</v>
      </c>
      <c r="M2032" s="22">
        <v>0</v>
      </c>
      <c r="N2032" s="20" t="s">
        <v>14489</v>
      </c>
      <c r="O2032" s="16">
        <v>0</v>
      </c>
      <c r="P2032" s="143">
        <v>758</v>
      </c>
      <c r="Q2032" s="121" t="s">
        <v>14285</v>
      </c>
      <c r="R2032" s="16" t="s">
        <v>9235</v>
      </c>
      <c r="S2032" s="10" t="s">
        <v>1163</v>
      </c>
      <c r="T2032" s="28" t="s">
        <v>11062</v>
      </c>
      <c r="U2032" s="20" t="s">
        <v>5359</v>
      </c>
      <c r="V2032" s="16" t="s">
        <v>1973</v>
      </c>
      <c r="W2032" s="11" t="s">
        <v>14433</v>
      </c>
      <c r="X2032" s="174">
        <v>292.5</v>
      </c>
      <c r="Y2032" s="174">
        <v>373.7</v>
      </c>
    </row>
    <row r="2033" spans="1:25" ht="15" customHeight="1" x14ac:dyDescent="0.25">
      <c r="A2033" s="20" t="s">
        <v>4532</v>
      </c>
      <c r="B2033" s="14" t="s">
        <v>4533</v>
      </c>
      <c r="C2033" s="71" t="str">
        <f t="shared" si="41"/>
        <v>Product Info</v>
      </c>
      <c r="D2033" s="37" t="s">
        <v>3325</v>
      </c>
      <c r="E2033" s="143">
        <v>1</v>
      </c>
      <c r="F2033" s="12" t="s">
        <v>4992</v>
      </c>
      <c r="G2033" s="38">
        <v>380.04</v>
      </c>
      <c r="H2033" s="38">
        <v>323.05</v>
      </c>
      <c r="I2033" s="38">
        <v>266.02999999999997</v>
      </c>
      <c r="J2033" s="39"/>
      <c r="K2033" s="143"/>
      <c r="L2033" s="22">
        <v>0</v>
      </c>
      <c r="M2033" s="22">
        <v>0</v>
      </c>
      <c r="N2033" s="20" t="s">
        <v>14489</v>
      </c>
      <c r="O2033" s="16">
        <v>0</v>
      </c>
      <c r="P2033" s="143">
        <v>758</v>
      </c>
      <c r="Q2033" s="121" t="s">
        <v>14285</v>
      </c>
      <c r="R2033" s="16" t="s">
        <v>9235</v>
      </c>
      <c r="S2033" s="10" t="s">
        <v>1163</v>
      </c>
      <c r="T2033" s="28" t="s">
        <v>11063</v>
      </c>
      <c r="U2033" s="20" t="s">
        <v>5359</v>
      </c>
      <c r="V2033" s="16" t="s">
        <v>4532</v>
      </c>
      <c r="W2033" s="11" t="s">
        <v>14433</v>
      </c>
      <c r="X2033" s="174">
        <v>252.86</v>
      </c>
      <c r="Y2033" s="174">
        <v>323.05</v>
      </c>
    </row>
    <row r="2034" spans="1:25" ht="15" customHeight="1" x14ac:dyDescent="0.25">
      <c r="A2034" s="20" t="s">
        <v>4534</v>
      </c>
      <c r="B2034" s="14" t="s">
        <v>4535</v>
      </c>
      <c r="C2034" s="71" t="str">
        <f t="shared" si="41"/>
        <v>Product Info</v>
      </c>
      <c r="D2034" s="37" t="s">
        <v>3326</v>
      </c>
      <c r="E2034" s="143">
        <v>1</v>
      </c>
      <c r="F2034" s="12" t="s">
        <v>4992</v>
      </c>
      <c r="G2034" s="38">
        <v>380.04</v>
      </c>
      <c r="H2034" s="38">
        <v>323.05</v>
      </c>
      <c r="I2034" s="38">
        <v>266.02999999999997</v>
      </c>
      <c r="J2034" s="39"/>
      <c r="K2034" s="143"/>
      <c r="L2034" s="22">
        <v>8.49</v>
      </c>
      <c r="M2034" s="22" t="s">
        <v>12488</v>
      </c>
      <c r="N2034" s="20" t="s">
        <v>9378</v>
      </c>
      <c r="O2034" s="16" t="s">
        <v>12608</v>
      </c>
      <c r="P2034" s="143">
        <v>758</v>
      </c>
      <c r="Q2034" s="121" t="s">
        <v>14285</v>
      </c>
      <c r="R2034" s="16" t="s">
        <v>9235</v>
      </c>
      <c r="S2034" s="10" t="s">
        <v>1163</v>
      </c>
      <c r="T2034" s="28" t="s">
        <v>11064</v>
      </c>
      <c r="U2034" s="20" t="s">
        <v>5359</v>
      </c>
      <c r="V2034" s="16" t="s">
        <v>4534</v>
      </c>
      <c r="W2034" s="11" t="s">
        <v>14433</v>
      </c>
      <c r="X2034" s="174">
        <v>252.86</v>
      </c>
      <c r="Y2034" s="174">
        <v>323.05</v>
      </c>
    </row>
    <row r="2035" spans="1:25" ht="15" customHeight="1" x14ac:dyDescent="0.25">
      <c r="A2035" s="20" t="s">
        <v>1976</v>
      </c>
      <c r="B2035" s="14" t="s">
        <v>1977</v>
      </c>
      <c r="C2035" s="71" t="str">
        <f t="shared" si="41"/>
        <v>Product Info</v>
      </c>
      <c r="D2035" s="37" t="s">
        <v>1978</v>
      </c>
      <c r="E2035" s="143">
        <v>1</v>
      </c>
      <c r="F2035" s="12" t="s">
        <v>4992</v>
      </c>
      <c r="G2035" s="38">
        <v>392.89</v>
      </c>
      <c r="H2035" s="38">
        <v>333.96</v>
      </c>
      <c r="I2035" s="38">
        <v>275.02</v>
      </c>
      <c r="J2035" s="39"/>
      <c r="K2035" s="143"/>
      <c r="L2035" s="22">
        <v>0</v>
      </c>
      <c r="M2035" s="22">
        <v>0</v>
      </c>
      <c r="N2035" s="20" t="s">
        <v>14489</v>
      </c>
      <c r="O2035" s="16">
        <v>0</v>
      </c>
      <c r="P2035" s="143">
        <v>758</v>
      </c>
      <c r="Q2035" s="121" t="s">
        <v>14285</v>
      </c>
      <c r="R2035" s="16" t="s">
        <v>9235</v>
      </c>
      <c r="S2035" s="10" t="s">
        <v>1163</v>
      </c>
      <c r="T2035" s="28" t="s">
        <v>11065</v>
      </c>
      <c r="U2035" s="20" t="s">
        <v>5359</v>
      </c>
      <c r="V2035" s="16" t="s">
        <v>1976</v>
      </c>
      <c r="W2035" s="11" t="s">
        <v>14433</v>
      </c>
      <c r="X2035" s="174">
        <v>261.41000000000003</v>
      </c>
      <c r="Y2035" s="174">
        <v>333.96</v>
      </c>
    </row>
    <row r="2036" spans="1:25" ht="15" customHeight="1" x14ac:dyDescent="0.25">
      <c r="A2036" s="20" t="s">
        <v>1979</v>
      </c>
      <c r="B2036" s="14" t="s">
        <v>1980</v>
      </c>
      <c r="C2036" s="71" t="str">
        <f t="shared" si="41"/>
        <v>Product Info</v>
      </c>
      <c r="D2036" s="37" t="s">
        <v>1981</v>
      </c>
      <c r="E2036" s="143">
        <v>1</v>
      </c>
      <c r="F2036" s="12" t="s">
        <v>4992</v>
      </c>
      <c r="G2036" s="38">
        <v>392.89</v>
      </c>
      <c r="H2036" s="38">
        <v>333.96</v>
      </c>
      <c r="I2036" s="38">
        <v>275.02</v>
      </c>
      <c r="J2036" s="39"/>
      <c r="K2036" s="143"/>
      <c r="L2036" s="22">
        <v>0</v>
      </c>
      <c r="M2036" s="22">
        <v>0</v>
      </c>
      <c r="N2036" s="20" t="s">
        <v>14489</v>
      </c>
      <c r="O2036" s="16">
        <v>0</v>
      </c>
      <c r="P2036" s="143">
        <v>758</v>
      </c>
      <c r="Q2036" s="122" t="s">
        <v>12421</v>
      </c>
      <c r="R2036" s="16" t="s">
        <v>9235</v>
      </c>
      <c r="S2036" s="10" t="s">
        <v>1163</v>
      </c>
      <c r="T2036" s="28" t="s">
        <v>11066</v>
      </c>
      <c r="U2036" s="20" t="s">
        <v>5359</v>
      </c>
      <c r="V2036" s="16" t="s">
        <v>1979</v>
      </c>
      <c r="W2036" s="11" t="s">
        <v>14433</v>
      </c>
      <c r="X2036" s="174">
        <v>261.41000000000003</v>
      </c>
      <c r="Y2036" s="174">
        <v>333.96</v>
      </c>
    </row>
    <row r="2037" spans="1:25" ht="15" customHeight="1" x14ac:dyDescent="0.25">
      <c r="A2037" s="20" t="s">
        <v>5980</v>
      </c>
      <c r="B2037" s="14" t="s">
        <v>5981</v>
      </c>
      <c r="C2037" s="71" t="str">
        <f t="shared" si="41"/>
        <v>Product Info</v>
      </c>
      <c r="D2037" s="37" t="s">
        <v>3327</v>
      </c>
      <c r="E2037" s="143">
        <v>1</v>
      </c>
      <c r="F2037" s="12" t="s">
        <v>4992</v>
      </c>
      <c r="G2037" s="38">
        <v>426.79</v>
      </c>
      <c r="H2037" s="38">
        <v>362.78</v>
      </c>
      <c r="I2037" s="38">
        <v>298.75</v>
      </c>
      <c r="J2037" s="39"/>
      <c r="K2037" s="143"/>
      <c r="L2037" s="22">
        <v>0</v>
      </c>
      <c r="M2037" s="22">
        <v>0</v>
      </c>
      <c r="N2037" s="20" t="s">
        <v>14489</v>
      </c>
      <c r="O2037" s="16">
        <v>0</v>
      </c>
      <c r="P2037" s="143">
        <v>758</v>
      </c>
      <c r="Q2037" s="121" t="s">
        <v>14285</v>
      </c>
      <c r="R2037" s="16" t="s">
        <v>9235</v>
      </c>
      <c r="S2037" s="10" t="s">
        <v>1163</v>
      </c>
      <c r="T2037" s="28" t="s">
        <v>11067</v>
      </c>
      <c r="U2037" s="20" t="s">
        <v>5359</v>
      </c>
      <c r="V2037" s="16" t="s">
        <v>5980</v>
      </c>
      <c r="W2037" s="11" t="s">
        <v>14433</v>
      </c>
      <c r="X2037" s="174">
        <v>283.95999999999998</v>
      </c>
      <c r="Y2037" s="174">
        <v>362.78</v>
      </c>
    </row>
    <row r="2038" spans="1:25" ht="15" customHeight="1" x14ac:dyDescent="0.25">
      <c r="A2038" s="20" t="s">
        <v>1982</v>
      </c>
      <c r="B2038" s="14" t="s">
        <v>1983</v>
      </c>
      <c r="C2038" s="71" t="str">
        <f t="shared" si="41"/>
        <v>Product Info</v>
      </c>
      <c r="D2038" s="37" t="s">
        <v>1984</v>
      </c>
      <c r="E2038" s="143">
        <v>1</v>
      </c>
      <c r="F2038" s="12" t="s">
        <v>4992</v>
      </c>
      <c r="G2038" s="38">
        <v>439.63</v>
      </c>
      <c r="H2038" s="38">
        <v>373.7</v>
      </c>
      <c r="I2038" s="38">
        <v>307.74</v>
      </c>
      <c r="J2038" s="39"/>
      <c r="K2038" s="143"/>
      <c r="L2038" s="22">
        <v>0</v>
      </c>
      <c r="M2038" s="22">
        <v>0</v>
      </c>
      <c r="N2038" s="20" t="s">
        <v>14489</v>
      </c>
      <c r="O2038" s="16">
        <v>0</v>
      </c>
      <c r="P2038" s="143">
        <v>758</v>
      </c>
      <c r="Q2038" s="122" t="s">
        <v>12421</v>
      </c>
      <c r="R2038" s="16" t="s">
        <v>9235</v>
      </c>
      <c r="S2038" s="10" t="s">
        <v>1163</v>
      </c>
      <c r="T2038" s="28" t="s">
        <v>11068</v>
      </c>
      <c r="U2038" s="20" t="s">
        <v>5359</v>
      </c>
      <c r="V2038" s="16" t="s">
        <v>1982</v>
      </c>
      <c r="W2038" s="11" t="s">
        <v>14433</v>
      </c>
      <c r="X2038" s="174">
        <v>292.5</v>
      </c>
      <c r="Y2038" s="174">
        <v>373.7</v>
      </c>
    </row>
    <row r="2039" spans="1:25" ht="15" customHeight="1" x14ac:dyDescent="0.25">
      <c r="A2039" s="20" t="s">
        <v>5983</v>
      </c>
      <c r="B2039" s="14" t="s">
        <v>5984</v>
      </c>
      <c r="C2039" s="71" t="str">
        <f t="shared" si="41"/>
        <v>Product Info</v>
      </c>
      <c r="D2039" s="37" t="s">
        <v>3329</v>
      </c>
      <c r="E2039" s="143">
        <v>1</v>
      </c>
      <c r="F2039" s="12" t="s">
        <v>4992</v>
      </c>
      <c r="G2039" s="38">
        <v>380.04</v>
      </c>
      <c r="H2039" s="38">
        <v>323.05</v>
      </c>
      <c r="I2039" s="38">
        <v>266.02999999999997</v>
      </c>
      <c r="J2039" s="39"/>
      <c r="K2039" s="143"/>
      <c r="L2039" s="22">
        <v>0</v>
      </c>
      <c r="M2039" s="22">
        <v>0</v>
      </c>
      <c r="N2039" s="20" t="s">
        <v>14489</v>
      </c>
      <c r="O2039" s="16">
        <v>0</v>
      </c>
      <c r="P2039" s="143">
        <v>758</v>
      </c>
      <c r="Q2039" s="121" t="s">
        <v>14285</v>
      </c>
      <c r="R2039" s="16" t="s">
        <v>9235</v>
      </c>
      <c r="S2039" s="10" t="s">
        <v>1163</v>
      </c>
      <c r="T2039" s="28" t="s">
        <v>11069</v>
      </c>
      <c r="U2039" s="20" t="s">
        <v>5359</v>
      </c>
      <c r="V2039" s="16" t="s">
        <v>5983</v>
      </c>
      <c r="W2039" s="11" t="s">
        <v>14433</v>
      </c>
      <c r="X2039" s="174">
        <v>252.86</v>
      </c>
      <c r="Y2039" s="174">
        <v>323.05</v>
      </c>
    </row>
    <row r="2040" spans="1:25" ht="15" customHeight="1" x14ac:dyDescent="0.25">
      <c r="A2040" s="20" t="s">
        <v>1985</v>
      </c>
      <c r="B2040" s="14" t="s">
        <v>1986</v>
      </c>
      <c r="C2040" s="71" t="str">
        <f t="shared" si="41"/>
        <v>Product Info</v>
      </c>
      <c r="D2040" s="37" t="s">
        <v>1987</v>
      </c>
      <c r="E2040" s="143">
        <v>1</v>
      </c>
      <c r="F2040" s="12" t="s">
        <v>4992</v>
      </c>
      <c r="G2040" s="38">
        <v>396.94</v>
      </c>
      <c r="H2040" s="38">
        <v>337.41</v>
      </c>
      <c r="I2040" s="38">
        <v>277.86</v>
      </c>
      <c r="J2040" s="39"/>
      <c r="K2040" s="143"/>
      <c r="L2040" s="22">
        <v>0</v>
      </c>
      <c r="M2040" s="22">
        <v>0</v>
      </c>
      <c r="N2040" s="20" t="s">
        <v>14489</v>
      </c>
      <c r="O2040" s="16">
        <v>0</v>
      </c>
      <c r="P2040" s="143">
        <v>758</v>
      </c>
      <c r="Q2040" s="121" t="s">
        <v>14285</v>
      </c>
      <c r="R2040" s="16" t="s">
        <v>9235</v>
      </c>
      <c r="S2040" s="10" t="s">
        <v>1163</v>
      </c>
      <c r="T2040" s="28" t="s">
        <v>11070</v>
      </c>
      <c r="U2040" s="20" t="s">
        <v>5359</v>
      </c>
      <c r="V2040" s="16" t="s">
        <v>1985</v>
      </c>
      <c r="W2040" s="11" t="s">
        <v>14433</v>
      </c>
      <c r="X2040" s="174">
        <v>264.11</v>
      </c>
      <c r="Y2040" s="174">
        <v>337.41</v>
      </c>
    </row>
    <row r="2041" spans="1:25" ht="15" customHeight="1" x14ac:dyDescent="0.25">
      <c r="A2041" s="20" t="s">
        <v>7015</v>
      </c>
      <c r="B2041" s="14" t="s">
        <v>7016</v>
      </c>
      <c r="C2041" s="71" t="str">
        <f t="shared" si="41"/>
        <v>Product Info</v>
      </c>
      <c r="D2041" s="37" t="s">
        <v>3330</v>
      </c>
      <c r="E2041" s="143">
        <v>1</v>
      </c>
      <c r="F2041" s="12" t="s">
        <v>4992</v>
      </c>
      <c r="G2041" s="38">
        <v>426.79</v>
      </c>
      <c r="H2041" s="38">
        <v>362.78</v>
      </c>
      <c r="I2041" s="38">
        <v>298.75</v>
      </c>
      <c r="J2041" s="39"/>
      <c r="K2041" s="143"/>
      <c r="L2041" s="22">
        <v>0</v>
      </c>
      <c r="M2041" s="22">
        <v>0</v>
      </c>
      <c r="N2041" s="20" t="s">
        <v>14489</v>
      </c>
      <c r="O2041" s="16">
        <v>0</v>
      </c>
      <c r="P2041" s="143">
        <v>758</v>
      </c>
      <c r="Q2041" s="122" t="s">
        <v>12421</v>
      </c>
      <c r="R2041" s="16" t="s">
        <v>9235</v>
      </c>
      <c r="S2041" s="10" t="s">
        <v>1163</v>
      </c>
      <c r="T2041" s="28" t="s">
        <v>11071</v>
      </c>
      <c r="U2041" s="20" t="s">
        <v>5359</v>
      </c>
      <c r="V2041" s="16" t="s">
        <v>7015</v>
      </c>
      <c r="W2041" s="11" t="s">
        <v>14433</v>
      </c>
      <c r="X2041" s="174">
        <v>283.95999999999998</v>
      </c>
      <c r="Y2041" s="174">
        <v>362.78</v>
      </c>
    </row>
    <row r="2042" spans="1:25" ht="15" customHeight="1" x14ac:dyDescent="0.25">
      <c r="A2042" s="20" t="s">
        <v>451</v>
      </c>
      <c r="B2042" s="14" t="s">
        <v>452</v>
      </c>
      <c r="C2042" s="71" t="str">
        <f t="shared" si="41"/>
        <v>Product Info</v>
      </c>
      <c r="D2042" s="37" t="s">
        <v>453</v>
      </c>
      <c r="E2042" s="143">
        <v>1</v>
      </c>
      <c r="F2042" s="12" t="s">
        <v>4992</v>
      </c>
      <c r="G2042" s="38">
        <v>443.69</v>
      </c>
      <c r="H2042" s="38">
        <v>377.15</v>
      </c>
      <c r="I2042" s="38">
        <v>310.58</v>
      </c>
      <c r="J2042" s="39"/>
      <c r="K2042" s="143"/>
      <c r="L2042" s="22">
        <v>0</v>
      </c>
      <c r="M2042" s="22">
        <v>0</v>
      </c>
      <c r="N2042" s="20" t="s">
        <v>14489</v>
      </c>
      <c r="O2042" s="16">
        <v>0</v>
      </c>
      <c r="P2042" s="143">
        <v>758</v>
      </c>
      <c r="Q2042" s="122" t="s">
        <v>12421</v>
      </c>
      <c r="R2042" s="16" t="s">
        <v>9235</v>
      </c>
      <c r="S2042" s="10" t="s">
        <v>1163</v>
      </c>
      <c r="T2042" s="28" t="s">
        <v>11072</v>
      </c>
      <c r="U2042" s="20" t="s">
        <v>5359</v>
      </c>
      <c r="V2042" s="16" t="s">
        <v>451</v>
      </c>
      <c r="W2042" s="11" t="s">
        <v>14433</v>
      </c>
      <c r="X2042" s="174">
        <v>295.2</v>
      </c>
      <c r="Y2042" s="174">
        <v>377.15</v>
      </c>
    </row>
    <row r="2043" spans="1:25" ht="15" customHeight="1" x14ac:dyDescent="0.25">
      <c r="A2043" s="20" t="s">
        <v>454</v>
      </c>
      <c r="B2043" s="14" t="s">
        <v>455</v>
      </c>
      <c r="C2043" s="71" t="str">
        <f t="shared" si="41"/>
        <v>Product Info</v>
      </c>
      <c r="D2043" s="37" t="s">
        <v>456</v>
      </c>
      <c r="E2043" s="143">
        <v>1</v>
      </c>
      <c r="F2043" s="12" t="s">
        <v>4992</v>
      </c>
      <c r="G2043" s="38">
        <v>392.89</v>
      </c>
      <c r="H2043" s="38">
        <v>333.96</v>
      </c>
      <c r="I2043" s="38">
        <v>275.02</v>
      </c>
      <c r="J2043" s="39"/>
      <c r="K2043" s="143"/>
      <c r="L2043" s="22">
        <v>0</v>
      </c>
      <c r="M2043" s="22">
        <v>0</v>
      </c>
      <c r="N2043" s="20" t="s">
        <v>14489</v>
      </c>
      <c r="O2043" s="16">
        <v>0</v>
      </c>
      <c r="P2043" s="143">
        <v>758</v>
      </c>
      <c r="Q2043" s="121" t="s">
        <v>14285</v>
      </c>
      <c r="R2043" s="16" t="s">
        <v>9235</v>
      </c>
      <c r="S2043" s="10" t="s">
        <v>1163</v>
      </c>
      <c r="T2043" s="28" t="s">
        <v>11073</v>
      </c>
      <c r="U2043" s="20" t="s">
        <v>5359</v>
      </c>
      <c r="V2043" s="16" t="s">
        <v>454</v>
      </c>
      <c r="W2043" s="11" t="s">
        <v>14433</v>
      </c>
      <c r="X2043" s="174">
        <v>261.41000000000003</v>
      </c>
      <c r="Y2043" s="174">
        <v>333.96</v>
      </c>
    </row>
    <row r="2044" spans="1:25" ht="15" customHeight="1" x14ac:dyDescent="0.25">
      <c r="A2044" s="20" t="s">
        <v>7018</v>
      </c>
      <c r="B2044" s="14" t="s">
        <v>7019</v>
      </c>
      <c r="C2044" s="71" t="str">
        <f t="shared" si="41"/>
        <v>Product Info</v>
      </c>
      <c r="D2044" s="37" t="s">
        <v>3332</v>
      </c>
      <c r="E2044" s="143">
        <v>1</v>
      </c>
      <c r="F2044" s="12" t="s">
        <v>4992</v>
      </c>
      <c r="G2044" s="38">
        <v>380.04</v>
      </c>
      <c r="H2044" s="38">
        <v>323.05</v>
      </c>
      <c r="I2044" s="38">
        <v>266.02999999999997</v>
      </c>
      <c r="J2044" s="39"/>
      <c r="K2044" s="143"/>
      <c r="L2044" s="22">
        <v>0</v>
      </c>
      <c r="M2044" s="22">
        <v>0</v>
      </c>
      <c r="N2044" s="20" t="s">
        <v>14489</v>
      </c>
      <c r="O2044" s="16">
        <v>0</v>
      </c>
      <c r="P2044" s="143">
        <v>758</v>
      </c>
      <c r="Q2044" s="121" t="s">
        <v>14285</v>
      </c>
      <c r="R2044" s="16" t="s">
        <v>9235</v>
      </c>
      <c r="S2044" s="10" t="s">
        <v>1163</v>
      </c>
      <c r="T2044" s="28" t="s">
        <v>11074</v>
      </c>
      <c r="U2044" s="20" t="s">
        <v>5359</v>
      </c>
      <c r="V2044" s="16" t="s">
        <v>7018</v>
      </c>
      <c r="W2044" s="11" t="s">
        <v>14433</v>
      </c>
      <c r="X2044" s="174">
        <v>252.86</v>
      </c>
      <c r="Y2044" s="174">
        <v>323.05</v>
      </c>
    </row>
    <row r="2045" spans="1:25" ht="15" customHeight="1" x14ac:dyDescent="0.25">
      <c r="A2045" s="20" t="s">
        <v>457</v>
      </c>
      <c r="B2045" s="14" t="s">
        <v>458</v>
      </c>
      <c r="C2045" s="71" t="str">
        <f t="shared" si="41"/>
        <v>Product Info</v>
      </c>
      <c r="D2045" s="37" t="s">
        <v>459</v>
      </c>
      <c r="E2045" s="143">
        <v>1</v>
      </c>
      <c r="F2045" s="12" t="s">
        <v>4992</v>
      </c>
      <c r="G2045" s="38">
        <v>396.94</v>
      </c>
      <c r="H2045" s="38">
        <v>337.41</v>
      </c>
      <c r="I2045" s="38">
        <v>277.86</v>
      </c>
      <c r="J2045" s="39"/>
      <c r="K2045" s="143"/>
      <c r="L2045" s="22">
        <v>0</v>
      </c>
      <c r="M2045" s="22">
        <v>0</v>
      </c>
      <c r="N2045" s="20" t="s">
        <v>14489</v>
      </c>
      <c r="O2045" s="16">
        <v>0</v>
      </c>
      <c r="P2045" s="143">
        <v>758</v>
      </c>
      <c r="Q2045" s="122" t="s">
        <v>12421</v>
      </c>
      <c r="R2045" s="16" t="s">
        <v>9235</v>
      </c>
      <c r="S2045" s="10" t="s">
        <v>1163</v>
      </c>
      <c r="T2045" s="28" t="s">
        <v>11075</v>
      </c>
      <c r="U2045" s="20" t="s">
        <v>5359</v>
      </c>
      <c r="V2045" s="16" t="s">
        <v>457</v>
      </c>
      <c r="W2045" s="11" t="s">
        <v>14433</v>
      </c>
      <c r="X2045" s="174">
        <v>264.11</v>
      </c>
      <c r="Y2045" s="174">
        <v>337.41</v>
      </c>
    </row>
    <row r="2046" spans="1:25" ht="15" customHeight="1" x14ac:dyDescent="0.25">
      <c r="A2046" s="20" t="s">
        <v>7020</v>
      </c>
      <c r="B2046" s="14" t="s">
        <v>7021</v>
      </c>
      <c r="C2046" s="71" t="str">
        <f t="shared" si="41"/>
        <v>Product Info</v>
      </c>
      <c r="D2046" s="37" t="s">
        <v>3333</v>
      </c>
      <c r="E2046" s="143">
        <v>1</v>
      </c>
      <c r="F2046" s="12" t="s">
        <v>4992</v>
      </c>
      <c r="G2046" s="38">
        <v>380.04</v>
      </c>
      <c r="H2046" s="38">
        <v>323.05</v>
      </c>
      <c r="I2046" s="38">
        <v>266.02999999999997</v>
      </c>
      <c r="J2046" s="39"/>
      <c r="K2046" s="143"/>
      <c r="L2046" s="22">
        <v>9</v>
      </c>
      <c r="M2046" s="22" t="s">
        <v>14396</v>
      </c>
      <c r="N2046" s="20" t="s">
        <v>8878</v>
      </c>
      <c r="O2046" s="16" t="s">
        <v>13914</v>
      </c>
      <c r="P2046" s="143">
        <v>758</v>
      </c>
      <c r="Q2046" s="121" t="s">
        <v>14285</v>
      </c>
      <c r="R2046" s="16" t="s">
        <v>9235</v>
      </c>
      <c r="S2046" s="10" t="s">
        <v>1163</v>
      </c>
      <c r="T2046" s="28" t="s">
        <v>11076</v>
      </c>
      <c r="U2046" s="20" t="s">
        <v>5359</v>
      </c>
      <c r="V2046" s="16" t="s">
        <v>7020</v>
      </c>
      <c r="W2046" s="11" t="s">
        <v>14433</v>
      </c>
      <c r="X2046" s="174">
        <v>252.86</v>
      </c>
      <c r="Y2046" s="174">
        <v>323.05</v>
      </c>
    </row>
    <row r="2047" spans="1:25" ht="15" customHeight="1" x14ac:dyDescent="0.25">
      <c r="A2047" s="20" t="s">
        <v>460</v>
      </c>
      <c r="B2047" s="14" t="s">
        <v>461</v>
      </c>
      <c r="C2047" s="71" t="str">
        <f t="shared" si="41"/>
        <v>Product Info</v>
      </c>
      <c r="D2047" s="37" t="s">
        <v>462</v>
      </c>
      <c r="E2047" s="143">
        <v>1</v>
      </c>
      <c r="F2047" s="12" t="s">
        <v>4992</v>
      </c>
      <c r="G2047" s="38">
        <v>396.94</v>
      </c>
      <c r="H2047" s="38">
        <v>337.41</v>
      </c>
      <c r="I2047" s="38">
        <v>277.86</v>
      </c>
      <c r="J2047" s="39"/>
      <c r="K2047" s="143"/>
      <c r="L2047" s="22">
        <v>0</v>
      </c>
      <c r="M2047" s="22">
        <v>0</v>
      </c>
      <c r="N2047" s="20" t="s">
        <v>14489</v>
      </c>
      <c r="O2047" s="16">
        <v>0</v>
      </c>
      <c r="P2047" s="143">
        <v>758</v>
      </c>
      <c r="Q2047" s="121" t="s">
        <v>14285</v>
      </c>
      <c r="R2047" s="16" t="s">
        <v>9235</v>
      </c>
      <c r="S2047" s="10" t="s">
        <v>1163</v>
      </c>
      <c r="T2047" s="28" t="s">
        <v>11077</v>
      </c>
      <c r="U2047" s="20" t="s">
        <v>5359</v>
      </c>
      <c r="V2047" s="16" t="s">
        <v>460</v>
      </c>
      <c r="W2047" s="11" t="s">
        <v>14433</v>
      </c>
      <c r="X2047" s="174">
        <v>264.11</v>
      </c>
      <c r="Y2047" s="174">
        <v>337.41</v>
      </c>
    </row>
    <row r="2048" spans="1:25" ht="15" customHeight="1" x14ac:dyDescent="0.25">
      <c r="A2048" s="20" t="s">
        <v>7022</v>
      </c>
      <c r="B2048" s="14" t="s">
        <v>7023</v>
      </c>
      <c r="C2048" s="71" t="str">
        <f t="shared" si="41"/>
        <v>Product Info</v>
      </c>
      <c r="D2048" s="37" t="s">
        <v>3334</v>
      </c>
      <c r="E2048" s="143">
        <v>1</v>
      </c>
      <c r="F2048" s="12" t="s">
        <v>4992</v>
      </c>
      <c r="G2048" s="38">
        <v>426.79</v>
      </c>
      <c r="H2048" s="38">
        <v>362.78</v>
      </c>
      <c r="I2048" s="38">
        <v>298.75</v>
      </c>
      <c r="J2048" s="39"/>
      <c r="K2048" s="143"/>
      <c r="L2048" s="22">
        <v>0</v>
      </c>
      <c r="M2048" s="22">
        <v>0</v>
      </c>
      <c r="N2048" s="20" t="s">
        <v>14489</v>
      </c>
      <c r="O2048" s="16">
        <v>0</v>
      </c>
      <c r="P2048" s="143">
        <v>758</v>
      </c>
      <c r="Q2048" s="121" t="s">
        <v>14285</v>
      </c>
      <c r="R2048" s="16" t="s">
        <v>9235</v>
      </c>
      <c r="S2048" s="10" t="s">
        <v>1163</v>
      </c>
      <c r="T2048" s="28" t="s">
        <v>11078</v>
      </c>
      <c r="U2048" s="20" t="s">
        <v>5359</v>
      </c>
      <c r="V2048" s="16" t="s">
        <v>7022</v>
      </c>
      <c r="W2048" s="11" t="s">
        <v>14433</v>
      </c>
      <c r="X2048" s="174">
        <v>283.95999999999998</v>
      </c>
      <c r="Y2048" s="174">
        <v>362.78</v>
      </c>
    </row>
    <row r="2049" spans="1:25" ht="15" customHeight="1" x14ac:dyDescent="0.25">
      <c r="A2049" s="20" t="s">
        <v>463</v>
      </c>
      <c r="B2049" s="14" t="s">
        <v>464</v>
      </c>
      <c r="C2049" s="71" t="str">
        <f t="shared" si="41"/>
        <v>Product Info</v>
      </c>
      <c r="D2049" s="37" t="s">
        <v>465</v>
      </c>
      <c r="E2049" s="143">
        <v>1</v>
      </c>
      <c r="F2049" s="12" t="s">
        <v>4992</v>
      </c>
      <c r="G2049" s="38">
        <v>443.69</v>
      </c>
      <c r="H2049" s="38">
        <v>377.15</v>
      </c>
      <c r="I2049" s="38">
        <v>310.58</v>
      </c>
      <c r="J2049" s="39"/>
      <c r="K2049" s="143"/>
      <c r="L2049" s="22">
        <v>0</v>
      </c>
      <c r="M2049" s="22">
        <v>0</v>
      </c>
      <c r="N2049" s="20" t="s">
        <v>14489</v>
      </c>
      <c r="O2049" s="16">
        <v>0</v>
      </c>
      <c r="P2049" s="143">
        <v>758</v>
      </c>
      <c r="Q2049" s="122" t="s">
        <v>12421</v>
      </c>
      <c r="R2049" s="16" t="s">
        <v>9235</v>
      </c>
      <c r="S2049" s="10" t="s">
        <v>1163</v>
      </c>
      <c r="T2049" s="28" t="s">
        <v>11079</v>
      </c>
      <c r="U2049" s="20" t="s">
        <v>5359</v>
      </c>
      <c r="V2049" s="16" t="s">
        <v>463</v>
      </c>
      <c r="W2049" s="11" t="s">
        <v>14433</v>
      </c>
      <c r="X2049" s="174">
        <v>295.2</v>
      </c>
      <c r="Y2049" s="174">
        <v>377.15</v>
      </c>
    </row>
    <row r="2050" spans="1:25" ht="15" customHeight="1" x14ac:dyDescent="0.25">
      <c r="A2050" s="20" t="s">
        <v>7026</v>
      </c>
      <c r="B2050" s="14" t="s">
        <v>7027</v>
      </c>
      <c r="C2050" s="71" t="str">
        <f t="shared" si="41"/>
        <v>Product Info</v>
      </c>
      <c r="D2050" s="37" t="s">
        <v>3337</v>
      </c>
      <c r="E2050" s="143">
        <v>1</v>
      </c>
      <c r="F2050" s="12" t="s">
        <v>4992</v>
      </c>
      <c r="G2050" s="38">
        <v>380.04</v>
      </c>
      <c r="H2050" s="38">
        <v>323.05</v>
      </c>
      <c r="I2050" s="38">
        <v>266.02999999999997</v>
      </c>
      <c r="J2050" s="39"/>
      <c r="K2050" s="143"/>
      <c r="L2050" s="22">
        <v>8.39</v>
      </c>
      <c r="M2050" s="22" t="s">
        <v>14396</v>
      </c>
      <c r="N2050" s="20" t="s">
        <v>9379</v>
      </c>
      <c r="O2050" s="16" t="s">
        <v>13914</v>
      </c>
      <c r="P2050" s="143">
        <v>758</v>
      </c>
      <c r="Q2050" s="122" t="s">
        <v>12421</v>
      </c>
      <c r="R2050" s="16" t="s">
        <v>9235</v>
      </c>
      <c r="S2050" s="10" t="s">
        <v>1163</v>
      </c>
      <c r="T2050" s="28" t="s">
        <v>11080</v>
      </c>
      <c r="U2050" s="20" t="s">
        <v>5359</v>
      </c>
      <c r="V2050" s="16" t="s">
        <v>7026</v>
      </c>
      <c r="W2050" s="11" t="s">
        <v>14433</v>
      </c>
      <c r="X2050" s="174">
        <v>252.86</v>
      </c>
      <c r="Y2050" s="174">
        <v>323.05</v>
      </c>
    </row>
    <row r="2051" spans="1:25" ht="15" customHeight="1" x14ac:dyDescent="0.25">
      <c r="A2051" s="20" t="s">
        <v>466</v>
      </c>
      <c r="B2051" s="14" t="s">
        <v>467</v>
      </c>
      <c r="C2051" s="71" t="str">
        <f t="shared" si="41"/>
        <v>Product Info</v>
      </c>
      <c r="D2051" s="37" t="s">
        <v>468</v>
      </c>
      <c r="E2051" s="143">
        <v>1</v>
      </c>
      <c r="F2051" s="12" t="s">
        <v>4992</v>
      </c>
      <c r="G2051" s="38">
        <v>392.89</v>
      </c>
      <c r="H2051" s="38">
        <v>333.96</v>
      </c>
      <c r="I2051" s="38">
        <v>275.02</v>
      </c>
      <c r="J2051" s="39"/>
      <c r="K2051" s="143"/>
      <c r="L2051" s="22">
        <v>0</v>
      </c>
      <c r="M2051" s="22">
        <v>0</v>
      </c>
      <c r="N2051" s="20" t="s">
        <v>14489</v>
      </c>
      <c r="O2051" s="16">
        <v>0</v>
      </c>
      <c r="P2051" s="143">
        <v>758</v>
      </c>
      <c r="Q2051" s="121" t="s">
        <v>14285</v>
      </c>
      <c r="R2051" s="16" t="s">
        <v>9235</v>
      </c>
      <c r="S2051" s="10" t="s">
        <v>1163</v>
      </c>
      <c r="T2051" s="28" t="s">
        <v>11081</v>
      </c>
      <c r="U2051" s="20" t="s">
        <v>5359</v>
      </c>
      <c r="V2051" s="16" t="s">
        <v>466</v>
      </c>
      <c r="W2051" s="11" t="s">
        <v>14433</v>
      </c>
      <c r="X2051" s="174">
        <v>261.41000000000003</v>
      </c>
      <c r="Y2051" s="174">
        <v>333.96</v>
      </c>
    </row>
    <row r="2052" spans="1:25" ht="15" customHeight="1" x14ac:dyDescent="0.25">
      <c r="A2052" s="20" t="s">
        <v>469</v>
      </c>
      <c r="B2052" s="14" t="s">
        <v>470</v>
      </c>
      <c r="C2052" s="71" t="str">
        <f t="shared" si="41"/>
        <v>Product Info</v>
      </c>
      <c r="D2052" s="37" t="s">
        <v>471</v>
      </c>
      <c r="E2052" s="143">
        <v>1</v>
      </c>
      <c r="F2052" s="12" t="s">
        <v>4992</v>
      </c>
      <c r="G2052" s="38">
        <v>396.94</v>
      </c>
      <c r="H2052" s="38">
        <v>337.41</v>
      </c>
      <c r="I2052" s="38">
        <v>277.86</v>
      </c>
      <c r="J2052" s="39"/>
      <c r="K2052" s="143"/>
      <c r="L2052" s="22">
        <v>0</v>
      </c>
      <c r="M2052" s="22">
        <v>0</v>
      </c>
      <c r="N2052" s="20" t="s">
        <v>14489</v>
      </c>
      <c r="O2052" s="16">
        <v>0</v>
      </c>
      <c r="P2052" s="143">
        <v>758</v>
      </c>
      <c r="Q2052" s="121" t="s">
        <v>14285</v>
      </c>
      <c r="R2052" s="16" t="s">
        <v>9235</v>
      </c>
      <c r="S2052" s="10" t="s">
        <v>1163</v>
      </c>
      <c r="T2052" s="28" t="s">
        <v>11082</v>
      </c>
      <c r="U2052" s="20" t="s">
        <v>5359</v>
      </c>
      <c r="V2052" s="16" t="s">
        <v>469</v>
      </c>
      <c r="W2052" s="11" t="s">
        <v>14433</v>
      </c>
      <c r="X2052" s="174">
        <v>264.11</v>
      </c>
      <c r="Y2052" s="174">
        <v>337.41</v>
      </c>
    </row>
    <row r="2053" spans="1:25" ht="15" customHeight="1" x14ac:dyDescent="0.25">
      <c r="A2053" s="20" t="s">
        <v>7028</v>
      </c>
      <c r="B2053" s="14" t="s">
        <v>7029</v>
      </c>
      <c r="C2053" s="71" t="str">
        <f t="shared" si="41"/>
        <v>Product Info</v>
      </c>
      <c r="D2053" s="37" t="s">
        <v>3338</v>
      </c>
      <c r="E2053" s="143">
        <v>1</v>
      </c>
      <c r="F2053" s="12" t="s">
        <v>4992</v>
      </c>
      <c r="G2053" s="38">
        <v>380.04</v>
      </c>
      <c r="H2053" s="38">
        <v>323.05</v>
      </c>
      <c r="I2053" s="38">
        <v>266.02999999999997</v>
      </c>
      <c r="J2053" s="39"/>
      <c r="K2053" s="143"/>
      <c r="L2053" s="22">
        <v>0</v>
      </c>
      <c r="M2053" s="22">
        <v>0</v>
      </c>
      <c r="N2053" s="20" t="s">
        <v>14489</v>
      </c>
      <c r="O2053" s="16">
        <v>0</v>
      </c>
      <c r="P2053" s="143">
        <v>758</v>
      </c>
      <c r="Q2053" s="121" t="s">
        <v>14285</v>
      </c>
      <c r="R2053" s="16" t="s">
        <v>9235</v>
      </c>
      <c r="S2053" s="10" t="s">
        <v>1163</v>
      </c>
      <c r="T2053" s="28" t="s">
        <v>11083</v>
      </c>
      <c r="U2053" s="20" t="s">
        <v>5359</v>
      </c>
      <c r="V2053" s="16" t="s">
        <v>7028</v>
      </c>
      <c r="W2053" s="11" t="s">
        <v>14433</v>
      </c>
      <c r="X2053" s="174">
        <v>252.86</v>
      </c>
      <c r="Y2053" s="174">
        <v>323.05</v>
      </c>
    </row>
    <row r="2054" spans="1:25" ht="15" customHeight="1" x14ac:dyDescent="0.25">
      <c r="A2054" s="20" t="s">
        <v>472</v>
      </c>
      <c r="B2054" s="14" t="s">
        <v>473</v>
      </c>
      <c r="C2054" s="71" t="str">
        <f t="shared" ref="C2054:C2117" si="42">HYPERLINK(T2054,U2054)</f>
        <v>Product Info</v>
      </c>
      <c r="D2054" s="37" t="s">
        <v>474</v>
      </c>
      <c r="E2054" s="143">
        <v>1</v>
      </c>
      <c r="F2054" s="12" t="s">
        <v>4992</v>
      </c>
      <c r="G2054" s="38">
        <v>396.94</v>
      </c>
      <c r="H2054" s="38">
        <v>337.41</v>
      </c>
      <c r="I2054" s="38">
        <v>277.86</v>
      </c>
      <c r="J2054" s="39"/>
      <c r="K2054" s="143"/>
      <c r="L2054" s="22">
        <v>0</v>
      </c>
      <c r="M2054" s="22">
        <v>0</v>
      </c>
      <c r="N2054" s="20" t="s">
        <v>14489</v>
      </c>
      <c r="O2054" s="16">
        <v>0</v>
      </c>
      <c r="P2054" s="143">
        <v>758</v>
      </c>
      <c r="Q2054" s="121" t="s">
        <v>14285</v>
      </c>
      <c r="R2054" s="16" t="s">
        <v>9235</v>
      </c>
      <c r="S2054" s="10" t="s">
        <v>1163</v>
      </c>
      <c r="T2054" s="28" t="s">
        <v>11084</v>
      </c>
      <c r="U2054" s="20" t="s">
        <v>5359</v>
      </c>
      <c r="V2054" s="16" t="s">
        <v>472</v>
      </c>
      <c r="W2054" s="11" t="s">
        <v>14433</v>
      </c>
      <c r="X2054" s="174">
        <v>264.11</v>
      </c>
      <c r="Y2054" s="174">
        <v>337.41</v>
      </c>
    </row>
    <row r="2055" spans="1:25" ht="15" customHeight="1" x14ac:dyDescent="0.25">
      <c r="A2055" s="20" t="s">
        <v>7030</v>
      </c>
      <c r="B2055" s="14" t="s">
        <v>7031</v>
      </c>
      <c r="C2055" s="71" t="str">
        <f t="shared" si="42"/>
        <v>Product Info</v>
      </c>
      <c r="D2055" s="37" t="s">
        <v>3339</v>
      </c>
      <c r="E2055" s="143">
        <v>1</v>
      </c>
      <c r="F2055" s="12" t="s">
        <v>4992</v>
      </c>
      <c r="G2055" s="38">
        <v>426.79</v>
      </c>
      <c r="H2055" s="38">
        <v>362.78</v>
      </c>
      <c r="I2055" s="38">
        <v>298.75</v>
      </c>
      <c r="J2055" s="39"/>
      <c r="K2055" s="143"/>
      <c r="L2055" s="22">
        <v>0</v>
      </c>
      <c r="M2055" s="22">
        <v>0</v>
      </c>
      <c r="N2055" s="20" t="s">
        <v>14489</v>
      </c>
      <c r="O2055" s="16">
        <v>0</v>
      </c>
      <c r="P2055" s="143">
        <v>758</v>
      </c>
      <c r="Q2055" s="121" t="s">
        <v>14285</v>
      </c>
      <c r="R2055" s="16" t="s">
        <v>9235</v>
      </c>
      <c r="S2055" s="10" t="s">
        <v>1163</v>
      </c>
      <c r="T2055" s="28" t="s">
        <v>11085</v>
      </c>
      <c r="U2055" s="20" t="s">
        <v>5359</v>
      </c>
      <c r="V2055" s="16" t="s">
        <v>7030</v>
      </c>
      <c r="W2055" s="11" t="s">
        <v>14433</v>
      </c>
      <c r="X2055" s="174">
        <v>283.95999999999998</v>
      </c>
      <c r="Y2055" s="174">
        <v>362.78</v>
      </c>
    </row>
    <row r="2056" spans="1:25" ht="15" customHeight="1" x14ac:dyDescent="0.25">
      <c r="A2056" s="20" t="s">
        <v>475</v>
      </c>
      <c r="B2056" s="14" t="s">
        <v>476</v>
      </c>
      <c r="C2056" s="71" t="str">
        <f t="shared" si="42"/>
        <v>Product Info</v>
      </c>
      <c r="D2056" s="37" t="s">
        <v>477</v>
      </c>
      <c r="E2056" s="143">
        <v>1</v>
      </c>
      <c r="F2056" s="12" t="s">
        <v>4992</v>
      </c>
      <c r="G2056" s="38">
        <v>443.69</v>
      </c>
      <c r="H2056" s="38">
        <v>377.15</v>
      </c>
      <c r="I2056" s="38">
        <v>310.58</v>
      </c>
      <c r="J2056" s="39"/>
      <c r="K2056" s="143"/>
      <c r="L2056" s="22">
        <v>0</v>
      </c>
      <c r="M2056" s="22">
        <v>0</v>
      </c>
      <c r="N2056" s="20" t="s">
        <v>14489</v>
      </c>
      <c r="O2056" s="16">
        <v>0</v>
      </c>
      <c r="P2056" s="143">
        <v>758</v>
      </c>
      <c r="Q2056" s="121" t="s">
        <v>14285</v>
      </c>
      <c r="R2056" s="16" t="s">
        <v>9235</v>
      </c>
      <c r="S2056" s="10" t="s">
        <v>1163</v>
      </c>
      <c r="T2056" s="28" t="s">
        <v>11086</v>
      </c>
      <c r="U2056" s="20" t="s">
        <v>5359</v>
      </c>
      <c r="V2056" s="16" t="s">
        <v>475</v>
      </c>
      <c r="W2056" s="11" t="s">
        <v>14433</v>
      </c>
      <c r="X2056" s="174">
        <v>295.2</v>
      </c>
      <c r="Y2056" s="174">
        <v>377.15</v>
      </c>
    </row>
    <row r="2057" spans="1:25" ht="15" customHeight="1" x14ac:dyDescent="0.25">
      <c r="A2057" s="20" t="s">
        <v>4562</v>
      </c>
      <c r="B2057" s="14" t="s">
        <v>4563</v>
      </c>
      <c r="C2057" s="71" t="str">
        <f t="shared" si="42"/>
        <v>Product Info</v>
      </c>
      <c r="D2057" s="37" t="s">
        <v>3342</v>
      </c>
      <c r="E2057" s="143">
        <v>1</v>
      </c>
      <c r="F2057" s="12" t="s">
        <v>4992</v>
      </c>
      <c r="G2057" s="38">
        <v>380.04</v>
      </c>
      <c r="H2057" s="38">
        <v>323.05</v>
      </c>
      <c r="I2057" s="38">
        <v>266.02999999999997</v>
      </c>
      <c r="J2057" s="39"/>
      <c r="K2057" s="143"/>
      <c r="L2057" s="22">
        <v>0</v>
      </c>
      <c r="M2057" s="22">
        <v>0</v>
      </c>
      <c r="N2057" s="20" t="s">
        <v>14489</v>
      </c>
      <c r="O2057" s="16">
        <v>0</v>
      </c>
      <c r="P2057" s="143">
        <v>758</v>
      </c>
      <c r="Q2057" s="122" t="s">
        <v>12421</v>
      </c>
      <c r="R2057" s="16" t="s">
        <v>9235</v>
      </c>
      <c r="S2057" s="10" t="s">
        <v>1163</v>
      </c>
      <c r="T2057" s="28" t="s">
        <v>11087</v>
      </c>
      <c r="U2057" s="20" t="s">
        <v>5359</v>
      </c>
      <c r="V2057" s="16" t="s">
        <v>4562</v>
      </c>
      <c r="W2057" s="11" t="s">
        <v>14433</v>
      </c>
      <c r="X2057" s="174">
        <v>252.86</v>
      </c>
      <c r="Y2057" s="174">
        <v>323.05</v>
      </c>
    </row>
    <row r="2058" spans="1:25" ht="15" customHeight="1" x14ac:dyDescent="0.25">
      <c r="A2058" s="20" t="s">
        <v>478</v>
      </c>
      <c r="B2058" s="14" t="s">
        <v>479</v>
      </c>
      <c r="C2058" s="71" t="str">
        <f t="shared" si="42"/>
        <v>Product Info</v>
      </c>
      <c r="D2058" s="37" t="s">
        <v>480</v>
      </c>
      <c r="E2058" s="143">
        <v>1</v>
      </c>
      <c r="F2058" s="12" t="s">
        <v>4992</v>
      </c>
      <c r="G2058" s="38">
        <v>396.94</v>
      </c>
      <c r="H2058" s="38">
        <v>337.41</v>
      </c>
      <c r="I2058" s="38">
        <v>277.86</v>
      </c>
      <c r="J2058" s="39"/>
      <c r="K2058" s="143"/>
      <c r="L2058" s="22">
        <v>0</v>
      </c>
      <c r="M2058" s="22">
        <v>0</v>
      </c>
      <c r="N2058" s="20" t="s">
        <v>14489</v>
      </c>
      <c r="O2058" s="16">
        <v>0</v>
      </c>
      <c r="P2058" s="143">
        <v>758</v>
      </c>
      <c r="Q2058" s="121" t="s">
        <v>14285</v>
      </c>
      <c r="R2058" s="16" t="s">
        <v>9235</v>
      </c>
      <c r="S2058" s="10" t="s">
        <v>1163</v>
      </c>
      <c r="T2058" s="28" t="s">
        <v>11088</v>
      </c>
      <c r="U2058" s="20" t="s">
        <v>5359</v>
      </c>
      <c r="V2058" s="16" t="s">
        <v>478</v>
      </c>
      <c r="W2058" s="11" t="s">
        <v>14433</v>
      </c>
      <c r="X2058" s="174">
        <v>264.11</v>
      </c>
      <c r="Y2058" s="174">
        <v>337.41</v>
      </c>
    </row>
    <row r="2059" spans="1:25" ht="15" customHeight="1" x14ac:dyDescent="0.25">
      <c r="A2059" s="20" t="s">
        <v>481</v>
      </c>
      <c r="B2059" s="14" t="s">
        <v>482</v>
      </c>
      <c r="C2059" s="71" t="str">
        <f t="shared" si="42"/>
        <v>Product Info</v>
      </c>
      <c r="D2059" s="37" t="s">
        <v>483</v>
      </c>
      <c r="E2059" s="143">
        <v>1</v>
      </c>
      <c r="F2059" s="12" t="s">
        <v>4992</v>
      </c>
      <c r="G2059" s="38">
        <v>396.94</v>
      </c>
      <c r="H2059" s="38">
        <v>337.41</v>
      </c>
      <c r="I2059" s="38">
        <v>277.86</v>
      </c>
      <c r="J2059" s="39"/>
      <c r="K2059" s="143"/>
      <c r="L2059" s="22">
        <v>0</v>
      </c>
      <c r="M2059" s="22">
        <v>0</v>
      </c>
      <c r="N2059" s="20" t="s">
        <v>14489</v>
      </c>
      <c r="O2059" s="16">
        <v>0</v>
      </c>
      <c r="P2059" s="143">
        <v>758</v>
      </c>
      <c r="Q2059" s="121" t="s">
        <v>14285</v>
      </c>
      <c r="R2059" s="16" t="s">
        <v>9235</v>
      </c>
      <c r="S2059" s="10" t="s">
        <v>1163</v>
      </c>
      <c r="T2059" s="28" t="s">
        <v>11089</v>
      </c>
      <c r="U2059" s="20" t="s">
        <v>5359</v>
      </c>
      <c r="V2059" s="16" t="s">
        <v>481</v>
      </c>
      <c r="W2059" s="11" t="s">
        <v>14433</v>
      </c>
      <c r="X2059" s="174">
        <v>264.11</v>
      </c>
      <c r="Y2059" s="174">
        <v>337.41</v>
      </c>
    </row>
    <row r="2060" spans="1:25" ht="15" customHeight="1" x14ac:dyDescent="0.25">
      <c r="A2060" s="20" t="s">
        <v>484</v>
      </c>
      <c r="B2060" s="14" t="s">
        <v>485</v>
      </c>
      <c r="C2060" s="71" t="str">
        <f t="shared" si="42"/>
        <v>Product Info</v>
      </c>
      <c r="D2060" s="37" t="s">
        <v>486</v>
      </c>
      <c r="E2060" s="143">
        <v>1</v>
      </c>
      <c r="F2060" s="12" t="s">
        <v>4992</v>
      </c>
      <c r="G2060" s="38">
        <v>443.69</v>
      </c>
      <c r="H2060" s="38">
        <v>377.15</v>
      </c>
      <c r="I2060" s="38">
        <v>310.58</v>
      </c>
      <c r="J2060" s="39"/>
      <c r="K2060" s="143"/>
      <c r="L2060" s="22">
        <v>0</v>
      </c>
      <c r="M2060" s="22">
        <v>0</v>
      </c>
      <c r="N2060" s="20" t="s">
        <v>14489</v>
      </c>
      <c r="O2060" s="16">
        <v>0</v>
      </c>
      <c r="P2060" s="143">
        <v>758</v>
      </c>
      <c r="Q2060" s="122" t="s">
        <v>12421</v>
      </c>
      <c r="R2060" s="16" t="s">
        <v>9235</v>
      </c>
      <c r="S2060" s="10" t="s">
        <v>1163</v>
      </c>
      <c r="T2060" s="28" t="s">
        <v>11090</v>
      </c>
      <c r="U2060" s="20" t="s">
        <v>5359</v>
      </c>
      <c r="V2060" s="16" t="s">
        <v>484</v>
      </c>
      <c r="W2060" s="11" t="s">
        <v>14433</v>
      </c>
      <c r="X2060" s="174">
        <v>295.2</v>
      </c>
      <c r="Y2060" s="174">
        <v>377.15</v>
      </c>
    </row>
    <row r="2061" spans="1:25" ht="15" customHeight="1" x14ac:dyDescent="0.25">
      <c r="A2061" s="20" t="s">
        <v>487</v>
      </c>
      <c r="B2061" s="14" t="s">
        <v>488</v>
      </c>
      <c r="C2061" s="71" t="str">
        <f t="shared" si="42"/>
        <v>Product Info</v>
      </c>
      <c r="D2061" s="37" t="s">
        <v>489</v>
      </c>
      <c r="E2061" s="143">
        <v>1</v>
      </c>
      <c r="F2061" s="12" t="s">
        <v>4992</v>
      </c>
      <c r="G2061" s="38">
        <v>396.94</v>
      </c>
      <c r="H2061" s="38">
        <v>337.41</v>
      </c>
      <c r="I2061" s="38">
        <v>277.86</v>
      </c>
      <c r="J2061" s="39"/>
      <c r="K2061" s="143"/>
      <c r="L2061" s="22">
        <v>0</v>
      </c>
      <c r="M2061" s="22">
        <v>0</v>
      </c>
      <c r="N2061" s="20" t="s">
        <v>14489</v>
      </c>
      <c r="O2061" s="16">
        <v>0</v>
      </c>
      <c r="P2061" s="143">
        <v>758</v>
      </c>
      <c r="Q2061" s="121" t="s">
        <v>14285</v>
      </c>
      <c r="R2061" s="16" t="s">
        <v>9235</v>
      </c>
      <c r="S2061" s="10" t="s">
        <v>1163</v>
      </c>
      <c r="T2061" s="28" t="s">
        <v>11091</v>
      </c>
      <c r="U2061" s="20" t="s">
        <v>5359</v>
      </c>
      <c r="V2061" s="16" t="s">
        <v>487</v>
      </c>
      <c r="W2061" s="11" t="s">
        <v>14433</v>
      </c>
      <c r="X2061" s="174">
        <v>264.11</v>
      </c>
      <c r="Y2061" s="174">
        <v>337.41</v>
      </c>
    </row>
    <row r="2062" spans="1:25" ht="15" customHeight="1" x14ac:dyDescent="0.25">
      <c r="A2062" s="20" t="s">
        <v>4565</v>
      </c>
      <c r="B2062" s="14" t="s">
        <v>4566</v>
      </c>
      <c r="C2062" s="71" t="str">
        <f t="shared" si="42"/>
        <v>Product Info</v>
      </c>
      <c r="D2062" s="37" t="s">
        <v>3344</v>
      </c>
      <c r="E2062" s="143">
        <v>1</v>
      </c>
      <c r="F2062" s="12" t="s">
        <v>4992</v>
      </c>
      <c r="G2062" s="38">
        <v>380.04</v>
      </c>
      <c r="H2062" s="38">
        <v>323.05</v>
      </c>
      <c r="I2062" s="38">
        <v>266.02999999999997</v>
      </c>
      <c r="J2062" s="39"/>
      <c r="K2062" s="143"/>
      <c r="L2062" s="22">
        <v>0</v>
      </c>
      <c r="M2062" s="22">
        <v>0</v>
      </c>
      <c r="N2062" s="20" t="s">
        <v>14489</v>
      </c>
      <c r="O2062" s="16">
        <v>0</v>
      </c>
      <c r="P2062" s="143">
        <v>758</v>
      </c>
      <c r="Q2062" s="121" t="s">
        <v>14285</v>
      </c>
      <c r="R2062" s="16" t="s">
        <v>9235</v>
      </c>
      <c r="S2062" s="10" t="s">
        <v>1163</v>
      </c>
      <c r="T2062" s="28" t="s">
        <v>11092</v>
      </c>
      <c r="U2062" s="20" t="s">
        <v>5359</v>
      </c>
      <c r="V2062" s="16" t="s">
        <v>4565</v>
      </c>
      <c r="W2062" s="11" t="s">
        <v>14433</v>
      </c>
      <c r="X2062" s="174">
        <v>252.86</v>
      </c>
      <c r="Y2062" s="174">
        <v>323.05</v>
      </c>
    </row>
    <row r="2063" spans="1:25" ht="15" customHeight="1" x14ac:dyDescent="0.25">
      <c r="A2063" s="20" t="s">
        <v>490</v>
      </c>
      <c r="B2063" s="14" t="s">
        <v>491</v>
      </c>
      <c r="C2063" s="71" t="str">
        <f t="shared" si="42"/>
        <v>Product Info</v>
      </c>
      <c r="D2063" s="37" t="s">
        <v>492</v>
      </c>
      <c r="E2063" s="143">
        <v>1</v>
      </c>
      <c r="F2063" s="12" t="s">
        <v>4992</v>
      </c>
      <c r="G2063" s="38">
        <v>396.94</v>
      </c>
      <c r="H2063" s="38">
        <v>337.41</v>
      </c>
      <c r="I2063" s="38">
        <v>277.86</v>
      </c>
      <c r="J2063" s="39"/>
      <c r="K2063" s="143"/>
      <c r="L2063" s="22">
        <v>0</v>
      </c>
      <c r="M2063" s="22">
        <v>0</v>
      </c>
      <c r="N2063" s="20" t="s">
        <v>14489</v>
      </c>
      <c r="O2063" s="16">
        <v>0</v>
      </c>
      <c r="P2063" s="143">
        <v>758</v>
      </c>
      <c r="Q2063" s="121" t="s">
        <v>14285</v>
      </c>
      <c r="R2063" s="16" t="s">
        <v>9235</v>
      </c>
      <c r="S2063" s="10" t="s">
        <v>1163</v>
      </c>
      <c r="T2063" s="28" t="s">
        <v>11093</v>
      </c>
      <c r="U2063" s="20" t="s">
        <v>5359</v>
      </c>
      <c r="V2063" s="16" t="s">
        <v>490</v>
      </c>
      <c r="W2063" s="11" t="s">
        <v>14433</v>
      </c>
      <c r="X2063" s="174">
        <v>264.11</v>
      </c>
      <c r="Y2063" s="174">
        <v>337.41</v>
      </c>
    </row>
    <row r="2064" spans="1:25" ht="15" customHeight="1" x14ac:dyDescent="0.25">
      <c r="A2064" s="20" t="s">
        <v>4567</v>
      </c>
      <c r="B2064" s="14" t="s">
        <v>4568</v>
      </c>
      <c r="C2064" s="71" t="str">
        <f t="shared" si="42"/>
        <v>Product Info</v>
      </c>
      <c r="D2064" s="37" t="s">
        <v>3345</v>
      </c>
      <c r="E2064" s="143">
        <v>1</v>
      </c>
      <c r="F2064" s="12" t="s">
        <v>4992</v>
      </c>
      <c r="G2064" s="38">
        <v>380.04</v>
      </c>
      <c r="H2064" s="38">
        <v>323.05</v>
      </c>
      <c r="I2064" s="38">
        <v>266.02999999999997</v>
      </c>
      <c r="J2064" s="39"/>
      <c r="K2064" s="143"/>
      <c r="L2064" s="22">
        <v>0</v>
      </c>
      <c r="M2064" s="22">
        <v>0</v>
      </c>
      <c r="N2064" s="20" t="s">
        <v>14489</v>
      </c>
      <c r="O2064" s="16">
        <v>0</v>
      </c>
      <c r="P2064" s="143">
        <v>758</v>
      </c>
      <c r="Q2064" s="121" t="s">
        <v>14285</v>
      </c>
      <c r="R2064" s="16" t="s">
        <v>9235</v>
      </c>
      <c r="S2064" s="10" t="s">
        <v>1163</v>
      </c>
      <c r="T2064" s="28" t="s">
        <v>11094</v>
      </c>
      <c r="U2064" s="20" t="s">
        <v>5359</v>
      </c>
      <c r="V2064" s="16" t="s">
        <v>4567</v>
      </c>
      <c r="W2064" s="11" t="s">
        <v>14433</v>
      </c>
      <c r="X2064" s="174">
        <v>252.86</v>
      </c>
      <c r="Y2064" s="174">
        <v>323.05</v>
      </c>
    </row>
    <row r="2065" spans="1:25" ht="15" customHeight="1" x14ac:dyDescent="0.25">
      <c r="A2065" s="20" t="s">
        <v>493</v>
      </c>
      <c r="B2065" s="14" t="s">
        <v>494</v>
      </c>
      <c r="C2065" s="71" t="str">
        <f t="shared" si="42"/>
        <v>Product Info</v>
      </c>
      <c r="D2065" s="37" t="s">
        <v>495</v>
      </c>
      <c r="E2065" s="143">
        <v>1</v>
      </c>
      <c r="F2065" s="12" t="s">
        <v>4992</v>
      </c>
      <c r="G2065" s="38">
        <v>396.94</v>
      </c>
      <c r="H2065" s="38">
        <v>337.41</v>
      </c>
      <c r="I2065" s="38">
        <v>277.86</v>
      </c>
      <c r="J2065" s="39"/>
      <c r="K2065" s="143"/>
      <c r="L2065" s="22">
        <v>0</v>
      </c>
      <c r="M2065" s="22">
        <v>0</v>
      </c>
      <c r="N2065" s="20" t="s">
        <v>14489</v>
      </c>
      <c r="O2065" s="16">
        <v>0</v>
      </c>
      <c r="P2065" s="143">
        <v>758</v>
      </c>
      <c r="Q2065" s="121" t="s">
        <v>14285</v>
      </c>
      <c r="R2065" s="16" t="s">
        <v>9235</v>
      </c>
      <c r="S2065" s="10" t="s">
        <v>1163</v>
      </c>
      <c r="T2065" s="28" t="s">
        <v>11095</v>
      </c>
      <c r="U2065" s="20" t="s">
        <v>5359</v>
      </c>
      <c r="V2065" s="16" t="s">
        <v>493</v>
      </c>
      <c r="W2065" s="11" t="s">
        <v>14433</v>
      </c>
      <c r="X2065" s="174">
        <v>264.11</v>
      </c>
      <c r="Y2065" s="174">
        <v>337.41</v>
      </c>
    </row>
    <row r="2066" spans="1:25" ht="15" customHeight="1" x14ac:dyDescent="0.25">
      <c r="A2066" s="20" t="s">
        <v>496</v>
      </c>
      <c r="B2066" s="14" t="s">
        <v>497</v>
      </c>
      <c r="C2066" s="71" t="str">
        <f t="shared" si="42"/>
        <v>Product Info</v>
      </c>
      <c r="D2066" s="37" t="s">
        <v>498</v>
      </c>
      <c r="E2066" s="143">
        <v>1</v>
      </c>
      <c r="F2066" s="12" t="s">
        <v>4992</v>
      </c>
      <c r="G2066" s="38">
        <v>380.04</v>
      </c>
      <c r="H2066" s="38">
        <v>323.05</v>
      </c>
      <c r="I2066" s="38">
        <v>266.02999999999997</v>
      </c>
      <c r="J2066" s="39"/>
      <c r="K2066" s="143"/>
      <c r="L2066" s="22">
        <v>0</v>
      </c>
      <c r="M2066" s="22">
        <v>0</v>
      </c>
      <c r="N2066" s="20" t="s">
        <v>14489</v>
      </c>
      <c r="O2066" s="16">
        <v>0</v>
      </c>
      <c r="P2066" s="143">
        <v>758</v>
      </c>
      <c r="Q2066" s="121" t="s">
        <v>14285</v>
      </c>
      <c r="R2066" s="16" t="s">
        <v>9235</v>
      </c>
      <c r="S2066" s="10" t="s">
        <v>1163</v>
      </c>
      <c r="T2066" s="28" t="s">
        <v>11096</v>
      </c>
      <c r="U2066" s="20" t="s">
        <v>5359</v>
      </c>
      <c r="V2066" s="16" t="s">
        <v>496</v>
      </c>
      <c r="W2066" s="11" t="s">
        <v>14433</v>
      </c>
      <c r="X2066" s="174">
        <v>252.86</v>
      </c>
      <c r="Y2066" s="174">
        <v>323.05</v>
      </c>
    </row>
    <row r="2067" spans="1:25" ht="15" customHeight="1" x14ac:dyDescent="0.25">
      <c r="A2067" s="20" t="s">
        <v>499</v>
      </c>
      <c r="B2067" s="14" t="s">
        <v>500</v>
      </c>
      <c r="C2067" s="71" t="str">
        <f t="shared" si="42"/>
        <v>Product Info</v>
      </c>
      <c r="D2067" s="37" t="s">
        <v>501</v>
      </c>
      <c r="E2067" s="143">
        <v>1</v>
      </c>
      <c r="F2067" s="12" t="s">
        <v>4992</v>
      </c>
      <c r="G2067" s="38">
        <v>396.94</v>
      </c>
      <c r="H2067" s="38">
        <v>337.41</v>
      </c>
      <c r="I2067" s="38">
        <v>277.86</v>
      </c>
      <c r="J2067" s="39"/>
      <c r="K2067" s="143"/>
      <c r="L2067" s="22">
        <v>0</v>
      </c>
      <c r="M2067" s="22">
        <v>0</v>
      </c>
      <c r="N2067" s="20" t="s">
        <v>14489</v>
      </c>
      <c r="O2067" s="16">
        <v>0</v>
      </c>
      <c r="P2067" s="143">
        <v>758</v>
      </c>
      <c r="Q2067" s="122" t="s">
        <v>12421</v>
      </c>
      <c r="R2067" s="16" t="s">
        <v>9235</v>
      </c>
      <c r="S2067" s="10" t="s">
        <v>1163</v>
      </c>
      <c r="T2067" s="28" t="s">
        <v>11097</v>
      </c>
      <c r="U2067" s="20" t="s">
        <v>5359</v>
      </c>
      <c r="V2067" s="16" t="s">
        <v>499</v>
      </c>
      <c r="W2067" s="11" t="s">
        <v>14433</v>
      </c>
      <c r="X2067" s="174">
        <v>264.11</v>
      </c>
      <c r="Y2067" s="174">
        <v>337.41</v>
      </c>
    </row>
    <row r="2068" spans="1:25" ht="15" customHeight="1" x14ac:dyDescent="0.25">
      <c r="A2068" s="20" t="s">
        <v>3943</v>
      </c>
      <c r="B2068" s="14" t="s">
        <v>3944</v>
      </c>
      <c r="C2068" s="71" t="str">
        <f t="shared" si="42"/>
        <v>Product Info</v>
      </c>
      <c r="D2068" s="37" t="s">
        <v>3346</v>
      </c>
      <c r="E2068" s="143">
        <v>1</v>
      </c>
      <c r="F2068" s="12" t="s">
        <v>4992</v>
      </c>
      <c r="G2068" s="38">
        <v>426.79</v>
      </c>
      <c r="H2068" s="38">
        <v>362.78</v>
      </c>
      <c r="I2068" s="38">
        <v>298.75</v>
      </c>
      <c r="J2068" s="39"/>
      <c r="K2068" s="143"/>
      <c r="L2068" s="22">
        <v>0</v>
      </c>
      <c r="M2068" s="22">
        <v>0</v>
      </c>
      <c r="N2068" s="20" t="s">
        <v>14489</v>
      </c>
      <c r="O2068" s="16">
        <v>0</v>
      </c>
      <c r="P2068" s="143">
        <v>758</v>
      </c>
      <c r="Q2068" s="121" t="s">
        <v>14285</v>
      </c>
      <c r="R2068" s="16" t="s">
        <v>9235</v>
      </c>
      <c r="S2068" s="10" t="s">
        <v>1163</v>
      </c>
      <c r="T2068" s="28" t="s">
        <v>11098</v>
      </c>
      <c r="U2068" s="20" t="s">
        <v>5359</v>
      </c>
      <c r="V2068" s="16" t="s">
        <v>3943</v>
      </c>
      <c r="W2068" s="11" t="s">
        <v>14433</v>
      </c>
      <c r="X2068" s="174">
        <v>283.95999999999998</v>
      </c>
      <c r="Y2068" s="174">
        <v>362.78</v>
      </c>
    </row>
    <row r="2069" spans="1:25" ht="15" customHeight="1" x14ac:dyDescent="0.25">
      <c r="A2069" s="20" t="s">
        <v>502</v>
      </c>
      <c r="B2069" s="14" t="s">
        <v>503</v>
      </c>
      <c r="C2069" s="71" t="str">
        <f t="shared" si="42"/>
        <v>Product Info</v>
      </c>
      <c r="D2069" s="37" t="s">
        <v>504</v>
      </c>
      <c r="E2069" s="143">
        <v>1</v>
      </c>
      <c r="F2069" s="12" t="s">
        <v>4992</v>
      </c>
      <c r="G2069" s="38">
        <v>443.69</v>
      </c>
      <c r="H2069" s="38">
        <v>377.15</v>
      </c>
      <c r="I2069" s="38">
        <v>310.58</v>
      </c>
      <c r="J2069" s="39"/>
      <c r="K2069" s="143"/>
      <c r="L2069" s="22">
        <v>0</v>
      </c>
      <c r="M2069" s="22">
        <v>0</v>
      </c>
      <c r="N2069" s="20" t="s">
        <v>14489</v>
      </c>
      <c r="O2069" s="16">
        <v>0</v>
      </c>
      <c r="P2069" s="143">
        <v>758</v>
      </c>
      <c r="Q2069" s="121" t="s">
        <v>14285</v>
      </c>
      <c r="R2069" s="16" t="s">
        <v>9235</v>
      </c>
      <c r="S2069" s="10" t="s">
        <v>1163</v>
      </c>
      <c r="T2069" s="28" t="s">
        <v>11099</v>
      </c>
      <c r="U2069" s="20" t="s">
        <v>5359</v>
      </c>
      <c r="V2069" s="16" t="s">
        <v>502</v>
      </c>
      <c r="W2069" s="11" t="s">
        <v>14433</v>
      </c>
      <c r="X2069" s="174">
        <v>295.2</v>
      </c>
      <c r="Y2069" s="174">
        <v>377.15</v>
      </c>
    </row>
    <row r="2070" spans="1:25" ht="15" customHeight="1" x14ac:dyDescent="0.25">
      <c r="A2070" s="20" t="s">
        <v>3945</v>
      </c>
      <c r="B2070" s="14" t="s">
        <v>3946</v>
      </c>
      <c r="C2070" s="71" t="str">
        <f t="shared" si="42"/>
        <v>Product Info</v>
      </c>
      <c r="D2070" s="37" t="s">
        <v>3347</v>
      </c>
      <c r="E2070" s="143">
        <v>1</v>
      </c>
      <c r="F2070" s="12" t="s">
        <v>4992</v>
      </c>
      <c r="G2070" s="38">
        <v>426.79</v>
      </c>
      <c r="H2070" s="38">
        <v>362.78</v>
      </c>
      <c r="I2070" s="38">
        <v>298.75</v>
      </c>
      <c r="J2070" s="39"/>
      <c r="K2070" s="143"/>
      <c r="L2070" s="22">
        <v>0</v>
      </c>
      <c r="M2070" s="22">
        <v>0</v>
      </c>
      <c r="N2070" s="20" t="s">
        <v>14489</v>
      </c>
      <c r="O2070" s="16">
        <v>0</v>
      </c>
      <c r="P2070" s="143">
        <v>758</v>
      </c>
      <c r="Q2070" s="121" t="s">
        <v>14285</v>
      </c>
      <c r="R2070" s="16" t="s">
        <v>9235</v>
      </c>
      <c r="S2070" s="10" t="s">
        <v>1163</v>
      </c>
      <c r="T2070" s="28" t="s">
        <v>11100</v>
      </c>
      <c r="U2070" s="20" t="s">
        <v>5359</v>
      </c>
      <c r="V2070" s="16" t="s">
        <v>3945</v>
      </c>
      <c r="W2070" s="11" t="s">
        <v>14433</v>
      </c>
      <c r="X2070" s="174">
        <v>283.95999999999998</v>
      </c>
      <c r="Y2070" s="174">
        <v>362.78</v>
      </c>
    </row>
    <row r="2071" spans="1:25" ht="15" customHeight="1" x14ac:dyDescent="0.25">
      <c r="A2071" s="20" t="s">
        <v>505</v>
      </c>
      <c r="B2071" s="14" t="s">
        <v>506</v>
      </c>
      <c r="C2071" s="71" t="str">
        <f t="shared" si="42"/>
        <v>Product Info</v>
      </c>
      <c r="D2071" s="37" t="s">
        <v>507</v>
      </c>
      <c r="E2071" s="143">
        <v>1</v>
      </c>
      <c r="F2071" s="12" t="s">
        <v>4992</v>
      </c>
      <c r="G2071" s="38">
        <v>443.69</v>
      </c>
      <c r="H2071" s="38">
        <v>377.15</v>
      </c>
      <c r="I2071" s="38">
        <v>310.58</v>
      </c>
      <c r="J2071" s="39"/>
      <c r="K2071" s="143"/>
      <c r="L2071" s="22">
        <v>0</v>
      </c>
      <c r="M2071" s="22">
        <v>0</v>
      </c>
      <c r="N2071" s="20" t="s">
        <v>14489</v>
      </c>
      <c r="O2071" s="16">
        <v>0</v>
      </c>
      <c r="P2071" s="143">
        <v>758</v>
      </c>
      <c r="Q2071" s="121" t="s">
        <v>14285</v>
      </c>
      <c r="R2071" s="16" t="s">
        <v>9235</v>
      </c>
      <c r="S2071" s="10" t="s">
        <v>1163</v>
      </c>
      <c r="T2071" s="28" t="s">
        <v>11101</v>
      </c>
      <c r="U2071" s="20" t="s">
        <v>5359</v>
      </c>
      <c r="V2071" s="16" t="s">
        <v>505</v>
      </c>
      <c r="W2071" s="11" t="s">
        <v>14433</v>
      </c>
      <c r="X2071" s="174">
        <v>295.2</v>
      </c>
      <c r="Y2071" s="174">
        <v>377.15</v>
      </c>
    </row>
    <row r="2072" spans="1:25" ht="15" customHeight="1" x14ac:dyDescent="0.25">
      <c r="A2072" s="20" t="s">
        <v>100</v>
      </c>
      <c r="B2072" s="14" t="s">
        <v>101</v>
      </c>
      <c r="C2072" s="71" t="str">
        <f t="shared" si="42"/>
        <v>Product Info</v>
      </c>
      <c r="D2072" s="37" t="s">
        <v>102</v>
      </c>
      <c r="E2072" s="143">
        <v>1</v>
      </c>
      <c r="F2072" s="12" t="s">
        <v>4992</v>
      </c>
      <c r="G2072" s="38">
        <v>380.04</v>
      </c>
      <c r="H2072" s="38">
        <v>323.05</v>
      </c>
      <c r="I2072" s="38">
        <v>266.02999999999997</v>
      </c>
      <c r="J2072" s="39"/>
      <c r="K2072" s="143"/>
      <c r="L2072" s="22">
        <v>0</v>
      </c>
      <c r="M2072" s="22">
        <v>0</v>
      </c>
      <c r="N2072" s="20" t="s">
        <v>14489</v>
      </c>
      <c r="O2072" s="16">
        <v>0</v>
      </c>
      <c r="P2072" s="143">
        <v>758</v>
      </c>
      <c r="Q2072" s="121" t="s">
        <v>14285</v>
      </c>
      <c r="R2072" s="16" t="s">
        <v>9235</v>
      </c>
      <c r="S2072" s="10" t="s">
        <v>1163</v>
      </c>
      <c r="T2072" s="28" t="s">
        <v>11102</v>
      </c>
      <c r="U2072" s="20" t="s">
        <v>5359</v>
      </c>
      <c r="V2072" s="16" t="s">
        <v>100</v>
      </c>
      <c r="W2072" s="11" t="s">
        <v>14433</v>
      </c>
      <c r="X2072" s="174">
        <v>252.86</v>
      </c>
      <c r="Y2072" s="174">
        <v>323.05</v>
      </c>
    </row>
    <row r="2073" spans="1:25" ht="15" customHeight="1" x14ac:dyDescent="0.25">
      <c r="A2073" s="20" t="s">
        <v>508</v>
      </c>
      <c r="B2073" s="14" t="s">
        <v>509</v>
      </c>
      <c r="C2073" s="71" t="str">
        <f t="shared" si="42"/>
        <v>Product Info</v>
      </c>
      <c r="D2073" s="37" t="s">
        <v>510</v>
      </c>
      <c r="E2073" s="143">
        <v>1</v>
      </c>
      <c r="F2073" s="12" t="s">
        <v>4992</v>
      </c>
      <c r="G2073" s="38">
        <v>396.94</v>
      </c>
      <c r="H2073" s="38">
        <v>337.41</v>
      </c>
      <c r="I2073" s="38">
        <v>277.86</v>
      </c>
      <c r="J2073" s="39"/>
      <c r="K2073" s="143"/>
      <c r="L2073" s="22">
        <v>0</v>
      </c>
      <c r="M2073" s="22">
        <v>0</v>
      </c>
      <c r="N2073" s="20" t="s">
        <v>14489</v>
      </c>
      <c r="O2073" s="16">
        <v>0</v>
      </c>
      <c r="P2073" s="143">
        <v>758</v>
      </c>
      <c r="Q2073" s="121" t="s">
        <v>14285</v>
      </c>
      <c r="R2073" s="16" t="s">
        <v>9235</v>
      </c>
      <c r="S2073" s="10" t="s">
        <v>1163</v>
      </c>
      <c r="T2073" s="28" t="s">
        <v>11103</v>
      </c>
      <c r="U2073" s="20" t="s">
        <v>5359</v>
      </c>
      <c r="V2073" s="16" t="s">
        <v>508</v>
      </c>
      <c r="W2073" s="11" t="s">
        <v>14433</v>
      </c>
      <c r="X2073" s="174">
        <v>264.11</v>
      </c>
      <c r="Y2073" s="174">
        <v>337.41</v>
      </c>
    </row>
    <row r="2074" spans="1:25" ht="15" customHeight="1" x14ac:dyDescent="0.25">
      <c r="A2074" s="20" t="s">
        <v>3948</v>
      </c>
      <c r="B2074" s="14" t="s">
        <v>3949</v>
      </c>
      <c r="C2074" s="71" t="str">
        <f t="shared" si="42"/>
        <v>Product Info</v>
      </c>
      <c r="D2074" s="37" t="s">
        <v>3349</v>
      </c>
      <c r="E2074" s="143">
        <v>1</v>
      </c>
      <c r="F2074" s="12" t="s">
        <v>4992</v>
      </c>
      <c r="G2074" s="38">
        <v>380.04</v>
      </c>
      <c r="H2074" s="38">
        <v>323.05</v>
      </c>
      <c r="I2074" s="38">
        <v>266.02999999999997</v>
      </c>
      <c r="J2074" s="39"/>
      <c r="K2074" s="143"/>
      <c r="L2074" s="22">
        <v>0</v>
      </c>
      <c r="M2074" s="22">
        <v>0</v>
      </c>
      <c r="N2074" s="20" t="s">
        <v>14489</v>
      </c>
      <c r="O2074" s="16">
        <v>0</v>
      </c>
      <c r="P2074" s="143">
        <v>758</v>
      </c>
      <c r="Q2074" s="122" t="s">
        <v>12421</v>
      </c>
      <c r="R2074" s="16" t="s">
        <v>9235</v>
      </c>
      <c r="S2074" s="10" t="s">
        <v>1163</v>
      </c>
      <c r="T2074" s="28" t="s">
        <v>11104</v>
      </c>
      <c r="U2074" s="20" t="s">
        <v>5359</v>
      </c>
      <c r="V2074" s="16" t="s">
        <v>3948</v>
      </c>
      <c r="W2074" s="11" t="s">
        <v>14433</v>
      </c>
      <c r="X2074" s="174">
        <v>252.86</v>
      </c>
      <c r="Y2074" s="174">
        <v>323.05</v>
      </c>
    </row>
    <row r="2075" spans="1:25" ht="15" customHeight="1" x14ac:dyDescent="0.25">
      <c r="A2075" s="20" t="s">
        <v>511</v>
      </c>
      <c r="B2075" s="14" t="s">
        <v>512</v>
      </c>
      <c r="C2075" s="71" t="str">
        <f t="shared" si="42"/>
        <v>Product Info</v>
      </c>
      <c r="D2075" s="37" t="s">
        <v>513</v>
      </c>
      <c r="E2075" s="143">
        <v>1</v>
      </c>
      <c r="F2075" s="12" t="s">
        <v>4992</v>
      </c>
      <c r="G2075" s="38">
        <v>396.94</v>
      </c>
      <c r="H2075" s="38">
        <v>337.41</v>
      </c>
      <c r="I2075" s="38">
        <v>277.86</v>
      </c>
      <c r="J2075" s="39"/>
      <c r="K2075" s="143"/>
      <c r="L2075" s="22">
        <v>0</v>
      </c>
      <c r="M2075" s="22">
        <v>0</v>
      </c>
      <c r="N2075" s="20" t="s">
        <v>14489</v>
      </c>
      <c r="O2075" s="16">
        <v>0</v>
      </c>
      <c r="P2075" s="143">
        <v>758</v>
      </c>
      <c r="Q2075" s="121" t="s">
        <v>14285</v>
      </c>
      <c r="R2075" s="16" t="s">
        <v>9235</v>
      </c>
      <c r="S2075" s="10" t="s">
        <v>1163</v>
      </c>
      <c r="T2075" s="28" t="s">
        <v>11105</v>
      </c>
      <c r="U2075" s="20" t="s">
        <v>5359</v>
      </c>
      <c r="V2075" s="16" t="s">
        <v>511</v>
      </c>
      <c r="W2075" s="11" t="s">
        <v>14433</v>
      </c>
      <c r="X2075" s="174">
        <v>264.11</v>
      </c>
      <c r="Y2075" s="174">
        <v>337.41</v>
      </c>
    </row>
    <row r="2076" spans="1:25" ht="15" customHeight="1" x14ac:dyDescent="0.25">
      <c r="A2076" s="20" t="s">
        <v>3950</v>
      </c>
      <c r="B2076" s="14" t="s">
        <v>3951</v>
      </c>
      <c r="C2076" s="71" t="str">
        <f t="shared" si="42"/>
        <v>Product Info</v>
      </c>
      <c r="D2076" s="37" t="s">
        <v>3350</v>
      </c>
      <c r="E2076" s="143">
        <v>1</v>
      </c>
      <c r="F2076" s="12" t="s">
        <v>4992</v>
      </c>
      <c r="G2076" s="38">
        <v>380.04</v>
      </c>
      <c r="H2076" s="38">
        <v>323.05</v>
      </c>
      <c r="I2076" s="38">
        <v>266.02999999999997</v>
      </c>
      <c r="J2076" s="39"/>
      <c r="K2076" s="143"/>
      <c r="L2076" s="22">
        <v>9</v>
      </c>
      <c r="M2076" s="22" t="s">
        <v>14396</v>
      </c>
      <c r="N2076" s="20" t="s">
        <v>8878</v>
      </c>
      <c r="O2076" s="16" t="s">
        <v>13914</v>
      </c>
      <c r="P2076" s="143">
        <v>758</v>
      </c>
      <c r="Q2076" s="121" t="s">
        <v>14285</v>
      </c>
      <c r="R2076" s="16" t="s">
        <v>9235</v>
      </c>
      <c r="S2076" s="10" t="s">
        <v>1163</v>
      </c>
      <c r="T2076" s="28" t="s">
        <v>11106</v>
      </c>
      <c r="U2076" s="20" t="s">
        <v>5359</v>
      </c>
      <c r="V2076" s="16" t="s">
        <v>3950</v>
      </c>
      <c r="W2076" s="11" t="s">
        <v>14433</v>
      </c>
      <c r="X2076" s="174">
        <v>252.86</v>
      </c>
      <c r="Y2076" s="174">
        <v>323.05</v>
      </c>
    </row>
    <row r="2077" spans="1:25" ht="15" customHeight="1" x14ac:dyDescent="0.25">
      <c r="A2077" s="20" t="s">
        <v>514</v>
      </c>
      <c r="B2077" s="14" t="s">
        <v>515</v>
      </c>
      <c r="C2077" s="71" t="str">
        <f t="shared" si="42"/>
        <v>Product Info</v>
      </c>
      <c r="D2077" s="37" t="s">
        <v>516</v>
      </c>
      <c r="E2077" s="143">
        <v>1</v>
      </c>
      <c r="F2077" s="12" t="s">
        <v>4992</v>
      </c>
      <c r="G2077" s="38">
        <v>396.94</v>
      </c>
      <c r="H2077" s="38">
        <v>337.41</v>
      </c>
      <c r="I2077" s="38">
        <v>277.86</v>
      </c>
      <c r="J2077" s="39"/>
      <c r="K2077" s="143"/>
      <c r="L2077" s="22">
        <v>0</v>
      </c>
      <c r="M2077" s="22">
        <v>0</v>
      </c>
      <c r="N2077" s="20" t="s">
        <v>14489</v>
      </c>
      <c r="O2077" s="16">
        <v>0</v>
      </c>
      <c r="P2077" s="143">
        <v>758</v>
      </c>
      <c r="Q2077" s="121" t="s">
        <v>14285</v>
      </c>
      <c r="R2077" s="16" t="s">
        <v>9235</v>
      </c>
      <c r="S2077" s="10" t="s">
        <v>1163</v>
      </c>
      <c r="T2077" s="28" t="s">
        <v>11107</v>
      </c>
      <c r="U2077" s="20" t="s">
        <v>5359</v>
      </c>
      <c r="V2077" s="16" t="s">
        <v>514</v>
      </c>
      <c r="W2077" s="11" t="s">
        <v>14433</v>
      </c>
      <c r="X2077" s="174">
        <v>264.11</v>
      </c>
      <c r="Y2077" s="174">
        <v>337.41</v>
      </c>
    </row>
    <row r="2078" spans="1:25" ht="15" customHeight="1" x14ac:dyDescent="0.25">
      <c r="A2078" s="20" t="s">
        <v>7383</v>
      </c>
      <c r="B2078" s="14" t="s">
        <v>7384</v>
      </c>
      <c r="C2078" s="71" t="str">
        <f t="shared" si="42"/>
        <v>Product Info</v>
      </c>
      <c r="D2078" s="37" t="s">
        <v>3351</v>
      </c>
      <c r="E2078" s="143">
        <v>1</v>
      </c>
      <c r="F2078" s="12" t="s">
        <v>4992</v>
      </c>
      <c r="G2078" s="38">
        <v>426.79</v>
      </c>
      <c r="H2078" s="38">
        <v>362.78</v>
      </c>
      <c r="I2078" s="38">
        <v>298.75</v>
      </c>
      <c r="J2078" s="39"/>
      <c r="K2078" s="143"/>
      <c r="L2078" s="22">
        <v>0</v>
      </c>
      <c r="M2078" s="22">
        <v>0</v>
      </c>
      <c r="N2078" s="20" t="s">
        <v>14489</v>
      </c>
      <c r="O2078" s="16">
        <v>0</v>
      </c>
      <c r="P2078" s="143">
        <v>758</v>
      </c>
      <c r="Q2078" s="121" t="s">
        <v>14285</v>
      </c>
      <c r="R2078" s="16" t="s">
        <v>9235</v>
      </c>
      <c r="S2078" s="10" t="s">
        <v>1163</v>
      </c>
      <c r="T2078" s="28" t="s">
        <v>11108</v>
      </c>
      <c r="U2078" s="20" t="s">
        <v>5359</v>
      </c>
      <c r="V2078" s="16" t="s">
        <v>7383</v>
      </c>
      <c r="W2078" s="11" t="s">
        <v>14433</v>
      </c>
      <c r="X2078" s="174">
        <v>283.95999999999998</v>
      </c>
      <c r="Y2078" s="174">
        <v>362.78</v>
      </c>
    </row>
    <row r="2079" spans="1:25" ht="15" customHeight="1" x14ac:dyDescent="0.25">
      <c r="A2079" s="20" t="s">
        <v>517</v>
      </c>
      <c r="B2079" s="14" t="s">
        <v>518</v>
      </c>
      <c r="C2079" s="71" t="str">
        <f t="shared" si="42"/>
        <v>Product Info</v>
      </c>
      <c r="D2079" s="37" t="s">
        <v>519</v>
      </c>
      <c r="E2079" s="143">
        <v>1</v>
      </c>
      <c r="F2079" s="12" t="s">
        <v>4992</v>
      </c>
      <c r="G2079" s="38">
        <v>443.69</v>
      </c>
      <c r="H2079" s="38">
        <v>377.15</v>
      </c>
      <c r="I2079" s="38">
        <v>310.58</v>
      </c>
      <c r="J2079" s="39"/>
      <c r="K2079" s="143"/>
      <c r="L2079" s="22">
        <v>0</v>
      </c>
      <c r="M2079" s="22">
        <v>0</v>
      </c>
      <c r="N2079" s="20" t="s">
        <v>14489</v>
      </c>
      <c r="O2079" s="16">
        <v>0</v>
      </c>
      <c r="P2079" s="143">
        <v>758</v>
      </c>
      <c r="Q2079" s="122" t="s">
        <v>12421</v>
      </c>
      <c r="R2079" s="16" t="s">
        <v>9235</v>
      </c>
      <c r="S2079" s="10" t="s">
        <v>1163</v>
      </c>
      <c r="T2079" s="28" t="s">
        <v>11109</v>
      </c>
      <c r="U2079" s="20" t="s">
        <v>5359</v>
      </c>
      <c r="V2079" s="16" t="s">
        <v>517</v>
      </c>
      <c r="W2079" s="11" t="s">
        <v>14433</v>
      </c>
      <c r="X2079" s="174">
        <v>295.2</v>
      </c>
      <c r="Y2079" s="174">
        <v>377.15</v>
      </c>
    </row>
    <row r="2080" spans="1:25" ht="15" customHeight="1" x14ac:dyDescent="0.25">
      <c r="A2080" s="20" t="s">
        <v>7387</v>
      </c>
      <c r="B2080" s="14" t="s">
        <v>7388</v>
      </c>
      <c r="C2080" s="71" t="str">
        <f t="shared" si="42"/>
        <v>Product Info</v>
      </c>
      <c r="D2080" s="37" t="s">
        <v>3853</v>
      </c>
      <c r="E2080" s="143">
        <v>1</v>
      </c>
      <c r="F2080" s="12" t="s">
        <v>4992</v>
      </c>
      <c r="G2080" s="38">
        <v>380.04</v>
      </c>
      <c r="H2080" s="38">
        <v>323.05</v>
      </c>
      <c r="I2080" s="38">
        <v>266.02999999999997</v>
      </c>
      <c r="J2080" s="39"/>
      <c r="K2080" s="143"/>
      <c r="L2080" s="22">
        <v>0</v>
      </c>
      <c r="M2080" s="22">
        <v>0</v>
      </c>
      <c r="N2080" s="20" t="s">
        <v>14489</v>
      </c>
      <c r="O2080" s="16">
        <v>0</v>
      </c>
      <c r="P2080" s="143">
        <v>758</v>
      </c>
      <c r="Q2080" s="121" t="s">
        <v>14285</v>
      </c>
      <c r="R2080" s="16" t="s">
        <v>9235</v>
      </c>
      <c r="S2080" s="10" t="s">
        <v>1163</v>
      </c>
      <c r="T2080" s="28" t="s">
        <v>11110</v>
      </c>
      <c r="U2080" s="20" t="s">
        <v>5359</v>
      </c>
      <c r="V2080" s="16" t="s">
        <v>7387</v>
      </c>
      <c r="W2080" s="11" t="s">
        <v>14433</v>
      </c>
      <c r="X2080" s="174">
        <v>252.86</v>
      </c>
      <c r="Y2080" s="174">
        <v>323.05</v>
      </c>
    </row>
    <row r="2081" spans="1:25" ht="15" customHeight="1" x14ac:dyDescent="0.25">
      <c r="A2081" s="20" t="s">
        <v>520</v>
      </c>
      <c r="B2081" s="14" t="s">
        <v>521</v>
      </c>
      <c r="C2081" s="71" t="str">
        <f t="shared" si="42"/>
        <v>Product Info</v>
      </c>
      <c r="D2081" s="37" t="s">
        <v>522</v>
      </c>
      <c r="E2081" s="143">
        <v>1</v>
      </c>
      <c r="F2081" s="12" t="s">
        <v>4992</v>
      </c>
      <c r="G2081" s="38">
        <v>396.94</v>
      </c>
      <c r="H2081" s="38">
        <v>337.41</v>
      </c>
      <c r="I2081" s="38">
        <v>277.86</v>
      </c>
      <c r="J2081" s="39"/>
      <c r="K2081" s="143"/>
      <c r="L2081" s="22">
        <v>0</v>
      </c>
      <c r="M2081" s="22">
        <v>0</v>
      </c>
      <c r="N2081" s="20" t="s">
        <v>14489</v>
      </c>
      <c r="O2081" s="16">
        <v>0</v>
      </c>
      <c r="P2081" s="143">
        <v>758</v>
      </c>
      <c r="Q2081" s="122" t="s">
        <v>12421</v>
      </c>
      <c r="R2081" s="16" t="s">
        <v>9235</v>
      </c>
      <c r="S2081" s="10" t="s">
        <v>1163</v>
      </c>
      <c r="T2081" s="28" t="s">
        <v>11111</v>
      </c>
      <c r="U2081" s="20" t="s">
        <v>5359</v>
      </c>
      <c r="V2081" s="16" t="s">
        <v>520</v>
      </c>
      <c r="W2081" s="11" t="s">
        <v>14433</v>
      </c>
      <c r="X2081" s="174">
        <v>264.11</v>
      </c>
      <c r="Y2081" s="174">
        <v>337.41</v>
      </c>
    </row>
    <row r="2082" spans="1:25" ht="15" customHeight="1" x14ac:dyDescent="0.25">
      <c r="A2082" s="20" t="s">
        <v>7389</v>
      </c>
      <c r="B2082" s="14" t="s">
        <v>7390</v>
      </c>
      <c r="C2082" s="71" t="str">
        <f t="shared" si="42"/>
        <v>Product Info</v>
      </c>
      <c r="D2082" s="37" t="s">
        <v>3854</v>
      </c>
      <c r="E2082" s="143">
        <v>1</v>
      </c>
      <c r="F2082" s="12" t="s">
        <v>4992</v>
      </c>
      <c r="G2082" s="38">
        <v>426.79</v>
      </c>
      <c r="H2082" s="38">
        <v>362.78</v>
      </c>
      <c r="I2082" s="38">
        <v>298.75</v>
      </c>
      <c r="J2082" s="39"/>
      <c r="K2082" s="143"/>
      <c r="L2082" s="22">
        <v>0</v>
      </c>
      <c r="M2082" s="22">
        <v>0</v>
      </c>
      <c r="N2082" s="20" t="s">
        <v>14489</v>
      </c>
      <c r="O2082" s="16">
        <v>0</v>
      </c>
      <c r="P2082" s="143">
        <v>758</v>
      </c>
      <c r="Q2082" s="121" t="s">
        <v>14285</v>
      </c>
      <c r="R2082" s="16" t="s">
        <v>9235</v>
      </c>
      <c r="S2082" s="10" t="s">
        <v>1163</v>
      </c>
      <c r="T2082" s="28" t="s">
        <v>11112</v>
      </c>
      <c r="U2082" s="20" t="s">
        <v>5359</v>
      </c>
      <c r="V2082" s="16" t="s">
        <v>7389</v>
      </c>
      <c r="W2082" s="11" t="s">
        <v>14433</v>
      </c>
      <c r="X2082" s="174">
        <v>283.95999999999998</v>
      </c>
      <c r="Y2082" s="174">
        <v>362.78</v>
      </c>
    </row>
    <row r="2083" spans="1:25" ht="15" customHeight="1" x14ac:dyDescent="0.25">
      <c r="A2083" s="20" t="s">
        <v>523</v>
      </c>
      <c r="B2083" s="14" t="s">
        <v>524</v>
      </c>
      <c r="C2083" s="71" t="str">
        <f t="shared" si="42"/>
        <v>Product Info</v>
      </c>
      <c r="D2083" s="37" t="s">
        <v>525</v>
      </c>
      <c r="E2083" s="143">
        <v>1</v>
      </c>
      <c r="F2083" s="12" t="s">
        <v>4992</v>
      </c>
      <c r="G2083" s="38">
        <v>443.69</v>
      </c>
      <c r="H2083" s="38">
        <v>377.15</v>
      </c>
      <c r="I2083" s="38">
        <v>310.58</v>
      </c>
      <c r="J2083" s="39"/>
      <c r="K2083" s="143"/>
      <c r="L2083" s="22">
        <v>0</v>
      </c>
      <c r="M2083" s="22">
        <v>0</v>
      </c>
      <c r="N2083" s="20" t="s">
        <v>14489</v>
      </c>
      <c r="O2083" s="16">
        <v>0</v>
      </c>
      <c r="P2083" s="143">
        <v>758</v>
      </c>
      <c r="Q2083" s="122" t="s">
        <v>12421</v>
      </c>
      <c r="R2083" s="16" t="s">
        <v>9235</v>
      </c>
      <c r="S2083" s="10" t="s">
        <v>1163</v>
      </c>
      <c r="T2083" s="28" t="s">
        <v>11113</v>
      </c>
      <c r="U2083" s="20" t="s">
        <v>5359</v>
      </c>
      <c r="V2083" s="16" t="s">
        <v>523</v>
      </c>
      <c r="W2083" s="11" t="s">
        <v>14433</v>
      </c>
      <c r="X2083" s="174">
        <v>295.2</v>
      </c>
      <c r="Y2083" s="174">
        <v>377.15</v>
      </c>
    </row>
    <row r="2084" spans="1:25" ht="15" customHeight="1" x14ac:dyDescent="0.25">
      <c r="A2084" s="20" t="s">
        <v>7393</v>
      </c>
      <c r="B2084" s="14" t="s">
        <v>7394</v>
      </c>
      <c r="C2084" s="71" t="str">
        <f t="shared" si="42"/>
        <v>Product Info</v>
      </c>
      <c r="D2084" s="37" t="s">
        <v>3857</v>
      </c>
      <c r="E2084" s="143">
        <v>1</v>
      </c>
      <c r="F2084" s="12" t="s">
        <v>4992</v>
      </c>
      <c r="G2084" s="38">
        <v>380.04</v>
      </c>
      <c r="H2084" s="38">
        <v>323.05</v>
      </c>
      <c r="I2084" s="38">
        <v>266.02999999999997</v>
      </c>
      <c r="J2084" s="39"/>
      <c r="K2084" s="143"/>
      <c r="L2084" s="22">
        <v>0</v>
      </c>
      <c r="M2084" s="22">
        <v>0</v>
      </c>
      <c r="N2084" s="20" t="s">
        <v>14489</v>
      </c>
      <c r="O2084" s="16">
        <v>0</v>
      </c>
      <c r="P2084" s="143">
        <v>758</v>
      </c>
      <c r="Q2084" s="121" t="s">
        <v>14285</v>
      </c>
      <c r="R2084" s="16" t="s">
        <v>9235</v>
      </c>
      <c r="S2084" s="10" t="s">
        <v>1163</v>
      </c>
      <c r="T2084" s="28" t="s">
        <v>11114</v>
      </c>
      <c r="U2084" s="20" t="s">
        <v>5359</v>
      </c>
      <c r="V2084" s="16" t="s">
        <v>7393</v>
      </c>
      <c r="W2084" s="11" t="s">
        <v>14433</v>
      </c>
      <c r="X2084" s="174">
        <v>252.86</v>
      </c>
      <c r="Y2084" s="174">
        <v>323.05</v>
      </c>
    </row>
    <row r="2085" spans="1:25" ht="15" customHeight="1" x14ac:dyDescent="0.25">
      <c r="A2085" s="20" t="s">
        <v>526</v>
      </c>
      <c r="B2085" s="14" t="s">
        <v>527</v>
      </c>
      <c r="C2085" s="71" t="str">
        <f t="shared" si="42"/>
        <v>Product Info</v>
      </c>
      <c r="D2085" s="37" t="s">
        <v>528</v>
      </c>
      <c r="E2085" s="143">
        <v>1</v>
      </c>
      <c r="F2085" s="12" t="s">
        <v>4992</v>
      </c>
      <c r="G2085" s="38">
        <v>400.99</v>
      </c>
      <c r="H2085" s="38">
        <v>340.85</v>
      </c>
      <c r="I2085" s="38">
        <v>280.69</v>
      </c>
      <c r="J2085" s="39"/>
      <c r="K2085" s="143"/>
      <c r="L2085" s="22">
        <v>0</v>
      </c>
      <c r="M2085" s="22">
        <v>0</v>
      </c>
      <c r="N2085" s="20" t="s">
        <v>14489</v>
      </c>
      <c r="O2085" s="16">
        <v>0</v>
      </c>
      <c r="P2085" s="143">
        <v>758</v>
      </c>
      <c r="Q2085" s="121" t="s">
        <v>14285</v>
      </c>
      <c r="R2085" s="16" t="s">
        <v>9235</v>
      </c>
      <c r="S2085" s="10" t="s">
        <v>1163</v>
      </c>
      <c r="T2085" s="28" t="s">
        <v>11115</v>
      </c>
      <c r="U2085" s="20" t="s">
        <v>5359</v>
      </c>
      <c r="V2085" s="16" t="s">
        <v>526</v>
      </c>
      <c r="W2085" s="11" t="s">
        <v>14433</v>
      </c>
      <c r="X2085" s="174">
        <v>266.79000000000002</v>
      </c>
      <c r="Y2085" s="174">
        <v>340.85</v>
      </c>
    </row>
    <row r="2086" spans="1:25" ht="15" customHeight="1" x14ac:dyDescent="0.25">
      <c r="A2086" s="20" t="s">
        <v>7395</v>
      </c>
      <c r="B2086" s="14" t="s">
        <v>7396</v>
      </c>
      <c r="C2086" s="71" t="str">
        <f t="shared" si="42"/>
        <v>Product Info</v>
      </c>
      <c r="D2086" s="37" t="s">
        <v>3858</v>
      </c>
      <c r="E2086" s="143">
        <v>1</v>
      </c>
      <c r="F2086" s="12" t="s">
        <v>4992</v>
      </c>
      <c r="G2086" s="38">
        <v>426.79</v>
      </c>
      <c r="H2086" s="38">
        <v>362.78</v>
      </c>
      <c r="I2086" s="38">
        <v>298.75</v>
      </c>
      <c r="J2086" s="39"/>
      <c r="K2086" s="143"/>
      <c r="L2086" s="22">
        <v>0</v>
      </c>
      <c r="M2086" s="22">
        <v>0</v>
      </c>
      <c r="N2086" s="20" t="s">
        <v>14489</v>
      </c>
      <c r="O2086" s="16">
        <v>0</v>
      </c>
      <c r="P2086" s="143">
        <v>758</v>
      </c>
      <c r="Q2086" s="121" t="s">
        <v>14285</v>
      </c>
      <c r="R2086" s="16" t="s">
        <v>9235</v>
      </c>
      <c r="S2086" s="10" t="s">
        <v>1163</v>
      </c>
      <c r="T2086" s="28" t="s">
        <v>11116</v>
      </c>
      <c r="U2086" s="20" t="s">
        <v>5359</v>
      </c>
      <c r="V2086" s="16" t="s">
        <v>7395</v>
      </c>
      <c r="W2086" s="11" t="s">
        <v>14433</v>
      </c>
      <c r="X2086" s="174">
        <v>283.95999999999998</v>
      </c>
      <c r="Y2086" s="174">
        <v>362.78</v>
      </c>
    </row>
    <row r="2087" spans="1:25" ht="15" customHeight="1" x14ac:dyDescent="0.25">
      <c r="A2087" s="20" t="s">
        <v>529</v>
      </c>
      <c r="B2087" s="14" t="s">
        <v>530</v>
      </c>
      <c r="C2087" s="71" t="str">
        <f t="shared" si="42"/>
        <v>Product Info</v>
      </c>
      <c r="D2087" s="37" t="s">
        <v>531</v>
      </c>
      <c r="E2087" s="143">
        <v>1</v>
      </c>
      <c r="F2087" s="12" t="s">
        <v>4992</v>
      </c>
      <c r="G2087" s="38">
        <v>447.7</v>
      </c>
      <c r="H2087" s="38">
        <v>380.56</v>
      </c>
      <c r="I2087" s="38">
        <v>313.39</v>
      </c>
      <c r="J2087" s="39"/>
      <c r="K2087" s="143"/>
      <c r="L2087" s="22">
        <v>0</v>
      </c>
      <c r="M2087" s="22">
        <v>0</v>
      </c>
      <c r="N2087" s="20" t="s">
        <v>14489</v>
      </c>
      <c r="O2087" s="16">
        <v>0</v>
      </c>
      <c r="P2087" s="143">
        <v>758</v>
      </c>
      <c r="Q2087" s="121" t="s">
        <v>14285</v>
      </c>
      <c r="R2087" s="16" t="s">
        <v>9235</v>
      </c>
      <c r="S2087" s="10" t="s">
        <v>1163</v>
      </c>
      <c r="T2087" s="28" t="s">
        <v>11117</v>
      </c>
      <c r="U2087" s="20" t="s">
        <v>5359</v>
      </c>
      <c r="V2087" s="16" t="s">
        <v>529</v>
      </c>
      <c r="W2087" s="11" t="s">
        <v>14433</v>
      </c>
      <c r="X2087" s="174">
        <v>297.88</v>
      </c>
      <c r="Y2087" s="174">
        <v>380.56</v>
      </c>
    </row>
    <row r="2088" spans="1:25" ht="15" customHeight="1" x14ac:dyDescent="0.25">
      <c r="A2088" s="20" t="s">
        <v>6293</v>
      </c>
      <c r="B2088" s="14" t="s">
        <v>532</v>
      </c>
      <c r="C2088" s="71" t="str">
        <f t="shared" si="42"/>
        <v>Product Info</v>
      </c>
      <c r="D2088" s="37" t="s">
        <v>533</v>
      </c>
      <c r="E2088" s="143">
        <v>1</v>
      </c>
      <c r="F2088" s="12" t="s">
        <v>4992</v>
      </c>
      <c r="G2088" s="38">
        <v>380.04</v>
      </c>
      <c r="H2088" s="38">
        <v>323.05</v>
      </c>
      <c r="I2088" s="38">
        <v>266.02999999999997</v>
      </c>
      <c r="J2088" s="39"/>
      <c r="K2088" s="143"/>
      <c r="L2088" s="22">
        <v>0</v>
      </c>
      <c r="M2088" s="22">
        <v>0</v>
      </c>
      <c r="N2088" s="20" t="s">
        <v>14489</v>
      </c>
      <c r="O2088" s="16">
        <v>0</v>
      </c>
      <c r="P2088" s="143">
        <v>758</v>
      </c>
      <c r="Q2088" s="121" t="s">
        <v>14285</v>
      </c>
      <c r="R2088" s="16" t="s">
        <v>9235</v>
      </c>
      <c r="S2088" s="10" t="s">
        <v>1163</v>
      </c>
      <c r="T2088" s="28" t="s">
        <v>11118</v>
      </c>
      <c r="U2088" s="20" t="s">
        <v>5359</v>
      </c>
      <c r="V2088" s="16" t="s">
        <v>6293</v>
      </c>
      <c r="W2088" s="11" t="s">
        <v>14433</v>
      </c>
      <c r="X2088" s="174">
        <v>252.86</v>
      </c>
      <c r="Y2088" s="174">
        <v>323.05</v>
      </c>
    </row>
    <row r="2089" spans="1:25" ht="15" customHeight="1" x14ac:dyDescent="0.25">
      <c r="A2089" s="20" t="s">
        <v>534</v>
      </c>
      <c r="B2089" s="14" t="s">
        <v>535</v>
      </c>
      <c r="C2089" s="71" t="str">
        <f t="shared" si="42"/>
        <v>Product Info</v>
      </c>
      <c r="D2089" s="37" t="s">
        <v>536</v>
      </c>
      <c r="E2089" s="143">
        <v>1</v>
      </c>
      <c r="F2089" s="12" t="s">
        <v>4992</v>
      </c>
      <c r="G2089" s="38">
        <v>396.94</v>
      </c>
      <c r="H2089" s="38">
        <v>337.41</v>
      </c>
      <c r="I2089" s="38">
        <v>277.86</v>
      </c>
      <c r="J2089" s="39"/>
      <c r="K2089" s="143"/>
      <c r="L2089" s="22">
        <v>0</v>
      </c>
      <c r="M2089" s="22">
        <v>0</v>
      </c>
      <c r="N2089" s="20" t="s">
        <v>14489</v>
      </c>
      <c r="O2089" s="16">
        <v>0</v>
      </c>
      <c r="P2089" s="143">
        <v>758</v>
      </c>
      <c r="Q2089" s="121" t="s">
        <v>14285</v>
      </c>
      <c r="R2089" s="16" t="s">
        <v>9235</v>
      </c>
      <c r="S2089" s="10" t="s">
        <v>1163</v>
      </c>
      <c r="T2089" s="28" t="s">
        <v>11119</v>
      </c>
      <c r="U2089" s="20" t="s">
        <v>5359</v>
      </c>
      <c r="V2089" s="16" t="s">
        <v>534</v>
      </c>
      <c r="W2089" s="11" t="s">
        <v>14433</v>
      </c>
      <c r="X2089" s="174">
        <v>264.11</v>
      </c>
      <c r="Y2089" s="174">
        <v>337.41</v>
      </c>
    </row>
    <row r="2090" spans="1:25" ht="15" customHeight="1" x14ac:dyDescent="0.25">
      <c r="A2090" s="20" t="s">
        <v>7398</v>
      </c>
      <c r="B2090" s="14" t="s">
        <v>7399</v>
      </c>
      <c r="C2090" s="71" t="str">
        <f t="shared" si="42"/>
        <v>Product Info</v>
      </c>
      <c r="D2090" s="37" t="s">
        <v>3860</v>
      </c>
      <c r="E2090" s="143">
        <v>1</v>
      </c>
      <c r="F2090" s="12" t="s">
        <v>4992</v>
      </c>
      <c r="G2090" s="38">
        <v>380.04</v>
      </c>
      <c r="H2090" s="38">
        <v>323.05</v>
      </c>
      <c r="I2090" s="38">
        <v>266.02999999999997</v>
      </c>
      <c r="J2090" s="39"/>
      <c r="K2090" s="143"/>
      <c r="L2090" s="22">
        <v>0</v>
      </c>
      <c r="M2090" s="22">
        <v>0</v>
      </c>
      <c r="N2090" s="20" t="s">
        <v>14489</v>
      </c>
      <c r="O2090" s="16">
        <v>0</v>
      </c>
      <c r="P2090" s="143">
        <v>758</v>
      </c>
      <c r="Q2090" s="121" t="s">
        <v>14285</v>
      </c>
      <c r="R2090" s="16" t="s">
        <v>9235</v>
      </c>
      <c r="S2090" s="10" t="s">
        <v>1163</v>
      </c>
      <c r="T2090" s="28" t="s">
        <v>11120</v>
      </c>
      <c r="U2090" s="20" t="s">
        <v>5359</v>
      </c>
      <c r="V2090" s="16" t="s">
        <v>7398</v>
      </c>
      <c r="W2090" s="11" t="s">
        <v>14433</v>
      </c>
      <c r="X2090" s="174">
        <v>252.86</v>
      </c>
      <c r="Y2090" s="174">
        <v>323.05</v>
      </c>
    </row>
    <row r="2091" spans="1:25" ht="15" customHeight="1" x14ac:dyDescent="0.25">
      <c r="A2091" s="20" t="s">
        <v>537</v>
      </c>
      <c r="B2091" s="14" t="s">
        <v>538</v>
      </c>
      <c r="C2091" s="71" t="str">
        <f t="shared" si="42"/>
        <v>Product Info</v>
      </c>
      <c r="D2091" s="37" t="s">
        <v>539</v>
      </c>
      <c r="E2091" s="143">
        <v>1</v>
      </c>
      <c r="F2091" s="12" t="s">
        <v>4992</v>
      </c>
      <c r="G2091" s="38">
        <v>400.99</v>
      </c>
      <c r="H2091" s="38">
        <v>340.85</v>
      </c>
      <c r="I2091" s="38">
        <v>280.69</v>
      </c>
      <c r="J2091" s="39"/>
      <c r="K2091" s="143"/>
      <c r="L2091" s="22">
        <v>0</v>
      </c>
      <c r="M2091" s="22">
        <v>0</v>
      </c>
      <c r="N2091" s="20" t="s">
        <v>14489</v>
      </c>
      <c r="O2091" s="16">
        <v>0</v>
      </c>
      <c r="P2091" s="143">
        <v>758</v>
      </c>
      <c r="Q2091" s="121" t="s">
        <v>14285</v>
      </c>
      <c r="R2091" s="16" t="s">
        <v>9235</v>
      </c>
      <c r="S2091" s="10" t="s">
        <v>1163</v>
      </c>
      <c r="T2091" s="28" t="s">
        <v>11121</v>
      </c>
      <c r="U2091" s="20" t="s">
        <v>5359</v>
      </c>
      <c r="V2091" s="16" t="s">
        <v>537</v>
      </c>
      <c r="W2091" s="11" t="s">
        <v>14433</v>
      </c>
      <c r="X2091" s="174">
        <v>266.79000000000002</v>
      </c>
      <c r="Y2091" s="174">
        <v>340.85</v>
      </c>
    </row>
    <row r="2092" spans="1:25" ht="15" customHeight="1" x14ac:dyDescent="0.25">
      <c r="A2092" s="20" t="s">
        <v>7400</v>
      </c>
      <c r="B2092" s="14" t="s">
        <v>7401</v>
      </c>
      <c r="C2092" s="71" t="str">
        <f t="shared" si="42"/>
        <v>Product Info</v>
      </c>
      <c r="D2092" s="37" t="s">
        <v>3861</v>
      </c>
      <c r="E2092" s="143">
        <v>1</v>
      </c>
      <c r="F2092" s="12" t="s">
        <v>4992</v>
      </c>
      <c r="G2092" s="38">
        <v>380.04</v>
      </c>
      <c r="H2092" s="38">
        <v>323.05</v>
      </c>
      <c r="I2092" s="38">
        <v>266.02999999999997</v>
      </c>
      <c r="J2092" s="39"/>
      <c r="K2092" s="143"/>
      <c r="L2092" s="22">
        <v>0</v>
      </c>
      <c r="M2092" s="22">
        <v>0</v>
      </c>
      <c r="N2092" s="20" t="s">
        <v>14489</v>
      </c>
      <c r="O2092" s="16">
        <v>0</v>
      </c>
      <c r="P2092" s="143">
        <v>758</v>
      </c>
      <c r="Q2092" s="121" t="s">
        <v>14285</v>
      </c>
      <c r="R2092" s="16" t="s">
        <v>9235</v>
      </c>
      <c r="S2092" s="10" t="s">
        <v>1163</v>
      </c>
      <c r="T2092" s="28" t="s">
        <v>11122</v>
      </c>
      <c r="U2092" s="20" t="s">
        <v>5359</v>
      </c>
      <c r="V2092" s="16" t="s">
        <v>7400</v>
      </c>
      <c r="W2092" s="11" t="s">
        <v>14433</v>
      </c>
      <c r="X2092" s="174">
        <v>252.86</v>
      </c>
      <c r="Y2092" s="174">
        <v>323.05</v>
      </c>
    </row>
    <row r="2093" spans="1:25" ht="15" customHeight="1" x14ac:dyDescent="0.25">
      <c r="A2093" s="20" t="s">
        <v>540</v>
      </c>
      <c r="B2093" s="14" t="s">
        <v>541</v>
      </c>
      <c r="C2093" s="71" t="str">
        <f t="shared" si="42"/>
        <v>Product Info</v>
      </c>
      <c r="D2093" s="37" t="s">
        <v>542</v>
      </c>
      <c r="E2093" s="143">
        <v>1</v>
      </c>
      <c r="F2093" s="12" t="s">
        <v>4992</v>
      </c>
      <c r="G2093" s="38">
        <v>400.99</v>
      </c>
      <c r="H2093" s="38">
        <v>340.85</v>
      </c>
      <c r="I2093" s="38">
        <v>280.69</v>
      </c>
      <c r="J2093" s="39"/>
      <c r="K2093" s="143"/>
      <c r="L2093" s="22">
        <v>0</v>
      </c>
      <c r="M2093" s="22">
        <v>0</v>
      </c>
      <c r="N2093" s="20" t="s">
        <v>14489</v>
      </c>
      <c r="O2093" s="16">
        <v>0</v>
      </c>
      <c r="P2093" s="143">
        <v>758</v>
      </c>
      <c r="Q2093" s="121" t="s">
        <v>14285</v>
      </c>
      <c r="R2093" s="16" t="s">
        <v>9235</v>
      </c>
      <c r="S2093" s="10" t="s">
        <v>1163</v>
      </c>
      <c r="T2093" s="28" t="s">
        <v>11123</v>
      </c>
      <c r="U2093" s="20" t="s">
        <v>5359</v>
      </c>
      <c r="V2093" s="16" t="s">
        <v>540</v>
      </c>
      <c r="W2093" s="11" t="s">
        <v>14433</v>
      </c>
      <c r="X2093" s="174">
        <v>266.79000000000002</v>
      </c>
      <c r="Y2093" s="174">
        <v>340.85</v>
      </c>
    </row>
    <row r="2094" spans="1:25" ht="15" customHeight="1" x14ac:dyDescent="0.25">
      <c r="A2094" s="20" t="s">
        <v>7402</v>
      </c>
      <c r="B2094" s="14" t="s">
        <v>7403</v>
      </c>
      <c r="C2094" s="71" t="str">
        <f t="shared" si="42"/>
        <v>Product Info</v>
      </c>
      <c r="D2094" s="37" t="s">
        <v>3862</v>
      </c>
      <c r="E2094" s="143">
        <v>1</v>
      </c>
      <c r="F2094" s="12" t="s">
        <v>4992</v>
      </c>
      <c r="G2094" s="38">
        <v>380.04</v>
      </c>
      <c r="H2094" s="38">
        <v>323.05</v>
      </c>
      <c r="I2094" s="38">
        <v>266.02999999999997</v>
      </c>
      <c r="J2094" s="39"/>
      <c r="K2094" s="143"/>
      <c r="L2094" s="22">
        <v>9</v>
      </c>
      <c r="M2094" s="22" t="s">
        <v>14396</v>
      </c>
      <c r="N2094" s="20" t="s">
        <v>8878</v>
      </c>
      <c r="O2094" s="16" t="s">
        <v>13914</v>
      </c>
      <c r="P2094" s="143">
        <v>758</v>
      </c>
      <c r="Q2094" s="121" t="s">
        <v>14285</v>
      </c>
      <c r="R2094" s="16" t="s">
        <v>9235</v>
      </c>
      <c r="S2094" s="10" t="s">
        <v>1163</v>
      </c>
      <c r="T2094" s="28" t="s">
        <v>11124</v>
      </c>
      <c r="U2094" s="20" t="s">
        <v>5359</v>
      </c>
      <c r="V2094" s="16" t="s">
        <v>7402</v>
      </c>
      <c r="W2094" s="11" t="s">
        <v>14433</v>
      </c>
      <c r="X2094" s="174">
        <v>252.86</v>
      </c>
      <c r="Y2094" s="174">
        <v>323.05</v>
      </c>
    </row>
    <row r="2095" spans="1:25" ht="15" customHeight="1" x14ac:dyDescent="0.25">
      <c r="A2095" s="20" t="s">
        <v>543</v>
      </c>
      <c r="B2095" s="14" t="s">
        <v>544</v>
      </c>
      <c r="C2095" s="71" t="str">
        <f t="shared" si="42"/>
        <v>Product Info</v>
      </c>
      <c r="D2095" s="37" t="s">
        <v>545</v>
      </c>
      <c r="E2095" s="143">
        <v>1</v>
      </c>
      <c r="F2095" s="12" t="s">
        <v>4992</v>
      </c>
      <c r="G2095" s="38">
        <v>400.99</v>
      </c>
      <c r="H2095" s="38">
        <v>340.85</v>
      </c>
      <c r="I2095" s="38">
        <v>280.69</v>
      </c>
      <c r="J2095" s="39"/>
      <c r="K2095" s="143"/>
      <c r="L2095" s="22">
        <v>0</v>
      </c>
      <c r="M2095" s="22">
        <v>0</v>
      </c>
      <c r="N2095" s="20" t="s">
        <v>14489</v>
      </c>
      <c r="O2095" s="16">
        <v>0</v>
      </c>
      <c r="P2095" s="143">
        <v>758</v>
      </c>
      <c r="Q2095" s="121" t="s">
        <v>14285</v>
      </c>
      <c r="R2095" s="16" t="s">
        <v>9235</v>
      </c>
      <c r="S2095" s="10" t="s">
        <v>1163</v>
      </c>
      <c r="T2095" s="28" t="s">
        <v>11125</v>
      </c>
      <c r="U2095" s="20" t="s">
        <v>5359</v>
      </c>
      <c r="V2095" s="16" t="s">
        <v>543</v>
      </c>
      <c r="W2095" s="11" t="s">
        <v>14433</v>
      </c>
      <c r="X2095" s="174">
        <v>266.79000000000002</v>
      </c>
      <c r="Y2095" s="174">
        <v>340.85</v>
      </c>
    </row>
    <row r="2096" spans="1:25" ht="15" customHeight="1" x14ac:dyDescent="0.25">
      <c r="A2096" s="20" t="s">
        <v>7404</v>
      </c>
      <c r="B2096" s="14" t="s">
        <v>7405</v>
      </c>
      <c r="C2096" s="71" t="str">
        <f t="shared" si="42"/>
        <v>Product Info</v>
      </c>
      <c r="D2096" s="37" t="s">
        <v>3863</v>
      </c>
      <c r="E2096" s="143">
        <v>1</v>
      </c>
      <c r="F2096" s="12" t="s">
        <v>4992</v>
      </c>
      <c r="G2096" s="38">
        <v>426.79</v>
      </c>
      <c r="H2096" s="38">
        <v>362.78</v>
      </c>
      <c r="I2096" s="38">
        <v>298.75</v>
      </c>
      <c r="J2096" s="39"/>
      <c r="K2096" s="143"/>
      <c r="L2096" s="22">
        <v>0</v>
      </c>
      <c r="M2096" s="22">
        <v>0</v>
      </c>
      <c r="N2096" s="20" t="s">
        <v>14489</v>
      </c>
      <c r="O2096" s="16">
        <v>0</v>
      </c>
      <c r="P2096" s="143">
        <v>758</v>
      </c>
      <c r="Q2096" s="121" t="s">
        <v>14285</v>
      </c>
      <c r="R2096" s="16" t="s">
        <v>9235</v>
      </c>
      <c r="S2096" s="10" t="s">
        <v>1163</v>
      </c>
      <c r="T2096" s="28" t="s">
        <v>11126</v>
      </c>
      <c r="U2096" s="20" t="s">
        <v>5359</v>
      </c>
      <c r="V2096" s="16" t="s">
        <v>7404</v>
      </c>
      <c r="W2096" s="11" t="s">
        <v>14433</v>
      </c>
      <c r="X2096" s="174">
        <v>283.95999999999998</v>
      </c>
      <c r="Y2096" s="174">
        <v>362.78</v>
      </c>
    </row>
    <row r="2097" spans="1:25" ht="15" customHeight="1" x14ac:dyDescent="0.25">
      <c r="A2097" s="20" t="s">
        <v>546</v>
      </c>
      <c r="B2097" s="14" t="s">
        <v>547</v>
      </c>
      <c r="C2097" s="71" t="str">
        <f t="shared" si="42"/>
        <v>Product Info</v>
      </c>
      <c r="D2097" s="37" t="s">
        <v>548</v>
      </c>
      <c r="E2097" s="143">
        <v>1</v>
      </c>
      <c r="F2097" s="12" t="s">
        <v>4992</v>
      </c>
      <c r="G2097" s="38">
        <v>447.7</v>
      </c>
      <c r="H2097" s="38">
        <v>380.56</v>
      </c>
      <c r="I2097" s="38">
        <v>313.39</v>
      </c>
      <c r="J2097" s="39"/>
      <c r="K2097" s="143"/>
      <c r="L2097" s="22">
        <v>0</v>
      </c>
      <c r="M2097" s="22">
        <v>0</v>
      </c>
      <c r="N2097" s="20" t="s">
        <v>14489</v>
      </c>
      <c r="O2097" s="16">
        <v>0</v>
      </c>
      <c r="P2097" s="143">
        <v>758</v>
      </c>
      <c r="Q2097" s="121" t="s">
        <v>14285</v>
      </c>
      <c r="R2097" s="16" t="s">
        <v>9235</v>
      </c>
      <c r="S2097" s="10" t="s">
        <v>1163</v>
      </c>
      <c r="T2097" s="28" t="s">
        <v>11127</v>
      </c>
      <c r="U2097" s="20" t="s">
        <v>5359</v>
      </c>
      <c r="V2097" s="16" t="s">
        <v>546</v>
      </c>
      <c r="W2097" s="11" t="s">
        <v>14433</v>
      </c>
      <c r="X2097" s="174">
        <v>297.88</v>
      </c>
      <c r="Y2097" s="174">
        <v>380.56</v>
      </c>
    </row>
    <row r="2098" spans="1:25" ht="15" customHeight="1" x14ac:dyDescent="0.25">
      <c r="A2098" s="20" t="s">
        <v>7406</v>
      </c>
      <c r="B2098" s="14" t="s">
        <v>6861</v>
      </c>
      <c r="C2098" s="71" t="str">
        <f t="shared" si="42"/>
        <v>Product Info</v>
      </c>
      <c r="D2098" s="37" t="s">
        <v>3864</v>
      </c>
      <c r="E2098" s="143">
        <v>1</v>
      </c>
      <c r="F2098" s="12" t="s">
        <v>4992</v>
      </c>
      <c r="G2098" s="38">
        <v>426.79</v>
      </c>
      <c r="H2098" s="38">
        <v>362.78</v>
      </c>
      <c r="I2098" s="38">
        <v>298.75</v>
      </c>
      <c r="J2098" s="39"/>
      <c r="K2098" s="143"/>
      <c r="L2098" s="22">
        <v>0</v>
      </c>
      <c r="M2098" s="22">
        <v>0</v>
      </c>
      <c r="N2098" s="20" t="s">
        <v>14489</v>
      </c>
      <c r="O2098" s="16">
        <v>0</v>
      </c>
      <c r="P2098" s="143">
        <v>758</v>
      </c>
      <c r="Q2098" s="121" t="s">
        <v>14285</v>
      </c>
      <c r="R2098" s="16" t="s">
        <v>9235</v>
      </c>
      <c r="S2098" s="10" t="s">
        <v>1163</v>
      </c>
      <c r="T2098" s="28" t="s">
        <v>11128</v>
      </c>
      <c r="U2098" s="20" t="s">
        <v>5359</v>
      </c>
      <c r="V2098" s="16" t="s">
        <v>7406</v>
      </c>
      <c r="W2098" s="11" t="s">
        <v>14433</v>
      </c>
      <c r="X2098" s="174">
        <v>283.95999999999998</v>
      </c>
      <c r="Y2098" s="174">
        <v>362.78</v>
      </c>
    </row>
    <row r="2099" spans="1:25" ht="15" customHeight="1" x14ac:dyDescent="0.25">
      <c r="A2099" s="20" t="s">
        <v>549</v>
      </c>
      <c r="B2099" s="14" t="s">
        <v>550</v>
      </c>
      <c r="C2099" s="71" t="str">
        <f t="shared" si="42"/>
        <v>Product Info</v>
      </c>
      <c r="D2099" s="37" t="s">
        <v>551</v>
      </c>
      <c r="E2099" s="143">
        <v>1</v>
      </c>
      <c r="F2099" s="12" t="s">
        <v>4992</v>
      </c>
      <c r="G2099" s="38">
        <v>447.7</v>
      </c>
      <c r="H2099" s="38">
        <v>380.56</v>
      </c>
      <c r="I2099" s="38">
        <v>313.39</v>
      </c>
      <c r="J2099" s="39"/>
      <c r="K2099" s="143"/>
      <c r="L2099" s="22">
        <v>0</v>
      </c>
      <c r="M2099" s="22">
        <v>0</v>
      </c>
      <c r="N2099" s="20" t="s">
        <v>14489</v>
      </c>
      <c r="O2099" s="16">
        <v>0</v>
      </c>
      <c r="P2099" s="143">
        <v>758</v>
      </c>
      <c r="Q2099" s="122" t="s">
        <v>12421</v>
      </c>
      <c r="R2099" s="16" t="s">
        <v>9235</v>
      </c>
      <c r="S2099" s="10" t="s">
        <v>1163</v>
      </c>
      <c r="T2099" s="28" t="s">
        <v>11129</v>
      </c>
      <c r="U2099" s="20" t="s">
        <v>5359</v>
      </c>
      <c r="V2099" s="16" t="s">
        <v>549</v>
      </c>
      <c r="W2099" s="11" t="s">
        <v>14433</v>
      </c>
      <c r="X2099" s="174">
        <v>297.88</v>
      </c>
      <c r="Y2099" s="174">
        <v>380.56</v>
      </c>
    </row>
    <row r="2100" spans="1:25" ht="15" customHeight="1" x14ac:dyDescent="0.25">
      <c r="A2100" s="20" t="s">
        <v>6864</v>
      </c>
      <c r="B2100" s="14" t="s">
        <v>6865</v>
      </c>
      <c r="C2100" s="71" t="str">
        <f t="shared" si="42"/>
        <v>Product Info</v>
      </c>
      <c r="D2100" s="37" t="s">
        <v>3867</v>
      </c>
      <c r="E2100" s="143">
        <v>1</v>
      </c>
      <c r="F2100" s="12" t="s">
        <v>4992</v>
      </c>
      <c r="G2100" s="38">
        <v>380.04</v>
      </c>
      <c r="H2100" s="38">
        <v>323.05</v>
      </c>
      <c r="I2100" s="38">
        <v>266.02999999999997</v>
      </c>
      <c r="J2100" s="39"/>
      <c r="K2100" s="143"/>
      <c r="L2100" s="22">
        <v>0</v>
      </c>
      <c r="M2100" s="22">
        <v>0</v>
      </c>
      <c r="N2100" s="20" t="s">
        <v>14489</v>
      </c>
      <c r="O2100" s="16">
        <v>0</v>
      </c>
      <c r="P2100" s="143">
        <v>758</v>
      </c>
      <c r="Q2100" s="121" t="s">
        <v>14285</v>
      </c>
      <c r="R2100" s="16" t="s">
        <v>9235</v>
      </c>
      <c r="S2100" s="10" t="s">
        <v>1163</v>
      </c>
      <c r="T2100" s="28" t="s">
        <v>11130</v>
      </c>
      <c r="U2100" s="20" t="s">
        <v>5359</v>
      </c>
      <c r="V2100" s="16" t="s">
        <v>6864</v>
      </c>
      <c r="W2100" s="11" t="s">
        <v>14433</v>
      </c>
      <c r="X2100" s="174">
        <v>252.86</v>
      </c>
      <c r="Y2100" s="174">
        <v>323.05</v>
      </c>
    </row>
    <row r="2101" spans="1:25" ht="15" customHeight="1" x14ac:dyDescent="0.25">
      <c r="A2101" s="20" t="s">
        <v>552</v>
      </c>
      <c r="B2101" s="14" t="s">
        <v>553</v>
      </c>
      <c r="C2101" s="71" t="str">
        <f t="shared" si="42"/>
        <v>Product Info</v>
      </c>
      <c r="D2101" s="37" t="s">
        <v>554</v>
      </c>
      <c r="E2101" s="143">
        <v>1</v>
      </c>
      <c r="F2101" s="12" t="s">
        <v>4992</v>
      </c>
      <c r="G2101" s="38">
        <v>400.99</v>
      </c>
      <c r="H2101" s="38">
        <v>340.85</v>
      </c>
      <c r="I2101" s="38">
        <v>280.69</v>
      </c>
      <c r="J2101" s="39"/>
      <c r="K2101" s="143"/>
      <c r="L2101" s="22">
        <v>0</v>
      </c>
      <c r="M2101" s="22">
        <v>0</v>
      </c>
      <c r="N2101" s="20" t="s">
        <v>14489</v>
      </c>
      <c r="O2101" s="16">
        <v>0</v>
      </c>
      <c r="P2101" s="143">
        <v>758</v>
      </c>
      <c r="Q2101" s="121" t="s">
        <v>14285</v>
      </c>
      <c r="R2101" s="16" t="s">
        <v>9235</v>
      </c>
      <c r="S2101" s="10" t="s">
        <v>1163</v>
      </c>
      <c r="T2101" s="28" t="s">
        <v>11131</v>
      </c>
      <c r="U2101" s="20" t="s">
        <v>5359</v>
      </c>
      <c r="V2101" s="16" t="s">
        <v>552</v>
      </c>
      <c r="W2101" s="11" t="s">
        <v>14433</v>
      </c>
      <c r="X2101" s="174">
        <v>266.79000000000002</v>
      </c>
      <c r="Y2101" s="174">
        <v>340.85</v>
      </c>
    </row>
    <row r="2102" spans="1:25" ht="15" customHeight="1" x14ac:dyDescent="0.25">
      <c r="A2102" s="20" t="s">
        <v>6866</v>
      </c>
      <c r="B2102" s="14" t="s">
        <v>6867</v>
      </c>
      <c r="C2102" s="71" t="str">
        <f t="shared" si="42"/>
        <v>Product Info</v>
      </c>
      <c r="D2102" s="37" t="s">
        <v>3868</v>
      </c>
      <c r="E2102" s="143">
        <v>1</v>
      </c>
      <c r="F2102" s="12" t="s">
        <v>4992</v>
      </c>
      <c r="G2102" s="38">
        <v>380.04</v>
      </c>
      <c r="H2102" s="38">
        <v>323.05</v>
      </c>
      <c r="I2102" s="38">
        <v>266.02999999999997</v>
      </c>
      <c r="J2102" s="39"/>
      <c r="K2102" s="143"/>
      <c r="L2102" s="22">
        <v>0</v>
      </c>
      <c r="M2102" s="22">
        <v>0</v>
      </c>
      <c r="N2102" s="20" t="s">
        <v>14489</v>
      </c>
      <c r="O2102" s="16">
        <v>0</v>
      </c>
      <c r="P2102" s="143">
        <v>758</v>
      </c>
      <c r="Q2102" s="121" t="s">
        <v>14285</v>
      </c>
      <c r="R2102" s="16" t="s">
        <v>9235</v>
      </c>
      <c r="S2102" s="10" t="s">
        <v>1163</v>
      </c>
      <c r="T2102" s="28" t="s">
        <v>11132</v>
      </c>
      <c r="U2102" s="20" t="s">
        <v>5359</v>
      </c>
      <c r="V2102" s="16" t="s">
        <v>6866</v>
      </c>
      <c r="W2102" s="11" t="s">
        <v>14433</v>
      </c>
      <c r="X2102" s="174">
        <v>252.86</v>
      </c>
      <c r="Y2102" s="174">
        <v>323.05</v>
      </c>
    </row>
    <row r="2103" spans="1:25" ht="15" customHeight="1" x14ac:dyDescent="0.25">
      <c r="A2103" s="20" t="s">
        <v>555</v>
      </c>
      <c r="B2103" s="14" t="s">
        <v>556</v>
      </c>
      <c r="C2103" s="71" t="str">
        <f t="shared" si="42"/>
        <v>Product Info</v>
      </c>
      <c r="D2103" s="37" t="s">
        <v>557</v>
      </c>
      <c r="E2103" s="143">
        <v>1</v>
      </c>
      <c r="F2103" s="12" t="s">
        <v>4992</v>
      </c>
      <c r="G2103" s="38">
        <v>400.99</v>
      </c>
      <c r="H2103" s="38">
        <v>340.85</v>
      </c>
      <c r="I2103" s="38">
        <v>280.69</v>
      </c>
      <c r="J2103" s="39"/>
      <c r="K2103" s="143"/>
      <c r="L2103" s="22">
        <v>0</v>
      </c>
      <c r="M2103" s="22">
        <v>0</v>
      </c>
      <c r="N2103" s="20" t="s">
        <v>14489</v>
      </c>
      <c r="O2103" s="16">
        <v>0</v>
      </c>
      <c r="P2103" s="143">
        <v>758</v>
      </c>
      <c r="Q2103" s="121" t="s">
        <v>14285</v>
      </c>
      <c r="R2103" s="16" t="s">
        <v>9235</v>
      </c>
      <c r="S2103" s="10" t="s">
        <v>1163</v>
      </c>
      <c r="T2103" s="28" t="s">
        <v>11133</v>
      </c>
      <c r="U2103" s="20" t="s">
        <v>5359</v>
      </c>
      <c r="V2103" s="16" t="s">
        <v>555</v>
      </c>
      <c r="W2103" s="11" t="s">
        <v>14433</v>
      </c>
      <c r="X2103" s="174">
        <v>266.79000000000002</v>
      </c>
      <c r="Y2103" s="174">
        <v>340.85</v>
      </c>
    </row>
    <row r="2104" spans="1:25" ht="15" customHeight="1" x14ac:dyDescent="0.25">
      <c r="A2104" s="20" t="s">
        <v>6868</v>
      </c>
      <c r="B2104" s="14" t="s">
        <v>6869</v>
      </c>
      <c r="C2104" s="71" t="str">
        <f t="shared" si="42"/>
        <v>Product Info</v>
      </c>
      <c r="D2104" s="37" t="s">
        <v>3869</v>
      </c>
      <c r="E2104" s="143">
        <v>1</v>
      </c>
      <c r="F2104" s="12" t="s">
        <v>4992</v>
      </c>
      <c r="G2104" s="38">
        <v>380.04</v>
      </c>
      <c r="H2104" s="38">
        <v>323.05</v>
      </c>
      <c r="I2104" s="38">
        <v>266.02999999999997</v>
      </c>
      <c r="J2104" s="39"/>
      <c r="K2104" s="143"/>
      <c r="L2104" s="22">
        <v>0</v>
      </c>
      <c r="M2104" s="22">
        <v>0</v>
      </c>
      <c r="N2104" s="20" t="s">
        <v>14489</v>
      </c>
      <c r="O2104" s="16">
        <v>0</v>
      </c>
      <c r="P2104" s="143">
        <v>758</v>
      </c>
      <c r="Q2104" s="121" t="s">
        <v>14285</v>
      </c>
      <c r="R2104" s="16" t="s">
        <v>9235</v>
      </c>
      <c r="S2104" s="10" t="s">
        <v>1163</v>
      </c>
      <c r="T2104" s="28" t="s">
        <v>11134</v>
      </c>
      <c r="U2104" s="20" t="s">
        <v>5359</v>
      </c>
      <c r="V2104" s="16" t="s">
        <v>6868</v>
      </c>
      <c r="W2104" s="11" t="s">
        <v>14433</v>
      </c>
      <c r="X2104" s="174">
        <v>252.86</v>
      </c>
      <c r="Y2104" s="174">
        <v>323.05</v>
      </c>
    </row>
    <row r="2105" spans="1:25" ht="15" customHeight="1" x14ac:dyDescent="0.25">
      <c r="A2105" s="20" t="s">
        <v>558</v>
      </c>
      <c r="B2105" s="14" t="s">
        <v>559</v>
      </c>
      <c r="C2105" s="71" t="str">
        <f t="shared" si="42"/>
        <v>Product Info</v>
      </c>
      <c r="D2105" s="37" t="s">
        <v>560</v>
      </c>
      <c r="E2105" s="143">
        <v>1</v>
      </c>
      <c r="F2105" s="12" t="s">
        <v>4992</v>
      </c>
      <c r="G2105" s="38">
        <v>400.99</v>
      </c>
      <c r="H2105" s="38">
        <v>340.85</v>
      </c>
      <c r="I2105" s="38">
        <v>280.69</v>
      </c>
      <c r="J2105" s="39"/>
      <c r="K2105" s="143"/>
      <c r="L2105" s="22">
        <v>0</v>
      </c>
      <c r="M2105" s="22">
        <v>0</v>
      </c>
      <c r="N2105" s="20" t="s">
        <v>14489</v>
      </c>
      <c r="O2105" s="16">
        <v>0</v>
      </c>
      <c r="P2105" s="143">
        <v>758</v>
      </c>
      <c r="Q2105" s="121" t="s">
        <v>14285</v>
      </c>
      <c r="R2105" s="16" t="s">
        <v>9235</v>
      </c>
      <c r="S2105" s="10" t="s">
        <v>1163</v>
      </c>
      <c r="T2105" s="28" t="s">
        <v>11135</v>
      </c>
      <c r="U2105" s="20" t="s">
        <v>5359</v>
      </c>
      <c r="V2105" s="16" t="s">
        <v>558</v>
      </c>
      <c r="W2105" s="11" t="s">
        <v>14433</v>
      </c>
      <c r="X2105" s="174">
        <v>266.79000000000002</v>
      </c>
      <c r="Y2105" s="174">
        <v>340.85</v>
      </c>
    </row>
    <row r="2106" spans="1:25" ht="15" customHeight="1" x14ac:dyDescent="0.25">
      <c r="A2106" s="20" t="s">
        <v>6870</v>
      </c>
      <c r="B2106" s="14" t="s">
        <v>6871</v>
      </c>
      <c r="C2106" s="71" t="str">
        <f t="shared" si="42"/>
        <v>Product Info</v>
      </c>
      <c r="D2106" s="37" t="s">
        <v>3870</v>
      </c>
      <c r="E2106" s="143">
        <v>1</v>
      </c>
      <c r="F2106" s="12" t="s">
        <v>4992</v>
      </c>
      <c r="G2106" s="38">
        <v>426.79</v>
      </c>
      <c r="H2106" s="38">
        <v>362.78</v>
      </c>
      <c r="I2106" s="38">
        <v>298.75</v>
      </c>
      <c r="J2106" s="39"/>
      <c r="K2106" s="143"/>
      <c r="L2106" s="22">
        <v>0</v>
      </c>
      <c r="M2106" s="22">
        <v>0</v>
      </c>
      <c r="N2106" s="20" t="s">
        <v>14489</v>
      </c>
      <c r="O2106" s="16">
        <v>0</v>
      </c>
      <c r="P2106" s="143">
        <v>758</v>
      </c>
      <c r="Q2106" s="121" t="s">
        <v>14285</v>
      </c>
      <c r="R2106" s="16" t="s">
        <v>9235</v>
      </c>
      <c r="S2106" s="10" t="s">
        <v>1163</v>
      </c>
      <c r="T2106" s="28" t="s">
        <v>11136</v>
      </c>
      <c r="U2106" s="20" t="s">
        <v>5359</v>
      </c>
      <c r="V2106" s="16" t="s">
        <v>6870</v>
      </c>
      <c r="W2106" s="11" t="s">
        <v>14433</v>
      </c>
      <c r="X2106" s="174">
        <v>283.95999999999998</v>
      </c>
      <c r="Y2106" s="174">
        <v>362.78</v>
      </c>
    </row>
    <row r="2107" spans="1:25" ht="15" customHeight="1" x14ac:dyDescent="0.25">
      <c r="A2107" s="20" t="s">
        <v>561</v>
      </c>
      <c r="B2107" s="14" t="s">
        <v>562</v>
      </c>
      <c r="C2107" s="71" t="str">
        <f t="shared" si="42"/>
        <v>Product Info</v>
      </c>
      <c r="D2107" s="37" t="s">
        <v>563</v>
      </c>
      <c r="E2107" s="143">
        <v>1</v>
      </c>
      <c r="F2107" s="12" t="s">
        <v>4992</v>
      </c>
      <c r="G2107" s="38">
        <v>447.7</v>
      </c>
      <c r="H2107" s="38">
        <v>380.56</v>
      </c>
      <c r="I2107" s="38">
        <v>313.39</v>
      </c>
      <c r="J2107" s="39"/>
      <c r="K2107" s="143"/>
      <c r="L2107" s="22">
        <v>0</v>
      </c>
      <c r="M2107" s="22">
        <v>0</v>
      </c>
      <c r="N2107" s="20" t="s">
        <v>14489</v>
      </c>
      <c r="O2107" s="16">
        <v>0</v>
      </c>
      <c r="P2107" s="143">
        <v>758</v>
      </c>
      <c r="Q2107" s="121" t="s">
        <v>14285</v>
      </c>
      <c r="R2107" s="16" t="s">
        <v>9235</v>
      </c>
      <c r="S2107" s="10" t="s">
        <v>1163</v>
      </c>
      <c r="T2107" s="28" t="s">
        <v>11137</v>
      </c>
      <c r="U2107" s="20" t="s">
        <v>5359</v>
      </c>
      <c r="V2107" s="16" t="s">
        <v>561</v>
      </c>
      <c r="W2107" s="11" t="s">
        <v>14433</v>
      </c>
      <c r="X2107" s="174">
        <v>297.88</v>
      </c>
      <c r="Y2107" s="174">
        <v>380.56</v>
      </c>
    </row>
    <row r="2108" spans="1:25" ht="15" customHeight="1" x14ac:dyDescent="0.25">
      <c r="A2108" s="20" t="s">
        <v>6872</v>
      </c>
      <c r="B2108" s="14" t="s">
        <v>6873</v>
      </c>
      <c r="C2108" s="71" t="str">
        <f t="shared" si="42"/>
        <v>Product Info</v>
      </c>
      <c r="D2108" s="37" t="s">
        <v>3871</v>
      </c>
      <c r="E2108" s="143">
        <v>1</v>
      </c>
      <c r="F2108" s="12" t="s">
        <v>4992</v>
      </c>
      <c r="G2108" s="38">
        <v>426.79</v>
      </c>
      <c r="H2108" s="38">
        <v>362.78</v>
      </c>
      <c r="I2108" s="38">
        <v>298.75</v>
      </c>
      <c r="J2108" s="39"/>
      <c r="K2108" s="143"/>
      <c r="L2108" s="22">
        <v>0</v>
      </c>
      <c r="M2108" s="22">
        <v>0</v>
      </c>
      <c r="N2108" s="20" t="s">
        <v>14489</v>
      </c>
      <c r="O2108" s="16">
        <v>0</v>
      </c>
      <c r="P2108" s="143">
        <v>758</v>
      </c>
      <c r="Q2108" s="121" t="s">
        <v>14285</v>
      </c>
      <c r="R2108" s="16" t="s">
        <v>9235</v>
      </c>
      <c r="S2108" s="10" t="s">
        <v>1163</v>
      </c>
      <c r="T2108" s="28" t="s">
        <v>11138</v>
      </c>
      <c r="U2108" s="20" t="s">
        <v>5359</v>
      </c>
      <c r="V2108" s="16" t="s">
        <v>6872</v>
      </c>
      <c r="W2108" s="11" t="s">
        <v>14433</v>
      </c>
      <c r="X2108" s="174">
        <v>283.95999999999998</v>
      </c>
      <c r="Y2108" s="174">
        <v>362.78</v>
      </c>
    </row>
    <row r="2109" spans="1:25" ht="15" customHeight="1" x14ac:dyDescent="0.25">
      <c r="A2109" s="20" t="s">
        <v>564</v>
      </c>
      <c r="B2109" s="14" t="s">
        <v>565</v>
      </c>
      <c r="C2109" s="71" t="str">
        <f t="shared" si="42"/>
        <v>Product Info</v>
      </c>
      <c r="D2109" s="37" t="s">
        <v>566</v>
      </c>
      <c r="E2109" s="143">
        <v>1</v>
      </c>
      <c r="F2109" s="12" t="s">
        <v>4992</v>
      </c>
      <c r="G2109" s="38">
        <v>447.7</v>
      </c>
      <c r="H2109" s="38">
        <v>380.56</v>
      </c>
      <c r="I2109" s="38">
        <v>313.39</v>
      </c>
      <c r="J2109" s="39"/>
      <c r="K2109" s="143"/>
      <c r="L2109" s="22">
        <v>0</v>
      </c>
      <c r="M2109" s="22">
        <v>0</v>
      </c>
      <c r="N2109" s="20" t="s">
        <v>14489</v>
      </c>
      <c r="O2109" s="16">
        <v>0</v>
      </c>
      <c r="P2109" s="143">
        <v>758</v>
      </c>
      <c r="Q2109" s="121" t="s">
        <v>14285</v>
      </c>
      <c r="R2109" s="16" t="s">
        <v>9235</v>
      </c>
      <c r="S2109" s="10" t="s">
        <v>1163</v>
      </c>
      <c r="T2109" s="28" t="s">
        <v>11139</v>
      </c>
      <c r="U2109" s="20" t="s">
        <v>5359</v>
      </c>
      <c r="V2109" s="16" t="s">
        <v>564</v>
      </c>
      <c r="W2109" s="11" t="s">
        <v>14433</v>
      </c>
      <c r="X2109" s="174">
        <v>297.88</v>
      </c>
      <c r="Y2109" s="174">
        <v>380.56</v>
      </c>
    </row>
    <row r="2110" spans="1:25" ht="15" customHeight="1" x14ac:dyDescent="0.25">
      <c r="A2110" s="20" t="s">
        <v>6874</v>
      </c>
      <c r="B2110" s="14" t="s">
        <v>6875</v>
      </c>
      <c r="C2110" s="71" t="str">
        <f t="shared" si="42"/>
        <v>Product Info</v>
      </c>
      <c r="D2110" s="37" t="s">
        <v>3872</v>
      </c>
      <c r="E2110" s="143">
        <v>1</v>
      </c>
      <c r="F2110" s="12" t="s">
        <v>4992</v>
      </c>
      <c r="G2110" s="38">
        <v>426.79</v>
      </c>
      <c r="H2110" s="38">
        <v>362.78</v>
      </c>
      <c r="I2110" s="38">
        <v>298.75</v>
      </c>
      <c r="J2110" s="39"/>
      <c r="K2110" s="143"/>
      <c r="L2110" s="22">
        <v>0</v>
      </c>
      <c r="M2110" s="22">
        <v>0</v>
      </c>
      <c r="N2110" s="20" t="s">
        <v>14489</v>
      </c>
      <c r="O2110" s="16">
        <v>0</v>
      </c>
      <c r="P2110" s="143">
        <v>758</v>
      </c>
      <c r="Q2110" s="121" t="s">
        <v>14285</v>
      </c>
      <c r="R2110" s="16" t="s">
        <v>9235</v>
      </c>
      <c r="S2110" s="10" t="s">
        <v>1163</v>
      </c>
      <c r="T2110" s="28" t="s">
        <v>11140</v>
      </c>
      <c r="U2110" s="20" t="s">
        <v>5359</v>
      </c>
      <c r="V2110" s="16" t="s">
        <v>6874</v>
      </c>
      <c r="W2110" s="11" t="s">
        <v>14433</v>
      </c>
      <c r="X2110" s="174">
        <v>283.95999999999998</v>
      </c>
      <c r="Y2110" s="174">
        <v>362.78</v>
      </c>
    </row>
    <row r="2111" spans="1:25" ht="15" customHeight="1" x14ac:dyDescent="0.25">
      <c r="A2111" s="20" t="s">
        <v>567</v>
      </c>
      <c r="B2111" s="14" t="s">
        <v>568</v>
      </c>
      <c r="C2111" s="71" t="str">
        <f t="shared" si="42"/>
        <v>Product Info</v>
      </c>
      <c r="D2111" s="37" t="s">
        <v>569</v>
      </c>
      <c r="E2111" s="143">
        <v>1</v>
      </c>
      <c r="F2111" s="12" t="s">
        <v>4992</v>
      </c>
      <c r="G2111" s="38">
        <v>447.7</v>
      </c>
      <c r="H2111" s="38">
        <v>380.56</v>
      </c>
      <c r="I2111" s="38">
        <v>313.39</v>
      </c>
      <c r="J2111" s="39"/>
      <c r="K2111" s="143"/>
      <c r="L2111" s="22">
        <v>0</v>
      </c>
      <c r="M2111" s="22">
        <v>0</v>
      </c>
      <c r="N2111" s="20" t="s">
        <v>14489</v>
      </c>
      <c r="O2111" s="16">
        <v>0</v>
      </c>
      <c r="P2111" s="143">
        <v>758</v>
      </c>
      <c r="Q2111" s="121" t="s">
        <v>14285</v>
      </c>
      <c r="R2111" s="16" t="s">
        <v>9235</v>
      </c>
      <c r="S2111" s="10" t="s">
        <v>1163</v>
      </c>
      <c r="T2111" s="28" t="s">
        <v>11141</v>
      </c>
      <c r="U2111" s="20" t="s">
        <v>5359</v>
      </c>
      <c r="V2111" s="16" t="s">
        <v>567</v>
      </c>
      <c r="W2111" s="11" t="s">
        <v>14433</v>
      </c>
      <c r="X2111" s="174">
        <v>297.88</v>
      </c>
      <c r="Y2111" s="174">
        <v>380.56</v>
      </c>
    </row>
    <row r="2112" spans="1:25" ht="15" customHeight="1" x14ac:dyDescent="0.25">
      <c r="A2112" s="20" t="s">
        <v>6879</v>
      </c>
      <c r="B2112" s="14" t="s">
        <v>6880</v>
      </c>
      <c r="C2112" s="71" t="str">
        <f t="shared" si="42"/>
        <v>Product Info</v>
      </c>
      <c r="D2112" s="37" t="s">
        <v>3876</v>
      </c>
      <c r="E2112" s="143">
        <v>1</v>
      </c>
      <c r="F2112" s="12" t="s">
        <v>4992</v>
      </c>
      <c r="G2112" s="38">
        <v>380.04</v>
      </c>
      <c r="H2112" s="38">
        <v>323.05</v>
      </c>
      <c r="I2112" s="38">
        <v>266.02999999999997</v>
      </c>
      <c r="J2112" s="39"/>
      <c r="K2112" s="143"/>
      <c r="L2112" s="22">
        <v>9</v>
      </c>
      <c r="M2112" s="22" t="s">
        <v>14396</v>
      </c>
      <c r="N2112" s="20" t="s">
        <v>8878</v>
      </c>
      <c r="O2112" s="16" t="s">
        <v>13914</v>
      </c>
      <c r="P2112" s="143">
        <v>758</v>
      </c>
      <c r="Q2112" s="121" t="s">
        <v>14285</v>
      </c>
      <c r="R2112" s="16" t="s">
        <v>9235</v>
      </c>
      <c r="S2112" s="10" t="s">
        <v>1163</v>
      </c>
      <c r="T2112" s="28" t="s">
        <v>11142</v>
      </c>
      <c r="U2112" s="20" t="s">
        <v>5359</v>
      </c>
      <c r="V2112" s="16" t="s">
        <v>6879</v>
      </c>
      <c r="W2112" s="11" t="s">
        <v>14433</v>
      </c>
      <c r="X2112" s="174">
        <v>252.86</v>
      </c>
      <c r="Y2112" s="174">
        <v>323.05</v>
      </c>
    </row>
    <row r="2113" spans="1:25" ht="15" customHeight="1" x14ac:dyDescent="0.25">
      <c r="A2113" s="20" t="s">
        <v>570</v>
      </c>
      <c r="B2113" s="14" t="s">
        <v>571</v>
      </c>
      <c r="C2113" s="71" t="str">
        <f t="shared" si="42"/>
        <v>Product Info</v>
      </c>
      <c r="D2113" s="37" t="s">
        <v>572</v>
      </c>
      <c r="E2113" s="143">
        <v>1</v>
      </c>
      <c r="F2113" s="12" t="s">
        <v>4992</v>
      </c>
      <c r="G2113" s="38">
        <v>400.99</v>
      </c>
      <c r="H2113" s="38">
        <v>340.85</v>
      </c>
      <c r="I2113" s="38">
        <v>280.69</v>
      </c>
      <c r="J2113" s="39"/>
      <c r="K2113" s="143"/>
      <c r="L2113" s="22">
        <v>0</v>
      </c>
      <c r="M2113" s="22">
        <v>0</v>
      </c>
      <c r="N2113" s="20" t="s">
        <v>14489</v>
      </c>
      <c r="O2113" s="16">
        <v>0</v>
      </c>
      <c r="P2113" s="143">
        <v>758</v>
      </c>
      <c r="Q2113" s="121" t="s">
        <v>14285</v>
      </c>
      <c r="R2113" s="16" t="s">
        <v>9235</v>
      </c>
      <c r="S2113" s="10" t="s">
        <v>1163</v>
      </c>
      <c r="T2113" s="28" t="s">
        <v>11143</v>
      </c>
      <c r="U2113" s="20" t="s">
        <v>5359</v>
      </c>
      <c r="V2113" s="16" t="s">
        <v>570</v>
      </c>
      <c r="W2113" s="11" t="s">
        <v>14433</v>
      </c>
      <c r="X2113" s="174">
        <v>266.79000000000002</v>
      </c>
      <c r="Y2113" s="174">
        <v>340.85</v>
      </c>
    </row>
    <row r="2114" spans="1:25" ht="15" customHeight="1" x14ac:dyDescent="0.25">
      <c r="A2114" s="20" t="s">
        <v>3812</v>
      </c>
      <c r="B2114" s="14" t="s">
        <v>5976</v>
      </c>
      <c r="C2114" s="71" t="str">
        <f t="shared" si="42"/>
        <v>Product Info</v>
      </c>
      <c r="D2114" s="37" t="s">
        <v>3828</v>
      </c>
      <c r="E2114" s="143">
        <v>1</v>
      </c>
      <c r="F2114" s="12" t="s">
        <v>4992</v>
      </c>
      <c r="G2114" s="38">
        <v>363.51</v>
      </c>
      <c r="H2114" s="38">
        <v>309</v>
      </c>
      <c r="I2114" s="38">
        <v>254.46</v>
      </c>
      <c r="J2114" s="39"/>
      <c r="K2114" s="143"/>
      <c r="L2114" s="22">
        <v>0</v>
      </c>
      <c r="M2114" s="22">
        <v>0</v>
      </c>
      <c r="N2114" s="20" t="s">
        <v>14489</v>
      </c>
      <c r="O2114" s="16">
        <v>0</v>
      </c>
      <c r="P2114" s="143">
        <v>758</v>
      </c>
      <c r="Q2114" s="121" t="s">
        <v>14285</v>
      </c>
      <c r="R2114" s="16" t="s">
        <v>9235</v>
      </c>
      <c r="S2114" s="10" t="s">
        <v>1163</v>
      </c>
      <c r="T2114" s="28" t="s">
        <v>11144</v>
      </c>
      <c r="U2114" s="20" t="s">
        <v>5359</v>
      </c>
      <c r="V2114" s="16" t="s">
        <v>3812</v>
      </c>
      <c r="W2114" s="11" t="s">
        <v>14433</v>
      </c>
      <c r="X2114" s="174">
        <v>241.86</v>
      </c>
      <c r="Y2114" s="174">
        <v>309</v>
      </c>
    </row>
    <row r="2115" spans="1:25" ht="15" customHeight="1" x14ac:dyDescent="0.25">
      <c r="A2115" s="20" t="s">
        <v>3813</v>
      </c>
      <c r="B2115" s="14" t="s">
        <v>5977</v>
      </c>
      <c r="C2115" s="71" t="str">
        <f t="shared" si="42"/>
        <v>Product Info</v>
      </c>
      <c r="D2115" s="37" t="s">
        <v>3829</v>
      </c>
      <c r="E2115" s="143">
        <v>1</v>
      </c>
      <c r="F2115" s="12" t="s">
        <v>4992</v>
      </c>
      <c r="G2115" s="38">
        <v>686.44</v>
      </c>
      <c r="H2115" s="38">
        <v>583.5</v>
      </c>
      <c r="I2115" s="38">
        <v>480.51</v>
      </c>
      <c r="J2115" s="39"/>
      <c r="K2115" s="143"/>
      <c r="L2115" s="22">
        <v>0</v>
      </c>
      <c r="M2115" s="22">
        <v>0</v>
      </c>
      <c r="N2115" s="20" t="s">
        <v>14489</v>
      </c>
      <c r="O2115" s="16">
        <v>0</v>
      </c>
      <c r="P2115" s="143">
        <v>758</v>
      </c>
      <c r="Q2115" s="121" t="s">
        <v>14285</v>
      </c>
      <c r="R2115" s="16" t="s">
        <v>9235</v>
      </c>
      <c r="S2115" s="10" t="s">
        <v>1163</v>
      </c>
      <c r="T2115" s="28" t="s">
        <v>11145</v>
      </c>
      <c r="U2115" s="20" t="s">
        <v>5359</v>
      </c>
      <c r="V2115" s="16" t="s">
        <v>3813</v>
      </c>
      <c r="W2115" s="11" t="s">
        <v>14433</v>
      </c>
      <c r="X2115" s="174">
        <v>456.72</v>
      </c>
      <c r="Y2115" s="174">
        <v>583.5</v>
      </c>
    </row>
    <row r="2116" spans="1:25" ht="15" customHeight="1" x14ac:dyDescent="0.25">
      <c r="A2116" s="20" t="s">
        <v>3814</v>
      </c>
      <c r="B2116" s="14" t="s">
        <v>5978</v>
      </c>
      <c r="C2116" s="71" t="str">
        <f t="shared" si="42"/>
        <v>Product Info</v>
      </c>
      <c r="D2116" s="37" t="s">
        <v>3830</v>
      </c>
      <c r="E2116" s="143">
        <v>1</v>
      </c>
      <c r="F2116" s="12" t="s">
        <v>4992</v>
      </c>
      <c r="G2116" s="38">
        <v>1009.37</v>
      </c>
      <c r="H2116" s="38">
        <v>858</v>
      </c>
      <c r="I2116" s="38">
        <v>706.56</v>
      </c>
      <c r="J2116" s="39"/>
      <c r="K2116" s="143"/>
      <c r="L2116" s="22">
        <v>0</v>
      </c>
      <c r="M2116" s="22">
        <v>0</v>
      </c>
      <c r="N2116" s="20" t="s">
        <v>14489</v>
      </c>
      <c r="O2116" s="16">
        <v>0</v>
      </c>
      <c r="P2116" s="143">
        <v>758</v>
      </c>
      <c r="Q2116" s="121" t="s">
        <v>14285</v>
      </c>
      <c r="R2116" s="16" t="s">
        <v>9235</v>
      </c>
      <c r="S2116" s="10" t="s">
        <v>1163</v>
      </c>
      <c r="T2116" s="28" t="s">
        <v>11146</v>
      </c>
      <c r="U2116" s="20" t="s">
        <v>5359</v>
      </c>
      <c r="V2116" s="16" t="s">
        <v>3814</v>
      </c>
      <c r="W2116" s="11" t="s">
        <v>14433</v>
      </c>
      <c r="X2116" s="174">
        <v>671.58</v>
      </c>
      <c r="Y2116" s="174">
        <v>858</v>
      </c>
    </row>
    <row r="2117" spans="1:25" ht="15" customHeight="1" x14ac:dyDescent="0.25">
      <c r="A2117" s="20" t="s">
        <v>3815</v>
      </c>
      <c r="B2117" s="14" t="s">
        <v>5979</v>
      </c>
      <c r="C2117" s="71" t="str">
        <f t="shared" si="42"/>
        <v>Product Info</v>
      </c>
      <c r="D2117" s="37" t="s">
        <v>3831</v>
      </c>
      <c r="E2117" s="143">
        <v>1</v>
      </c>
      <c r="F2117" s="12" t="s">
        <v>4992</v>
      </c>
      <c r="G2117" s="38">
        <v>1332.29</v>
      </c>
      <c r="H2117" s="38">
        <v>1132.48</v>
      </c>
      <c r="I2117" s="38">
        <v>932.6</v>
      </c>
      <c r="J2117" s="39"/>
      <c r="K2117" s="143"/>
      <c r="L2117" s="22">
        <v>0</v>
      </c>
      <c r="M2117" s="22">
        <v>0</v>
      </c>
      <c r="N2117" s="20" t="s">
        <v>14489</v>
      </c>
      <c r="O2117" s="16">
        <v>0</v>
      </c>
      <c r="P2117" s="143">
        <v>758</v>
      </c>
      <c r="Q2117" s="121" t="s">
        <v>14285</v>
      </c>
      <c r="R2117" s="16" t="s">
        <v>9235</v>
      </c>
      <c r="S2117" s="10" t="s">
        <v>1163</v>
      </c>
      <c r="T2117" s="28" t="s">
        <v>11147</v>
      </c>
      <c r="U2117" s="20" t="s">
        <v>5359</v>
      </c>
      <c r="V2117" s="16" t="s">
        <v>3815</v>
      </c>
      <c r="W2117" s="11" t="s">
        <v>14433</v>
      </c>
      <c r="X2117" s="174">
        <v>886.44</v>
      </c>
      <c r="Y2117" s="174">
        <v>1132.48</v>
      </c>
    </row>
    <row r="2118" spans="1:25" ht="15" customHeight="1" x14ac:dyDescent="0.25">
      <c r="A2118" s="20" t="s">
        <v>573</v>
      </c>
      <c r="B2118" s="14" t="s">
        <v>574</v>
      </c>
      <c r="C2118" s="71" t="str">
        <f t="shared" ref="C2118:C2181" si="43">HYPERLINK(T2118,U2118)</f>
        <v>Product Info</v>
      </c>
      <c r="D2118" s="37" t="s">
        <v>575</v>
      </c>
      <c r="E2118" s="143">
        <v>1</v>
      </c>
      <c r="F2118" s="12" t="s">
        <v>4992</v>
      </c>
      <c r="G2118" s="38">
        <v>400.99</v>
      </c>
      <c r="H2118" s="38">
        <v>340.85</v>
      </c>
      <c r="I2118" s="38">
        <v>280.69</v>
      </c>
      <c r="J2118" s="39"/>
      <c r="K2118" s="143"/>
      <c r="L2118" s="22">
        <v>0</v>
      </c>
      <c r="M2118" s="22">
        <v>0</v>
      </c>
      <c r="N2118" s="20" t="s">
        <v>14489</v>
      </c>
      <c r="O2118" s="16">
        <v>0</v>
      </c>
      <c r="P2118" s="143">
        <v>758</v>
      </c>
      <c r="Q2118" s="122" t="s">
        <v>12421</v>
      </c>
      <c r="R2118" s="16" t="s">
        <v>9235</v>
      </c>
      <c r="S2118" s="10" t="s">
        <v>1163</v>
      </c>
      <c r="T2118" s="28" t="s">
        <v>11148</v>
      </c>
      <c r="U2118" s="20" t="s">
        <v>5359</v>
      </c>
      <c r="V2118" s="16" t="s">
        <v>573</v>
      </c>
      <c r="W2118" s="11" t="s">
        <v>14433</v>
      </c>
      <c r="X2118" s="174">
        <v>266.79000000000002</v>
      </c>
      <c r="Y2118" s="174">
        <v>340.85</v>
      </c>
    </row>
    <row r="2119" spans="1:25" ht="15" customHeight="1" x14ac:dyDescent="0.25">
      <c r="A2119" s="20" t="s">
        <v>6881</v>
      </c>
      <c r="B2119" s="14" t="s">
        <v>6882</v>
      </c>
      <c r="C2119" s="71" t="str">
        <f t="shared" si="43"/>
        <v>Product Info</v>
      </c>
      <c r="D2119" s="37" t="s">
        <v>3877</v>
      </c>
      <c r="E2119" s="143">
        <v>1</v>
      </c>
      <c r="F2119" s="12" t="s">
        <v>4992</v>
      </c>
      <c r="G2119" s="38">
        <v>380.04</v>
      </c>
      <c r="H2119" s="38">
        <v>323.05</v>
      </c>
      <c r="I2119" s="38">
        <v>266.02999999999997</v>
      </c>
      <c r="J2119" s="39"/>
      <c r="K2119" s="143"/>
      <c r="L2119" s="22">
        <v>0</v>
      </c>
      <c r="M2119" s="22">
        <v>0</v>
      </c>
      <c r="N2119" s="20" t="s">
        <v>14489</v>
      </c>
      <c r="O2119" s="16">
        <v>0</v>
      </c>
      <c r="P2119" s="143">
        <v>758</v>
      </c>
      <c r="Q2119" s="121" t="s">
        <v>14285</v>
      </c>
      <c r="R2119" s="16" t="s">
        <v>9235</v>
      </c>
      <c r="S2119" s="10" t="s">
        <v>1163</v>
      </c>
      <c r="T2119" s="28" t="s">
        <v>11149</v>
      </c>
      <c r="U2119" s="20" t="s">
        <v>5359</v>
      </c>
      <c r="V2119" s="16" t="s">
        <v>6881</v>
      </c>
      <c r="W2119" s="11" t="s">
        <v>14433</v>
      </c>
      <c r="X2119" s="174">
        <v>252.86</v>
      </c>
      <c r="Y2119" s="174">
        <v>323.05</v>
      </c>
    </row>
    <row r="2120" spans="1:25" ht="15" customHeight="1" x14ac:dyDescent="0.25">
      <c r="A2120" s="20" t="s">
        <v>576</v>
      </c>
      <c r="B2120" s="14" t="s">
        <v>577</v>
      </c>
      <c r="C2120" s="71" t="str">
        <f t="shared" si="43"/>
        <v>Product Info</v>
      </c>
      <c r="D2120" s="37" t="s">
        <v>578</v>
      </c>
      <c r="E2120" s="143">
        <v>1</v>
      </c>
      <c r="F2120" s="12" t="s">
        <v>4992</v>
      </c>
      <c r="G2120" s="38">
        <v>400.99</v>
      </c>
      <c r="H2120" s="38">
        <v>340.85</v>
      </c>
      <c r="I2120" s="38">
        <v>280.69</v>
      </c>
      <c r="J2120" s="39"/>
      <c r="K2120" s="143"/>
      <c r="L2120" s="22">
        <v>0</v>
      </c>
      <c r="M2120" s="22">
        <v>0</v>
      </c>
      <c r="N2120" s="20" t="s">
        <v>14489</v>
      </c>
      <c r="O2120" s="16">
        <v>0</v>
      </c>
      <c r="P2120" s="143">
        <v>758</v>
      </c>
      <c r="Q2120" s="121" t="s">
        <v>14285</v>
      </c>
      <c r="R2120" s="16" t="s">
        <v>9235</v>
      </c>
      <c r="S2120" s="10" t="s">
        <v>1163</v>
      </c>
      <c r="T2120" s="28" t="s">
        <v>11150</v>
      </c>
      <c r="U2120" s="20" t="s">
        <v>5359</v>
      </c>
      <c r="V2120" s="16" t="s">
        <v>576</v>
      </c>
      <c r="W2120" s="11" t="s">
        <v>14433</v>
      </c>
      <c r="X2120" s="174">
        <v>266.79000000000002</v>
      </c>
      <c r="Y2120" s="174">
        <v>340.85</v>
      </c>
    </row>
    <row r="2121" spans="1:25" ht="15" customHeight="1" x14ac:dyDescent="0.25">
      <c r="A2121" s="20" t="s">
        <v>6883</v>
      </c>
      <c r="B2121" s="14" t="s">
        <v>6884</v>
      </c>
      <c r="C2121" s="71" t="str">
        <f t="shared" si="43"/>
        <v>Product Info</v>
      </c>
      <c r="D2121" s="37" t="s">
        <v>3878</v>
      </c>
      <c r="E2121" s="143">
        <v>1</v>
      </c>
      <c r="F2121" s="12" t="s">
        <v>4992</v>
      </c>
      <c r="G2121" s="38">
        <v>426.79</v>
      </c>
      <c r="H2121" s="38">
        <v>362.78</v>
      </c>
      <c r="I2121" s="38">
        <v>298.75</v>
      </c>
      <c r="J2121" s="39"/>
      <c r="K2121" s="143"/>
      <c r="L2121" s="22">
        <v>0</v>
      </c>
      <c r="M2121" s="22">
        <v>0</v>
      </c>
      <c r="N2121" s="20" t="s">
        <v>14489</v>
      </c>
      <c r="O2121" s="16">
        <v>0</v>
      </c>
      <c r="P2121" s="143">
        <v>758</v>
      </c>
      <c r="Q2121" s="121" t="s">
        <v>14285</v>
      </c>
      <c r="R2121" s="16" t="s">
        <v>9235</v>
      </c>
      <c r="S2121" s="10" t="s">
        <v>1163</v>
      </c>
      <c r="T2121" s="28" t="s">
        <v>11151</v>
      </c>
      <c r="U2121" s="20" t="s">
        <v>5359</v>
      </c>
      <c r="V2121" s="16" t="s">
        <v>6883</v>
      </c>
      <c r="W2121" s="11" t="s">
        <v>14433</v>
      </c>
      <c r="X2121" s="174">
        <v>283.95999999999998</v>
      </c>
      <c r="Y2121" s="174">
        <v>362.78</v>
      </c>
    </row>
    <row r="2122" spans="1:25" ht="15" customHeight="1" x14ac:dyDescent="0.25">
      <c r="A2122" s="20" t="s">
        <v>579</v>
      </c>
      <c r="B2122" s="14" t="s">
        <v>580</v>
      </c>
      <c r="C2122" s="71" t="str">
        <f t="shared" si="43"/>
        <v>Product Info</v>
      </c>
      <c r="D2122" s="37" t="s">
        <v>581</v>
      </c>
      <c r="E2122" s="143">
        <v>1</v>
      </c>
      <c r="F2122" s="12" t="s">
        <v>4992</v>
      </c>
      <c r="G2122" s="38">
        <v>447.7</v>
      </c>
      <c r="H2122" s="38">
        <v>380.56</v>
      </c>
      <c r="I2122" s="38">
        <v>313.39</v>
      </c>
      <c r="J2122" s="39"/>
      <c r="K2122" s="143"/>
      <c r="L2122" s="22">
        <v>0</v>
      </c>
      <c r="M2122" s="22">
        <v>0</v>
      </c>
      <c r="N2122" s="20" t="s">
        <v>14489</v>
      </c>
      <c r="O2122" s="16">
        <v>0</v>
      </c>
      <c r="P2122" s="143">
        <v>758</v>
      </c>
      <c r="Q2122" s="122" t="s">
        <v>12421</v>
      </c>
      <c r="R2122" s="16" t="s">
        <v>9235</v>
      </c>
      <c r="S2122" s="10" t="s">
        <v>1163</v>
      </c>
      <c r="T2122" s="28" t="s">
        <v>11152</v>
      </c>
      <c r="U2122" s="20" t="s">
        <v>5359</v>
      </c>
      <c r="V2122" s="16" t="s">
        <v>579</v>
      </c>
      <c r="W2122" s="11" t="s">
        <v>14433</v>
      </c>
      <c r="X2122" s="174">
        <v>297.88</v>
      </c>
      <c r="Y2122" s="174">
        <v>380.56</v>
      </c>
    </row>
    <row r="2123" spans="1:25" ht="15" customHeight="1" x14ac:dyDescent="0.25">
      <c r="A2123" s="20" t="s">
        <v>6885</v>
      </c>
      <c r="B2123" s="14" t="s">
        <v>6886</v>
      </c>
      <c r="C2123" s="71" t="str">
        <f t="shared" si="43"/>
        <v>Product Info</v>
      </c>
      <c r="D2123" s="37" t="s">
        <v>3879</v>
      </c>
      <c r="E2123" s="143">
        <v>1</v>
      </c>
      <c r="F2123" s="12" t="s">
        <v>4992</v>
      </c>
      <c r="G2123" s="38">
        <v>426.79</v>
      </c>
      <c r="H2123" s="38">
        <v>362.78</v>
      </c>
      <c r="I2123" s="38">
        <v>298.75</v>
      </c>
      <c r="J2123" s="39"/>
      <c r="K2123" s="143"/>
      <c r="L2123" s="22">
        <v>0</v>
      </c>
      <c r="M2123" s="22">
        <v>0</v>
      </c>
      <c r="N2123" s="20" t="s">
        <v>14489</v>
      </c>
      <c r="O2123" s="16">
        <v>0</v>
      </c>
      <c r="P2123" s="143">
        <v>758</v>
      </c>
      <c r="Q2123" s="121" t="s">
        <v>14285</v>
      </c>
      <c r="R2123" s="16" t="s">
        <v>9235</v>
      </c>
      <c r="S2123" s="10" t="s">
        <v>1163</v>
      </c>
      <c r="T2123" s="28" t="s">
        <v>11153</v>
      </c>
      <c r="U2123" s="20" t="s">
        <v>5359</v>
      </c>
      <c r="V2123" s="16" t="s">
        <v>6885</v>
      </c>
      <c r="W2123" s="11" t="s">
        <v>14433</v>
      </c>
      <c r="X2123" s="174">
        <v>283.95999999999998</v>
      </c>
      <c r="Y2123" s="174">
        <v>362.78</v>
      </c>
    </row>
    <row r="2124" spans="1:25" ht="15" customHeight="1" x14ac:dyDescent="0.25">
      <c r="A2124" s="20" t="s">
        <v>582</v>
      </c>
      <c r="B2124" s="14" t="s">
        <v>583</v>
      </c>
      <c r="C2124" s="71" t="str">
        <f t="shared" si="43"/>
        <v>Product Info</v>
      </c>
      <c r="D2124" s="37" t="s">
        <v>584</v>
      </c>
      <c r="E2124" s="143">
        <v>1</v>
      </c>
      <c r="F2124" s="12" t="s">
        <v>4992</v>
      </c>
      <c r="G2124" s="38">
        <v>447.7</v>
      </c>
      <c r="H2124" s="38">
        <v>380.56</v>
      </c>
      <c r="I2124" s="38">
        <v>313.39</v>
      </c>
      <c r="J2124" s="39"/>
      <c r="K2124" s="143"/>
      <c r="L2124" s="22">
        <v>0</v>
      </c>
      <c r="M2124" s="22">
        <v>0</v>
      </c>
      <c r="N2124" s="20" t="s">
        <v>14489</v>
      </c>
      <c r="O2124" s="16">
        <v>0</v>
      </c>
      <c r="P2124" s="143">
        <v>758</v>
      </c>
      <c r="Q2124" s="122" t="s">
        <v>12421</v>
      </c>
      <c r="R2124" s="16" t="s">
        <v>9235</v>
      </c>
      <c r="S2124" s="10" t="s">
        <v>1163</v>
      </c>
      <c r="T2124" s="28" t="s">
        <v>11154</v>
      </c>
      <c r="U2124" s="20" t="s">
        <v>5359</v>
      </c>
      <c r="V2124" s="16" t="s">
        <v>582</v>
      </c>
      <c r="W2124" s="11" t="s">
        <v>14433</v>
      </c>
      <c r="X2124" s="174">
        <v>297.88</v>
      </c>
      <c r="Y2124" s="174">
        <v>380.56</v>
      </c>
    </row>
    <row r="2125" spans="1:25" ht="15" customHeight="1" x14ac:dyDescent="0.25">
      <c r="A2125" s="20" t="s">
        <v>6889</v>
      </c>
      <c r="B2125" s="14" t="s">
        <v>6890</v>
      </c>
      <c r="C2125" s="71" t="str">
        <f t="shared" si="43"/>
        <v>Product Info</v>
      </c>
      <c r="D2125" s="37" t="s">
        <v>3882</v>
      </c>
      <c r="E2125" s="143">
        <v>1</v>
      </c>
      <c r="F2125" s="12" t="s">
        <v>4992</v>
      </c>
      <c r="G2125" s="38">
        <v>380.04</v>
      </c>
      <c r="H2125" s="38">
        <v>323.05</v>
      </c>
      <c r="I2125" s="38">
        <v>266.02999999999997</v>
      </c>
      <c r="J2125" s="39"/>
      <c r="K2125" s="143"/>
      <c r="L2125" s="22">
        <v>9</v>
      </c>
      <c r="M2125" s="22" t="s">
        <v>14396</v>
      </c>
      <c r="N2125" s="20" t="s">
        <v>8878</v>
      </c>
      <c r="O2125" s="16" t="s">
        <v>13914</v>
      </c>
      <c r="P2125" s="143">
        <v>758</v>
      </c>
      <c r="Q2125" s="121" t="s">
        <v>14285</v>
      </c>
      <c r="R2125" s="16" t="s">
        <v>9235</v>
      </c>
      <c r="S2125" s="10" t="s">
        <v>1163</v>
      </c>
      <c r="T2125" s="28" t="s">
        <v>11155</v>
      </c>
      <c r="U2125" s="20" t="s">
        <v>5359</v>
      </c>
      <c r="V2125" s="16" t="s">
        <v>6889</v>
      </c>
      <c r="W2125" s="11" t="s">
        <v>14433</v>
      </c>
      <c r="X2125" s="174">
        <v>252.86</v>
      </c>
      <c r="Y2125" s="174">
        <v>323.05</v>
      </c>
    </row>
    <row r="2126" spans="1:25" ht="15" customHeight="1" x14ac:dyDescent="0.25">
      <c r="A2126" s="20" t="s">
        <v>585</v>
      </c>
      <c r="B2126" s="14" t="s">
        <v>586</v>
      </c>
      <c r="C2126" s="71" t="str">
        <f t="shared" si="43"/>
        <v>Product Info</v>
      </c>
      <c r="D2126" s="37" t="s">
        <v>587</v>
      </c>
      <c r="E2126" s="143">
        <v>1</v>
      </c>
      <c r="F2126" s="12" t="s">
        <v>4992</v>
      </c>
      <c r="G2126" s="38">
        <v>400.99</v>
      </c>
      <c r="H2126" s="38">
        <v>340.85</v>
      </c>
      <c r="I2126" s="38">
        <v>280.69</v>
      </c>
      <c r="J2126" s="39"/>
      <c r="K2126" s="143"/>
      <c r="L2126" s="22">
        <v>10.5</v>
      </c>
      <c r="M2126" s="22" t="s">
        <v>14396</v>
      </c>
      <c r="N2126" s="20" t="s">
        <v>9380</v>
      </c>
      <c r="O2126" s="16" t="s">
        <v>13914</v>
      </c>
      <c r="P2126" s="143">
        <v>758</v>
      </c>
      <c r="Q2126" s="122" t="s">
        <v>12421</v>
      </c>
      <c r="R2126" s="16" t="s">
        <v>9235</v>
      </c>
      <c r="S2126" s="10" t="s">
        <v>1163</v>
      </c>
      <c r="T2126" s="28" t="s">
        <v>11156</v>
      </c>
      <c r="U2126" s="20" t="s">
        <v>5359</v>
      </c>
      <c r="V2126" s="16" t="s">
        <v>585</v>
      </c>
      <c r="W2126" s="11" t="s">
        <v>14433</v>
      </c>
      <c r="X2126" s="174">
        <v>266.79000000000002</v>
      </c>
      <c r="Y2126" s="174">
        <v>340.85</v>
      </c>
    </row>
    <row r="2127" spans="1:25" ht="15" customHeight="1" x14ac:dyDescent="0.25">
      <c r="A2127" s="20" t="s">
        <v>6891</v>
      </c>
      <c r="B2127" s="14" t="s">
        <v>6892</v>
      </c>
      <c r="C2127" s="71" t="str">
        <f t="shared" si="43"/>
        <v>Product Info</v>
      </c>
      <c r="D2127" s="37" t="s">
        <v>3883</v>
      </c>
      <c r="E2127" s="143">
        <v>1</v>
      </c>
      <c r="F2127" s="12" t="s">
        <v>4992</v>
      </c>
      <c r="G2127" s="38">
        <v>426.79</v>
      </c>
      <c r="H2127" s="38">
        <v>362.78</v>
      </c>
      <c r="I2127" s="38">
        <v>298.75</v>
      </c>
      <c r="J2127" s="39"/>
      <c r="K2127" s="143"/>
      <c r="L2127" s="22">
        <v>0</v>
      </c>
      <c r="M2127" s="22">
        <v>0</v>
      </c>
      <c r="N2127" s="20" t="s">
        <v>14489</v>
      </c>
      <c r="O2127" s="16">
        <v>0</v>
      </c>
      <c r="P2127" s="143">
        <v>758</v>
      </c>
      <c r="Q2127" s="121" t="s">
        <v>14285</v>
      </c>
      <c r="R2127" s="16" t="s">
        <v>9235</v>
      </c>
      <c r="S2127" s="10" t="s">
        <v>1163</v>
      </c>
      <c r="T2127" s="28" t="s">
        <v>11157</v>
      </c>
      <c r="U2127" s="20" t="s">
        <v>5359</v>
      </c>
      <c r="V2127" s="16" t="s">
        <v>6891</v>
      </c>
      <c r="W2127" s="11" t="s">
        <v>14433</v>
      </c>
      <c r="X2127" s="174">
        <v>283.95999999999998</v>
      </c>
      <c r="Y2127" s="174">
        <v>362.78</v>
      </c>
    </row>
    <row r="2128" spans="1:25" ht="15" customHeight="1" x14ac:dyDescent="0.25">
      <c r="A2128" s="20" t="s">
        <v>588</v>
      </c>
      <c r="B2128" s="14" t="s">
        <v>589</v>
      </c>
      <c r="C2128" s="71" t="str">
        <f t="shared" si="43"/>
        <v>Product Info</v>
      </c>
      <c r="D2128" s="37" t="s">
        <v>590</v>
      </c>
      <c r="E2128" s="143">
        <v>1</v>
      </c>
      <c r="F2128" s="12" t="s">
        <v>4992</v>
      </c>
      <c r="G2128" s="38">
        <v>447.7</v>
      </c>
      <c r="H2128" s="38">
        <v>380.56</v>
      </c>
      <c r="I2128" s="38">
        <v>313.39</v>
      </c>
      <c r="J2128" s="39"/>
      <c r="K2128" s="143"/>
      <c r="L2128" s="22">
        <v>0</v>
      </c>
      <c r="M2128" s="22">
        <v>0</v>
      </c>
      <c r="N2128" s="20" t="s">
        <v>14489</v>
      </c>
      <c r="O2128" s="16">
        <v>0</v>
      </c>
      <c r="P2128" s="143">
        <v>758</v>
      </c>
      <c r="Q2128" s="122" t="s">
        <v>12421</v>
      </c>
      <c r="R2128" s="16" t="s">
        <v>9235</v>
      </c>
      <c r="S2128" s="10" t="s">
        <v>1163</v>
      </c>
      <c r="T2128" s="28" t="s">
        <v>11158</v>
      </c>
      <c r="U2128" s="20" t="s">
        <v>5359</v>
      </c>
      <c r="V2128" s="16" t="s">
        <v>588</v>
      </c>
      <c r="W2128" s="11" t="s">
        <v>14433</v>
      </c>
      <c r="X2128" s="174">
        <v>297.88</v>
      </c>
      <c r="Y2128" s="174">
        <v>380.56</v>
      </c>
    </row>
    <row r="2129" spans="1:25" ht="15" customHeight="1" x14ac:dyDescent="0.25">
      <c r="A2129" s="20" t="s">
        <v>591</v>
      </c>
      <c r="B2129" s="14" t="s">
        <v>592</v>
      </c>
      <c r="C2129" s="71" t="str">
        <f t="shared" si="43"/>
        <v>Product Info</v>
      </c>
      <c r="D2129" s="37" t="s">
        <v>593</v>
      </c>
      <c r="E2129" s="143">
        <v>1</v>
      </c>
      <c r="F2129" s="12" t="s">
        <v>4992</v>
      </c>
      <c r="G2129" s="38">
        <v>400.99</v>
      </c>
      <c r="H2129" s="38">
        <v>340.85</v>
      </c>
      <c r="I2129" s="38">
        <v>280.69</v>
      </c>
      <c r="J2129" s="39"/>
      <c r="K2129" s="143"/>
      <c r="L2129" s="22">
        <v>0</v>
      </c>
      <c r="M2129" s="22">
        <v>0</v>
      </c>
      <c r="N2129" s="20" t="s">
        <v>14489</v>
      </c>
      <c r="O2129" s="16">
        <v>0</v>
      </c>
      <c r="P2129" s="143">
        <v>758</v>
      </c>
      <c r="Q2129" s="121" t="s">
        <v>14285</v>
      </c>
      <c r="R2129" s="16" t="s">
        <v>9235</v>
      </c>
      <c r="S2129" s="10" t="s">
        <v>1163</v>
      </c>
      <c r="T2129" s="28" t="s">
        <v>11159</v>
      </c>
      <c r="U2129" s="20" t="s">
        <v>5359</v>
      </c>
      <c r="V2129" s="16" t="s">
        <v>591</v>
      </c>
      <c r="W2129" s="11" t="s">
        <v>14433</v>
      </c>
      <c r="X2129" s="174">
        <v>266.79000000000002</v>
      </c>
      <c r="Y2129" s="174">
        <v>340.85</v>
      </c>
    </row>
    <row r="2130" spans="1:25" ht="15" customHeight="1" x14ac:dyDescent="0.25">
      <c r="A2130" s="20" t="s">
        <v>6894</v>
      </c>
      <c r="B2130" s="14" t="s">
        <v>6895</v>
      </c>
      <c r="C2130" s="71" t="str">
        <f t="shared" si="43"/>
        <v>Product Info</v>
      </c>
      <c r="D2130" s="37" t="s">
        <v>3885</v>
      </c>
      <c r="E2130" s="143">
        <v>1</v>
      </c>
      <c r="F2130" s="12" t="s">
        <v>4992</v>
      </c>
      <c r="G2130" s="38">
        <v>380.04</v>
      </c>
      <c r="H2130" s="38">
        <v>323.05</v>
      </c>
      <c r="I2130" s="38">
        <v>266.02999999999997</v>
      </c>
      <c r="J2130" s="39"/>
      <c r="K2130" s="143"/>
      <c r="L2130" s="22">
        <v>0</v>
      </c>
      <c r="M2130" s="22">
        <v>0</v>
      </c>
      <c r="N2130" s="20" t="s">
        <v>14489</v>
      </c>
      <c r="O2130" s="16">
        <v>0</v>
      </c>
      <c r="P2130" s="143">
        <v>758</v>
      </c>
      <c r="Q2130" s="121" t="s">
        <v>14285</v>
      </c>
      <c r="R2130" s="16" t="s">
        <v>9235</v>
      </c>
      <c r="S2130" s="10" t="s">
        <v>1163</v>
      </c>
      <c r="T2130" s="28" t="s">
        <v>11160</v>
      </c>
      <c r="U2130" s="20" t="s">
        <v>5359</v>
      </c>
      <c r="V2130" s="16" t="s">
        <v>6894</v>
      </c>
      <c r="W2130" s="11" t="s">
        <v>14433</v>
      </c>
      <c r="X2130" s="174">
        <v>252.86</v>
      </c>
      <c r="Y2130" s="174">
        <v>323.05</v>
      </c>
    </row>
    <row r="2131" spans="1:25" ht="15" customHeight="1" x14ac:dyDescent="0.25">
      <c r="A2131" s="20" t="s">
        <v>594</v>
      </c>
      <c r="B2131" s="14" t="s">
        <v>595</v>
      </c>
      <c r="C2131" s="71" t="str">
        <f t="shared" si="43"/>
        <v>Product Info</v>
      </c>
      <c r="D2131" s="37" t="s">
        <v>596</v>
      </c>
      <c r="E2131" s="143">
        <v>1</v>
      </c>
      <c r="F2131" s="12" t="s">
        <v>4992</v>
      </c>
      <c r="G2131" s="38">
        <v>400.99</v>
      </c>
      <c r="H2131" s="38">
        <v>340.85</v>
      </c>
      <c r="I2131" s="38">
        <v>280.69</v>
      </c>
      <c r="J2131" s="39"/>
      <c r="K2131" s="143"/>
      <c r="L2131" s="22">
        <v>0</v>
      </c>
      <c r="M2131" s="22">
        <v>0</v>
      </c>
      <c r="N2131" s="20" t="s">
        <v>14489</v>
      </c>
      <c r="O2131" s="16">
        <v>0</v>
      </c>
      <c r="P2131" s="143">
        <v>758</v>
      </c>
      <c r="Q2131" s="122" t="s">
        <v>12421</v>
      </c>
      <c r="R2131" s="16" t="s">
        <v>9235</v>
      </c>
      <c r="S2131" s="10" t="s">
        <v>1163</v>
      </c>
      <c r="T2131" s="28" t="s">
        <v>11161</v>
      </c>
      <c r="U2131" s="20" t="s">
        <v>5359</v>
      </c>
      <c r="V2131" s="16" t="s">
        <v>594</v>
      </c>
      <c r="W2131" s="11" t="s">
        <v>14433</v>
      </c>
      <c r="X2131" s="174">
        <v>266.79000000000002</v>
      </c>
      <c r="Y2131" s="174">
        <v>340.85</v>
      </c>
    </row>
    <row r="2132" spans="1:25" ht="15" customHeight="1" x14ac:dyDescent="0.25">
      <c r="A2132" s="20" t="s">
        <v>5185</v>
      </c>
      <c r="B2132" s="14" t="s">
        <v>5186</v>
      </c>
      <c r="C2132" s="71" t="str">
        <f t="shared" si="43"/>
        <v>Product Info</v>
      </c>
      <c r="D2132" s="37" t="s">
        <v>3886</v>
      </c>
      <c r="E2132" s="143">
        <v>1</v>
      </c>
      <c r="F2132" s="12" t="s">
        <v>4992</v>
      </c>
      <c r="G2132" s="38">
        <v>426.79</v>
      </c>
      <c r="H2132" s="38">
        <v>362.78</v>
      </c>
      <c r="I2132" s="38">
        <v>298.75</v>
      </c>
      <c r="J2132" s="39"/>
      <c r="K2132" s="143"/>
      <c r="L2132" s="22">
        <v>0</v>
      </c>
      <c r="M2132" s="22">
        <v>0</v>
      </c>
      <c r="N2132" s="20" t="s">
        <v>14489</v>
      </c>
      <c r="O2132" s="16">
        <v>0</v>
      </c>
      <c r="P2132" s="143">
        <v>758</v>
      </c>
      <c r="Q2132" s="121" t="s">
        <v>14285</v>
      </c>
      <c r="R2132" s="16" t="s">
        <v>9235</v>
      </c>
      <c r="S2132" s="10" t="s">
        <v>1163</v>
      </c>
      <c r="T2132" s="28" t="s">
        <v>11162</v>
      </c>
      <c r="U2132" s="20" t="s">
        <v>5359</v>
      </c>
      <c r="V2132" s="16" t="s">
        <v>5185</v>
      </c>
      <c r="W2132" s="11" t="s">
        <v>14433</v>
      </c>
      <c r="X2132" s="174">
        <v>283.95999999999998</v>
      </c>
      <c r="Y2132" s="174">
        <v>362.78</v>
      </c>
    </row>
    <row r="2133" spans="1:25" ht="15" customHeight="1" x14ac:dyDescent="0.25">
      <c r="A2133" s="20" t="s">
        <v>597</v>
      </c>
      <c r="B2133" s="14" t="s">
        <v>598</v>
      </c>
      <c r="C2133" s="71" t="str">
        <f t="shared" si="43"/>
        <v>Product Info</v>
      </c>
      <c r="D2133" s="37" t="s">
        <v>599</v>
      </c>
      <c r="E2133" s="143">
        <v>1</v>
      </c>
      <c r="F2133" s="12" t="s">
        <v>4992</v>
      </c>
      <c r="G2133" s="38">
        <v>447.7</v>
      </c>
      <c r="H2133" s="38">
        <v>380.56</v>
      </c>
      <c r="I2133" s="38">
        <v>313.39</v>
      </c>
      <c r="J2133" s="39"/>
      <c r="K2133" s="143"/>
      <c r="L2133" s="22">
        <v>0</v>
      </c>
      <c r="M2133" s="22">
        <v>0</v>
      </c>
      <c r="N2133" s="20" t="s">
        <v>14489</v>
      </c>
      <c r="O2133" s="16">
        <v>0</v>
      </c>
      <c r="P2133" s="143">
        <v>758</v>
      </c>
      <c r="Q2133" s="122" t="s">
        <v>12421</v>
      </c>
      <c r="R2133" s="16" t="s">
        <v>9235</v>
      </c>
      <c r="S2133" s="10" t="s">
        <v>1163</v>
      </c>
      <c r="T2133" s="28" t="s">
        <v>11163</v>
      </c>
      <c r="U2133" s="20" t="s">
        <v>5359</v>
      </c>
      <c r="V2133" s="16" t="s">
        <v>597</v>
      </c>
      <c r="W2133" s="11" t="s">
        <v>14433</v>
      </c>
      <c r="X2133" s="174">
        <v>297.88</v>
      </c>
      <c r="Y2133" s="174">
        <v>380.56</v>
      </c>
    </row>
    <row r="2134" spans="1:25" ht="15" customHeight="1" x14ac:dyDescent="0.25">
      <c r="A2134" s="20" t="s">
        <v>3124</v>
      </c>
      <c r="B2134" s="14" t="s">
        <v>3125</v>
      </c>
      <c r="C2134" s="71" t="str">
        <f t="shared" si="43"/>
        <v>Product Info</v>
      </c>
      <c r="D2134" s="37" t="s">
        <v>14428</v>
      </c>
      <c r="E2134" s="143">
        <v>1</v>
      </c>
      <c r="F2134" s="12" t="s">
        <v>4992</v>
      </c>
      <c r="G2134" s="38">
        <v>305.26</v>
      </c>
      <c r="H2134" s="38">
        <v>259.48</v>
      </c>
      <c r="I2134" s="38">
        <v>213.68</v>
      </c>
      <c r="J2134" s="39"/>
      <c r="K2134" s="143"/>
      <c r="L2134" s="22">
        <v>0</v>
      </c>
      <c r="M2134" s="22">
        <v>0</v>
      </c>
      <c r="N2134" s="20" t="s">
        <v>14489</v>
      </c>
      <c r="O2134" s="16">
        <v>0</v>
      </c>
      <c r="P2134" s="143">
        <v>758</v>
      </c>
      <c r="Q2134" s="121" t="s">
        <v>14285</v>
      </c>
      <c r="R2134" s="16" t="s">
        <v>9235</v>
      </c>
      <c r="S2134" s="10" t="s">
        <v>1163</v>
      </c>
      <c r="T2134" s="28" t="s">
        <v>11164</v>
      </c>
      <c r="U2134" s="20" t="s">
        <v>5359</v>
      </c>
      <c r="V2134" s="16" t="s">
        <v>3124</v>
      </c>
      <c r="W2134" s="11" t="s">
        <v>14433</v>
      </c>
      <c r="X2134" s="174">
        <v>203.1</v>
      </c>
      <c r="Y2134" s="174">
        <v>259.48</v>
      </c>
    </row>
    <row r="2135" spans="1:25" ht="15" customHeight="1" x14ac:dyDescent="0.25">
      <c r="A2135" s="20" t="s">
        <v>600</v>
      </c>
      <c r="B2135" s="14" t="s">
        <v>601</v>
      </c>
      <c r="C2135" s="71" t="str">
        <f t="shared" si="43"/>
        <v>Product Info</v>
      </c>
      <c r="D2135" s="37" t="s">
        <v>139</v>
      </c>
      <c r="E2135" s="143">
        <v>1</v>
      </c>
      <c r="F2135" s="12" t="s">
        <v>4992</v>
      </c>
      <c r="G2135" s="38">
        <v>117.39</v>
      </c>
      <c r="H2135" s="38">
        <v>99.78</v>
      </c>
      <c r="I2135" s="38">
        <v>82.17</v>
      </c>
      <c r="J2135" s="39"/>
      <c r="K2135" s="143"/>
      <c r="L2135" s="22">
        <v>0</v>
      </c>
      <c r="M2135" s="22">
        <v>0</v>
      </c>
      <c r="N2135" s="20" t="s">
        <v>14489</v>
      </c>
      <c r="O2135" s="16">
        <v>0</v>
      </c>
      <c r="P2135" s="143">
        <v>758</v>
      </c>
      <c r="Q2135" s="121" t="s">
        <v>14285</v>
      </c>
      <c r="R2135" s="16" t="s">
        <v>9235</v>
      </c>
      <c r="S2135" s="10" t="s">
        <v>1163</v>
      </c>
      <c r="T2135" s="28" t="s">
        <v>11165</v>
      </c>
      <c r="U2135" s="20" t="s">
        <v>5359</v>
      </c>
      <c r="V2135" s="16" t="s">
        <v>600</v>
      </c>
      <c r="W2135" s="11" t="s">
        <v>14433</v>
      </c>
      <c r="X2135" s="174">
        <v>78.11</v>
      </c>
      <c r="Y2135" s="174">
        <v>99.78</v>
      </c>
    </row>
    <row r="2136" spans="1:25" ht="15" customHeight="1" x14ac:dyDescent="0.25">
      <c r="A2136" s="20" t="s">
        <v>6288</v>
      </c>
      <c r="B2136" s="14" t="s">
        <v>603</v>
      </c>
      <c r="C2136" s="71" t="str">
        <f t="shared" si="43"/>
        <v>Product Info</v>
      </c>
      <c r="D2136" s="37" t="s">
        <v>4794</v>
      </c>
      <c r="E2136" s="143">
        <v>1</v>
      </c>
      <c r="F2136" s="12" t="s">
        <v>4992</v>
      </c>
      <c r="G2136" s="38">
        <v>506.43</v>
      </c>
      <c r="H2136" s="38">
        <v>430.48</v>
      </c>
      <c r="I2136" s="38">
        <v>354.5</v>
      </c>
      <c r="J2136" s="39"/>
      <c r="K2136" s="143"/>
      <c r="L2136" s="22">
        <v>0</v>
      </c>
      <c r="M2136" s="22">
        <v>0</v>
      </c>
      <c r="N2136" s="20" t="s">
        <v>14489</v>
      </c>
      <c r="O2136" s="16">
        <v>0</v>
      </c>
      <c r="P2136" s="143">
        <v>758</v>
      </c>
      <c r="Q2136" s="121" t="s">
        <v>14285</v>
      </c>
      <c r="R2136" s="16" t="s">
        <v>9235</v>
      </c>
      <c r="S2136" s="10" t="s">
        <v>1163</v>
      </c>
      <c r="T2136" s="28" t="s">
        <v>11167</v>
      </c>
      <c r="U2136" s="20" t="s">
        <v>5359</v>
      </c>
      <c r="V2136" s="16" t="s">
        <v>6288</v>
      </c>
      <c r="W2136" s="11" t="s">
        <v>14433</v>
      </c>
      <c r="X2136" s="174">
        <v>336.95</v>
      </c>
      <c r="Y2136" s="174">
        <v>430.48</v>
      </c>
    </row>
    <row r="2137" spans="1:25" ht="15" customHeight="1" x14ac:dyDescent="0.25">
      <c r="A2137" s="20" t="s">
        <v>604</v>
      </c>
      <c r="B2137" s="14" t="s">
        <v>605</v>
      </c>
      <c r="C2137" s="71" t="str">
        <f t="shared" si="43"/>
        <v>Product Info</v>
      </c>
      <c r="D2137" s="37" t="s">
        <v>606</v>
      </c>
      <c r="E2137" s="143">
        <v>1</v>
      </c>
      <c r="F2137" s="12" t="s">
        <v>4992</v>
      </c>
      <c r="G2137" s="38">
        <v>520.69000000000005</v>
      </c>
      <c r="H2137" s="38">
        <v>442.6</v>
      </c>
      <c r="I2137" s="38">
        <v>364.48</v>
      </c>
      <c r="J2137" s="39"/>
      <c r="K2137" s="143"/>
      <c r="L2137" s="22">
        <v>0</v>
      </c>
      <c r="M2137" s="22">
        <v>0</v>
      </c>
      <c r="N2137" s="20" t="s">
        <v>14489</v>
      </c>
      <c r="O2137" s="16">
        <v>0</v>
      </c>
      <c r="P2137" s="143">
        <v>758</v>
      </c>
      <c r="Q2137" s="121" t="s">
        <v>14285</v>
      </c>
      <c r="R2137" s="16" t="s">
        <v>9235</v>
      </c>
      <c r="S2137" s="10" t="s">
        <v>1163</v>
      </c>
      <c r="T2137" s="28" t="s">
        <v>11168</v>
      </c>
      <c r="U2137" s="20" t="s">
        <v>5359</v>
      </c>
      <c r="V2137" s="16" t="s">
        <v>604</v>
      </c>
      <c r="W2137" s="11" t="s">
        <v>14433</v>
      </c>
      <c r="X2137" s="174">
        <v>346.44</v>
      </c>
      <c r="Y2137" s="174">
        <v>442.6</v>
      </c>
    </row>
    <row r="2138" spans="1:25" ht="15" customHeight="1" x14ac:dyDescent="0.25">
      <c r="A2138" s="20" t="s">
        <v>3059</v>
      </c>
      <c r="B2138" s="14" t="s">
        <v>607</v>
      </c>
      <c r="C2138" s="71" t="str">
        <f t="shared" si="43"/>
        <v>Product Info</v>
      </c>
      <c r="D2138" s="37" t="s">
        <v>3266</v>
      </c>
      <c r="E2138" s="143">
        <v>1</v>
      </c>
      <c r="F2138" s="12" t="s">
        <v>4992</v>
      </c>
      <c r="G2138" s="38">
        <v>506.43</v>
      </c>
      <c r="H2138" s="38">
        <v>430.48</v>
      </c>
      <c r="I2138" s="38">
        <v>354.5</v>
      </c>
      <c r="J2138" s="39"/>
      <c r="K2138" s="143"/>
      <c r="L2138" s="22">
        <v>0</v>
      </c>
      <c r="M2138" s="22">
        <v>0</v>
      </c>
      <c r="N2138" s="20" t="s">
        <v>14489</v>
      </c>
      <c r="O2138" s="16">
        <v>0</v>
      </c>
      <c r="P2138" s="143">
        <v>758</v>
      </c>
      <c r="Q2138" s="121" t="s">
        <v>14285</v>
      </c>
      <c r="R2138" s="16" t="s">
        <v>9235</v>
      </c>
      <c r="S2138" s="10" t="s">
        <v>1163</v>
      </c>
      <c r="T2138" s="28" t="s">
        <v>11169</v>
      </c>
      <c r="U2138" s="20" t="s">
        <v>5359</v>
      </c>
      <c r="V2138" s="16" t="s">
        <v>3059</v>
      </c>
      <c r="W2138" s="11" t="s">
        <v>14433</v>
      </c>
      <c r="X2138" s="174">
        <v>336.95</v>
      </c>
      <c r="Y2138" s="174">
        <v>430.48</v>
      </c>
    </row>
    <row r="2139" spans="1:25" ht="15" customHeight="1" x14ac:dyDescent="0.25">
      <c r="A2139" s="20" t="s">
        <v>608</v>
      </c>
      <c r="B2139" s="14" t="s">
        <v>609</v>
      </c>
      <c r="C2139" s="71" t="str">
        <f t="shared" si="43"/>
        <v>Product Info</v>
      </c>
      <c r="D2139" s="37" t="s">
        <v>610</v>
      </c>
      <c r="E2139" s="143">
        <v>1</v>
      </c>
      <c r="F2139" s="12" t="s">
        <v>4992</v>
      </c>
      <c r="G2139" s="38">
        <v>520.69000000000005</v>
      </c>
      <c r="H2139" s="38">
        <v>442.6</v>
      </c>
      <c r="I2139" s="38">
        <v>364.48</v>
      </c>
      <c r="J2139" s="39"/>
      <c r="K2139" s="143"/>
      <c r="L2139" s="22">
        <v>0</v>
      </c>
      <c r="M2139" s="22" t="s">
        <v>12488</v>
      </c>
      <c r="N2139" s="20" t="s">
        <v>14489</v>
      </c>
      <c r="O2139" s="16" t="s">
        <v>12608</v>
      </c>
      <c r="P2139" s="143">
        <v>758</v>
      </c>
      <c r="Q2139" s="121" t="s">
        <v>14285</v>
      </c>
      <c r="R2139" s="16" t="s">
        <v>9235</v>
      </c>
      <c r="S2139" s="10" t="s">
        <v>1163</v>
      </c>
      <c r="T2139" s="28" t="s">
        <v>11170</v>
      </c>
      <c r="U2139" s="20" t="s">
        <v>5359</v>
      </c>
      <c r="V2139" s="16" t="s">
        <v>608</v>
      </c>
      <c r="W2139" s="11" t="s">
        <v>14433</v>
      </c>
      <c r="X2139" s="174">
        <v>346.44</v>
      </c>
      <c r="Y2139" s="174">
        <v>442.6</v>
      </c>
    </row>
    <row r="2140" spans="1:25" ht="15" customHeight="1" x14ac:dyDescent="0.25">
      <c r="A2140" s="20" t="s">
        <v>3062</v>
      </c>
      <c r="B2140" s="14" t="s">
        <v>611</v>
      </c>
      <c r="C2140" s="71" t="str">
        <f t="shared" si="43"/>
        <v>Product Info</v>
      </c>
      <c r="D2140" s="37" t="s">
        <v>3268</v>
      </c>
      <c r="E2140" s="143">
        <v>1</v>
      </c>
      <c r="F2140" s="12" t="s">
        <v>4992</v>
      </c>
      <c r="G2140" s="38">
        <v>506.43</v>
      </c>
      <c r="H2140" s="38">
        <v>430.48</v>
      </c>
      <c r="I2140" s="38">
        <v>354.5</v>
      </c>
      <c r="J2140" s="39"/>
      <c r="K2140" s="143"/>
      <c r="L2140" s="22">
        <v>0</v>
      </c>
      <c r="M2140" s="22">
        <v>0</v>
      </c>
      <c r="N2140" s="20" t="s">
        <v>14489</v>
      </c>
      <c r="O2140" s="16">
        <v>0</v>
      </c>
      <c r="P2140" s="143">
        <v>758</v>
      </c>
      <c r="Q2140" s="121" t="s">
        <v>14285</v>
      </c>
      <c r="R2140" s="16" t="s">
        <v>9235</v>
      </c>
      <c r="S2140" s="10" t="s">
        <v>1163</v>
      </c>
      <c r="T2140" s="28" t="s">
        <v>11171</v>
      </c>
      <c r="U2140" s="20" t="s">
        <v>5359</v>
      </c>
      <c r="V2140" s="16" t="s">
        <v>3062</v>
      </c>
      <c r="W2140" s="11" t="s">
        <v>14433</v>
      </c>
      <c r="X2140" s="174">
        <v>336.95</v>
      </c>
      <c r="Y2140" s="174">
        <v>430.48</v>
      </c>
    </row>
    <row r="2141" spans="1:25" ht="15" customHeight="1" x14ac:dyDescent="0.25">
      <c r="A2141" s="20" t="s">
        <v>612</v>
      </c>
      <c r="B2141" s="14" t="s">
        <v>613</v>
      </c>
      <c r="C2141" s="71" t="str">
        <f t="shared" si="43"/>
        <v>Product Info</v>
      </c>
      <c r="D2141" s="37" t="s">
        <v>614</v>
      </c>
      <c r="E2141" s="143">
        <v>1</v>
      </c>
      <c r="F2141" s="12" t="s">
        <v>4992</v>
      </c>
      <c r="G2141" s="38">
        <v>525.19000000000005</v>
      </c>
      <c r="H2141" s="38">
        <v>446.42</v>
      </c>
      <c r="I2141" s="38">
        <v>367.63</v>
      </c>
      <c r="J2141" s="39"/>
      <c r="K2141" s="143"/>
      <c r="L2141" s="22">
        <v>0</v>
      </c>
      <c r="M2141" s="22">
        <v>0</v>
      </c>
      <c r="N2141" s="20" t="s">
        <v>14489</v>
      </c>
      <c r="O2141" s="16">
        <v>0</v>
      </c>
      <c r="P2141" s="143">
        <v>758</v>
      </c>
      <c r="Q2141" s="121" t="s">
        <v>14285</v>
      </c>
      <c r="R2141" s="16" t="s">
        <v>9235</v>
      </c>
      <c r="S2141" s="10" t="s">
        <v>1163</v>
      </c>
      <c r="T2141" s="28" t="s">
        <v>11172</v>
      </c>
      <c r="U2141" s="20" t="s">
        <v>5359</v>
      </c>
      <c r="V2141" s="16" t="s">
        <v>612</v>
      </c>
      <c r="W2141" s="11" t="s">
        <v>14433</v>
      </c>
      <c r="X2141" s="174">
        <v>349.43</v>
      </c>
      <c r="Y2141" s="174">
        <v>446.42</v>
      </c>
    </row>
    <row r="2142" spans="1:25" ht="15" customHeight="1" x14ac:dyDescent="0.25">
      <c r="A2142" s="20" t="s">
        <v>3543</v>
      </c>
      <c r="B2142" s="14" t="s">
        <v>3544</v>
      </c>
      <c r="C2142" s="71" t="str">
        <f t="shared" si="43"/>
        <v>Product Info</v>
      </c>
      <c r="D2142" s="37" t="s">
        <v>615</v>
      </c>
      <c r="E2142" s="143">
        <v>1</v>
      </c>
      <c r="F2142" s="12" t="s">
        <v>4992</v>
      </c>
      <c r="G2142" s="38">
        <v>676.96</v>
      </c>
      <c r="H2142" s="38">
        <v>575.42999999999995</v>
      </c>
      <c r="I2142" s="38">
        <v>473.87</v>
      </c>
      <c r="J2142" s="39"/>
      <c r="K2142" s="143"/>
      <c r="L2142" s="22">
        <v>0</v>
      </c>
      <c r="M2142" s="22">
        <v>0</v>
      </c>
      <c r="N2142" s="20" t="s">
        <v>14489</v>
      </c>
      <c r="O2142" s="16">
        <v>0</v>
      </c>
      <c r="P2142" s="143">
        <v>758</v>
      </c>
      <c r="Q2142" s="121" t="s">
        <v>14285</v>
      </c>
      <c r="R2142" s="16" t="s">
        <v>9235</v>
      </c>
      <c r="S2142" s="10" t="s">
        <v>1163</v>
      </c>
      <c r="T2142" s="28" t="s">
        <v>11173</v>
      </c>
      <c r="U2142" s="20" t="s">
        <v>5359</v>
      </c>
      <c r="V2142" s="16" t="s">
        <v>3543</v>
      </c>
      <c r="W2142" s="11" t="s">
        <v>14433</v>
      </c>
      <c r="X2142" s="174">
        <v>450.41</v>
      </c>
      <c r="Y2142" s="174">
        <v>575.42999999999995</v>
      </c>
    </row>
    <row r="2143" spans="1:25" ht="15" customHeight="1" x14ac:dyDescent="0.25">
      <c r="A2143" s="20" t="s">
        <v>3611</v>
      </c>
      <c r="B2143" s="14" t="s">
        <v>3612</v>
      </c>
      <c r="C2143" s="71" t="str">
        <f t="shared" si="43"/>
        <v>Product Info</v>
      </c>
      <c r="D2143" s="37" t="s">
        <v>2220</v>
      </c>
      <c r="E2143" s="143">
        <v>1</v>
      </c>
      <c r="F2143" s="12" t="s">
        <v>4992</v>
      </c>
      <c r="G2143" s="38">
        <v>1015.46</v>
      </c>
      <c r="H2143" s="38">
        <v>863.17</v>
      </c>
      <c r="I2143" s="38">
        <v>710.82</v>
      </c>
      <c r="J2143" s="39"/>
      <c r="K2143" s="143"/>
      <c r="L2143" s="22">
        <v>0</v>
      </c>
      <c r="M2143" s="22">
        <v>0</v>
      </c>
      <c r="N2143" s="20" t="s">
        <v>14489</v>
      </c>
      <c r="O2143" s="16">
        <v>0</v>
      </c>
      <c r="P2143" s="143">
        <v>758</v>
      </c>
      <c r="Q2143" s="121" t="s">
        <v>14285</v>
      </c>
      <c r="R2143" s="16" t="s">
        <v>9235</v>
      </c>
      <c r="S2143" s="10" t="s">
        <v>1163</v>
      </c>
      <c r="T2143" s="28" t="s">
        <v>11174</v>
      </c>
      <c r="U2143" s="20" t="s">
        <v>5359</v>
      </c>
      <c r="V2143" s="16" t="s">
        <v>3611</v>
      </c>
      <c r="W2143" s="11" t="s">
        <v>14433</v>
      </c>
      <c r="X2143" s="174">
        <v>675.63</v>
      </c>
      <c r="Y2143" s="174">
        <v>863.17</v>
      </c>
    </row>
    <row r="2144" spans="1:25" ht="15" customHeight="1" x14ac:dyDescent="0.25">
      <c r="A2144" s="20" t="s">
        <v>981</v>
      </c>
      <c r="B2144" s="14" t="s">
        <v>982</v>
      </c>
      <c r="C2144" s="71" t="str">
        <f t="shared" si="43"/>
        <v>Product Info</v>
      </c>
      <c r="D2144" s="37" t="s">
        <v>616</v>
      </c>
      <c r="E2144" s="143">
        <v>1</v>
      </c>
      <c r="F2144" s="12" t="s">
        <v>4992</v>
      </c>
      <c r="G2144" s="38">
        <v>812.34</v>
      </c>
      <c r="H2144" s="38">
        <v>690.52</v>
      </c>
      <c r="I2144" s="38">
        <v>568.64</v>
      </c>
      <c r="J2144" s="39"/>
      <c r="K2144" s="143"/>
      <c r="L2144" s="22">
        <v>0</v>
      </c>
      <c r="M2144" s="22">
        <v>0</v>
      </c>
      <c r="N2144" s="20" t="s">
        <v>14489</v>
      </c>
      <c r="O2144" s="16">
        <v>0</v>
      </c>
      <c r="P2144" s="143">
        <v>758</v>
      </c>
      <c r="Q2144" s="121" t="s">
        <v>14285</v>
      </c>
      <c r="R2144" s="16" t="s">
        <v>9235</v>
      </c>
      <c r="S2144" s="10" t="s">
        <v>1163</v>
      </c>
      <c r="T2144" s="28" t="s">
        <v>11175</v>
      </c>
      <c r="U2144" s="20" t="s">
        <v>5359</v>
      </c>
      <c r="V2144" s="16" t="s">
        <v>981</v>
      </c>
      <c r="W2144" s="11" t="s">
        <v>14433</v>
      </c>
      <c r="X2144" s="174">
        <v>540.49</v>
      </c>
      <c r="Y2144" s="174">
        <v>690.52</v>
      </c>
    </row>
    <row r="2145" spans="1:25" ht="15" customHeight="1" x14ac:dyDescent="0.25">
      <c r="A2145" s="20" t="s">
        <v>3545</v>
      </c>
      <c r="B2145" s="14" t="s">
        <v>3546</v>
      </c>
      <c r="C2145" s="71" t="str">
        <f t="shared" si="43"/>
        <v>Product Info</v>
      </c>
      <c r="D2145" s="37" t="s">
        <v>3547</v>
      </c>
      <c r="E2145" s="143">
        <v>1</v>
      </c>
      <c r="F2145" s="12" t="s">
        <v>4992</v>
      </c>
      <c r="G2145" s="38">
        <v>812.34</v>
      </c>
      <c r="H2145" s="38">
        <v>690.52</v>
      </c>
      <c r="I2145" s="38">
        <v>568.64</v>
      </c>
      <c r="J2145" s="39"/>
      <c r="K2145" s="143"/>
      <c r="L2145" s="22">
        <v>0</v>
      </c>
      <c r="M2145" s="22">
        <v>0</v>
      </c>
      <c r="N2145" s="20" t="s">
        <v>14489</v>
      </c>
      <c r="O2145" s="16">
        <v>0</v>
      </c>
      <c r="P2145" s="143">
        <v>758</v>
      </c>
      <c r="Q2145" s="121" t="s">
        <v>14285</v>
      </c>
      <c r="R2145" s="16" t="s">
        <v>9235</v>
      </c>
      <c r="S2145" s="10" t="s">
        <v>1163</v>
      </c>
      <c r="T2145" s="28" t="s">
        <v>11176</v>
      </c>
      <c r="U2145" s="20" t="s">
        <v>5359</v>
      </c>
      <c r="V2145" s="16" t="s">
        <v>3545</v>
      </c>
      <c r="W2145" s="11" t="s">
        <v>14433</v>
      </c>
      <c r="X2145" s="174">
        <v>540.49</v>
      </c>
      <c r="Y2145" s="174">
        <v>690.52</v>
      </c>
    </row>
    <row r="2146" spans="1:25" ht="15" customHeight="1" x14ac:dyDescent="0.25">
      <c r="A2146" s="20" t="s">
        <v>2221</v>
      </c>
      <c r="B2146" s="14" t="s">
        <v>3105</v>
      </c>
      <c r="C2146" s="71" t="str">
        <f t="shared" si="43"/>
        <v>Product Info</v>
      </c>
      <c r="D2146" s="37" t="s">
        <v>3106</v>
      </c>
      <c r="E2146" s="143">
        <v>1</v>
      </c>
      <c r="F2146" s="12" t="s">
        <v>4992</v>
      </c>
      <c r="G2146" s="38">
        <v>1218.51</v>
      </c>
      <c r="H2146" s="38">
        <v>1035.77</v>
      </c>
      <c r="I2146" s="38">
        <v>852.96</v>
      </c>
      <c r="J2146" s="39"/>
      <c r="K2146" s="143"/>
      <c r="L2146" s="22">
        <v>0</v>
      </c>
      <c r="M2146" s="22">
        <v>0</v>
      </c>
      <c r="N2146" s="20" t="s">
        <v>14489</v>
      </c>
      <c r="O2146" s="16">
        <v>0</v>
      </c>
      <c r="P2146" s="143">
        <v>758</v>
      </c>
      <c r="Q2146" s="121" t="s">
        <v>14285</v>
      </c>
      <c r="R2146" s="16" t="s">
        <v>9235</v>
      </c>
      <c r="S2146" s="10" t="s">
        <v>1163</v>
      </c>
      <c r="T2146" s="28" t="s">
        <v>11177</v>
      </c>
      <c r="U2146" s="20" t="s">
        <v>5359</v>
      </c>
      <c r="V2146" s="16" t="s">
        <v>2221</v>
      </c>
      <c r="W2146" s="11" t="s">
        <v>14433</v>
      </c>
      <c r="X2146" s="174">
        <v>810.73</v>
      </c>
      <c r="Y2146" s="174">
        <v>1035.77</v>
      </c>
    </row>
    <row r="2147" spans="1:25" ht="15" customHeight="1" x14ac:dyDescent="0.25">
      <c r="A2147" s="20" t="s">
        <v>14465</v>
      </c>
      <c r="B2147" s="14" t="s">
        <v>14466</v>
      </c>
      <c r="C2147" s="71" t="str">
        <f t="shared" si="43"/>
        <v>Product Info</v>
      </c>
      <c r="D2147" s="145" t="s">
        <v>14885</v>
      </c>
      <c r="E2147" s="143">
        <v>10</v>
      </c>
      <c r="F2147" s="12" t="s">
        <v>4992</v>
      </c>
      <c r="G2147" s="38">
        <v>2.96</v>
      </c>
      <c r="H2147" s="38">
        <f>I2147</f>
        <v>2.0699999999999998</v>
      </c>
      <c r="I2147" s="38">
        <v>2.0699999999999998</v>
      </c>
      <c r="J2147" s="39"/>
      <c r="K2147" s="143"/>
      <c r="L2147" s="22"/>
      <c r="M2147" s="22"/>
      <c r="N2147" s="20" t="s">
        <v>12814</v>
      </c>
      <c r="O2147" s="16"/>
      <c r="P2147" s="143">
        <v>755</v>
      </c>
      <c r="Q2147" s="121" t="s">
        <v>14285</v>
      </c>
      <c r="R2147" s="16" t="s">
        <v>8904</v>
      </c>
      <c r="S2147" s="10" t="s">
        <v>194</v>
      </c>
      <c r="T2147" s="31" t="s">
        <v>14476</v>
      </c>
      <c r="U2147" s="20" t="s">
        <v>5359</v>
      </c>
      <c r="V2147" s="16" t="s">
        <v>14477</v>
      </c>
      <c r="W2147" s="11" t="s">
        <v>14433</v>
      </c>
      <c r="X2147" s="174">
        <v>1.61</v>
      </c>
      <c r="Y2147" s="174">
        <v>2.0699999999999998</v>
      </c>
    </row>
    <row r="2148" spans="1:25" ht="15" customHeight="1" x14ac:dyDescent="0.25">
      <c r="A2148" s="20" t="s">
        <v>983</v>
      </c>
      <c r="B2148" s="14" t="s">
        <v>984</v>
      </c>
      <c r="C2148" s="71" t="str">
        <f t="shared" si="43"/>
        <v>Product Info</v>
      </c>
      <c r="D2148" s="37" t="s">
        <v>617</v>
      </c>
      <c r="E2148" s="143">
        <v>1</v>
      </c>
      <c r="F2148" s="12" t="s">
        <v>4992</v>
      </c>
      <c r="G2148" s="38">
        <v>974.81</v>
      </c>
      <c r="H2148" s="38">
        <v>828.62</v>
      </c>
      <c r="I2148" s="38">
        <v>682.37</v>
      </c>
      <c r="J2148" s="39"/>
      <c r="K2148" s="143"/>
      <c r="L2148" s="22">
        <v>0</v>
      </c>
      <c r="M2148" s="22" t="s">
        <v>12488</v>
      </c>
      <c r="N2148" s="20" t="s">
        <v>14489</v>
      </c>
      <c r="O2148" s="16" t="s">
        <v>12608</v>
      </c>
      <c r="P2148" s="143">
        <v>758</v>
      </c>
      <c r="Q2148" s="121" t="s">
        <v>14285</v>
      </c>
      <c r="R2148" s="16" t="s">
        <v>9235</v>
      </c>
      <c r="S2148" s="10" t="s">
        <v>1163</v>
      </c>
      <c r="T2148" s="28" t="s">
        <v>11178</v>
      </c>
      <c r="U2148" s="20" t="s">
        <v>5359</v>
      </c>
      <c r="V2148" s="16" t="s">
        <v>983</v>
      </c>
      <c r="W2148" s="11" t="s">
        <v>14433</v>
      </c>
      <c r="X2148" s="174">
        <v>648.59</v>
      </c>
      <c r="Y2148" s="174">
        <v>828.62</v>
      </c>
    </row>
    <row r="2149" spans="1:25" ht="15" customHeight="1" x14ac:dyDescent="0.25">
      <c r="A2149" s="20" t="s">
        <v>3548</v>
      </c>
      <c r="B2149" s="14" t="s">
        <v>3549</v>
      </c>
      <c r="C2149" s="71" t="str">
        <f t="shared" si="43"/>
        <v>Product Info</v>
      </c>
      <c r="D2149" s="37" t="s">
        <v>3550</v>
      </c>
      <c r="E2149" s="143">
        <v>1</v>
      </c>
      <c r="F2149" s="12" t="s">
        <v>4992</v>
      </c>
      <c r="G2149" s="38">
        <v>974.81</v>
      </c>
      <c r="H2149" s="38">
        <v>828.62</v>
      </c>
      <c r="I2149" s="38">
        <v>682.37</v>
      </c>
      <c r="J2149" s="39"/>
      <c r="K2149" s="143"/>
      <c r="L2149" s="22">
        <v>0</v>
      </c>
      <c r="M2149" s="22" t="s">
        <v>12488</v>
      </c>
      <c r="N2149" s="20" t="s">
        <v>14489</v>
      </c>
      <c r="O2149" s="16" t="s">
        <v>12608</v>
      </c>
      <c r="P2149" s="143">
        <v>758</v>
      </c>
      <c r="Q2149" s="121" t="s">
        <v>14285</v>
      </c>
      <c r="R2149" s="16" t="s">
        <v>9235</v>
      </c>
      <c r="S2149" s="10" t="s">
        <v>1163</v>
      </c>
      <c r="T2149" s="28" t="s">
        <v>11179</v>
      </c>
      <c r="U2149" s="20" t="s">
        <v>5359</v>
      </c>
      <c r="V2149" s="16" t="s">
        <v>3548</v>
      </c>
      <c r="W2149" s="11" t="s">
        <v>14433</v>
      </c>
      <c r="X2149" s="174">
        <v>648.59</v>
      </c>
      <c r="Y2149" s="174">
        <v>828.62</v>
      </c>
    </row>
    <row r="2150" spans="1:25" ht="15" customHeight="1" x14ac:dyDescent="0.25">
      <c r="A2150" s="20" t="s">
        <v>14467</v>
      </c>
      <c r="B2150" s="14" t="s">
        <v>14468</v>
      </c>
      <c r="C2150" s="71" t="str">
        <f t="shared" si="43"/>
        <v>Product Info</v>
      </c>
      <c r="D2150" s="145" t="s">
        <v>14886</v>
      </c>
      <c r="E2150" s="143">
        <v>10</v>
      </c>
      <c r="F2150" s="12" t="s">
        <v>4992</v>
      </c>
      <c r="G2150" s="38">
        <v>3.55</v>
      </c>
      <c r="H2150" s="38">
        <f>I2150</f>
        <v>2.48</v>
      </c>
      <c r="I2150" s="38">
        <v>2.48</v>
      </c>
      <c r="J2150" s="39"/>
      <c r="K2150" s="143"/>
      <c r="L2150" s="22">
        <v>0.05</v>
      </c>
      <c r="M2150" s="22" t="s">
        <v>12487</v>
      </c>
      <c r="N2150" s="20" t="s">
        <v>12814</v>
      </c>
      <c r="O2150" s="16"/>
      <c r="P2150" s="143">
        <v>755</v>
      </c>
      <c r="Q2150" s="121" t="s">
        <v>14285</v>
      </c>
      <c r="R2150" s="16" t="s">
        <v>8904</v>
      </c>
      <c r="S2150" s="10" t="s">
        <v>194</v>
      </c>
      <c r="T2150" s="28" t="s">
        <v>14474</v>
      </c>
      <c r="U2150" s="20" t="s">
        <v>5359</v>
      </c>
      <c r="V2150" s="16" t="s">
        <v>14478</v>
      </c>
      <c r="W2150" s="11" t="s">
        <v>14433</v>
      </c>
      <c r="X2150" s="174">
        <v>1.93</v>
      </c>
      <c r="Y2150" s="174">
        <v>2.48</v>
      </c>
    </row>
    <row r="2151" spans="1:25" ht="15" customHeight="1" x14ac:dyDescent="0.25">
      <c r="A2151" s="20" t="s">
        <v>3107</v>
      </c>
      <c r="B2151" s="14" t="s">
        <v>3108</v>
      </c>
      <c r="C2151" s="71" t="str">
        <f t="shared" si="43"/>
        <v>Product Info</v>
      </c>
      <c r="D2151" s="37" t="s">
        <v>3109</v>
      </c>
      <c r="E2151" s="143">
        <v>1</v>
      </c>
      <c r="F2151" s="12" t="s">
        <v>4992</v>
      </c>
      <c r="G2151" s="38">
        <v>1462.2</v>
      </c>
      <c r="H2151" s="38">
        <v>1242.9100000000001</v>
      </c>
      <c r="I2151" s="38">
        <v>1023.54</v>
      </c>
      <c r="J2151" s="39"/>
      <c r="K2151" s="143"/>
      <c r="L2151" s="22">
        <v>0</v>
      </c>
      <c r="M2151" s="22">
        <v>0</v>
      </c>
      <c r="N2151" s="20" t="s">
        <v>14489</v>
      </c>
      <c r="O2151" s="16">
        <v>0</v>
      </c>
      <c r="P2151" s="143">
        <v>758</v>
      </c>
      <c r="Q2151" s="121" t="s">
        <v>14285</v>
      </c>
      <c r="R2151" s="16" t="s">
        <v>9235</v>
      </c>
      <c r="S2151" s="10" t="s">
        <v>1163</v>
      </c>
      <c r="T2151" s="28" t="s">
        <v>11180</v>
      </c>
      <c r="U2151" s="20" t="s">
        <v>5359</v>
      </c>
      <c r="V2151" s="16" t="s">
        <v>3107</v>
      </c>
      <c r="W2151" s="11" t="s">
        <v>14433</v>
      </c>
      <c r="X2151" s="174">
        <v>972.87</v>
      </c>
      <c r="Y2151" s="174">
        <v>1242.9100000000001</v>
      </c>
    </row>
    <row r="2152" spans="1:25" ht="15" customHeight="1" x14ac:dyDescent="0.25">
      <c r="A2152" s="20" t="s">
        <v>985</v>
      </c>
      <c r="B2152" s="14" t="s">
        <v>986</v>
      </c>
      <c r="C2152" s="71" t="str">
        <f t="shared" si="43"/>
        <v>Product Info</v>
      </c>
      <c r="D2152" s="37" t="s">
        <v>987</v>
      </c>
      <c r="E2152" s="143">
        <v>1</v>
      </c>
      <c r="F2152" s="12" t="s">
        <v>4992</v>
      </c>
      <c r="G2152" s="38">
        <v>1169.79</v>
      </c>
      <c r="H2152" s="38">
        <v>994.35</v>
      </c>
      <c r="I2152" s="38">
        <v>818.85</v>
      </c>
      <c r="J2152" s="39"/>
      <c r="K2152" s="143"/>
      <c r="L2152" s="22">
        <v>0</v>
      </c>
      <c r="M2152" s="22">
        <v>0</v>
      </c>
      <c r="N2152" s="20" t="s">
        <v>14489</v>
      </c>
      <c r="O2152" s="16">
        <v>0</v>
      </c>
      <c r="P2152" s="143">
        <v>758</v>
      </c>
      <c r="Q2152" s="121" t="s">
        <v>14285</v>
      </c>
      <c r="R2152" s="16" t="s">
        <v>9235</v>
      </c>
      <c r="S2152" s="10" t="s">
        <v>1163</v>
      </c>
      <c r="T2152" s="28" t="s">
        <v>11181</v>
      </c>
      <c r="U2152" s="20" t="s">
        <v>5359</v>
      </c>
      <c r="V2152" s="16" t="s">
        <v>985</v>
      </c>
      <c r="W2152" s="11" t="s">
        <v>14433</v>
      </c>
      <c r="X2152" s="174">
        <v>778.31</v>
      </c>
      <c r="Y2152" s="174">
        <v>994.35</v>
      </c>
    </row>
    <row r="2153" spans="1:25" ht="15" customHeight="1" x14ac:dyDescent="0.25">
      <c r="A2153" s="20" t="s">
        <v>3958</v>
      </c>
      <c r="B2153" s="14" t="s">
        <v>618</v>
      </c>
      <c r="C2153" s="71" t="str">
        <f t="shared" si="43"/>
        <v>Product Info</v>
      </c>
      <c r="D2153" s="37" t="s">
        <v>3272</v>
      </c>
      <c r="E2153" s="143">
        <v>1</v>
      </c>
      <c r="F2153" s="12" t="s">
        <v>4992</v>
      </c>
      <c r="G2153" s="38">
        <v>519.09</v>
      </c>
      <c r="H2153" s="38">
        <v>441.24</v>
      </c>
      <c r="I2153" s="38">
        <v>363.36</v>
      </c>
      <c r="J2153" s="39"/>
      <c r="K2153" s="143"/>
      <c r="L2153" s="22">
        <v>0</v>
      </c>
      <c r="M2153" s="22">
        <v>0</v>
      </c>
      <c r="N2153" s="20" t="s">
        <v>14489</v>
      </c>
      <c r="O2153" s="16">
        <v>0</v>
      </c>
      <c r="P2153" s="143">
        <v>758</v>
      </c>
      <c r="Q2153" s="121" t="s">
        <v>14285</v>
      </c>
      <c r="R2153" s="16" t="s">
        <v>9235</v>
      </c>
      <c r="S2153" s="10" t="s">
        <v>1163</v>
      </c>
      <c r="T2153" s="28" t="s">
        <v>11182</v>
      </c>
      <c r="U2153" s="20" t="s">
        <v>5359</v>
      </c>
      <c r="V2153" s="16" t="s">
        <v>3958</v>
      </c>
      <c r="W2153" s="11" t="s">
        <v>14433</v>
      </c>
      <c r="X2153" s="174">
        <v>345.37</v>
      </c>
      <c r="Y2153" s="174">
        <v>441.24</v>
      </c>
    </row>
    <row r="2154" spans="1:25" ht="15" customHeight="1" x14ac:dyDescent="0.25">
      <c r="A2154" s="20" t="s">
        <v>14469</v>
      </c>
      <c r="B2154" s="14" t="s">
        <v>14470</v>
      </c>
      <c r="C2154" s="71" t="str">
        <f t="shared" si="43"/>
        <v>Product Info</v>
      </c>
      <c r="D2154" s="145" t="s">
        <v>14887</v>
      </c>
      <c r="E2154" s="143">
        <v>10</v>
      </c>
      <c r="F2154" s="12" t="s">
        <v>4992</v>
      </c>
      <c r="G2154" s="38">
        <v>4.5</v>
      </c>
      <c r="H2154" s="38">
        <f>I2154</f>
        <v>3.15</v>
      </c>
      <c r="I2154" s="38">
        <v>3.15</v>
      </c>
      <c r="J2154" s="39"/>
      <c r="K2154" s="143"/>
      <c r="L2154" s="22">
        <v>0.03</v>
      </c>
      <c r="M2154" s="22" t="s">
        <v>12487</v>
      </c>
      <c r="N2154" s="20" t="s">
        <v>12814</v>
      </c>
      <c r="O2154" s="16"/>
      <c r="P2154" s="143">
        <v>755</v>
      </c>
      <c r="Q2154" s="121" t="s">
        <v>14285</v>
      </c>
      <c r="R2154" s="16" t="s">
        <v>8904</v>
      </c>
      <c r="S2154" s="10" t="s">
        <v>194</v>
      </c>
      <c r="T2154" s="28" t="s">
        <v>14475</v>
      </c>
      <c r="U2154" s="20" t="s">
        <v>5359</v>
      </c>
      <c r="V2154" s="16" t="s">
        <v>14479</v>
      </c>
      <c r="W2154" s="11" t="s">
        <v>14433</v>
      </c>
      <c r="X2154" s="174">
        <v>2.46</v>
      </c>
      <c r="Y2154" s="174">
        <v>3.15</v>
      </c>
    </row>
    <row r="2155" spans="1:25" ht="15" customHeight="1" x14ac:dyDescent="0.25">
      <c r="A2155" s="20" t="s">
        <v>619</v>
      </c>
      <c r="B2155" s="14" t="s">
        <v>620</v>
      </c>
      <c r="C2155" s="71" t="str">
        <f t="shared" si="43"/>
        <v>Product Info</v>
      </c>
      <c r="D2155" s="37" t="s">
        <v>621</v>
      </c>
      <c r="E2155" s="143">
        <v>1</v>
      </c>
      <c r="F2155" s="12" t="s">
        <v>4992</v>
      </c>
      <c r="G2155" s="38">
        <v>538.30999999999995</v>
      </c>
      <c r="H2155" s="38">
        <v>457.58</v>
      </c>
      <c r="I2155" s="38">
        <v>376.82</v>
      </c>
      <c r="J2155" s="39"/>
      <c r="K2155" s="143"/>
      <c r="L2155" s="22">
        <v>0</v>
      </c>
      <c r="M2155" s="22">
        <v>0</v>
      </c>
      <c r="N2155" s="20" t="s">
        <v>14489</v>
      </c>
      <c r="O2155" s="16">
        <v>0</v>
      </c>
      <c r="P2155" s="143">
        <v>758</v>
      </c>
      <c r="Q2155" s="121" t="s">
        <v>14285</v>
      </c>
      <c r="R2155" s="16" t="s">
        <v>9235</v>
      </c>
      <c r="S2155" s="10" t="s">
        <v>1163</v>
      </c>
      <c r="T2155" s="28" t="s">
        <v>11183</v>
      </c>
      <c r="U2155" s="20" t="s">
        <v>5359</v>
      </c>
      <c r="V2155" s="16" t="s">
        <v>619</v>
      </c>
      <c r="W2155" s="11" t="s">
        <v>14433</v>
      </c>
      <c r="X2155" s="174">
        <v>358.17</v>
      </c>
      <c r="Y2155" s="174">
        <v>457.58</v>
      </c>
    </row>
    <row r="2156" spans="1:25" ht="15" customHeight="1" x14ac:dyDescent="0.25">
      <c r="A2156" s="20" t="s">
        <v>3959</v>
      </c>
      <c r="B2156" s="14" t="s">
        <v>622</v>
      </c>
      <c r="C2156" s="71" t="str">
        <f t="shared" si="43"/>
        <v>Product Info</v>
      </c>
      <c r="D2156" s="37" t="s">
        <v>3273</v>
      </c>
      <c r="E2156" s="143">
        <v>1</v>
      </c>
      <c r="F2156" s="12" t="s">
        <v>4992</v>
      </c>
      <c r="G2156" s="38">
        <v>519.09</v>
      </c>
      <c r="H2156" s="38">
        <v>441.24</v>
      </c>
      <c r="I2156" s="38">
        <v>363.36</v>
      </c>
      <c r="J2156" s="39"/>
      <c r="K2156" s="143"/>
      <c r="L2156" s="22">
        <v>0</v>
      </c>
      <c r="M2156" s="22">
        <v>0</v>
      </c>
      <c r="N2156" s="20" t="s">
        <v>14489</v>
      </c>
      <c r="O2156" s="16">
        <v>0</v>
      </c>
      <c r="P2156" s="143">
        <v>758</v>
      </c>
      <c r="Q2156" s="121" t="s">
        <v>14285</v>
      </c>
      <c r="R2156" s="16" t="s">
        <v>9235</v>
      </c>
      <c r="S2156" s="10" t="s">
        <v>1163</v>
      </c>
      <c r="T2156" s="28" t="s">
        <v>11184</v>
      </c>
      <c r="U2156" s="20" t="s">
        <v>5359</v>
      </c>
      <c r="V2156" s="16" t="s">
        <v>3959</v>
      </c>
      <c r="W2156" s="11" t="s">
        <v>14433</v>
      </c>
      <c r="X2156" s="174">
        <v>345.37</v>
      </c>
      <c r="Y2156" s="174">
        <v>441.24</v>
      </c>
    </row>
    <row r="2157" spans="1:25" ht="15" customHeight="1" x14ac:dyDescent="0.25">
      <c r="A2157" s="20" t="s">
        <v>14471</v>
      </c>
      <c r="B2157" s="14" t="s">
        <v>14472</v>
      </c>
      <c r="C2157" s="71" t="str">
        <f t="shared" si="43"/>
        <v>Product Info</v>
      </c>
      <c r="D2157" s="145" t="s">
        <v>14888</v>
      </c>
      <c r="E2157" s="143">
        <v>10</v>
      </c>
      <c r="F2157" s="12" t="s">
        <v>4992</v>
      </c>
      <c r="G2157" s="38">
        <v>6.6</v>
      </c>
      <c r="H2157" s="38">
        <f>I2157</f>
        <v>4.62</v>
      </c>
      <c r="I2157" s="38">
        <v>4.62</v>
      </c>
      <c r="J2157" s="39"/>
      <c r="K2157" s="143"/>
      <c r="L2157" s="22">
        <v>7.0000000000000007E-2</v>
      </c>
      <c r="M2157" s="22" t="s">
        <v>12487</v>
      </c>
      <c r="N2157" s="20" t="s">
        <v>12814</v>
      </c>
      <c r="O2157" s="16"/>
      <c r="P2157" s="143">
        <v>755</v>
      </c>
      <c r="Q2157" s="121" t="s">
        <v>14285</v>
      </c>
      <c r="R2157" s="16" t="s">
        <v>8904</v>
      </c>
      <c r="S2157" s="10" t="s">
        <v>194</v>
      </c>
      <c r="T2157" s="28" t="s">
        <v>14480</v>
      </c>
      <c r="U2157" s="20" t="s">
        <v>5359</v>
      </c>
      <c r="V2157" s="16" t="s">
        <v>14481</v>
      </c>
      <c r="W2157" s="11" t="s">
        <v>14433</v>
      </c>
      <c r="X2157" s="174">
        <v>3.6</v>
      </c>
      <c r="Y2157" s="174">
        <v>4.62</v>
      </c>
    </row>
    <row r="2158" spans="1:25" ht="15" customHeight="1" x14ac:dyDescent="0.25">
      <c r="A2158" s="20" t="s">
        <v>623</v>
      </c>
      <c r="B2158" s="14" t="s">
        <v>624</v>
      </c>
      <c r="C2158" s="71" t="str">
        <f t="shared" si="43"/>
        <v>Product Info</v>
      </c>
      <c r="D2158" s="37" t="s">
        <v>625</v>
      </c>
      <c r="E2158" s="143">
        <v>1</v>
      </c>
      <c r="F2158" s="12" t="s">
        <v>4992</v>
      </c>
      <c r="G2158" s="38">
        <v>538.30999999999995</v>
      </c>
      <c r="H2158" s="38">
        <v>457.58</v>
      </c>
      <c r="I2158" s="38">
        <v>376.82</v>
      </c>
      <c r="J2158" s="39"/>
      <c r="K2158" s="143"/>
      <c r="L2158" s="22">
        <v>0</v>
      </c>
      <c r="M2158" s="22">
        <v>0</v>
      </c>
      <c r="N2158" s="20" t="s">
        <v>14489</v>
      </c>
      <c r="O2158" s="16">
        <v>0</v>
      </c>
      <c r="P2158" s="143">
        <v>758</v>
      </c>
      <c r="Q2158" s="121" t="s">
        <v>14285</v>
      </c>
      <c r="R2158" s="16" t="s">
        <v>9235</v>
      </c>
      <c r="S2158" s="10" t="s">
        <v>1163</v>
      </c>
      <c r="T2158" s="28" t="s">
        <v>11185</v>
      </c>
      <c r="U2158" s="20" t="s">
        <v>5359</v>
      </c>
      <c r="V2158" s="16" t="s">
        <v>623</v>
      </c>
      <c r="W2158" s="11" t="s">
        <v>14433</v>
      </c>
      <c r="X2158" s="174">
        <v>358.17</v>
      </c>
      <c r="Y2158" s="174">
        <v>457.58</v>
      </c>
    </row>
    <row r="2159" spans="1:25" ht="15" customHeight="1" x14ac:dyDescent="0.25">
      <c r="A2159" s="20" t="s">
        <v>6144</v>
      </c>
      <c r="B2159" s="14" t="s">
        <v>626</v>
      </c>
      <c r="C2159" s="71" t="str">
        <f t="shared" si="43"/>
        <v>Product Info</v>
      </c>
      <c r="D2159" s="37" t="s">
        <v>3277</v>
      </c>
      <c r="E2159" s="143">
        <v>1</v>
      </c>
      <c r="F2159" s="12" t="s">
        <v>4992</v>
      </c>
      <c r="G2159" s="38">
        <v>506.43</v>
      </c>
      <c r="H2159" s="38">
        <v>430.48</v>
      </c>
      <c r="I2159" s="38">
        <v>354.5</v>
      </c>
      <c r="J2159" s="39"/>
      <c r="K2159" s="143"/>
      <c r="L2159" s="22">
        <v>0</v>
      </c>
      <c r="M2159" s="22">
        <v>0</v>
      </c>
      <c r="N2159" s="20" t="s">
        <v>14489</v>
      </c>
      <c r="O2159" s="16">
        <v>0</v>
      </c>
      <c r="P2159" s="143">
        <v>758</v>
      </c>
      <c r="Q2159" s="121" t="s">
        <v>14285</v>
      </c>
      <c r="R2159" s="16" t="s">
        <v>9235</v>
      </c>
      <c r="S2159" s="10" t="s">
        <v>1163</v>
      </c>
      <c r="T2159" s="28" t="s">
        <v>11186</v>
      </c>
      <c r="U2159" s="20" t="s">
        <v>5359</v>
      </c>
      <c r="V2159" s="16" t="s">
        <v>6144</v>
      </c>
      <c r="W2159" s="11" t="s">
        <v>14433</v>
      </c>
      <c r="X2159" s="174">
        <v>336.95</v>
      </c>
      <c r="Y2159" s="174">
        <v>430.48</v>
      </c>
    </row>
    <row r="2160" spans="1:25" ht="15" customHeight="1" x14ac:dyDescent="0.25">
      <c r="A2160" s="20" t="s">
        <v>627</v>
      </c>
      <c r="B2160" s="14" t="s">
        <v>628</v>
      </c>
      <c r="C2160" s="71" t="str">
        <f t="shared" si="43"/>
        <v>Product Info</v>
      </c>
      <c r="D2160" s="37" t="s">
        <v>629</v>
      </c>
      <c r="E2160" s="143">
        <v>1</v>
      </c>
      <c r="F2160" s="12" t="s">
        <v>4992</v>
      </c>
      <c r="G2160" s="38">
        <v>525.19000000000005</v>
      </c>
      <c r="H2160" s="38">
        <v>446.42</v>
      </c>
      <c r="I2160" s="38">
        <v>367.63</v>
      </c>
      <c r="J2160" s="39"/>
      <c r="K2160" s="143"/>
      <c r="L2160" s="22">
        <v>0</v>
      </c>
      <c r="M2160" s="22">
        <v>0</v>
      </c>
      <c r="N2160" s="20" t="s">
        <v>14489</v>
      </c>
      <c r="O2160" s="16">
        <v>0</v>
      </c>
      <c r="P2160" s="143">
        <v>758</v>
      </c>
      <c r="Q2160" s="121" t="s">
        <v>14285</v>
      </c>
      <c r="R2160" s="16" t="s">
        <v>9235</v>
      </c>
      <c r="S2160" s="10" t="s">
        <v>1163</v>
      </c>
      <c r="T2160" s="28" t="s">
        <v>11187</v>
      </c>
      <c r="U2160" s="20" t="s">
        <v>5359</v>
      </c>
      <c r="V2160" s="16" t="s">
        <v>627</v>
      </c>
      <c r="W2160" s="11" t="s">
        <v>14433</v>
      </c>
      <c r="X2160" s="174">
        <v>349.43</v>
      </c>
      <c r="Y2160" s="174">
        <v>446.42</v>
      </c>
    </row>
    <row r="2161" spans="1:25" ht="15" customHeight="1" x14ac:dyDescent="0.25">
      <c r="A2161" s="20" t="s">
        <v>6145</v>
      </c>
      <c r="B2161" s="14" t="s">
        <v>630</v>
      </c>
      <c r="C2161" s="71" t="str">
        <f t="shared" si="43"/>
        <v>Product Info</v>
      </c>
      <c r="D2161" s="37" t="s">
        <v>3278</v>
      </c>
      <c r="E2161" s="143">
        <v>1</v>
      </c>
      <c r="F2161" s="12" t="s">
        <v>4992</v>
      </c>
      <c r="G2161" s="38">
        <v>506.43</v>
      </c>
      <c r="H2161" s="38">
        <v>430.48</v>
      </c>
      <c r="I2161" s="38">
        <v>354.5</v>
      </c>
      <c r="J2161" s="39"/>
      <c r="K2161" s="143"/>
      <c r="L2161" s="22">
        <v>0</v>
      </c>
      <c r="M2161" s="22">
        <v>0</v>
      </c>
      <c r="N2161" s="20" t="s">
        <v>14489</v>
      </c>
      <c r="O2161" s="16">
        <v>0</v>
      </c>
      <c r="P2161" s="143">
        <v>758</v>
      </c>
      <c r="Q2161" s="121" t="s">
        <v>14285</v>
      </c>
      <c r="R2161" s="16" t="s">
        <v>9235</v>
      </c>
      <c r="S2161" s="10" t="s">
        <v>1163</v>
      </c>
      <c r="T2161" s="28" t="s">
        <v>11188</v>
      </c>
      <c r="U2161" s="20" t="s">
        <v>5359</v>
      </c>
      <c r="V2161" s="16" t="s">
        <v>6145</v>
      </c>
      <c r="W2161" s="11" t="s">
        <v>14433</v>
      </c>
      <c r="X2161" s="174">
        <v>336.95</v>
      </c>
      <c r="Y2161" s="174">
        <v>430.48</v>
      </c>
    </row>
    <row r="2162" spans="1:25" ht="15" customHeight="1" x14ac:dyDescent="0.25">
      <c r="A2162" s="20" t="s">
        <v>631</v>
      </c>
      <c r="B2162" s="14" t="s">
        <v>632</v>
      </c>
      <c r="C2162" s="71" t="str">
        <f t="shared" si="43"/>
        <v>Product Info</v>
      </c>
      <c r="D2162" s="37" t="s">
        <v>633</v>
      </c>
      <c r="E2162" s="143">
        <v>1</v>
      </c>
      <c r="F2162" s="12" t="s">
        <v>4992</v>
      </c>
      <c r="G2162" s="38">
        <v>525.19000000000005</v>
      </c>
      <c r="H2162" s="38">
        <v>446.42</v>
      </c>
      <c r="I2162" s="38">
        <v>367.63</v>
      </c>
      <c r="J2162" s="39"/>
      <c r="K2162" s="143"/>
      <c r="L2162" s="22">
        <v>0</v>
      </c>
      <c r="M2162" s="22">
        <v>0</v>
      </c>
      <c r="N2162" s="20" t="s">
        <v>14489</v>
      </c>
      <c r="O2162" s="16">
        <v>0</v>
      </c>
      <c r="P2162" s="143">
        <v>758</v>
      </c>
      <c r="Q2162" s="121" t="s">
        <v>14285</v>
      </c>
      <c r="R2162" s="16" t="s">
        <v>9235</v>
      </c>
      <c r="S2162" s="10" t="s">
        <v>1163</v>
      </c>
      <c r="T2162" s="28" t="s">
        <v>11189</v>
      </c>
      <c r="U2162" s="20" t="s">
        <v>5359</v>
      </c>
      <c r="V2162" s="16" t="s">
        <v>631</v>
      </c>
      <c r="W2162" s="11" t="s">
        <v>14433</v>
      </c>
      <c r="X2162" s="174">
        <v>349.43</v>
      </c>
      <c r="Y2162" s="174">
        <v>446.42</v>
      </c>
    </row>
    <row r="2163" spans="1:25" ht="15" customHeight="1" x14ac:dyDescent="0.25">
      <c r="A2163" s="20" t="s">
        <v>6150</v>
      </c>
      <c r="B2163" s="14" t="s">
        <v>634</v>
      </c>
      <c r="C2163" s="71" t="str">
        <f t="shared" si="43"/>
        <v>Product Info</v>
      </c>
      <c r="D2163" s="37" t="s">
        <v>3281</v>
      </c>
      <c r="E2163" s="143">
        <v>1</v>
      </c>
      <c r="F2163" s="12" t="s">
        <v>4992</v>
      </c>
      <c r="G2163" s="38">
        <v>506.43</v>
      </c>
      <c r="H2163" s="38">
        <v>430.48</v>
      </c>
      <c r="I2163" s="38">
        <v>354.5</v>
      </c>
      <c r="J2163" s="39"/>
      <c r="K2163" s="143"/>
      <c r="L2163" s="22">
        <v>0</v>
      </c>
      <c r="M2163" s="22">
        <v>0</v>
      </c>
      <c r="N2163" s="20" t="s">
        <v>14489</v>
      </c>
      <c r="O2163" s="16">
        <v>0</v>
      </c>
      <c r="P2163" s="143">
        <v>758</v>
      </c>
      <c r="Q2163" s="121" t="s">
        <v>14285</v>
      </c>
      <c r="R2163" s="16" t="s">
        <v>9235</v>
      </c>
      <c r="S2163" s="10" t="s">
        <v>1163</v>
      </c>
      <c r="T2163" s="28" t="s">
        <v>11190</v>
      </c>
      <c r="U2163" s="20" t="s">
        <v>5359</v>
      </c>
      <c r="V2163" s="16" t="s">
        <v>6150</v>
      </c>
      <c r="W2163" s="11" t="s">
        <v>14433</v>
      </c>
      <c r="X2163" s="174">
        <v>336.95</v>
      </c>
      <c r="Y2163" s="174">
        <v>430.48</v>
      </c>
    </row>
    <row r="2164" spans="1:25" ht="15" customHeight="1" x14ac:dyDescent="0.25">
      <c r="A2164" s="20" t="s">
        <v>635</v>
      </c>
      <c r="B2164" s="14" t="s">
        <v>636</v>
      </c>
      <c r="C2164" s="71" t="str">
        <f t="shared" si="43"/>
        <v>Product Info</v>
      </c>
      <c r="D2164" s="37" t="s">
        <v>637</v>
      </c>
      <c r="E2164" s="143">
        <v>1</v>
      </c>
      <c r="F2164" s="12" t="s">
        <v>4992</v>
      </c>
      <c r="G2164" s="38">
        <v>525.19000000000005</v>
      </c>
      <c r="H2164" s="38">
        <v>446.42</v>
      </c>
      <c r="I2164" s="38">
        <v>367.63</v>
      </c>
      <c r="J2164" s="39"/>
      <c r="K2164" s="143"/>
      <c r="L2164" s="22">
        <v>0</v>
      </c>
      <c r="M2164" s="22">
        <v>0</v>
      </c>
      <c r="N2164" s="20" t="s">
        <v>14489</v>
      </c>
      <c r="O2164" s="16">
        <v>0</v>
      </c>
      <c r="P2164" s="143">
        <v>758</v>
      </c>
      <c r="Q2164" s="121" t="s">
        <v>14285</v>
      </c>
      <c r="R2164" s="16" t="s">
        <v>9235</v>
      </c>
      <c r="S2164" s="10" t="s">
        <v>1163</v>
      </c>
      <c r="T2164" s="28" t="s">
        <v>11191</v>
      </c>
      <c r="U2164" s="20" t="s">
        <v>5359</v>
      </c>
      <c r="V2164" s="16" t="s">
        <v>635</v>
      </c>
      <c r="W2164" s="11" t="s">
        <v>14433</v>
      </c>
      <c r="X2164" s="174">
        <v>349.43</v>
      </c>
      <c r="Y2164" s="174">
        <v>446.42</v>
      </c>
    </row>
    <row r="2165" spans="1:25" ht="15" customHeight="1" x14ac:dyDescent="0.25">
      <c r="A2165" s="20" t="s">
        <v>7930</v>
      </c>
      <c r="B2165" s="14" t="s">
        <v>638</v>
      </c>
      <c r="C2165" s="71" t="str">
        <f t="shared" si="43"/>
        <v>Product Info</v>
      </c>
      <c r="D2165" s="37" t="s">
        <v>3286</v>
      </c>
      <c r="E2165" s="143">
        <v>1</v>
      </c>
      <c r="F2165" s="12" t="s">
        <v>4992</v>
      </c>
      <c r="G2165" s="38">
        <v>506.43</v>
      </c>
      <c r="H2165" s="38">
        <v>430.48</v>
      </c>
      <c r="I2165" s="38">
        <v>354.5</v>
      </c>
      <c r="J2165" s="39"/>
      <c r="K2165" s="143"/>
      <c r="L2165" s="22">
        <v>0</v>
      </c>
      <c r="M2165" s="22">
        <v>0</v>
      </c>
      <c r="N2165" s="20" t="s">
        <v>14489</v>
      </c>
      <c r="O2165" s="16">
        <v>0</v>
      </c>
      <c r="P2165" s="143">
        <v>758</v>
      </c>
      <c r="Q2165" s="121" t="s">
        <v>14285</v>
      </c>
      <c r="R2165" s="16" t="s">
        <v>9235</v>
      </c>
      <c r="S2165" s="10" t="s">
        <v>1163</v>
      </c>
      <c r="T2165" s="28" t="s">
        <v>11192</v>
      </c>
      <c r="U2165" s="20" t="s">
        <v>5359</v>
      </c>
      <c r="V2165" s="16" t="s">
        <v>7930</v>
      </c>
      <c r="W2165" s="11" t="s">
        <v>14433</v>
      </c>
      <c r="X2165" s="174">
        <v>336.95</v>
      </c>
      <c r="Y2165" s="174">
        <v>430.48</v>
      </c>
    </row>
    <row r="2166" spans="1:25" ht="15" customHeight="1" x14ac:dyDescent="0.25">
      <c r="A2166" s="20" t="s">
        <v>639</v>
      </c>
      <c r="B2166" s="14" t="s">
        <v>640</v>
      </c>
      <c r="C2166" s="71" t="str">
        <f t="shared" si="43"/>
        <v>Product Info</v>
      </c>
      <c r="D2166" s="37" t="s">
        <v>641</v>
      </c>
      <c r="E2166" s="143">
        <v>1</v>
      </c>
      <c r="F2166" s="12" t="s">
        <v>4992</v>
      </c>
      <c r="G2166" s="38">
        <v>525.19000000000005</v>
      </c>
      <c r="H2166" s="38">
        <v>446.42</v>
      </c>
      <c r="I2166" s="38">
        <v>367.63</v>
      </c>
      <c r="J2166" s="39"/>
      <c r="K2166" s="143"/>
      <c r="L2166" s="22">
        <v>0</v>
      </c>
      <c r="M2166" s="22">
        <v>0</v>
      </c>
      <c r="N2166" s="20" t="s">
        <v>14489</v>
      </c>
      <c r="O2166" s="16">
        <v>0</v>
      </c>
      <c r="P2166" s="143">
        <v>758</v>
      </c>
      <c r="Q2166" s="121" t="s">
        <v>14285</v>
      </c>
      <c r="R2166" s="16" t="s">
        <v>9235</v>
      </c>
      <c r="S2166" s="10" t="s">
        <v>1163</v>
      </c>
      <c r="T2166" s="28" t="s">
        <v>11193</v>
      </c>
      <c r="U2166" s="20" t="s">
        <v>5359</v>
      </c>
      <c r="V2166" s="16" t="s">
        <v>639</v>
      </c>
      <c r="W2166" s="11" t="s">
        <v>14433</v>
      </c>
      <c r="X2166" s="174">
        <v>349.43</v>
      </c>
      <c r="Y2166" s="174">
        <v>446.42</v>
      </c>
    </row>
    <row r="2167" spans="1:25" ht="15" customHeight="1" x14ac:dyDescent="0.25">
      <c r="A2167" s="20" t="s">
        <v>7336</v>
      </c>
      <c r="B2167" s="14" t="s">
        <v>642</v>
      </c>
      <c r="C2167" s="71" t="str">
        <f t="shared" si="43"/>
        <v>Product Info</v>
      </c>
      <c r="D2167" s="37" t="s">
        <v>3290</v>
      </c>
      <c r="E2167" s="143">
        <v>1</v>
      </c>
      <c r="F2167" s="12" t="s">
        <v>4992</v>
      </c>
      <c r="G2167" s="38">
        <v>506.43</v>
      </c>
      <c r="H2167" s="38">
        <v>430.48</v>
      </c>
      <c r="I2167" s="38">
        <v>354.5</v>
      </c>
      <c r="J2167" s="39"/>
      <c r="K2167" s="143"/>
      <c r="L2167" s="22">
        <v>0</v>
      </c>
      <c r="M2167" s="22">
        <v>0</v>
      </c>
      <c r="N2167" s="20" t="s">
        <v>14489</v>
      </c>
      <c r="O2167" s="16">
        <v>0</v>
      </c>
      <c r="P2167" s="143">
        <v>758</v>
      </c>
      <c r="Q2167" s="121" t="s">
        <v>14285</v>
      </c>
      <c r="R2167" s="16" t="s">
        <v>9235</v>
      </c>
      <c r="S2167" s="10" t="s">
        <v>1163</v>
      </c>
      <c r="T2167" s="28" t="s">
        <v>11194</v>
      </c>
      <c r="U2167" s="20" t="s">
        <v>5359</v>
      </c>
      <c r="V2167" s="16" t="s">
        <v>7336</v>
      </c>
      <c r="W2167" s="11" t="s">
        <v>14433</v>
      </c>
      <c r="X2167" s="174">
        <v>336.95</v>
      </c>
      <c r="Y2167" s="174">
        <v>430.48</v>
      </c>
    </row>
    <row r="2168" spans="1:25" ht="15" customHeight="1" x14ac:dyDescent="0.25">
      <c r="A2168" s="20" t="s">
        <v>643</v>
      </c>
      <c r="B2168" s="14" t="s">
        <v>644</v>
      </c>
      <c r="C2168" s="71" t="str">
        <f t="shared" si="43"/>
        <v>Product Info</v>
      </c>
      <c r="D2168" s="37" t="s">
        <v>645</v>
      </c>
      <c r="E2168" s="143">
        <v>1</v>
      </c>
      <c r="F2168" s="12" t="s">
        <v>4992</v>
      </c>
      <c r="G2168" s="38">
        <v>525.19000000000005</v>
      </c>
      <c r="H2168" s="38">
        <v>446.42</v>
      </c>
      <c r="I2168" s="38">
        <v>367.63</v>
      </c>
      <c r="J2168" s="39"/>
      <c r="K2168" s="143"/>
      <c r="L2168" s="22">
        <v>0</v>
      </c>
      <c r="M2168" s="22">
        <v>0</v>
      </c>
      <c r="N2168" s="20" t="s">
        <v>14489</v>
      </c>
      <c r="O2168" s="16">
        <v>0</v>
      </c>
      <c r="P2168" s="143">
        <v>758</v>
      </c>
      <c r="Q2168" s="121" t="s">
        <v>14285</v>
      </c>
      <c r="R2168" s="16" t="s">
        <v>9235</v>
      </c>
      <c r="S2168" s="10" t="s">
        <v>1163</v>
      </c>
      <c r="T2168" s="28" t="s">
        <v>11195</v>
      </c>
      <c r="U2168" s="20" t="s">
        <v>5359</v>
      </c>
      <c r="V2168" s="16" t="s">
        <v>643</v>
      </c>
      <c r="W2168" s="11" t="s">
        <v>14433</v>
      </c>
      <c r="X2168" s="174">
        <v>349.43</v>
      </c>
      <c r="Y2168" s="174">
        <v>446.42</v>
      </c>
    </row>
    <row r="2169" spans="1:25" ht="15" customHeight="1" x14ac:dyDescent="0.25">
      <c r="A2169" s="20" t="s">
        <v>7337</v>
      </c>
      <c r="B2169" s="14" t="s">
        <v>646</v>
      </c>
      <c r="C2169" s="71" t="str">
        <f t="shared" si="43"/>
        <v>Product Info</v>
      </c>
      <c r="D2169" s="37" t="s">
        <v>3291</v>
      </c>
      <c r="E2169" s="143">
        <v>1</v>
      </c>
      <c r="F2169" s="12" t="s">
        <v>4992</v>
      </c>
      <c r="G2169" s="38">
        <v>506.43</v>
      </c>
      <c r="H2169" s="38">
        <v>430.48</v>
      </c>
      <c r="I2169" s="38">
        <v>354.5</v>
      </c>
      <c r="J2169" s="39"/>
      <c r="K2169" s="143"/>
      <c r="L2169" s="22">
        <v>0</v>
      </c>
      <c r="M2169" s="22">
        <v>0</v>
      </c>
      <c r="N2169" s="20" t="s">
        <v>14489</v>
      </c>
      <c r="O2169" s="16">
        <v>0</v>
      </c>
      <c r="P2169" s="143">
        <v>758</v>
      </c>
      <c r="Q2169" s="121" t="s">
        <v>14285</v>
      </c>
      <c r="R2169" s="16" t="s">
        <v>9235</v>
      </c>
      <c r="S2169" s="10" t="s">
        <v>1163</v>
      </c>
      <c r="T2169" s="28" t="s">
        <v>11196</v>
      </c>
      <c r="U2169" s="20" t="s">
        <v>5359</v>
      </c>
      <c r="V2169" s="16" t="s">
        <v>7337</v>
      </c>
      <c r="W2169" s="11" t="s">
        <v>14433</v>
      </c>
      <c r="X2169" s="174">
        <v>336.95</v>
      </c>
      <c r="Y2169" s="174">
        <v>430.48</v>
      </c>
    </row>
    <row r="2170" spans="1:25" ht="15" customHeight="1" x14ac:dyDescent="0.25">
      <c r="A2170" s="20" t="s">
        <v>647</v>
      </c>
      <c r="B2170" s="14" t="s">
        <v>648</v>
      </c>
      <c r="C2170" s="71" t="str">
        <f t="shared" si="43"/>
        <v>Product Info</v>
      </c>
      <c r="D2170" s="37" t="s">
        <v>649</v>
      </c>
      <c r="E2170" s="143">
        <v>1</v>
      </c>
      <c r="F2170" s="12" t="s">
        <v>4992</v>
      </c>
      <c r="G2170" s="38">
        <v>525.19000000000005</v>
      </c>
      <c r="H2170" s="38">
        <v>446.42</v>
      </c>
      <c r="I2170" s="38">
        <v>367.63</v>
      </c>
      <c r="J2170" s="39"/>
      <c r="K2170" s="143"/>
      <c r="L2170" s="22">
        <v>0</v>
      </c>
      <c r="M2170" s="22">
        <v>0</v>
      </c>
      <c r="N2170" s="20" t="s">
        <v>14489</v>
      </c>
      <c r="O2170" s="16">
        <v>0</v>
      </c>
      <c r="P2170" s="143">
        <v>758</v>
      </c>
      <c r="Q2170" s="121" t="s">
        <v>14285</v>
      </c>
      <c r="R2170" s="16" t="s">
        <v>9235</v>
      </c>
      <c r="S2170" s="10" t="s">
        <v>1163</v>
      </c>
      <c r="T2170" s="28" t="s">
        <v>11197</v>
      </c>
      <c r="U2170" s="20" t="s">
        <v>5359</v>
      </c>
      <c r="V2170" s="16" t="s">
        <v>647</v>
      </c>
      <c r="W2170" s="11" t="s">
        <v>14433</v>
      </c>
      <c r="X2170" s="174">
        <v>349.43</v>
      </c>
      <c r="Y2170" s="174">
        <v>446.42</v>
      </c>
    </row>
    <row r="2171" spans="1:25" ht="15" customHeight="1" x14ac:dyDescent="0.25">
      <c r="A2171" s="20" t="s">
        <v>7342</v>
      </c>
      <c r="B2171" s="14" t="s">
        <v>650</v>
      </c>
      <c r="C2171" s="71" t="str">
        <f t="shared" si="43"/>
        <v>Product Info</v>
      </c>
      <c r="D2171" s="37" t="s">
        <v>3294</v>
      </c>
      <c r="E2171" s="143">
        <v>1</v>
      </c>
      <c r="F2171" s="12" t="s">
        <v>4992</v>
      </c>
      <c r="G2171" s="38">
        <v>506.43</v>
      </c>
      <c r="H2171" s="38">
        <v>430.48</v>
      </c>
      <c r="I2171" s="38">
        <v>354.5</v>
      </c>
      <c r="J2171" s="39"/>
      <c r="K2171" s="143"/>
      <c r="L2171" s="22">
        <v>0</v>
      </c>
      <c r="M2171" s="22">
        <v>0</v>
      </c>
      <c r="N2171" s="20" t="s">
        <v>14489</v>
      </c>
      <c r="O2171" s="16">
        <v>0</v>
      </c>
      <c r="P2171" s="143">
        <v>758</v>
      </c>
      <c r="Q2171" s="121" t="s">
        <v>14285</v>
      </c>
      <c r="R2171" s="16" t="s">
        <v>9235</v>
      </c>
      <c r="S2171" s="10" t="s">
        <v>1163</v>
      </c>
      <c r="T2171" s="28" t="s">
        <v>11198</v>
      </c>
      <c r="U2171" s="20" t="s">
        <v>5359</v>
      </c>
      <c r="V2171" s="16" t="s">
        <v>7342</v>
      </c>
      <c r="W2171" s="11" t="s">
        <v>14433</v>
      </c>
      <c r="X2171" s="174">
        <v>336.95</v>
      </c>
      <c r="Y2171" s="174">
        <v>430.48</v>
      </c>
    </row>
    <row r="2172" spans="1:25" ht="15" customHeight="1" x14ac:dyDescent="0.25">
      <c r="A2172" s="20" t="s">
        <v>651</v>
      </c>
      <c r="B2172" s="14" t="s">
        <v>652</v>
      </c>
      <c r="C2172" s="71" t="str">
        <f t="shared" si="43"/>
        <v>Product Info</v>
      </c>
      <c r="D2172" s="37" t="s">
        <v>653</v>
      </c>
      <c r="E2172" s="143">
        <v>1</v>
      </c>
      <c r="F2172" s="12" t="s">
        <v>4992</v>
      </c>
      <c r="G2172" s="38">
        <v>525.19000000000005</v>
      </c>
      <c r="H2172" s="38">
        <v>446.42</v>
      </c>
      <c r="I2172" s="38">
        <v>367.63</v>
      </c>
      <c r="J2172" s="39"/>
      <c r="K2172" s="143"/>
      <c r="L2172" s="22">
        <v>0</v>
      </c>
      <c r="M2172" s="22">
        <v>0</v>
      </c>
      <c r="N2172" s="20" t="s">
        <v>14489</v>
      </c>
      <c r="O2172" s="16">
        <v>0</v>
      </c>
      <c r="P2172" s="143">
        <v>758</v>
      </c>
      <c r="Q2172" s="121" t="s">
        <v>14285</v>
      </c>
      <c r="R2172" s="16" t="s">
        <v>9235</v>
      </c>
      <c r="S2172" s="10" t="s">
        <v>1163</v>
      </c>
      <c r="T2172" s="28" t="s">
        <v>11199</v>
      </c>
      <c r="U2172" s="20" t="s">
        <v>5359</v>
      </c>
      <c r="V2172" s="16" t="s">
        <v>651</v>
      </c>
      <c r="W2172" s="11" t="s">
        <v>14433</v>
      </c>
      <c r="X2172" s="174">
        <v>349.43</v>
      </c>
      <c r="Y2172" s="174">
        <v>446.42</v>
      </c>
    </row>
    <row r="2173" spans="1:25" ht="15" customHeight="1" x14ac:dyDescent="0.25">
      <c r="A2173" s="20" t="s">
        <v>7343</v>
      </c>
      <c r="B2173" s="14" t="s">
        <v>654</v>
      </c>
      <c r="C2173" s="71" t="str">
        <f t="shared" si="43"/>
        <v>Product Info</v>
      </c>
      <c r="D2173" s="37" t="s">
        <v>3295</v>
      </c>
      <c r="E2173" s="143">
        <v>1</v>
      </c>
      <c r="F2173" s="12" t="s">
        <v>4992</v>
      </c>
      <c r="G2173" s="38">
        <v>506.43</v>
      </c>
      <c r="H2173" s="38">
        <v>430.48</v>
      </c>
      <c r="I2173" s="38">
        <v>354.5</v>
      </c>
      <c r="J2173" s="39"/>
      <c r="K2173" s="143"/>
      <c r="L2173" s="22">
        <v>0</v>
      </c>
      <c r="M2173" s="22">
        <v>0</v>
      </c>
      <c r="N2173" s="20" t="s">
        <v>14489</v>
      </c>
      <c r="O2173" s="16">
        <v>0</v>
      </c>
      <c r="P2173" s="143">
        <v>758</v>
      </c>
      <c r="Q2173" s="121" t="s">
        <v>14285</v>
      </c>
      <c r="R2173" s="16" t="s">
        <v>9235</v>
      </c>
      <c r="S2173" s="10" t="s">
        <v>1163</v>
      </c>
      <c r="T2173" s="28" t="s">
        <v>11200</v>
      </c>
      <c r="U2173" s="20" t="s">
        <v>5359</v>
      </c>
      <c r="V2173" s="16" t="s">
        <v>7343</v>
      </c>
      <c r="W2173" s="11" t="s">
        <v>14433</v>
      </c>
      <c r="X2173" s="174">
        <v>336.95</v>
      </c>
      <c r="Y2173" s="174">
        <v>430.48</v>
      </c>
    </row>
    <row r="2174" spans="1:25" ht="15" customHeight="1" x14ac:dyDescent="0.25">
      <c r="A2174" s="20" t="s">
        <v>655</v>
      </c>
      <c r="B2174" s="14" t="s">
        <v>656</v>
      </c>
      <c r="C2174" s="71" t="str">
        <f t="shared" si="43"/>
        <v>Product Info</v>
      </c>
      <c r="D2174" s="37" t="s">
        <v>657</v>
      </c>
      <c r="E2174" s="143">
        <v>1</v>
      </c>
      <c r="F2174" s="12" t="s">
        <v>4992</v>
      </c>
      <c r="G2174" s="38">
        <v>525.19000000000005</v>
      </c>
      <c r="H2174" s="38">
        <v>446.42</v>
      </c>
      <c r="I2174" s="38">
        <v>367.63</v>
      </c>
      <c r="J2174" s="39"/>
      <c r="K2174" s="143"/>
      <c r="L2174" s="22">
        <v>0</v>
      </c>
      <c r="M2174" s="22">
        <v>0</v>
      </c>
      <c r="N2174" s="20" t="s">
        <v>14489</v>
      </c>
      <c r="O2174" s="16">
        <v>0</v>
      </c>
      <c r="P2174" s="143">
        <v>758</v>
      </c>
      <c r="Q2174" s="121" t="s">
        <v>14285</v>
      </c>
      <c r="R2174" s="16" t="s">
        <v>9235</v>
      </c>
      <c r="S2174" s="10" t="s">
        <v>1163</v>
      </c>
      <c r="T2174" s="28" t="s">
        <v>11201</v>
      </c>
      <c r="U2174" s="20" t="s">
        <v>5359</v>
      </c>
      <c r="V2174" s="16" t="s">
        <v>655</v>
      </c>
      <c r="W2174" s="11" t="s">
        <v>14433</v>
      </c>
      <c r="X2174" s="174">
        <v>349.43</v>
      </c>
      <c r="Y2174" s="174">
        <v>446.42</v>
      </c>
    </row>
    <row r="2175" spans="1:25" ht="15" customHeight="1" x14ac:dyDescent="0.25">
      <c r="A2175" s="20" t="s">
        <v>5075</v>
      </c>
      <c r="B2175" s="14" t="s">
        <v>658</v>
      </c>
      <c r="C2175" s="71" t="str">
        <f t="shared" si="43"/>
        <v>Product Info</v>
      </c>
      <c r="D2175" s="37" t="s">
        <v>3298</v>
      </c>
      <c r="E2175" s="143">
        <v>1</v>
      </c>
      <c r="F2175" s="12" t="s">
        <v>4992</v>
      </c>
      <c r="G2175" s="38">
        <v>506.43</v>
      </c>
      <c r="H2175" s="38">
        <v>430.48</v>
      </c>
      <c r="I2175" s="38">
        <v>354.5</v>
      </c>
      <c r="J2175" s="39"/>
      <c r="K2175" s="143"/>
      <c r="L2175" s="22">
        <v>0</v>
      </c>
      <c r="M2175" s="22">
        <v>0</v>
      </c>
      <c r="N2175" s="20" t="s">
        <v>14489</v>
      </c>
      <c r="O2175" s="16">
        <v>0</v>
      </c>
      <c r="P2175" s="143">
        <v>758</v>
      </c>
      <c r="Q2175" s="121" t="s">
        <v>14285</v>
      </c>
      <c r="R2175" s="16" t="s">
        <v>9235</v>
      </c>
      <c r="S2175" s="10" t="s">
        <v>1163</v>
      </c>
      <c r="T2175" s="28" t="s">
        <v>11202</v>
      </c>
      <c r="U2175" s="20" t="s">
        <v>5359</v>
      </c>
      <c r="V2175" s="16" t="s">
        <v>5075</v>
      </c>
      <c r="W2175" s="11" t="s">
        <v>14433</v>
      </c>
      <c r="X2175" s="174">
        <v>336.95</v>
      </c>
      <c r="Y2175" s="174">
        <v>430.48</v>
      </c>
    </row>
    <row r="2176" spans="1:25" ht="15" customHeight="1" x14ac:dyDescent="0.25">
      <c r="A2176" s="20" t="s">
        <v>659</v>
      </c>
      <c r="B2176" s="14" t="s">
        <v>660</v>
      </c>
      <c r="C2176" s="71" t="str">
        <f t="shared" si="43"/>
        <v>Product Info</v>
      </c>
      <c r="D2176" s="37" t="s">
        <v>661</v>
      </c>
      <c r="E2176" s="143">
        <v>1</v>
      </c>
      <c r="F2176" s="12" t="s">
        <v>4992</v>
      </c>
      <c r="G2176" s="38">
        <v>529.66999999999996</v>
      </c>
      <c r="H2176" s="38">
        <v>450.24</v>
      </c>
      <c r="I2176" s="38">
        <v>370.77</v>
      </c>
      <c r="J2176" s="39"/>
      <c r="K2176" s="143"/>
      <c r="L2176" s="22">
        <v>0</v>
      </c>
      <c r="M2176" s="22">
        <v>0</v>
      </c>
      <c r="N2176" s="20" t="s">
        <v>14489</v>
      </c>
      <c r="O2176" s="16">
        <v>0</v>
      </c>
      <c r="P2176" s="143">
        <v>758</v>
      </c>
      <c r="Q2176" s="121" t="s">
        <v>14285</v>
      </c>
      <c r="R2176" s="16" t="s">
        <v>9235</v>
      </c>
      <c r="S2176" s="10" t="s">
        <v>1163</v>
      </c>
      <c r="T2176" s="28" t="s">
        <v>11203</v>
      </c>
      <c r="U2176" s="20" t="s">
        <v>5359</v>
      </c>
      <c r="V2176" s="16" t="s">
        <v>659</v>
      </c>
      <c r="W2176" s="11" t="s">
        <v>14433</v>
      </c>
      <c r="X2176" s="174">
        <v>352.42</v>
      </c>
      <c r="Y2176" s="174">
        <v>450.24</v>
      </c>
    </row>
    <row r="2177" spans="1:25" ht="15" customHeight="1" x14ac:dyDescent="0.25">
      <c r="A2177" s="20" t="s">
        <v>5086</v>
      </c>
      <c r="B2177" s="14" t="s">
        <v>662</v>
      </c>
      <c r="C2177" s="71" t="str">
        <f t="shared" si="43"/>
        <v>Product Info</v>
      </c>
      <c r="D2177" s="37" t="s">
        <v>4170</v>
      </c>
      <c r="E2177" s="143">
        <v>1</v>
      </c>
      <c r="F2177" s="12" t="s">
        <v>4992</v>
      </c>
      <c r="G2177" s="38">
        <v>506.43</v>
      </c>
      <c r="H2177" s="38">
        <v>430.48</v>
      </c>
      <c r="I2177" s="38">
        <v>354.5</v>
      </c>
      <c r="J2177" s="39"/>
      <c r="K2177" s="143"/>
      <c r="L2177" s="22">
        <v>0</v>
      </c>
      <c r="M2177" s="22">
        <v>0</v>
      </c>
      <c r="N2177" s="20" t="s">
        <v>14489</v>
      </c>
      <c r="O2177" s="16">
        <v>0</v>
      </c>
      <c r="P2177" s="143">
        <v>758</v>
      </c>
      <c r="Q2177" s="121" t="s">
        <v>14285</v>
      </c>
      <c r="R2177" s="16" t="s">
        <v>9235</v>
      </c>
      <c r="S2177" s="10" t="s">
        <v>1163</v>
      </c>
      <c r="T2177" s="28" t="s">
        <v>11204</v>
      </c>
      <c r="U2177" s="20" t="s">
        <v>5359</v>
      </c>
      <c r="V2177" s="16" t="s">
        <v>5086</v>
      </c>
      <c r="W2177" s="11" t="s">
        <v>14433</v>
      </c>
      <c r="X2177" s="174">
        <v>336.95</v>
      </c>
      <c r="Y2177" s="174">
        <v>430.48</v>
      </c>
    </row>
    <row r="2178" spans="1:25" ht="15" customHeight="1" x14ac:dyDescent="0.25">
      <c r="A2178" s="20" t="s">
        <v>663</v>
      </c>
      <c r="B2178" s="14" t="s">
        <v>664</v>
      </c>
      <c r="C2178" s="71" t="str">
        <f t="shared" si="43"/>
        <v>Product Info</v>
      </c>
      <c r="D2178" s="37" t="s">
        <v>665</v>
      </c>
      <c r="E2178" s="143">
        <v>1</v>
      </c>
      <c r="F2178" s="12" t="s">
        <v>4992</v>
      </c>
      <c r="G2178" s="38">
        <v>529.66999999999996</v>
      </c>
      <c r="H2178" s="38">
        <v>450.24</v>
      </c>
      <c r="I2178" s="38">
        <v>370.77</v>
      </c>
      <c r="J2178" s="39"/>
      <c r="K2178" s="143"/>
      <c r="L2178" s="22">
        <v>0</v>
      </c>
      <c r="M2178" s="22">
        <v>0</v>
      </c>
      <c r="N2178" s="20" t="s">
        <v>14489</v>
      </c>
      <c r="O2178" s="16">
        <v>0</v>
      </c>
      <c r="P2178" s="143">
        <v>758</v>
      </c>
      <c r="Q2178" s="121" t="s">
        <v>14285</v>
      </c>
      <c r="R2178" s="16" t="s">
        <v>9235</v>
      </c>
      <c r="S2178" s="10" t="s">
        <v>1163</v>
      </c>
      <c r="T2178" s="28" t="s">
        <v>11205</v>
      </c>
      <c r="U2178" s="20" t="s">
        <v>5359</v>
      </c>
      <c r="V2178" s="16" t="s">
        <v>663</v>
      </c>
      <c r="W2178" s="11" t="s">
        <v>14433</v>
      </c>
      <c r="X2178" s="174">
        <v>352.42</v>
      </c>
      <c r="Y2178" s="174">
        <v>450.24</v>
      </c>
    </row>
    <row r="2179" spans="1:25" ht="15" customHeight="1" x14ac:dyDescent="0.25">
      <c r="A2179" s="20" t="s">
        <v>5087</v>
      </c>
      <c r="B2179" s="14" t="s">
        <v>666</v>
      </c>
      <c r="C2179" s="71" t="str">
        <f t="shared" si="43"/>
        <v>Product Info</v>
      </c>
      <c r="D2179" s="37" t="s">
        <v>4171</v>
      </c>
      <c r="E2179" s="143">
        <v>1</v>
      </c>
      <c r="F2179" s="12" t="s">
        <v>4992</v>
      </c>
      <c r="G2179" s="38">
        <v>506.43</v>
      </c>
      <c r="H2179" s="38">
        <v>430.48</v>
      </c>
      <c r="I2179" s="38">
        <v>354.5</v>
      </c>
      <c r="J2179" s="39"/>
      <c r="K2179" s="143"/>
      <c r="L2179" s="22">
        <v>0</v>
      </c>
      <c r="M2179" s="22">
        <v>0</v>
      </c>
      <c r="N2179" s="20" t="s">
        <v>14489</v>
      </c>
      <c r="O2179" s="16">
        <v>0</v>
      </c>
      <c r="P2179" s="143">
        <v>758</v>
      </c>
      <c r="Q2179" s="121" t="s">
        <v>14285</v>
      </c>
      <c r="R2179" s="16" t="s">
        <v>9235</v>
      </c>
      <c r="S2179" s="10" t="s">
        <v>1163</v>
      </c>
      <c r="T2179" s="28" t="s">
        <v>11206</v>
      </c>
      <c r="U2179" s="20" t="s">
        <v>5359</v>
      </c>
      <c r="V2179" s="16" t="s">
        <v>5087</v>
      </c>
      <c r="W2179" s="11" t="s">
        <v>14433</v>
      </c>
      <c r="X2179" s="174">
        <v>336.95</v>
      </c>
      <c r="Y2179" s="174">
        <v>430.48</v>
      </c>
    </row>
    <row r="2180" spans="1:25" ht="15" customHeight="1" x14ac:dyDescent="0.25">
      <c r="A2180" s="20" t="s">
        <v>667</v>
      </c>
      <c r="B2180" s="14" t="s">
        <v>668</v>
      </c>
      <c r="C2180" s="71" t="str">
        <f t="shared" si="43"/>
        <v>Product Info</v>
      </c>
      <c r="D2180" s="37" t="s">
        <v>669</v>
      </c>
      <c r="E2180" s="143">
        <v>1</v>
      </c>
      <c r="F2180" s="12" t="s">
        <v>4992</v>
      </c>
      <c r="G2180" s="38">
        <v>529.66999999999996</v>
      </c>
      <c r="H2180" s="38">
        <v>450.24</v>
      </c>
      <c r="I2180" s="38">
        <v>370.77</v>
      </c>
      <c r="J2180" s="39"/>
      <c r="K2180" s="143"/>
      <c r="L2180" s="22">
        <v>0</v>
      </c>
      <c r="M2180" s="22">
        <v>0</v>
      </c>
      <c r="N2180" s="20" t="s">
        <v>14489</v>
      </c>
      <c r="O2180" s="16">
        <v>0</v>
      </c>
      <c r="P2180" s="143">
        <v>758</v>
      </c>
      <c r="Q2180" s="121" t="s">
        <v>14285</v>
      </c>
      <c r="R2180" s="16" t="s">
        <v>9235</v>
      </c>
      <c r="S2180" s="10" t="s">
        <v>1163</v>
      </c>
      <c r="T2180" s="28" t="s">
        <v>11207</v>
      </c>
      <c r="U2180" s="20" t="s">
        <v>5359</v>
      </c>
      <c r="V2180" s="16" t="s">
        <v>667</v>
      </c>
      <c r="W2180" s="11" t="s">
        <v>14433</v>
      </c>
      <c r="X2180" s="174">
        <v>352.42</v>
      </c>
      <c r="Y2180" s="174">
        <v>450.24</v>
      </c>
    </row>
    <row r="2181" spans="1:25" ht="15" customHeight="1" x14ac:dyDescent="0.25">
      <c r="A2181" s="20" t="s">
        <v>4510</v>
      </c>
      <c r="B2181" s="14" t="s">
        <v>670</v>
      </c>
      <c r="C2181" s="71" t="str">
        <f t="shared" si="43"/>
        <v>Product Info</v>
      </c>
      <c r="D2181" s="37" t="s">
        <v>3310</v>
      </c>
      <c r="E2181" s="143">
        <v>1</v>
      </c>
      <c r="F2181" s="12" t="s">
        <v>4992</v>
      </c>
      <c r="G2181" s="38">
        <v>506.43</v>
      </c>
      <c r="H2181" s="38">
        <v>430.48</v>
      </c>
      <c r="I2181" s="38">
        <v>354.5</v>
      </c>
      <c r="J2181" s="39"/>
      <c r="K2181" s="143"/>
      <c r="L2181" s="22">
        <v>0</v>
      </c>
      <c r="M2181" s="22">
        <v>0</v>
      </c>
      <c r="N2181" s="20" t="s">
        <v>14489</v>
      </c>
      <c r="O2181" s="16">
        <v>0</v>
      </c>
      <c r="P2181" s="143">
        <v>758</v>
      </c>
      <c r="Q2181" s="121" t="s">
        <v>14285</v>
      </c>
      <c r="R2181" s="16" t="s">
        <v>9235</v>
      </c>
      <c r="S2181" s="10" t="s">
        <v>1163</v>
      </c>
      <c r="T2181" s="28" t="s">
        <v>11208</v>
      </c>
      <c r="U2181" s="20" t="s">
        <v>5359</v>
      </c>
      <c r="V2181" s="16" t="s">
        <v>4510</v>
      </c>
      <c r="W2181" s="11" t="s">
        <v>14433</v>
      </c>
      <c r="X2181" s="174">
        <v>336.95</v>
      </c>
      <c r="Y2181" s="174">
        <v>430.48</v>
      </c>
    </row>
    <row r="2182" spans="1:25" ht="15" customHeight="1" x14ac:dyDescent="0.25">
      <c r="A2182" s="20" t="s">
        <v>671</v>
      </c>
      <c r="B2182" s="14" t="s">
        <v>672</v>
      </c>
      <c r="C2182" s="71" t="str">
        <f t="shared" ref="C2182:C2245" si="44">HYPERLINK(T2182,U2182)</f>
        <v>Product Info</v>
      </c>
      <c r="D2182" s="37" t="s">
        <v>673</v>
      </c>
      <c r="E2182" s="143">
        <v>1</v>
      </c>
      <c r="F2182" s="12" t="s">
        <v>4992</v>
      </c>
      <c r="G2182" s="38">
        <v>529.66999999999996</v>
      </c>
      <c r="H2182" s="38">
        <v>450.24</v>
      </c>
      <c r="I2182" s="38">
        <v>370.77</v>
      </c>
      <c r="J2182" s="39"/>
      <c r="K2182" s="143"/>
      <c r="L2182" s="22">
        <v>0</v>
      </c>
      <c r="M2182" s="22">
        <v>0</v>
      </c>
      <c r="N2182" s="20" t="s">
        <v>14489</v>
      </c>
      <c r="O2182" s="16">
        <v>0</v>
      </c>
      <c r="P2182" s="143">
        <v>758</v>
      </c>
      <c r="Q2182" s="121" t="s">
        <v>14285</v>
      </c>
      <c r="R2182" s="16" t="s">
        <v>9235</v>
      </c>
      <c r="S2182" s="10" t="s">
        <v>1163</v>
      </c>
      <c r="T2182" s="28" t="s">
        <v>11209</v>
      </c>
      <c r="U2182" s="20" t="s">
        <v>5359</v>
      </c>
      <c r="V2182" s="16" t="s">
        <v>671</v>
      </c>
      <c r="W2182" s="11" t="s">
        <v>14433</v>
      </c>
      <c r="X2182" s="174">
        <v>352.42</v>
      </c>
      <c r="Y2182" s="174">
        <v>450.24</v>
      </c>
    </row>
    <row r="2183" spans="1:25" ht="15" customHeight="1" x14ac:dyDescent="0.25">
      <c r="A2183" s="20" t="s">
        <v>4511</v>
      </c>
      <c r="B2183" s="14" t="s">
        <v>674</v>
      </c>
      <c r="C2183" s="71" t="str">
        <f t="shared" si="44"/>
        <v>Product Info</v>
      </c>
      <c r="D2183" s="37" t="s">
        <v>3311</v>
      </c>
      <c r="E2183" s="143">
        <v>1</v>
      </c>
      <c r="F2183" s="12" t="s">
        <v>4992</v>
      </c>
      <c r="G2183" s="38">
        <v>506.43</v>
      </c>
      <c r="H2183" s="38">
        <v>430.48</v>
      </c>
      <c r="I2183" s="38">
        <v>354.5</v>
      </c>
      <c r="J2183" s="39"/>
      <c r="K2183" s="143"/>
      <c r="L2183" s="22">
        <v>0</v>
      </c>
      <c r="M2183" s="22">
        <v>0</v>
      </c>
      <c r="N2183" s="20" t="s">
        <v>14489</v>
      </c>
      <c r="O2183" s="16">
        <v>0</v>
      </c>
      <c r="P2183" s="143">
        <v>758</v>
      </c>
      <c r="Q2183" s="121" t="s">
        <v>14285</v>
      </c>
      <c r="R2183" s="16" t="s">
        <v>9235</v>
      </c>
      <c r="S2183" s="10" t="s">
        <v>1163</v>
      </c>
      <c r="T2183" s="28" t="s">
        <v>11210</v>
      </c>
      <c r="U2183" s="20" t="s">
        <v>5359</v>
      </c>
      <c r="V2183" s="16" t="s">
        <v>4511</v>
      </c>
      <c r="W2183" s="11" t="s">
        <v>14433</v>
      </c>
      <c r="X2183" s="174">
        <v>336.95</v>
      </c>
      <c r="Y2183" s="174">
        <v>430.48</v>
      </c>
    </row>
    <row r="2184" spans="1:25" ht="15" customHeight="1" x14ac:dyDescent="0.25">
      <c r="A2184" s="20" t="s">
        <v>675</v>
      </c>
      <c r="B2184" s="14" t="s">
        <v>676</v>
      </c>
      <c r="C2184" s="71" t="str">
        <f t="shared" si="44"/>
        <v>Product Info</v>
      </c>
      <c r="D2184" s="37" t="s">
        <v>677</v>
      </c>
      <c r="E2184" s="143">
        <v>1</v>
      </c>
      <c r="F2184" s="12" t="s">
        <v>4992</v>
      </c>
      <c r="G2184" s="38">
        <v>529.66999999999996</v>
      </c>
      <c r="H2184" s="38">
        <v>450.24</v>
      </c>
      <c r="I2184" s="38">
        <v>370.77</v>
      </c>
      <c r="J2184" s="39"/>
      <c r="K2184" s="143"/>
      <c r="L2184" s="22">
        <v>0</v>
      </c>
      <c r="M2184" s="22">
        <v>0</v>
      </c>
      <c r="N2184" s="20" t="s">
        <v>14489</v>
      </c>
      <c r="O2184" s="16">
        <v>0</v>
      </c>
      <c r="P2184" s="143">
        <v>758</v>
      </c>
      <c r="Q2184" s="121" t="s">
        <v>14285</v>
      </c>
      <c r="R2184" s="16" t="s">
        <v>9235</v>
      </c>
      <c r="S2184" s="10" t="s">
        <v>1163</v>
      </c>
      <c r="T2184" s="28" t="s">
        <v>11211</v>
      </c>
      <c r="U2184" s="20" t="s">
        <v>5359</v>
      </c>
      <c r="V2184" s="16" t="s">
        <v>675</v>
      </c>
      <c r="W2184" s="11" t="s">
        <v>14433</v>
      </c>
      <c r="X2184" s="174">
        <v>352.42</v>
      </c>
      <c r="Y2184" s="174">
        <v>450.24</v>
      </c>
    </row>
    <row r="2185" spans="1:25" ht="15" customHeight="1" x14ac:dyDescent="0.25">
      <c r="A2185" s="20" t="s">
        <v>4512</v>
      </c>
      <c r="B2185" s="14" t="s">
        <v>678</v>
      </c>
      <c r="C2185" s="71" t="str">
        <f t="shared" si="44"/>
        <v>Product Info</v>
      </c>
      <c r="D2185" s="37" t="s">
        <v>3312</v>
      </c>
      <c r="E2185" s="143">
        <v>1</v>
      </c>
      <c r="F2185" s="12" t="s">
        <v>4992</v>
      </c>
      <c r="G2185" s="38">
        <v>506.43</v>
      </c>
      <c r="H2185" s="38">
        <v>430.48</v>
      </c>
      <c r="I2185" s="38">
        <v>354.5</v>
      </c>
      <c r="J2185" s="39"/>
      <c r="K2185" s="143"/>
      <c r="L2185" s="22">
        <v>0</v>
      </c>
      <c r="M2185" s="22">
        <v>0</v>
      </c>
      <c r="N2185" s="20" t="s">
        <v>14489</v>
      </c>
      <c r="O2185" s="16">
        <v>0</v>
      </c>
      <c r="P2185" s="143">
        <v>758</v>
      </c>
      <c r="Q2185" s="121" t="s">
        <v>14285</v>
      </c>
      <c r="R2185" s="16" t="s">
        <v>9235</v>
      </c>
      <c r="S2185" s="10" t="s">
        <v>1163</v>
      </c>
      <c r="T2185" s="28" t="s">
        <v>11212</v>
      </c>
      <c r="U2185" s="20" t="s">
        <v>5359</v>
      </c>
      <c r="V2185" s="16" t="s">
        <v>4512</v>
      </c>
      <c r="W2185" s="11" t="s">
        <v>14433</v>
      </c>
      <c r="X2185" s="174">
        <v>336.95</v>
      </c>
      <c r="Y2185" s="174">
        <v>430.48</v>
      </c>
    </row>
    <row r="2186" spans="1:25" ht="15" customHeight="1" x14ac:dyDescent="0.25">
      <c r="A2186" s="20" t="s">
        <v>679</v>
      </c>
      <c r="B2186" s="14" t="s">
        <v>680</v>
      </c>
      <c r="C2186" s="71" t="str">
        <f t="shared" si="44"/>
        <v>Product Info</v>
      </c>
      <c r="D2186" s="37" t="s">
        <v>681</v>
      </c>
      <c r="E2186" s="143">
        <v>1</v>
      </c>
      <c r="F2186" s="12" t="s">
        <v>4992</v>
      </c>
      <c r="G2186" s="38">
        <v>529.66999999999996</v>
      </c>
      <c r="H2186" s="38">
        <v>450.24</v>
      </c>
      <c r="I2186" s="38">
        <v>370.77</v>
      </c>
      <c r="J2186" s="39"/>
      <c r="K2186" s="143"/>
      <c r="L2186" s="22">
        <v>0</v>
      </c>
      <c r="M2186" s="22">
        <v>0</v>
      </c>
      <c r="N2186" s="20" t="s">
        <v>14489</v>
      </c>
      <c r="O2186" s="16">
        <v>0</v>
      </c>
      <c r="P2186" s="143">
        <v>758</v>
      </c>
      <c r="Q2186" s="121" t="s">
        <v>14285</v>
      </c>
      <c r="R2186" s="16" t="s">
        <v>9235</v>
      </c>
      <c r="S2186" s="10" t="s">
        <v>1163</v>
      </c>
      <c r="T2186" s="28" t="s">
        <v>11213</v>
      </c>
      <c r="U2186" s="20" t="s">
        <v>5359</v>
      </c>
      <c r="V2186" s="16" t="s">
        <v>679</v>
      </c>
      <c r="W2186" s="11" t="s">
        <v>14433</v>
      </c>
      <c r="X2186" s="174">
        <v>352.42</v>
      </c>
      <c r="Y2186" s="174">
        <v>450.24</v>
      </c>
    </row>
    <row r="2187" spans="1:25" ht="15" customHeight="1" x14ac:dyDescent="0.25">
      <c r="A2187" s="20" t="s">
        <v>4521</v>
      </c>
      <c r="B2187" s="14" t="s">
        <v>682</v>
      </c>
      <c r="C2187" s="71" t="str">
        <f t="shared" si="44"/>
        <v>Product Info</v>
      </c>
      <c r="D2187" s="37" t="s">
        <v>3317</v>
      </c>
      <c r="E2187" s="143">
        <v>1</v>
      </c>
      <c r="F2187" s="12" t="s">
        <v>4992</v>
      </c>
      <c r="G2187" s="38">
        <v>506.43</v>
      </c>
      <c r="H2187" s="38">
        <v>430.48</v>
      </c>
      <c r="I2187" s="38">
        <v>354.5</v>
      </c>
      <c r="J2187" s="39"/>
      <c r="K2187" s="143"/>
      <c r="L2187" s="22">
        <v>0</v>
      </c>
      <c r="M2187" s="22">
        <v>0</v>
      </c>
      <c r="N2187" s="20" t="s">
        <v>14489</v>
      </c>
      <c r="O2187" s="16">
        <v>0</v>
      </c>
      <c r="P2187" s="143">
        <v>758</v>
      </c>
      <c r="Q2187" s="121" t="s">
        <v>14285</v>
      </c>
      <c r="R2187" s="16" t="s">
        <v>9235</v>
      </c>
      <c r="S2187" s="10" t="s">
        <v>1163</v>
      </c>
      <c r="T2187" s="28" t="s">
        <v>11214</v>
      </c>
      <c r="U2187" s="20" t="s">
        <v>5359</v>
      </c>
      <c r="V2187" s="16" t="s">
        <v>4521</v>
      </c>
      <c r="W2187" s="11" t="s">
        <v>14433</v>
      </c>
      <c r="X2187" s="174">
        <v>336.95</v>
      </c>
      <c r="Y2187" s="174">
        <v>430.48</v>
      </c>
    </row>
    <row r="2188" spans="1:25" ht="15" customHeight="1" x14ac:dyDescent="0.25">
      <c r="A2188" s="20" t="s">
        <v>683</v>
      </c>
      <c r="B2188" s="14" t="s">
        <v>684</v>
      </c>
      <c r="C2188" s="71" t="str">
        <f t="shared" si="44"/>
        <v>Product Info</v>
      </c>
      <c r="D2188" s="37" t="s">
        <v>685</v>
      </c>
      <c r="E2188" s="143">
        <v>1</v>
      </c>
      <c r="F2188" s="12" t="s">
        <v>4992</v>
      </c>
      <c r="G2188" s="38">
        <v>529.66999999999996</v>
      </c>
      <c r="H2188" s="38">
        <v>450.24</v>
      </c>
      <c r="I2188" s="38">
        <v>370.77</v>
      </c>
      <c r="J2188" s="39"/>
      <c r="K2188" s="143"/>
      <c r="L2188" s="22">
        <v>0</v>
      </c>
      <c r="M2188" s="22">
        <v>0</v>
      </c>
      <c r="N2188" s="20" t="s">
        <v>14489</v>
      </c>
      <c r="O2188" s="16">
        <v>0</v>
      </c>
      <c r="P2188" s="143">
        <v>758</v>
      </c>
      <c r="Q2188" s="121" t="s">
        <v>14285</v>
      </c>
      <c r="R2188" s="16" t="s">
        <v>9235</v>
      </c>
      <c r="S2188" s="10" t="s">
        <v>1163</v>
      </c>
      <c r="T2188" s="28" t="s">
        <v>11215</v>
      </c>
      <c r="U2188" s="20" t="s">
        <v>5359</v>
      </c>
      <c r="V2188" s="16" t="s">
        <v>683</v>
      </c>
      <c r="W2188" s="11" t="s">
        <v>14433</v>
      </c>
      <c r="X2188" s="174">
        <v>352.42</v>
      </c>
      <c r="Y2188" s="174">
        <v>450.24</v>
      </c>
    </row>
    <row r="2189" spans="1:25" ht="15" customHeight="1" x14ac:dyDescent="0.25">
      <c r="A2189" s="20" t="s">
        <v>4522</v>
      </c>
      <c r="B2189" s="14" t="s">
        <v>686</v>
      </c>
      <c r="C2189" s="71" t="str">
        <f t="shared" si="44"/>
        <v>Product Info</v>
      </c>
      <c r="D2189" s="37" t="s">
        <v>3318</v>
      </c>
      <c r="E2189" s="143">
        <v>1</v>
      </c>
      <c r="F2189" s="12" t="s">
        <v>4992</v>
      </c>
      <c r="G2189" s="38">
        <v>506.43</v>
      </c>
      <c r="H2189" s="38">
        <v>430.48</v>
      </c>
      <c r="I2189" s="38">
        <v>354.5</v>
      </c>
      <c r="J2189" s="39"/>
      <c r="K2189" s="143"/>
      <c r="L2189" s="22">
        <v>0</v>
      </c>
      <c r="M2189" s="22">
        <v>0</v>
      </c>
      <c r="N2189" s="20" t="s">
        <v>14489</v>
      </c>
      <c r="O2189" s="16">
        <v>0</v>
      </c>
      <c r="P2189" s="143">
        <v>758</v>
      </c>
      <c r="Q2189" s="121" t="s">
        <v>14285</v>
      </c>
      <c r="R2189" s="16" t="s">
        <v>9235</v>
      </c>
      <c r="S2189" s="10" t="s">
        <v>1163</v>
      </c>
      <c r="T2189" s="28" t="s">
        <v>11216</v>
      </c>
      <c r="U2189" s="20" t="s">
        <v>5359</v>
      </c>
      <c r="V2189" s="16" t="s">
        <v>4522</v>
      </c>
      <c r="W2189" s="11" t="s">
        <v>14433</v>
      </c>
      <c r="X2189" s="174">
        <v>336.95</v>
      </c>
      <c r="Y2189" s="174">
        <v>430.48</v>
      </c>
    </row>
    <row r="2190" spans="1:25" ht="15" customHeight="1" x14ac:dyDescent="0.25">
      <c r="A2190" s="20" t="s">
        <v>687</v>
      </c>
      <c r="B2190" s="14" t="s">
        <v>688</v>
      </c>
      <c r="C2190" s="71" t="str">
        <f t="shared" si="44"/>
        <v>Product Info</v>
      </c>
      <c r="D2190" s="37" t="s">
        <v>689</v>
      </c>
      <c r="E2190" s="143">
        <v>1</v>
      </c>
      <c r="F2190" s="12" t="s">
        <v>4992</v>
      </c>
      <c r="G2190" s="38">
        <v>529.66999999999996</v>
      </c>
      <c r="H2190" s="38">
        <v>450.24</v>
      </c>
      <c r="I2190" s="38">
        <v>370.77</v>
      </c>
      <c r="J2190" s="39"/>
      <c r="K2190" s="143"/>
      <c r="L2190" s="22">
        <v>0</v>
      </c>
      <c r="M2190" s="22">
        <v>0</v>
      </c>
      <c r="N2190" s="20" t="s">
        <v>14489</v>
      </c>
      <c r="O2190" s="16">
        <v>0</v>
      </c>
      <c r="P2190" s="143">
        <v>758</v>
      </c>
      <c r="Q2190" s="121" t="s">
        <v>14285</v>
      </c>
      <c r="R2190" s="16" t="s">
        <v>9235</v>
      </c>
      <c r="S2190" s="10" t="s">
        <v>1163</v>
      </c>
      <c r="T2190" s="28" t="s">
        <v>11217</v>
      </c>
      <c r="U2190" s="20" t="s">
        <v>5359</v>
      </c>
      <c r="V2190" s="16" t="s">
        <v>687</v>
      </c>
      <c r="W2190" s="11" t="s">
        <v>14433</v>
      </c>
      <c r="X2190" s="174">
        <v>352.42</v>
      </c>
      <c r="Y2190" s="174">
        <v>450.24</v>
      </c>
    </row>
    <row r="2191" spans="1:25" ht="15" customHeight="1" x14ac:dyDescent="0.25">
      <c r="A2191" s="20" t="s">
        <v>4525</v>
      </c>
      <c r="B2191" s="14" t="s">
        <v>690</v>
      </c>
      <c r="C2191" s="71" t="str">
        <f t="shared" si="44"/>
        <v>Product Info</v>
      </c>
      <c r="D2191" s="37" t="s">
        <v>3320</v>
      </c>
      <c r="E2191" s="143">
        <v>1</v>
      </c>
      <c r="F2191" s="12" t="s">
        <v>4992</v>
      </c>
      <c r="G2191" s="38">
        <v>506.43</v>
      </c>
      <c r="H2191" s="38">
        <v>430.48</v>
      </c>
      <c r="I2191" s="38">
        <v>354.5</v>
      </c>
      <c r="J2191" s="39"/>
      <c r="K2191" s="143"/>
      <c r="L2191" s="22">
        <v>0</v>
      </c>
      <c r="M2191" s="22">
        <v>0</v>
      </c>
      <c r="N2191" s="20" t="s">
        <v>14489</v>
      </c>
      <c r="O2191" s="16">
        <v>0</v>
      </c>
      <c r="P2191" s="143">
        <v>758</v>
      </c>
      <c r="Q2191" s="121" t="s">
        <v>14285</v>
      </c>
      <c r="R2191" s="16" t="s">
        <v>9235</v>
      </c>
      <c r="S2191" s="10" t="s">
        <v>1163</v>
      </c>
      <c r="T2191" s="28" t="s">
        <v>11218</v>
      </c>
      <c r="U2191" s="20" t="s">
        <v>5359</v>
      </c>
      <c r="V2191" s="16" t="s">
        <v>4525</v>
      </c>
      <c r="W2191" s="11" t="s">
        <v>14433</v>
      </c>
      <c r="X2191" s="174">
        <v>336.95</v>
      </c>
      <c r="Y2191" s="174">
        <v>430.48</v>
      </c>
    </row>
    <row r="2192" spans="1:25" ht="15" customHeight="1" x14ac:dyDescent="0.25">
      <c r="A2192" s="20" t="s">
        <v>691</v>
      </c>
      <c r="B2192" s="14" t="s">
        <v>692</v>
      </c>
      <c r="C2192" s="71" t="str">
        <f t="shared" si="44"/>
        <v>Product Info</v>
      </c>
      <c r="D2192" s="37" t="s">
        <v>693</v>
      </c>
      <c r="E2192" s="143">
        <v>1</v>
      </c>
      <c r="F2192" s="12" t="s">
        <v>4992</v>
      </c>
      <c r="G2192" s="38">
        <v>529.66999999999996</v>
      </c>
      <c r="H2192" s="38">
        <v>450.24</v>
      </c>
      <c r="I2192" s="38">
        <v>370.77</v>
      </c>
      <c r="J2192" s="39"/>
      <c r="K2192" s="143"/>
      <c r="L2192" s="22">
        <v>0</v>
      </c>
      <c r="M2192" s="22">
        <v>0</v>
      </c>
      <c r="N2192" s="20" t="s">
        <v>14489</v>
      </c>
      <c r="O2192" s="16">
        <v>0</v>
      </c>
      <c r="P2192" s="143">
        <v>758</v>
      </c>
      <c r="Q2192" s="121" t="s">
        <v>14285</v>
      </c>
      <c r="R2192" s="16" t="s">
        <v>9235</v>
      </c>
      <c r="S2192" s="10" t="s">
        <v>1163</v>
      </c>
      <c r="T2192" s="28" t="s">
        <v>11219</v>
      </c>
      <c r="U2192" s="20" t="s">
        <v>5359</v>
      </c>
      <c r="V2192" s="16" t="s">
        <v>691</v>
      </c>
      <c r="W2192" s="11" t="s">
        <v>14433</v>
      </c>
      <c r="X2192" s="174">
        <v>352.42</v>
      </c>
      <c r="Y2192" s="174">
        <v>450.24</v>
      </c>
    </row>
    <row r="2193" spans="1:25" ht="15" customHeight="1" x14ac:dyDescent="0.25">
      <c r="A2193" s="20" t="s">
        <v>4528</v>
      </c>
      <c r="B2193" s="14" t="s">
        <v>694</v>
      </c>
      <c r="C2193" s="71" t="str">
        <f t="shared" si="44"/>
        <v>Product Info</v>
      </c>
      <c r="D2193" s="37" t="s">
        <v>3322</v>
      </c>
      <c r="E2193" s="143">
        <v>1</v>
      </c>
      <c r="F2193" s="12" t="s">
        <v>4992</v>
      </c>
      <c r="G2193" s="38">
        <v>506.43</v>
      </c>
      <c r="H2193" s="38">
        <v>430.48</v>
      </c>
      <c r="I2193" s="38">
        <v>354.5</v>
      </c>
      <c r="J2193" s="39"/>
      <c r="K2193" s="143"/>
      <c r="L2193" s="22">
        <v>0</v>
      </c>
      <c r="M2193" s="22">
        <v>0</v>
      </c>
      <c r="N2193" s="20" t="s">
        <v>14489</v>
      </c>
      <c r="O2193" s="16">
        <v>0</v>
      </c>
      <c r="P2193" s="143">
        <v>758</v>
      </c>
      <c r="Q2193" s="121" t="s">
        <v>14285</v>
      </c>
      <c r="R2193" s="16" t="s">
        <v>9235</v>
      </c>
      <c r="S2193" s="10" t="s">
        <v>1163</v>
      </c>
      <c r="T2193" s="28" t="s">
        <v>11220</v>
      </c>
      <c r="U2193" s="20" t="s">
        <v>5359</v>
      </c>
      <c r="V2193" s="16" t="s">
        <v>4528</v>
      </c>
      <c r="W2193" s="11" t="s">
        <v>14433</v>
      </c>
      <c r="X2193" s="174">
        <v>336.95</v>
      </c>
      <c r="Y2193" s="174">
        <v>430.48</v>
      </c>
    </row>
    <row r="2194" spans="1:25" ht="15" customHeight="1" x14ac:dyDescent="0.25">
      <c r="A2194" s="20" t="s">
        <v>695</v>
      </c>
      <c r="B2194" s="14" t="s">
        <v>696</v>
      </c>
      <c r="C2194" s="71" t="str">
        <f t="shared" si="44"/>
        <v>Product Info</v>
      </c>
      <c r="D2194" s="37" t="s">
        <v>697</v>
      </c>
      <c r="E2194" s="143">
        <v>1</v>
      </c>
      <c r="F2194" s="12" t="s">
        <v>4992</v>
      </c>
      <c r="G2194" s="38">
        <v>529.66999999999996</v>
      </c>
      <c r="H2194" s="38">
        <v>450.24</v>
      </c>
      <c r="I2194" s="38">
        <v>370.77</v>
      </c>
      <c r="J2194" s="39"/>
      <c r="K2194" s="143"/>
      <c r="L2194" s="22">
        <v>0</v>
      </c>
      <c r="M2194" s="22">
        <v>0</v>
      </c>
      <c r="N2194" s="20" t="s">
        <v>14489</v>
      </c>
      <c r="O2194" s="16">
        <v>0</v>
      </c>
      <c r="P2194" s="143">
        <v>758</v>
      </c>
      <c r="Q2194" s="121" t="s">
        <v>14285</v>
      </c>
      <c r="R2194" s="16" t="s">
        <v>9235</v>
      </c>
      <c r="S2194" s="10" t="s">
        <v>1163</v>
      </c>
      <c r="T2194" s="28" t="s">
        <v>11221</v>
      </c>
      <c r="U2194" s="20" t="s">
        <v>5359</v>
      </c>
      <c r="V2194" s="16" t="s">
        <v>695</v>
      </c>
      <c r="W2194" s="11" t="s">
        <v>14433</v>
      </c>
      <c r="X2194" s="174">
        <v>352.42</v>
      </c>
      <c r="Y2194" s="174">
        <v>450.24</v>
      </c>
    </row>
    <row r="2195" spans="1:25" ht="15" customHeight="1" x14ac:dyDescent="0.25">
      <c r="A2195" s="20" t="s">
        <v>4531</v>
      </c>
      <c r="B2195" s="14" t="s">
        <v>698</v>
      </c>
      <c r="C2195" s="71" t="str">
        <f t="shared" si="44"/>
        <v>Product Info</v>
      </c>
      <c r="D2195" s="37" t="s">
        <v>3324</v>
      </c>
      <c r="E2195" s="143">
        <v>1</v>
      </c>
      <c r="F2195" s="12" t="s">
        <v>4992</v>
      </c>
      <c r="G2195" s="38">
        <v>517.29999999999995</v>
      </c>
      <c r="H2195" s="38">
        <v>439.72</v>
      </c>
      <c r="I2195" s="38">
        <v>362.11</v>
      </c>
      <c r="J2195" s="39"/>
      <c r="K2195" s="143"/>
      <c r="L2195" s="22">
        <v>0</v>
      </c>
      <c r="M2195" s="22">
        <v>0</v>
      </c>
      <c r="N2195" s="20" t="s">
        <v>14489</v>
      </c>
      <c r="O2195" s="16">
        <v>0</v>
      </c>
      <c r="P2195" s="143">
        <v>758</v>
      </c>
      <c r="Q2195" s="121" t="s">
        <v>14285</v>
      </c>
      <c r="R2195" s="16" t="s">
        <v>9235</v>
      </c>
      <c r="S2195" s="10" t="s">
        <v>1163</v>
      </c>
      <c r="T2195" s="28" t="s">
        <v>11222</v>
      </c>
      <c r="U2195" s="20" t="s">
        <v>5359</v>
      </c>
      <c r="V2195" s="16" t="s">
        <v>4531</v>
      </c>
      <c r="W2195" s="11" t="s">
        <v>14433</v>
      </c>
      <c r="X2195" s="174">
        <v>344.18</v>
      </c>
      <c r="Y2195" s="174">
        <v>439.72</v>
      </c>
    </row>
    <row r="2196" spans="1:25" ht="15" customHeight="1" x14ac:dyDescent="0.25">
      <c r="A2196" s="20" t="s">
        <v>699</v>
      </c>
      <c r="B2196" s="14" t="s">
        <v>700</v>
      </c>
      <c r="C2196" s="71" t="str">
        <f t="shared" si="44"/>
        <v>Product Info</v>
      </c>
      <c r="D2196" s="37" t="s">
        <v>701</v>
      </c>
      <c r="E2196" s="143">
        <v>1</v>
      </c>
      <c r="F2196" s="12" t="s">
        <v>4992</v>
      </c>
      <c r="G2196" s="38">
        <v>531.55999999999995</v>
      </c>
      <c r="H2196" s="38">
        <v>451.84</v>
      </c>
      <c r="I2196" s="38">
        <v>372.09</v>
      </c>
      <c r="J2196" s="39"/>
      <c r="K2196" s="143"/>
      <c r="L2196" s="22">
        <v>0</v>
      </c>
      <c r="M2196" s="22">
        <v>0</v>
      </c>
      <c r="N2196" s="20" t="s">
        <v>14489</v>
      </c>
      <c r="O2196" s="16">
        <v>0</v>
      </c>
      <c r="P2196" s="143">
        <v>758</v>
      </c>
      <c r="Q2196" s="121" t="s">
        <v>14285</v>
      </c>
      <c r="R2196" s="16" t="s">
        <v>9235</v>
      </c>
      <c r="S2196" s="10" t="s">
        <v>1163</v>
      </c>
      <c r="T2196" s="28" t="s">
        <v>11223</v>
      </c>
      <c r="U2196" s="20" t="s">
        <v>5359</v>
      </c>
      <c r="V2196" s="16" t="s">
        <v>699</v>
      </c>
      <c r="W2196" s="11" t="s">
        <v>14433</v>
      </c>
      <c r="X2196" s="174">
        <v>353.67</v>
      </c>
      <c r="Y2196" s="174">
        <v>451.84</v>
      </c>
    </row>
    <row r="2197" spans="1:25" ht="15" customHeight="1" x14ac:dyDescent="0.25">
      <c r="A2197" s="20" t="s">
        <v>5982</v>
      </c>
      <c r="B2197" s="14" t="s">
        <v>702</v>
      </c>
      <c r="C2197" s="71" t="str">
        <f t="shared" si="44"/>
        <v>Product Info</v>
      </c>
      <c r="D2197" s="37" t="s">
        <v>3328</v>
      </c>
      <c r="E2197" s="143">
        <v>1</v>
      </c>
      <c r="F2197" s="12" t="s">
        <v>4992</v>
      </c>
      <c r="G2197" s="38">
        <v>517.29999999999995</v>
      </c>
      <c r="H2197" s="38">
        <v>439.72</v>
      </c>
      <c r="I2197" s="38">
        <v>362.11</v>
      </c>
      <c r="J2197" s="39"/>
      <c r="K2197" s="143"/>
      <c r="L2197" s="22">
        <v>0</v>
      </c>
      <c r="M2197" s="22">
        <v>0</v>
      </c>
      <c r="N2197" s="20" t="s">
        <v>14489</v>
      </c>
      <c r="O2197" s="16">
        <v>0</v>
      </c>
      <c r="P2197" s="143">
        <v>758</v>
      </c>
      <c r="Q2197" s="121" t="s">
        <v>14285</v>
      </c>
      <c r="R2197" s="16" t="s">
        <v>9235</v>
      </c>
      <c r="S2197" s="10" t="s">
        <v>1163</v>
      </c>
      <c r="T2197" s="28" t="s">
        <v>11224</v>
      </c>
      <c r="U2197" s="20" t="s">
        <v>5359</v>
      </c>
      <c r="V2197" s="16" t="s">
        <v>5982</v>
      </c>
      <c r="W2197" s="11" t="s">
        <v>14433</v>
      </c>
      <c r="X2197" s="174">
        <v>344.18</v>
      </c>
      <c r="Y2197" s="174">
        <v>439.72</v>
      </c>
    </row>
    <row r="2198" spans="1:25" ht="15" customHeight="1" x14ac:dyDescent="0.25">
      <c r="A2198" s="20" t="s">
        <v>703</v>
      </c>
      <c r="B2198" s="14" t="s">
        <v>704</v>
      </c>
      <c r="C2198" s="71" t="str">
        <f t="shared" si="44"/>
        <v>Product Info</v>
      </c>
      <c r="D2198" s="37" t="s">
        <v>705</v>
      </c>
      <c r="E2198" s="143">
        <v>1</v>
      </c>
      <c r="F2198" s="12" t="s">
        <v>4992</v>
      </c>
      <c r="G2198" s="38">
        <v>531.55999999999995</v>
      </c>
      <c r="H2198" s="38">
        <v>451.84</v>
      </c>
      <c r="I2198" s="38">
        <v>372.09</v>
      </c>
      <c r="J2198" s="39"/>
      <c r="K2198" s="143"/>
      <c r="L2198" s="22">
        <v>0</v>
      </c>
      <c r="M2198" s="22">
        <v>0</v>
      </c>
      <c r="N2198" s="20" t="s">
        <v>14489</v>
      </c>
      <c r="O2198" s="16">
        <v>0</v>
      </c>
      <c r="P2198" s="143">
        <v>758</v>
      </c>
      <c r="Q2198" s="121" t="s">
        <v>14285</v>
      </c>
      <c r="R2198" s="16" t="s">
        <v>9235</v>
      </c>
      <c r="S2198" s="10" t="s">
        <v>1163</v>
      </c>
      <c r="T2198" s="28" t="s">
        <v>11225</v>
      </c>
      <c r="U2198" s="20" t="s">
        <v>5359</v>
      </c>
      <c r="V2198" s="16" t="s">
        <v>703</v>
      </c>
      <c r="W2198" s="11" t="s">
        <v>14433</v>
      </c>
      <c r="X2198" s="174">
        <v>353.67</v>
      </c>
      <c r="Y2198" s="174">
        <v>451.84</v>
      </c>
    </row>
    <row r="2199" spans="1:25" ht="15" customHeight="1" x14ac:dyDescent="0.25">
      <c r="A2199" s="20" t="s">
        <v>7017</v>
      </c>
      <c r="B2199" s="14" t="s">
        <v>706</v>
      </c>
      <c r="C2199" s="71" t="str">
        <f t="shared" si="44"/>
        <v>Product Info</v>
      </c>
      <c r="D2199" s="37" t="s">
        <v>3331</v>
      </c>
      <c r="E2199" s="143">
        <v>1</v>
      </c>
      <c r="F2199" s="12" t="s">
        <v>4992</v>
      </c>
      <c r="G2199" s="38">
        <v>517.29999999999995</v>
      </c>
      <c r="H2199" s="38">
        <v>439.72</v>
      </c>
      <c r="I2199" s="38">
        <v>362.11</v>
      </c>
      <c r="J2199" s="39"/>
      <c r="K2199" s="143"/>
      <c r="L2199" s="22">
        <v>0</v>
      </c>
      <c r="M2199" s="22">
        <v>0</v>
      </c>
      <c r="N2199" s="20" t="s">
        <v>14489</v>
      </c>
      <c r="O2199" s="16">
        <v>0</v>
      </c>
      <c r="P2199" s="143">
        <v>758</v>
      </c>
      <c r="Q2199" s="121" t="s">
        <v>14285</v>
      </c>
      <c r="R2199" s="16" t="s">
        <v>9235</v>
      </c>
      <c r="S2199" s="10" t="s">
        <v>1163</v>
      </c>
      <c r="T2199" s="28" t="s">
        <v>11226</v>
      </c>
      <c r="U2199" s="20" t="s">
        <v>5359</v>
      </c>
      <c r="V2199" s="16" t="s">
        <v>7017</v>
      </c>
      <c r="W2199" s="11" t="s">
        <v>14433</v>
      </c>
      <c r="X2199" s="174">
        <v>344.18</v>
      </c>
      <c r="Y2199" s="174">
        <v>439.72</v>
      </c>
    </row>
    <row r="2200" spans="1:25" ht="15" customHeight="1" x14ac:dyDescent="0.25">
      <c r="A2200" s="20" t="s">
        <v>707</v>
      </c>
      <c r="B2200" s="14" t="s">
        <v>708</v>
      </c>
      <c r="C2200" s="71" t="str">
        <f t="shared" si="44"/>
        <v>Product Info</v>
      </c>
      <c r="D2200" s="37" t="s">
        <v>709</v>
      </c>
      <c r="E2200" s="143">
        <v>1</v>
      </c>
      <c r="F2200" s="12" t="s">
        <v>4992</v>
      </c>
      <c r="G2200" s="38">
        <v>536.07000000000005</v>
      </c>
      <c r="H2200" s="38">
        <v>455.68</v>
      </c>
      <c r="I2200" s="38">
        <v>375.25</v>
      </c>
      <c r="J2200" s="39"/>
      <c r="K2200" s="143"/>
      <c r="L2200" s="22">
        <v>0</v>
      </c>
      <c r="M2200" s="22">
        <v>0</v>
      </c>
      <c r="N2200" s="20" t="s">
        <v>14489</v>
      </c>
      <c r="O2200" s="16">
        <v>0</v>
      </c>
      <c r="P2200" s="143">
        <v>758</v>
      </c>
      <c r="Q2200" s="121" t="s">
        <v>14285</v>
      </c>
      <c r="R2200" s="16" t="s">
        <v>9235</v>
      </c>
      <c r="S2200" s="10" t="s">
        <v>1163</v>
      </c>
      <c r="T2200" s="28" t="s">
        <v>11227</v>
      </c>
      <c r="U2200" s="20" t="s">
        <v>5359</v>
      </c>
      <c r="V2200" s="16" t="s">
        <v>707</v>
      </c>
      <c r="W2200" s="11" t="s">
        <v>14433</v>
      </c>
      <c r="X2200" s="174">
        <v>356.67</v>
      </c>
      <c r="Y2200" s="174">
        <v>455.68</v>
      </c>
    </row>
    <row r="2201" spans="1:25" ht="15" customHeight="1" x14ac:dyDescent="0.25">
      <c r="A2201" s="20" t="s">
        <v>7024</v>
      </c>
      <c r="B2201" s="14" t="s">
        <v>710</v>
      </c>
      <c r="C2201" s="71" t="str">
        <f t="shared" si="44"/>
        <v>Product Info</v>
      </c>
      <c r="D2201" s="37" t="s">
        <v>3335</v>
      </c>
      <c r="E2201" s="143">
        <v>1</v>
      </c>
      <c r="F2201" s="12" t="s">
        <v>4992</v>
      </c>
      <c r="G2201" s="38">
        <v>517.29999999999995</v>
      </c>
      <c r="H2201" s="38">
        <v>439.72</v>
      </c>
      <c r="I2201" s="38">
        <v>362.11</v>
      </c>
      <c r="J2201" s="39"/>
      <c r="K2201" s="143"/>
      <c r="L2201" s="22">
        <v>0</v>
      </c>
      <c r="M2201" s="22">
        <v>0</v>
      </c>
      <c r="N2201" s="20" t="s">
        <v>14489</v>
      </c>
      <c r="O2201" s="16" t="s">
        <v>13914</v>
      </c>
      <c r="P2201" s="143">
        <v>758</v>
      </c>
      <c r="Q2201" s="121" t="s">
        <v>14285</v>
      </c>
      <c r="R2201" s="16" t="s">
        <v>9235</v>
      </c>
      <c r="S2201" s="10" t="s">
        <v>1163</v>
      </c>
      <c r="T2201" s="28" t="s">
        <v>11228</v>
      </c>
      <c r="U2201" s="20" t="s">
        <v>5359</v>
      </c>
      <c r="V2201" s="16" t="s">
        <v>7024</v>
      </c>
      <c r="W2201" s="11" t="s">
        <v>14433</v>
      </c>
      <c r="X2201" s="174">
        <v>344.18</v>
      </c>
      <c r="Y2201" s="174">
        <v>439.72</v>
      </c>
    </row>
    <row r="2202" spans="1:25" ht="15" customHeight="1" x14ac:dyDescent="0.25">
      <c r="A2202" s="20" t="s">
        <v>711</v>
      </c>
      <c r="B2202" s="14" t="s">
        <v>712</v>
      </c>
      <c r="C2202" s="71" t="str">
        <f t="shared" si="44"/>
        <v>Product Info</v>
      </c>
      <c r="D2202" s="37" t="s">
        <v>713</v>
      </c>
      <c r="E2202" s="143">
        <v>1</v>
      </c>
      <c r="F2202" s="12" t="s">
        <v>4992</v>
      </c>
      <c r="G2202" s="38">
        <v>536.07000000000005</v>
      </c>
      <c r="H2202" s="38">
        <v>455.68</v>
      </c>
      <c r="I2202" s="38">
        <v>375.25</v>
      </c>
      <c r="J2202" s="39"/>
      <c r="K2202" s="143"/>
      <c r="L2202" s="22">
        <v>0</v>
      </c>
      <c r="M2202" s="22">
        <v>0</v>
      </c>
      <c r="N2202" s="20" t="s">
        <v>14489</v>
      </c>
      <c r="O2202" s="16">
        <v>0</v>
      </c>
      <c r="P2202" s="143">
        <v>758</v>
      </c>
      <c r="Q2202" s="121" t="s">
        <v>14285</v>
      </c>
      <c r="R2202" s="16" t="s">
        <v>9235</v>
      </c>
      <c r="S2202" s="10" t="s">
        <v>1163</v>
      </c>
      <c r="T2202" s="28" t="s">
        <v>11229</v>
      </c>
      <c r="U2202" s="20" t="s">
        <v>5359</v>
      </c>
      <c r="V2202" s="16" t="s">
        <v>711</v>
      </c>
      <c r="W2202" s="11" t="s">
        <v>14433</v>
      </c>
      <c r="X2202" s="174">
        <v>356.67</v>
      </c>
      <c r="Y2202" s="174">
        <v>455.68</v>
      </c>
    </row>
    <row r="2203" spans="1:25" ht="15" customHeight="1" x14ac:dyDescent="0.25">
      <c r="A2203" s="20" t="s">
        <v>7025</v>
      </c>
      <c r="B2203" s="14" t="s">
        <v>714</v>
      </c>
      <c r="C2203" s="71" t="str">
        <f t="shared" si="44"/>
        <v>Product Info</v>
      </c>
      <c r="D2203" s="37" t="s">
        <v>3336</v>
      </c>
      <c r="E2203" s="143">
        <v>1</v>
      </c>
      <c r="F2203" s="12" t="s">
        <v>4992</v>
      </c>
      <c r="G2203" s="38">
        <v>517.29999999999995</v>
      </c>
      <c r="H2203" s="38">
        <v>439.72</v>
      </c>
      <c r="I2203" s="38">
        <v>362.11</v>
      </c>
      <c r="J2203" s="39"/>
      <c r="K2203" s="143"/>
      <c r="L2203" s="22">
        <v>0</v>
      </c>
      <c r="M2203" s="22">
        <v>0</v>
      </c>
      <c r="N2203" s="20" t="s">
        <v>14489</v>
      </c>
      <c r="O2203" s="16">
        <v>0</v>
      </c>
      <c r="P2203" s="143">
        <v>758</v>
      </c>
      <c r="Q2203" s="121" t="s">
        <v>14285</v>
      </c>
      <c r="R2203" s="16" t="s">
        <v>9235</v>
      </c>
      <c r="S2203" s="10" t="s">
        <v>1163</v>
      </c>
      <c r="T2203" s="28" t="s">
        <v>11230</v>
      </c>
      <c r="U2203" s="20" t="s">
        <v>5359</v>
      </c>
      <c r="V2203" s="16" t="s">
        <v>7025</v>
      </c>
      <c r="W2203" s="11" t="s">
        <v>14433</v>
      </c>
      <c r="X2203" s="174">
        <v>344.18</v>
      </c>
      <c r="Y2203" s="174">
        <v>439.72</v>
      </c>
    </row>
    <row r="2204" spans="1:25" ht="15" customHeight="1" x14ac:dyDescent="0.25">
      <c r="A2204" s="20" t="s">
        <v>715</v>
      </c>
      <c r="B2204" s="14" t="s">
        <v>716</v>
      </c>
      <c r="C2204" s="71" t="str">
        <f t="shared" si="44"/>
        <v>Product Info</v>
      </c>
      <c r="D2204" s="37" t="s">
        <v>717</v>
      </c>
      <c r="E2204" s="143">
        <v>1</v>
      </c>
      <c r="F2204" s="12" t="s">
        <v>4992</v>
      </c>
      <c r="G2204" s="38">
        <v>536.07000000000005</v>
      </c>
      <c r="H2204" s="38">
        <v>455.68</v>
      </c>
      <c r="I2204" s="38">
        <v>375.25</v>
      </c>
      <c r="J2204" s="39"/>
      <c r="K2204" s="143"/>
      <c r="L2204" s="22">
        <v>0</v>
      </c>
      <c r="M2204" s="22">
        <v>0</v>
      </c>
      <c r="N2204" s="20" t="s">
        <v>14489</v>
      </c>
      <c r="O2204" s="16">
        <v>0</v>
      </c>
      <c r="P2204" s="143">
        <v>758</v>
      </c>
      <c r="Q2204" s="122" t="s">
        <v>12421</v>
      </c>
      <c r="R2204" s="16" t="s">
        <v>9235</v>
      </c>
      <c r="S2204" s="10" t="s">
        <v>1163</v>
      </c>
      <c r="T2204" s="28" t="s">
        <v>11231</v>
      </c>
      <c r="U2204" s="20" t="s">
        <v>5359</v>
      </c>
      <c r="V2204" s="16" t="s">
        <v>715</v>
      </c>
      <c r="W2204" s="11" t="s">
        <v>14433</v>
      </c>
      <c r="X2204" s="174">
        <v>356.67</v>
      </c>
      <c r="Y2204" s="174">
        <v>455.68</v>
      </c>
    </row>
    <row r="2205" spans="1:25" ht="15" customHeight="1" x14ac:dyDescent="0.25">
      <c r="A2205" s="20" t="s">
        <v>4560</v>
      </c>
      <c r="B2205" s="14" t="s">
        <v>718</v>
      </c>
      <c r="C2205" s="71" t="str">
        <f t="shared" si="44"/>
        <v>Product Info</v>
      </c>
      <c r="D2205" s="37" t="s">
        <v>3340</v>
      </c>
      <c r="E2205" s="143">
        <v>1</v>
      </c>
      <c r="F2205" s="12" t="s">
        <v>4992</v>
      </c>
      <c r="G2205" s="38">
        <v>517.29999999999995</v>
      </c>
      <c r="H2205" s="38">
        <v>439.72</v>
      </c>
      <c r="I2205" s="38">
        <v>362.11</v>
      </c>
      <c r="J2205" s="39"/>
      <c r="K2205" s="143"/>
      <c r="L2205" s="22">
        <v>0</v>
      </c>
      <c r="M2205" s="22">
        <v>0</v>
      </c>
      <c r="N2205" s="20" t="s">
        <v>14489</v>
      </c>
      <c r="O2205" s="16">
        <v>0</v>
      </c>
      <c r="P2205" s="143">
        <v>758</v>
      </c>
      <c r="Q2205" s="121" t="s">
        <v>14285</v>
      </c>
      <c r="R2205" s="16" t="s">
        <v>9235</v>
      </c>
      <c r="S2205" s="10" t="s">
        <v>1163</v>
      </c>
      <c r="T2205" s="28" t="s">
        <v>11232</v>
      </c>
      <c r="U2205" s="20" t="s">
        <v>5359</v>
      </c>
      <c r="V2205" s="16" t="s">
        <v>4560</v>
      </c>
      <c r="W2205" s="11" t="s">
        <v>14433</v>
      </c>
      <c r="X2205" s="174">
        <v>344.18</v>
      </c>
      <c r="Y2205" s="174">
        <v>439.72</v>
      </c>
    </row>
    <row r="2206" spans="1:25" ht="15" customHeight="1" x14ac:dyDescent="0.25">
      <c r="A2206" s="20" t="s">
        <v>719</v>
      </c>
      <c r="B2206" s="14" t="s">
        <v>720</v>
      </c>
      <c r="C2206" s="71" t="str">
        <f t="shared" si="44"/>
        <v>Product Info</v>
      </c>
      <c r="D2206" s="37" t="s">
        <v>721</v>
      </c>
      <c r="E2206" s="143">
        <v>1</v>
      </c>
      <c r="F2206" s="12" t="s">
        <v>4992</v>
      </c>
      <c r="G2206" s="38">
        <v>536.07000000000005</v>
      </c>
      <c r="H2206" s="38">
        <v>455.68</v>
      </c>
      <c r="I2206" s="38">
        <v>375.25</v>
      </c>
      <c r="J2206" s="39"/>
      <c r="K2206" s="143"/>
      <c r="L2206" s="22">
        <v>0</v>
      </c>
      <c r="M2206" s="22">
        <v>0</v>
      </c>
      <c r="N2206" s="20" t="s">
        <v>14489</v>
      </c>
      <c r="O2206" s="16">
        <v>0</v>
      </c>
      <c r="P2206" s="143">
        <v>758</v>
      </c>
      <c r="Q2206" s="121" t="s">
        <v>14285</v>
      </c>
      <c r="R2206" s="16" t="s">
        <v>9235</v>
      </c>
      <c r="S2206" s="10" t="s">
        <v>1163</v>
      </c>
      <c r="T2206" s="28" t="s">
        <v>11233</v>
      </c>
      <c r="U2206" s="20" t="s">
        <v>5359</v>
      </c>
      <c r="V2206" s="16" t="s">
        <v>719</v>
      </c>
      <c r="W2206" s="11" t="s">
        <v>14433</v>
      </c>
      <c r="X2206" s="174">
        <v>356.67</v>
      </c>
      <c r="Y2206" s="174">
        <v>455.68</v>
      </c>
    </row>
    <row r="2207" spans="1:25" ht="15" customHeight="1" x14ac:dyDescent="0.25">
      <c r="A2207" s="20" t="s">
        <v>4561</v>
      </c>
      <c r="B2207" s="14" t="s">
        <v>722</v>
      </c>
      <c r="C2207" s="71" t="str">
        <f t="shared" si="44"/>
        <v>Product Info</v>
      </c>
      <c r="D2207" s="37" t="s">
        <v>3341</v>
      </c>
      <c r="E2207" s="143">
        <v>1</v>
      </c>
      <c r="F2207" s="12" t="s">
        <v>4992</v>
      </c>
      <c r="G2207" s="38">
        <v>517.29999999999995</v>
      </c>
      <c r="H2207" s="38">
        <v>439.72</v>
      </c>
      <c r="I2207" s="38">
        <v>362.11</v>
      </c>
      <c r="J2207" s="39"/>
      <c r="K2207" s="143"/>
      <c r="L2207" s="22">
        <v>0</v>
      </c>
      <c r="M2207" s="22">
        <v>0</v>
      </c>
      <c r="N2207" s="20" t="s">
        <v>14489</v>
      </c>
      <c r="O2207" s="16">
        <v>0</v>
      </c>
      <c r="P2207" s="143">
        <v>758</v>
      </c>
      <c r="Q2207" s="121" t="s">
        <v>14285</v>
      </c>
      <c r="R2207" s="16" t="s">
        <v>9235</v>
      </c>
      <c r="S2207" s="10" t="s">
        <v>1163</v>
      </c>
      <c r="T2207" s="28" t="s">
        <v>11234</v>
      </c>
      <c r="U2207" s="20" t="s">
        <v>5359</v>
      </c>
      <c r="V2207" s="16" t="s">
        <v>4561</v>
      </c>
      <c r="W2207" s="11" t="s">
        <v>14433</v>
      </c>
      <c r="X2207" s="174">
        <v>344.18</v>
      </c>
      <c r="Y2207" s="174">
        <v>439.72</v>
      </c>
    </row>
    <row r="2208" spans="1:25" ht="15" customHeight="1" x14ac:dyDescent="0.25">
      <c r="A2208" s="20" t="s">
        <v>723</v>
      </c>
      <c r="B2208" s="14" t="s">
        <v>724</v>
      </c>
      <c r="C2208" s="71" t="str">
        <f t="shared" si="44"/>
        <v>Product Info</v>
      </c>
      <c r="D2208" s="37" t="s">
        <v>725</v>
      </c>
      <c r="E2208" s="143">
        <v>1</v>
      </c>
      <c r="F2208" s="12" t="s">
        <v>4992</v>
      </c>
      <c r="G2208" s="38">
        <v>536.07000000000005</v>
      </c>
      <c r="H2208" s="38">
        <v>455.68</v>
      </c>
      <c r="I2208" s="38">
        <v>375.25</v>
      </c>
      <c r="J2208" s="39"/>
      <c r="K2208" s="143"/>
      <c r="L2208" s="22">
        <v>0</v>
      </c>
      <c r="M2208" s="22">
        <v>0</v>
      </c>
      <c r="N2208" s="20" t="s">
        <v>14489</v>
      </c>
      <c r="O2208" s="16">
        <v>0</v>
      </c>
      <c r="P2208" s="143">
        <v>758</v>
      </c>
      <c r="Q2208" s="121" t="s">
        <v>14285</v>
      </c>
      <c r="R2208" s="16" t="s">
        <v>9235</v>
      </c>
      <c r="S2208" s="10" t="s">
        <v>1163</v>
      </c>
      <c r="T2208" s="28" t="s">
        <v>11235</v>
      </c>
      <c r="U2208" s="20" t="s">
        <v>5359</v>
      </c>
      <c r="V2208" s="16" t="s">
        <v>723</v>
      </c>
      <c r="W2208" s="11" t="s">
        <v>14433</v>
      </c>
      <c r="X2208" s="174">
        <v>356.67</v>
      </c>
      <c r="Y2208" s="174">
        <v>455.68</v>
      </c>
    </row>
    <row r="2209" spans="1:25" ht="15" customHeight="1" x14ac:dyDescent="0.25">
      <c r="A2209" s="20" t="s">
        <v>4564</v>
      </c>
      <c r="B2209" s="14" t="s">
        <v>726</v>
      </c>
      <c r="C2209" s="71" t="str">
        <f t="shared" si="44"/>
        <v>Product Info</v>
      </c>
      <c r="D2209" s="37" t="s">
        <v>3343</v>
      </c>
      <c r="E2209" s="143">
        <v>1</v>
      </c>
      <c r="F2209" s="12" t="s">
        <v>4992</v>
      </c>
      <c r="G2209" s="38">
        <v>517.29999999999995</v>
      </c>
      <c r="H2209" s="38">
        <v>439.72</v>
      </c>
      <c r="I2209" s="38">
        <v>362.11</v>
      </c>
      <c r="J2209" s="39"/>
      <c r="K2209" s="143"/>
      <c r="L2209" s="22">
        <v>0</v>
      </c>
      <c r="M2209" s="22">
        <v>0</v>
      </c>
      <c r="N2209" s="20" t="s">
        <v>14489</v>
      </c>
      <c r="O2209" s="16">
        <v>0</v>
      </c>
      <c r="P2209" s="143">
        <v>758</v>
      </c>
      <c r="Q2209" s="121" t="s">
        <v>14285</v>
      </c>
      <c r="R2209" s="16" t="s">
        <v>9235</v>
      </c>
      <c r="S2209" s="10" t="s">
        <v>1163</v>
      </c>
      <c r="T2209" s="28" t="s">
        <v>11236</v>
      </c>
      <c r="U2209" s="20" t="s">
        <v>5359</v>
      </c>
      <c r="V2209" s="16" t="s">
        <v>4564</v>
      </c>
      <c r="W2209" s="11" t="s">
        <v>14433</v>
      </c>
      <c r="X2209" s="174">
        <v>344.18</v>
      </c>
      <c r="Y2209" s="174">
        <v>439.72</v>
      </c>
    </row>
    <row r="2210" spans="1:25" ht="15" customHeight="1" x14ac:dyDescent="0.25">
      <c r="A2210" s="20" t="s">
        <v>727</v>
      </c>
      <c r="B2210" s="14" t="s">
        <v>728</v>
      </c>
      <c r="C2210" s="71" t="str">
        <f t="shared" si="44"/>
        <v>Product Info</v>
      </c>
      <c r="D2210" s="37" t="s">
        <v>729</v>
      </c>
      <c r="E2210" s="143">
        <v>1</v>
      </c>
      <c r="F2210" s="12" t="s">
        <v>4992</v>
      </c>
      <c r="G2210" s="38">
        <v>536.07000000000005</v>
      </c>
      <c r="H2210" s="38">
        <v>455.68</v>
      </c>
      <c r="I2210" s="38">
        <v>375.25</v>
      </c>
      <c r="J2210" s="39"/>
      <c r="K2210" s="143"/>
      <c r="L2210" s="22">
        <v>0</v>
      </c>
      <c r="M2210" s="22">
        <v>0</v>
      </c>
      <c r="N2210" s="20" t="s">
        <v>14489</v>
      </c>
      <c r="O2210" s="16">
        <v>0</v>
      </c>
      <c r="P2210" s="143">
        <v>758</v>
      </c>
      <c r="Q2210" s="122" t="s">
        <v>12421</v>
      </c>
      <c r="R2210" s="16" t="s">
        <v>9235</v>
      </c>
      <c r="S2210" s="10" t="s">
        <v>1163</v>
      </c>
      <c r="T2210" s="28" t="s">
        <v>11237</v>
      </c>
      <c r="U2210" s="20" t="s">
        <v>5359</v>
      </c>
      <c r="V2210" s="16" t="s">
        <v>727</v>
      </c>
      <c r="W2210" s="11" t="s">
        <v>14433</v>
      </c>
      <c r="X2210" s="174">
        <v>356.67</v>
      </c>
      <c r="Y2210" s="174">
        <v>455.68</v>
      </c>
    </row>
    <row r="2211" spans="1:25" ht="15" customHeight="1" x14ac:dyDescent="0.25">
      <c r="A2211" s="20" t="s">
        <v>3947</v>
      </c>
      <c r="B2211" s="14" t="s">
        <v>730</v>
      </c>
      <c r="C2211" s="71" t="str">
        <f t="shared" si="44"/>
        <v>Product Info</v>
      </c>
      <c r="D2211" s="37" t="s">
        <v>3348</v>
      </c>
      <c r="E2211" s="143">
        <v>1</v>
      </c>
      <c r="F2211" s="12" t="s">
        <v>4992</v>
      </c>
      <c r="G2211" s="38">
        <v>517.29999999999995</v>
      </c>
      <c r="H2211" s="38">
        <v>439.72</v>
      </c>
      <c r="I2211" s="38">
        <v>362.11</v>
      </c>
      <c r="J2211" s="39"/>
      <c r="K2211" s="143"/>
      <c r="L2211" s="22">
        <v>0</v>
      </c>
      <c r="M2211" s="22">
        <v>0</v>
      </c>
      <c r="N2211" s="20" t="s">
        <v>14489</v>
      </c>
      <c r="O2211" s="16">
        <v>0</v>
      </c>
      <c r="P2211" s="143">
        <v>758</v>
      </c>
      <c r="Q2211" s="121" t="s">
        <v>14285</v>
      </c>
      <c r="R2211" s="16" t="s">
        <v>9235</v>
      </c>
      <c r="S2211" s="10" t="s">
        <v>1163</v>
      </c>
      <c r="T2211" s="28" t="s">
        <v>11238</v>
      </c>
      <c r="U2211" s="20" t="s">
        <v>5359</v>
      </c>
      <c r="V2211" s="16" t="s">
        <v>3947</v>
      </c>
      <c r="W2211" s="11" t="s">
        <v>14433</v>
      </c>
      <c r="X2211" s="174">
        <v>344.18</v>
      </c>
      <c r="Y2211" s="174">
        <v>439.72</v>
      </c>
    </row>
    <row r="2212" spans="1:25" ht="15" customHeight="1" x14ac:dyDescent="0.25">
      <c r="A2212" s="20" t="s">
        <v>731</v>
      </c>
      <c r="B2212" s="14" t="s">
        <v>732</v>
      </c>
      <c r="C2212" s="71" t="str">
        <f t="shared" si="44"/>
        <v>Product Info</v>
      </c>
      <c r="D2212" s="37" t="s">
        <v>733</v>
      </c>
      <c r="E2212" s="143">
        <v>1</v>
      </c>
      <c r="F2212" s="12" t="s">
        <v>4992</v>
      </c>
      <c r="G2212" s="38">
        <v>536.07000000000005</v>
      </c>
      <c r="H2212" s="38">
        <v>455.68</v>
      </c>
      <c r="I2212" s="38">
        <v>375.25</v>
      </c>
      <c r="J2212" s="39"/>
      <c r="K2212" s="143"/>
      <c r="L2212" s="22">
        <v>0</v>
      </c>
      <c r="M2212" s="22">
        <v>0</v>
      </c>
      <c r="N2212" s="20" t="s">
        <v>14489</v>
      </c>
      <c r="O2212" s="16">
        <v>0</v>
      </c>
      <c r="P2212" s="143">
        <v>758</v>
      </c>
      <c r="Q2212" s="121" t="s">
        <v>14285</v>
      </c>
      <c r="R2212" s="16" t="s">
        <v>9235</v>
      </c>
      <c r="S2212" s="10" t="s">
        <v>1163</v>
      </c>
      <c r="T2212" s="28" t="s">
        <v>11239</v>
      </c>
      <c r="U2212" s="20" t="s">
        <v>5359</v>
      </c>
      <c r="V2212" s="16" t="s">
        <v>731</v>
      </c>
      <c r="W2212" s="11" t="s">
        <v>14433</v>
      </c>
      <c r="X2212" s="174">
        <v>356.67</v>
      </c>
      <c r="Y2212" s="174">
        <v>455.68</v>
      </c>
    </row>
    <row r="2213" spans="1:25" ht="15" customHeight="1" x14ac:dyDescent="0.25">
      <c r="A2213" s="20" t="s">
        <v>7385</v>
      </c>
      <c r="B2213" s="14" t="s">
        <v>734</v>
      </c>
      <c r="C2213" s="71" t="str">
        <f t="shared" si="44"/>
        <v>Product Info</v>
      </c>
      <c r="D2213" s="37" t="s">
        <v>3352</v>
      </c>
      <c r="E2213" s="143">
        <v>1</v>
      </c>
      <c r="F2213" s="12" t="s">
        <v>4992</v>
      </c>
      <c r="G2213" s="38">
        <v>517.29999999999995</v>
      </c>
      <c r="H2213" s="38">
        <v>439.72</v>
      </c>
      <c r="I2213" s="38">
        <v>362.11</v>
      </c>
      <c r="J2213" s="39"/>
      <c r="K2213" s="143"/>
      <c r="L2213" s="22">
        <v>0</v>
      </c>
      <c r="M2213" s="22">
        <v>0</v>
      </c>
      <c r="N2213" s="20" t="s">
        <v>14489</v>
      </c>
      <c r="O2213" s="16" t="s">
        <v>13914</v>
      </c>
      <c r="P2213" s="143">
        <v>758</v>
      </c>
      <c r="Q2213" s="121" t="s">
        <v>14285</v>
      </c>
      <c r="R2213" s="16" t="s">
        <v>9235</v>
      </c>
      <c r="S2213" s="10" t="s">
        <v>1163</v>
      </c>
      <c r="T2213" s="28" t="s">
        <v>11240</v>
      </c>
      <c r="U2213" s="20" t="s">
        <v>5359</v>
      </c>
      <c r="V2213" s="16" t="s">
        <v>7385</v>
      </c>
      <c r="W2213" s="11" t="s">
        <v>14433</v>
      </c>
      <c r="X2213" s="174">
        <v>344.18</v>
      </c>
      <c r="Y2213" s="174">
        <v>439.72</v>
      </c>
    </row>
    <row r="2214" spans="1:25" ht="15" customHeight="1" x14ac:dyDescent="0.25">
      <c r="A2214" s="20" t="s">
        <v>735</v>
      </c>
      <c r="B2214" s="14" t="s">
        <v>736</v>
      </c>
      <c r="C2214" s="71" t="str">
        <f t="shared" si="44"/>
        <v>Product Info</v>
      </c>
      <c r="D2214" s="37" t="s">
        <v>737</v>
      </c>
      <c r="E2214" s="143">
        <v>1</v>
      </c>
      <c r="F2214" s="12" t="s">
        <v>4992</v>
      </c>
      <c r="G2214" s="38">
        <v>536.07000000000005</v>
      </c>
      <c r="H2214" s="38">
        <v>455.68</v>
      </c>
      <c r="I2214" s="38">
        <v>375.25</v>
      </c>
      <c r="J2214" s="39"/>
      <c r="K2214" s="143"/>
      <c r="L2214" s="22">
        <v>0</v>
      </c>
      <c r="M2214" s="22">
        <v>0</v>
      </c>
      <c r="N2214" s="20" t="s">
        <v>14489</v>
      </c>
      <c r="O2214" s="16">
        <v>0</v>
      </c>
      <c r="P2214" s="143">
        <v>758</v>
      </c>
      <c r="Q2214" s="121" t="s">
        <v>14285</v>
      </c>
      <c r="R2214" s="16" t="s">
        <v>9235</v>
      </c>
      <c r="S2214" s="10" t="s">
        <v>1163</v>
      </c>
      <c r="T2214" s="28" t="s">
        <v>11241</v>
      </c>
      <c r="U2214" s="20" t="s">
        <v>5359</v>
      </c>
      <c r="V2214" s="16" t="s">
        <v>735</v>
      </c>
      <c r="W2214" s="11" t="s">
        <v>14433</v>
      </c>
      <c r="X2214" s="174">
        <v>356.67</v>
      </c>
      <c r="Y2214" s="174">
        <v>455.68</v>
      </c>
    </row>
    <row r="2215" spans="1:25" ht="15" customHeight="1" x14ac:dyDescent="0.25">
      <c r="A2215" s="20" t="s">
        <v>13424</v>
      </c>
      <c r="B2215" s="16" t="s">
        <v>13425</v>
      </c>
      <c r="C2215" s="71" t="str">
        <f t="shared" si="44"/>
        <v>Product Info</v>
      </c>
      <c r="D2215" s="145" t="s">
        <v>14889</v>
      </c>
      <c r="E2215" s="143">
        <v>0</v>
      </c>
      <c r="F2215" s="12" t="s">
        <v>4992</v>
      </c>
      <c r="G2215" s="38">
        <v>105.29</v>
      </c>
      <c r="H2215" s="38">
        <v>89.5</v>
      </c>
      <c r="I2215" s="38">
        <v>73.7</v>
      </c>
      <c r="J2215" s="39"/>
      <c r="K2215" s="143"/>
      <c r="L2215" s="22">
        <v>4</v>
      </c>
      <c r="M2215" s="22" t="s">
        <v>12488</v>
      </c>
      <c r="N2215" s="20" t="s">
        <v>9261</v>
      </c>
      <c r="O2215" s="16" t="s">
        <v>13912</v>
      </c>
      <c r="P2215" s="143">
        <v>819</v>
      </c>
      <c r="Q2215" s="122" t="s">
        <v>9227</v>
      </c>
      <c r="R2215" s="16" t="s">
        <v>8904</v>
      </c>
      <c r="S2215" s="10" t="s">
        <v>1163</v>
      </c>
      <c r="T2215" s="28" t="s">
        <v>13751</v>
      </c>
      <c r="U2215" s="20" t="s">
        <v>5359</v>
      </c>
      <c r="V2215" s="16" t="s">
        <v>13957</v>
      </c>
      <c r="W2215" s="16" t="s">
        <v>13938</v>
      </c>
      <c r="X2215" s="174">
        <v>70.75</v>
      </c>
      <c r="Y2215" s="174">
        <v>89.5</v>
      </c>
    </row>
    <row r="2216" spans="1:25" ht="15" customHeight="1" x14ac:dyDescent="0.25">
      <c r="A2216" s="20" t="s">
        <v>7386</v>
      </c>
      <c r="B2216" s="14" t="s">
        <v>738</v>
      </c>
      <c r="C2216" s="71" t="str">
        <f t="shared" si="44"/>
        <v>Product Info</v>
      </c>
      <c r="D2216" s="37" t="s">
        <v>3852</v>
      </c>
      <c r="E2216" s="143">
        <v>1</v>
      </c>
      <c r="F2216" s="12" t="s">
        <v>4992</v>
      </c>
      <c r="G2216" s="38">
        <v>517.29999999999995</v>
      </c>
      <c r="H2216" s="38">
        <v>439.72</v>
      </c>
      <c r="I2216" s="38">
        <v>362.11</v>
      </c>
      <c r="J2216" s="39"/>
      <c r="K2216" s="143"/>
      <c r="L2216" s="22">
        <v>0</v>
      </c>
      <c r="M2216" s="22">
        <v>0</v>
      </c>
      <c r="N2216" s="20" t="s">
        <v>14489</v>
      </c>
      <c r="O2216" s="16">
        <v>0</v>
      </c>
      <c r="P2216" s="143">
        <v>758</v>
      </c>
      <c r="Q2216" s="121" t="s">
        <v>14285</v>
      </c>
      <c r="R2216" s="16" t="s">
        <v>9235</v>
      </c>
      <c r="S2216" s="10" t="s">
        <v>1163</v>
      </c>
      <c r="T2216" s="28" t="s">
        <v>11242</v>
      </c>
      <c r="U2216" s="20" t="s">
        <v>5359</v>
      </c>
      <c r="V2216" s="16" t="s">
        <v>7386</v>
      </c>
      <c r="W2216" s="11" t="s">
        <v>14433</v>
      </c>
      <c r="X2216" s="174">
        <v>344.18</v>
      </c>
      <c r="Y2216" s="174">
        <v>439.72</v>
      </c>
    </row>
    <row r="2217" spans="1:25" ht="15" customHeight="1" x14ac:dyDescent="0.25">
      <c r="A2217" s="20" t="s">
        <v>739</v>
      </c>
      <c r="B2217" s="14" t="s">
        <v>740</v>
      </c>
      <c r="C2217" s="71" t="str">
        <f t="shared" si="44"/>
        <v>Product Info</v>
      </c>
      <c r="D2217" s="37" t="s">
        <v>741</v>
      </c>
      <c r="E2217" s="143">
        <v>1</v>
      </c>
      <c r="F2217" s="12" t="s">
        <v>4992</v>
      </c>
      <c r="G2217" s="38">
        <v>536.07000000000005</v>
      </c>
      <c r="H2217" s="38">
        <v>455.68</v>
      </c>
      <c r="I2217" s="38">
        <v>375.25</v>
      </c>
      <c r="J2217" s="39"/>
      <c r="K2217" s="143"/>
      <c r="L2217" s="22">
        <v>0</v>
      </c>
      <c r="M2217" s="22">
        <v>0</v>
      </c>
      <c r="N2217" s="20" t="s">
        <v>14489</v>
      </c>
      <c r="O2217" s="16">
        <v>0</v>
      </c>
      <c r="P2217" s="143">
        <v>758</v>
      </c>
      <c r="Q2217" s="121" t="s">
        <v>14285</v>
      </c>
      <c r="R2217" s="16" t="s">
        <v>9235</v>
      </c>
      <c r="S2217" s="10" t="s">
        <v>1163</v>
      </c>
      <c r="T2217" s="28" t="s">
        <v>11243</v>
      </c>
      <c r="U2217" s="20" t="s">
        <v>5359</v>
      </c>
      <c r="V2217" s="16" t="s">
        <v>739</v>
      </c>
      <c r="W2217" s="11" t="s">
        <v>14433</v>
      </c>
      <c r="X2217" s="174">
        <v>356.67</v>
      </c>
      <c r="Y2217" s="174">
        <v>455.68</v>
      </c>
    </row>
    <row r="2218" spans="1:25" ht="15" customHeight="1" x14ac:dyDescent="0.25">
      <c r="A2218" s="20" t="s">
        <v>7391</v>
      </c>
      <c r="B2218" s="14" t="s">
        <v>742</v>
      </c>
      <c r="C2218" s="71" t="str">
        <f t="shared" si="44"/>
        <v>Product Info</v>
      </c>
      <c r="D2218" s="37" t="s">
        <v>3855</v>
      </c>
      <c r="E2218" s="143">
        <v>1</v>
      </c>
      <c r="F2218" s="12" t="s">
        <v>4992</v>
      </c>
      <c r="G2218" s="38">
        <v>517.29999999999995</v>
      </c>
      <c r="H2218" s="38">
        <v>439.72</v>
      </c>
      <c r="I2218" s="38">
        <v>362.11</v>
      </c>
      <c r="J2218" s="39"/>
      <c r="K2218" s="143"/>
      <c r="L2218" s="22">
        <v>0</v>
      </c>
      <c r="M2218" s="22">
        <v>0</v>
      </c>
      <c r="N2218" s="20" t="s">
        <v>14489</v>
      </c>
      <c r="O2218" s="16">
        <v>0</v>
      </c>
      <c r="P2218" s="143">
        <v>758</v>
      </c>
      <c r="Q2218" s="121" t="s">
        <v>14285</v>
      </c>
      <c r="R2218" s="16" t="s">
        <v>9235</v>
      </c>
      <c r="S2218" s="10" t="s">
        <v>1163</v>
      </c>
      <c r="T2218" s="28" t="s">
        <v>11244</v>
      </c>
      <c r="U2218" s="20" t="s">
        <v>5359</v>
      </c>
      <c r="V2218" s="16" t="s">
        <v>7391</v>
      </c>
      <c r="W2218" s="11" t="s">
        <v>14433</v>
      </c>
      <c r="X2218" s="174">
        <v>344.18</v>
      </c>
      <c r="Y2218" s="174">
        <v>439.72</v>
      </c>
    </row>
    <row r="2219" spans="1:25" ht="15" customHeight="1" x14ac:dyDescent="0.25">
      <c r="A2219" s="20" t="s">
        <v>743</v>
      </c>
      <c r="B2219" s="14" t="s">
        <v>744</v>
      </c>
      <c r="C2219" s="71" t="str">
        <f t="shared" si="44"/>
        <v>Product Info</v>
      </c>
      <c r="D2219" s="37" t="s">
        <v>745</v>
      </c>
      <c r="E2219" s="143">
        <v>1</v>
      </c>
      <c r="F2219" s="12" t="s">
        <v>4992</v>
      </c>
      <c r="G2219" s="38">
        <v>536.07000000000005</v>
      </c>
      <c r="H2219" s="38">
        <v>455.68</v>
      </c>
      <c r="I2219" s="38">
        <v>375.25</v>
      </c>
      <c r="J2219" s="39"/>
      <c r="K2219" s="143"/>
      <c r="L2219" s="22">
        <v>0</v>
      </c>
      <c r="M2219" s="22">
        <v>0</v>
      </c>
      <c r="N2219" s="20" t="s">
        <v>14489</v>
      </c>
      <c r="O2219" s="16">
        <v>0</v>
      </c>
      <c r="P2219" s="143">
        <v>758</v>
      </c>
      <c r="Q2219" s="121" t="s">
        <v>14285</v>
      </c>
      <c r="R2219" s="16" t="s">
        <v>9235</v>
      </c>
      <c r="S2219" s="10" t="s">
        <v>1163</v>
      </c>
      <c r="T2219" s="28" t="s">
        <v>11245</v>
      </c>
      <c r="U2219" s="20" t="s">
        <v>5359</v>
      </c>
      <c r="V2219" s="16" t="s">
        <v>743</v>
      </c>
      <c r="W2219" s="11" t="s">
        <v>14433</v>
      </c>
      <c r="X2219" s="174">
        <v>356.67</v>
      </c>
      <c r="Y2219" s="174">
        <v>455.68</v>
      </c>
    </row>
    <row r="2220" spans="1:25" ht="15" customHeight="1" x14ac:dyDescent="0.25">
      <c r="A2220" s="20" t="s">
        <v>7392</v>
      </c>
      <c r="B2220" s="14" t="s">
        <v>746</v>
      </c>
      <c r="C2220" s="71" t="str">
        <f t="shared" si="44"/>
        <v>Product Info</v>
      </c>
      <c r="D2220" s="37" t="s">
        <v>3856</v>
      </c>
      <c r="E2220" s="143">
        <v>1</v>
      </c>
      <c r="F2220" s="12" t="s">
        <v>4992</v>
      </c>
      <c r="G2220" s="38">
        <v>517.29999999999995</v>
      </c>
      <c r="H2220" s="38">
        <v>439.72</v>
      </c>
      <c r="I2220" s="38">
        <v>362.11</v>
      </c>
      <c r="J2220" s="39"/>
      <c r="K2220" s="143"/>
      <c r="L2220" s="22">
        <v>0</v>
      </c>
      <c r="M2220" s="22">
        <v>0</v>
      </c>
      <c r="N2220" s="20" t="s">
        <v>14489</v>
      </c>
      <c r="O2220" s="16">
        <v>0</v>
      </c>
      <c r="P2220" s="143">
        <v>758</v>
      </c>
      <c r="Q2220" s="121" t="s">
        <v>14285</v>
      </c>
      <c r="R2220" s="16" t="s">
        <v>9235</v>
      </c>
      <c r="S2220" s="10" t="s">
        <v>1163</v>
      </c>
      <c r="T2220" s="28" t="s">
        <v>11246</v>
      </c>
      <c r="U2220" s="20" t="s">
        <v>5359</v>
      </c>
      <c r="V2220" s="16" t="s">
        <v>7392</v>
      </c>
      <c r="W2220" s="11" t="s">
        <v>14433</v>
      </c>
      <c r="X2220" s="174">
        <v>344.18</v>
      </c>
      <c r="Y2220" s="174">
        <v>439.72</v>
      </c>
    </row>
    <row r="2221" spans="1:25" ht="15" customHeight="1" x14ac:dyDescent="0.25">
      <c r="A2221" s="20" t="s">
        <v>747</v>
      </c>
      <c r="B2221" s="14" t="s">
        <v>748</v>
      </c>
      <c r="C2221" s="71" t="str">
        <f t="shared" si="44"/>
        <v>Product Info</v>
      </c>
      <c r="D2221" s="37" t="s">
        <v>749</v>
      </c>
      <c r="E2221" s="143">
        <v>1</v>
      </c>
      <c r="F2221" s="12" t="s">
        <v>4992</v>
      </c>
      <c r="G2221" s="38">
        <v>536.07000000000005</v>
      </c>
      <c r="H2221" s="38">
        <v>455.68</v>
      </c>
      <c r="I2221" s="38">
        <v>375.25</v>
      </c>
      <c r="J2221" s="39"/>
      <c r="K2221" s="143"/>
      <c r="L2221" s="22">
        <v>0</v>
      </c>
      <c r="M2221" s="22">
        <v>0</v>
      </c>
      <c r="N2221" s="20" t="s">
        <v>14489</v>
      </c>
      <c r="O2221" s="16">
        <v>0</v>
      </c>
      <c r="P2221" s="143">
        <v>758</v>
      </c>
      <c r="Q2221" s="121" t="s">
        <v>14285</v>
      </c>
      <c r="R2221" s="16" t="s">
        <v>9235</v>
      </c>
      <c r="S2221" s="10" t="s">
        <v>1163</v>
      </c>
      <c r="T2221" s="28" t="s">
        <v>11247</v>
      </c>
      <c r="U2221" s="20" t="s">
        <v>5359</v>
      </c>
      <c r="V2221" s="16" t="s">
        <v>747</v>
      </c>
      <c r="W2221" s="11" t="s">
        <v>14433</v>
      </c>
      <c r="X2221" s="174">
        <v>356.67</v>
      </c>
      <c r="Y2221" s="174">
        <v>455.68</v>
      </c>
    </row>
    <row r="2222" spans="1:25" ht="15" customHeight="1" x14ac:dyDescent="0.25">
      <c r="A2222" s="20" t="s">
        <v>7397</v>
      </c>
      <c r="B2222" s="14" t="s">
        <v>750</v>
      </c>
      <c r="C2222" s="71" t="str">
        <f t="shared" si="44"/>
        <v>Product Info</v>
      </c>
      <c r="D2222" s="37" t="s">
        <v>3859</v>
      </c>
      <c r="E2222" s="143">
        <v>1</v>
      </c>
      <c r="F2222" s="12" t="s">
        <v>4992</v>
      </c>
      <c r="G2222" s="38">
        <v>465.57</v>
      </c>
      <c r="H2222" s="38">
        <v>395.75</v>
      </c>
      <c r="I2222" s="38">
        <v>325.89999999999998</v>
      </c>
      <c r="J2222" s="39"/>
      <c r="K2222" s="143"/>
      <c r="L2222" s="22">
        <v>0</v>
      </c>
      <c r="M2222" s="22">
        <v>0</v>
      </c>
      <c r="N2222" s="20" t="s">
        <v>14489</v>
      </c>
      <c r="O2222" s="16">
        <v>0</v>
      </c>
      <c r="P2222" s="143">
        <v>758</v>
      </c>
      <c r="Q2222" s="121" t="s">
        <v>14285</v>
      </c>
      <c r="R2222" s="16" t="s">
        <v>9235</v>
      </c>
      <c r="S2222" s="10" t="s">
        <v>1163</v>
      </c>
      <c r="T2222" s="28" t="s">
        <v>11248</v>
      </c>
      <c r="U2222" s="20" t="s">
        <v>5359</v>
      </c>
      <c r="V2222" s="16" t="s">
        <v>7397</v>
      </c>
      <c r="W2222" s="11" t="s">
        <v>14433</v>
      </c>
      <c r="X2222" s="174">
        <v>309.76</v>
      </c>
      <c r="Y2222" s="174">
        <v>395.75</v>
      </c>
    </row>
    <row r="2223" spans="1:25" ht="15" customHeight="1" x14ac:dyDescent="0.25">
      <c r="A2223" s="20" t="s">
        <v>751</v>
      </c>
      <c r="B2223" s="14" t="s">
        <v>752</v>
      </c>
      <c r="C2223" s="71" t="str">
        <f t="shared" si="44"/>
        <v>Product Info</v>
      </c>
      <c r="D2223" s="37" t="s">
        <v>753</v>
      </c>
      <c r="E2223" s="143">
        <v>1</v>
      </c>
      <c r="F2223" s="12" t="s">
        <v>4992</v>
      </c>
      <c r="G2223" s="38">
        <v>540.55999999999995</v>
      </c>
      <c r="H2223" s="38">
        <v>459.49</v>
      </c>
      <c r="I2223" s="38">
        <v>378.39</v>
      </c>
      <c r="J2223" s="39"/>
      <c r="K2223" s="143"/>
      <c r="L2223" s="22">
        <v>0</v>
      </c>
      <c r="M2223" s="22">
        <v>0</v>
      </c>
      <c r="N2223" s="20" t="s">
        <v>14489</v>
      </c>
      <c r="O2223" s="16">
        <v>0</v>
      </c>
      <c r="P2223" s="143">
        <v>758</v>
      </c>
      <c r="Q2223" s="121" t="s">
        <v>14285</v>
      </c>
      <c r="R2223" s="16" t="s">
        <v>9235</v>
      </c>
      <c r="S2223" s="10" t="s">
        <v>1163</v>
      </c>
      <c r="T2223" s="28" t="s">
        <v>11249</v>
      </c>
      <c r="U2223" s="20" t="s">
        <v>5359</v>
      </c>
      <c r="V2223" s="16" t="s">
        <v>751</v>
      </c>
      <c r="W2223" s="11" t="s">
        <v>14433</v>
      </c>
      <c r="X2223" s="174">
        <v>359.65</v>
      </c>
      <c r="Y2223" s="174">
        <v>459.49</v>
      </c>
    </row>
    <row r="2224" spans="1:25" ht="15" customHeight="1" x14ac:dyDescent="0.25">
      <c r="A2224" s="20" t="s">
        <v>6862</v>
      </c>
      <c r="B2224" s="14" t="s">
        <v>754</v>
      </c>
      <c r="C2224" s="71" t="str">
        <f t="shared" si="44"/>
        <v>Product Info</v>
      </c>
      <c r="D2224" s="37" t="s">
        <v>3865</v>
      </c>
      <c r="E2224" s="143">
        <v>1</v>
      </c>
      <c r="F2224" s="12" t="s">
        <v>4992</v>
      </c>
      <c r="G2224" s="38">
        <v>517.29999999999995</v>
      </c>
      <c r="H2224" s="38">
        <v>439.72</v>
      </c>
      <c r="I2224" s="38">
        <v>362.11</v>
      </c>
      <c r="J2224" s="39"/>
      <c r="K2224" s="143"/>
      <c r="L2224" s="22">
        <v>0</v>
      </c>
      <c r="M2224" s="22">
        <v>0</v>
      </c>
      <c r="N2224" s="20" t="s">
        <v>14489</v>
      </c>
      <c r="O2224" s="16" t="s">
        <v>13914</v>
      </c>
      <c r="P2224" s="143">
        <v>758</v>
      </c>
      <c r="Q2224" s="122" t="s">
        <v>12421</v>
      </c>
      <c r="R2224" s="16" t="s">
        <v>9235</v>
      </c>
      <c r="S2224" s="10" t="s">
        <v>1163</v>
      </c>
      <c r="T2224" s="28" t="s">
        <v>11250</v>
      </c>
      <c r="U2224" s="20" t="s">
        <v>5359</v>
      </c>
      <c r="V2224" s="16" t="s">
        <v>6862</v>
      </c>
      <c r="W2224" s="11" t="s">
        <v>14433</v>
      </c>
      <c r="X2224" s="174">
        <v>344.18</v>
      </c>
      <c r="Y2224" s="174">
        <v>439.72</v>
      </c>
    </row>
    <row r="2225" spans="1:25" ht="15" customHeight="1" x14ac:dyDescent="0.25">
      <c r="A2225" s="20" t="s">
        <v>755</v>
      </c>
      <c r="B2225" s="14" t="s">
        <v>756</v>
      </c>
      <c r="C2225" s="71" t="str">
        <f t="shared" si="44"/>
        <v>Product Info</v>
      </c>
      <c r="D2225" s="37" t="s">
        <v>757</v>
      </c>
      <c r="E2225" s="143">
        <v>1</v>
      </c>
      <c r="F2225" s="12" t="s">
        <v>4992</v>
      </c>
      <c r="G2225" s="38">
        <v>540.55999999999995</v>
      </c>
      <c r="H2225" s="38">
        <v>459.49</v>
      </c>
      <c r="I2225" s="38">
        <v>378.39</v>
      </c>
      <c r="J2225" s="39"/>
      <c r="K2225" s="143"/>
      <c r="L2225" s="22">
        <v>0</v>
      </c>
      <c r="M2225" s="22">
        <v>0</v>
      </c>
      <c r="N2225" s="20" t="s">
        <v>14489</v>
      </c>
      <c r="O2225" s="16">
        <v>0</v>
      </c>
      <c r="P2225" s="143">
        <v>758</v>
      </c>
      <c r="Q2225" s="121" t="s">
        <v>14285</v>
      </c>
      <c r="R2225" s="16" t="s">
        <v>9235</v>
      </c>
      <c r="S2225" s="10" t="s">
        <v>1163</v>
      </c>
      <c r="T2225" s="28" t="s">
        <v>11251</v>
      </c>
      <c r="U2225" s="20" t="s">
        <v>5359</v>
      </c>
      <c r="V2225" s="16" t="s">
        <v>755</v>
      </c>
      <c r="W2225" s="11" t="s">
        <v>14433</v>
      </c>
      <c r="X2225" s="174">
        <v>359.65</v>
      </c>
      <c r="Y2225" s="174">
        <v>459.49</v>
      </c>
    </row>
    <row r="2226" spans="1:25" ht="15" customHeight="1" x14ac:dyDescent="0.25">
      <c r="A2226" s="20" t="s">
        <v>6863</v>
      </c>
      <c r="B2226" s="14" t="s">
        <v>758</v>
      </c>
      <c r="C2226" s="71" t="str">
        <f t="shared" si="44"/>
        <v>Product Info</v>
      </c>
      <c r="D2226" s="37" t="s">
        <v>3866</v>
      </c>
      <c r="E2226" s="143">
        <v>1</v>
      </c>
      <c r="F2226" s="12" t="s">
        <v>4992</v>
      </c>
      <c r="G2226" s="38">
        <v>517.29999999999995</v>
      </c>
      <c r="H2226" s="38">
        <v>439.72</v>
      </c>
      <c r="I2226" s="38">
        <v>362.11</v>
      </c>
      <c r="J2226" s="39"/>
      <c r="K2226" s="143"/>
      <c r="L2226" s="22">
        <v>0</v>
      </c>
      <c r="M2226" s="22">
        <v>0</v>
      </c>
      <c r="N2226" s="20" t="s">
        <v>14489</v>
      </c>
      <c r="O2226" s="16">
        <v>0</v>
      </c>
      <c r="P2226" s="143">
        <v>758</v>
      </c>
      <c r="Q2226" s="121" t="s">
        <v>14285</v>
      </c>
      <c r="R2226" s="16" t="s">
        <v>9235</v>
      </c>
      <c r="S2226" s="10" t="s">
        <v>1163</v>
      </c>
      <c r="T2226" s="28" t="s">
        <v>11252</v>
      </c>
      <c r="U2226" s="20" t="s">
        <v>5359</v>
      </c>
      <c r="V2226" s="16" t="s">
        <v>6863</v>
      </c>
      <c r="W2226" s="11" t="s">
        <v>14433</v>
      </c>
      <c r="X2226" s="174">
        <v>344.18</v>
      </c>
      <c r="Y2226" s="174">
        <v>439.72</v>
      </c>
    </row>
    <row r="2227" spans="1:25" ht="15" customHeight="1" x14ac:dyDescent="0.25">
      <c r="A2227" s="20" t="s">
        <v>759</v>
      </c>
      <c r="B2227" s="14" t="s">
        <v>760</v>
      </c>
      <c r="C2227" s="71" t="str">
        <f t="shared" si="44"/>
        <v>Product Info</v>
      </c>
      <c r="D2227" s="37" t="s">
        <v>761</v>
      </c>
      <c r="E2227" s="143">
        <v>1</v>
      </c>
      <c r="F2227" s="12" t="s">
        <v>4992</v>
      </c>
      <c r="G2227" s="38">
        <v>540.55999999999995</v>
      </c>
      <c r="H2227" s="38">
        <v>459.49</v>
      </c>
      <c r="I2227" s="38">
        <v>378.39</v>
      </c>
      <c r="J2227" s="39"/>
      <c r="K2227" s="143"/>
      <c r="L2227" s="22">
        <v>0</v>
      </c>
      <c r="M2227" s="22">
        <v>0</v>
      </c>
      <c r="N2227" s="20" t="s">
        <v>14489</v>
      </c>
      <c r="O2227" s="16">
        <v>0</v>
      </c>
      <c r="P2227" s="143">
        <v>758</v>
      </c>
      <c r="Q2227" s="122" t="s">
        <v>12421</v>
      </c>
      <c r="R2227" s="16" t="s">
        <v>9235</v>
      </c>
      <c r="S2227" s="10" t="s">
        <v>1163</v>
      </c>
      <c r="T2227" s="28" t="s">
        <v>11253</v>
      </c>
      <c r="U2227" s="20" t="s">
        <v>5359</v>
      </c>
      <c r="V2227" s="16" t="s">
        <v>759</v>
      </c>
      <c r="W2227" s="11" t="s">
        <v>14433</v>
      </c>
      <c r="X2227" s="174">
        <v>359.65</v>
      </c>
      <c r="Y2227" s="174">
        <v>459.49</v>
      </c>
    </row>
    <row r="2228" spans="1:25" ht="15" customHeight="1" x14ac:dyDescent="0.25">
      <c r="A2228" s="20" t="s">
        <v>6876</v>
      </c>
      <c r="B2228" s="14" t="s">
        <v>762</v>
      </c>
      <c r="C2228" s="71" t="str">
        <f t="shared" si="44"/>
        <v>Product Info</v>
      </c>
      <c r="D2228" s="37" t="s">
        <v>3873</v>
      </c>
      <c r="E2228" s="143">
        <v>1</v>
      </c>
      <c r="F2228" s="12" t="s">
        <v>4992</v>
      </c>
      <c r="G2228" s="38">
        <v>517.29999999999995</v>
      </c>
      <c r="H2228" s="38">
        <v>439.72</v>
      </c>
      <c r="I2228" s="38">
        <v>362.11</v>
      </c>
      <c r="J2228" s="39"/>
      <c r="K2228" s="143"/>
      <c r="L2228" s="22">
        <v>0</v>
      </c>
      <c r="M2228" s="22">
        <v>0</v>
      </c>
      <c r="N2228" s="20" t="s">
        <v>14489</v>
      </c>
      <c r="O2228" s="16">
        <v>0</v>
      </c>
      <c r="P2228" s="143">
        <v>758</v>
      </c>
      <c r="Q2228" s="121" t="s">
        <v>14285</v>
      </c>
      <c r="R2228" s="16" t="s">
        <v>9235</v>
      </c>
      <c r="S2228" s="10" t="s">
        <v>1163</v>
      </c>
      <c r="T2228" s="28" t="s">
        <v>11254</v>
      </c>
      <c r="U2228" s="20" t="s">
        <v>5359</v>
      </c>
      <c r="V2228" s="16" t="s">
        <v>6876</v>
      </c>
      <c r="W2228" s="11" t="s">
        <v>14433</v>
      </c>
      <c r="X2228" s="174">
        <v>344.18</v>
      </c>
      <c r="Y2228" s="174">
        <v>439.72</v>
      </c>
    </row>
    <row r="2229" spans="1:25" ht="15" customHeight="1" x14ac:dyDescent="0.25">
      <c r="A2229" s="20" t="s">
        <v>763</v>
      </c>
      <c r="B2229" s="14" t="s">
        <v>764</v>
      </c>
      <c r="C2229" s="71" t="str">
        <f t="shared" si="44"/>
        <v>Product Info</v>
      </c>
      <c r="D2229" s="37" t="s">
        <v>765</v>
      </c>
      <c r="E2229" s="143">
        <v>1</v>
      </c>
      <c r="F2229" s="12" t="s">
        <v>4992</v>
      </c>
      <c r="G2229" s="38">
        <v>540.55999999999995</v>
      </c>
      <c r="H2229" s="38">
        <v>459.49</v>
      </c>
      <c r="I2229" s="38">
        <v>378.39</v>
      </c>
      <c r="J2229" s="39"/>
      <c r="K2229" s="143"/>
      <c r="L2229" s="22">
        <v>0</v>
      </c>
      <c r="M2229" s="22">
        <v>0</v>
      </c>
      <c r="N2229" s="20" t="s">
        <v>14489</v>
      </c>
      <c r="O2229" s="16">
        <v>0</v>
      </c>
      <c r="P2229" s="143">
        <v>758</v>
      </c>
      <c r="Q2229" s="121" t="s">
        <v>14285</v>
      </c>
      <c r="R2229" s="16" t="s">
        <v>9235</v>
      </c>
      <c r="S2229" s="10" t="s">
        <v>1163</v>
      </c>
      <c r="T2229" s="28" t="s">
        <v>11255</v>
      </c>
      <c r="U2229" s="20" t="s">
        <v>5359</v>
      </c>
      <c r="V2229" s="16" t="s">
        <v>763</v>
      </c>
      <c r="W2229" s="11" t="s">
        <v>14433</v>
      </c>
      <c r="X2229" s="174">
        <v>359.65</v>
      </c>
      <c r="Y2229" s="174">
        <v>459.49</v>
      </c>
    </row>
    <row r="2230" spans="1:25" ht="15" customHeight="1" x14ac:dyDescent="0.25">
      <c r="A2230" s="20" t="s">
        <v>6877</v>
      </c>
      <c r="B2230" s="14" t="s">
        <v>766</v>
      </c>
      <c r="C2230" s="71" t="str">
        <f t="shared" si="44"/>
        <v>Product Info</v>
      </c>
      <c r="D2230" s="37" t="s">
        <v>3874</v>
      </c>
      <c r="E2230" s="143">
        <v>1</v>
      </c>
      <c r="F2230" s="12" t="s">
        <v>4992</v>
      </c>
      <c r="G2230" s="38">
        <v>517.29999999999995</v>
      </c>
      <c r="H2230" s="38">
        <v>439.72</v>
      </c>
      <c r="I2230" s="38">
        <v>362.11</v>
      </c>
      <c r="J2230" s="39"/>
      <c r="K2230" s="143"/>
      <c r="L2230" s="22">
        <v>0</v>
      </c>
      <c r="M2230" s="22">
        <v>0</v>
      </c>
      <c r="N2230" s="20" t="s">
        <v>14489</v>
      </c>
      <c r="O2230" s="16">
        <v>0</v>
      </c>
      <c r="P2230" s="143">
        <v>758</v>
      </c>
      <c r="Q2230" s="121" t="s">
        <v>14285</v>
      </c>
      <c r="R2230" s="16" t="s">
        <v>9235</v>
      </c>
      <c r="S2230" s="10" t="s">
        <v>1163</v>
      </c>
      <c r="T2230" s="28" t="s">
        <v>11256</v>
      </c>
      <c r="U2230" s="20" t="s">
        <v>5359</v>
      </c>
      <c r="V2230" s="16" t="s">
        <v>6877</v>
      </c>
      <c r="W2230" s="11" t="s">
        <v>14433</v>
      </c>
      <c r="X2230" s="174">
        <v>344.18</v>
      </c>
      <c r="Y2230" s="174">
        <v>439.72</v>
      </c>
    </row>
    <row r="2231" spans="1:25" ht="15" customHeight="1" x14ac:dyDescent="0.25">
      <c r="A2231" s="20" t="s">
        <v>767</v>
      </c>
      <c r="B2231" s="14" t="s">
        <v>768</v>
      </c>
      <c r="C2231" s="71" t="str">
        <f t="shared" si="44"/>
        <v>Product Info</v>
      </c>
      <c r="D2231" s="37" t="s">
        <v>769</v>
      </c>
      <c r="E2231" s="143">
        <v>1</v>
      </c>
      <c r="F2231" s="12" t="s">
        <v>4992</v>
      </c>
      <c r="G2231" s="38">
        <v>540.55999999999995</v>
      </c>
      <c r="H2231" s="38">
        <v>459.49</v>
      </c>
      <c r="I2231" s="38">
        <v>378.39</v>
      </c>
      <c r="J2231" s="39"/>
      <c r="K2231" s="143"/>
      <c r="L2231" s="22">
        <v>0</v>
      </c>
      <c r="M2231" s="22">
        <v>0</v>
      </c>
      <c r="N2231" s="20" t="s">
        <v>14489</v>
      </c>
      <c r="O2231" s="16">
        <v>0</v>
      </c>
      <c r="P2231" s="143">
        <v>758</v>
      </c>
      <c r="Q2231" s="121" t="s">
        <v>14285</v>
      </c>
      <c r="R2231" s="16" t="s">
        <v>9235</v>
      </c>
      <c r="S2231" s="10" t="s">
        <v>1163</v>
      </c>
      <c r="T2231" s="28" t="s">
        <v>11257</v>
      </c>
      <c r="U2231" s="20" t="s">
        <v>5359</v>
      </c>
      <c r="V2231" s="16" t="s">
        <v>767</v>
      </c>
      <c r="W2231" s="11" t="s">
        <v>14433</v>
      </c>
      <c r="X2231" s="174">
        <v>359.65</v>
      </c>
      <c r="Y2231" s="174">
        <v>459.49</v>
      </c>
    </row>
    <row r="2232" spans="1:25" ht="15" customHeight="1" x14ac:dyDescent="0.25">
      <c r="A2232" s="20" t="s">
        <v>6878</v>
      </c>
      <c r="B2232" s="14" t="s">
        <v>770</v>
      </c>
      <c r="C2232" s="71" t="str">
        <f t="shared" si="44"/>
        <v>Product Info</v>
      </c>
      <c r="D2232" s="37" t="s">
        <v>3875</v>
      </c>
      <c r="E2232" s="143">
        <v>1</v>
      </c>
      <c r="F2232" s="12" t="s">
        <v>4992</v>
      </c>
      <c r="G2232" s="38">
        <v>517.29999999999995</v>
      </c>
      <c r="H2232" s="38">
        <v>439.72</v>
      </c>
      <c r="I2232" s="38">
        <v>362.11</v>
      </c>
      <c r="J2232" s="39"/>
      <c r="K2232" s="143"/>
      <c r="L2232" s="22">
        <v>0</v>
      </c>
      <c r="M2232" s="22">
        <v>0</v>
      </c>
      <c r="N2232" s="20" t="s">
        <v>14489</v>
      </c>
      <c r="O2232" s="16">
        <v>0</v>
      </c>
      <c r="P2232" s="143">
        <v>758</v>
      </c>
      <c r="Q2232" s="121" t="s">
        <v>14285</v>
      </c>
      <c r="R2232" s="16" t="s">
        <v>9235</v>
      </c>
      <c r="S2232" s="10" t="s">
        <v>1163</v>
      </c>
      <c r="T2232" s="28" t="s">
        <v>11258</v>
      </c>
      <c r="U2232" s="20" t="s">
        <v>5359</v>
      </c>
      <c r="V2232" s="16" t="s">
        <v>6878</v>
      </c>
      <c r="W2232" s="11" t="s">
        <v>14433</v>
      </c>
      <c r="X2232" s="174">
        <v>344.18</v>
      </c>
      <c r="Y2232" s="174">
        <v>439.72</v>
      </c>
    </row>
    <row r="2233" spans="1:25" ht="15" customHeight="1" x14ac:dyDescent="0.25">
      <c r="A2233" s="20" t="s">
        <v>771</v>
      </c>
      <c r="B2233" s="14" t="s">
        <v>772</v>
      </c>
      <c r="C2233" s="71" t="str">
        <f t="shared" si="44"/>
        <v>Product Info</v>
      </c>
      <c r="D2233" s="37" t="s">
        <v>773</v>
      </c>
      <c r="E2233" s="143">
        <v>1</v>
      </c>
      <c r="F2233" s="12" t="s">
        <v>4992</v>
      </c>
      <c r="G2233" s="38">
        <v>540.55999999999995</v>
      </c>
      <c r="H2233" s="38">
        <v>459.49</v>
      </c>
      <c r="I2233" s="38">
        <v>378.39</v>
      </c>
      <c r="J2233" s="39"/>
      <c r="K2233" s="143"/>
      <c r="L2233" s="22">
        <v>0</v>
      </c>
      <c r="M2233" s="22">
        <v>0</v>
      </c>
      <c r="N2233" s="20" t="s">
        <v>14489</v>
      </c>
      <c r="O2233" s="16">
        <v>0</v>
      </c>
      <c r="P2233" s="143">
        <v>758</v>
      </c>
      <c r="Q2233" s="121" t="s">
        <v>14285</v>
      </c>
      <c r="R2233" s="16" t="s">
        <v>9235</v>
      </c>
      <c r="S2233" s="10" t="s">
        <v>1163</v>
      </c>
      <c r="T2233" s="28" t="s">
        <v>11259</v>
      </c>
      <c r="U2233" s="20" t="s">
        <v>5359</v>
      </c>
      <c r="V2233" s="16" t="s">
        <v>771</v>
      </c>
      <c r="W2233" s="11" t="s">
        <v>14433</v>
      </c>
      <c r="X2233" s="174">
        <v>359.65</v>
      </c>
      <c r="Y2233" s="174">
        <v>459.49</v>
      </c>
    </row>
    <row r="2234" spans="1:25" ht="15" customHeight="1" x14ac:dyDescent="0.25">
      <c r="A2234" s="20" t="s">
        <v>6887</v>
      </c>
      <c r="B2234" s="14" t="s">
        <v>774</v>
      </c>
      <c r="C2234" s="71" t="str">
        <f t="shared" si="44"/>
        <v>Product Info</v>
      </c>
      <c r="D2234" s="37" t="s">
        <v>3880</v>
      </c>
      <c r="E2234" s="143">
        <v>1</v>
      </c>
      <c r="F2234" s="12" t="s">
        <v>4992</v>
      </c>
      <c r="G2234" s="38">
        <v>517.29999999999995</v>
      </c>
      <c r="H2234" s="38">
        <v>439.72</v>
      </c>
      <c r="I2234" s="38">
        <v>362.11</v>
      </c>
      <c r="J2234" s="39"/>
      <c r="K2234" s="143"/>
      <c r="L2234" s="22">
        <v>0</v>
      </c>
      <c r="M2234" s="22">
        <v>0</v>
      </c>
      <c r="N2234" s="20" t="s">
        <v>14489</v>
      </c>
      <c r="O2234" s="16">
        <v>0</v>
      </c>
      <c r="P2234" s="143">
        <v>758</v>
      </c>
      <c r="Q2234" s="121" t="s">
        <v>14285</v>
      </c>
      <c r="R2234" s="16" t="s">
        <v>9235</v>
      </c>
      <c r="S2234" s="10" t="s">
        <v>1163</v>
      </c>
      <c r="T2234" s="28" t="s">
        <v>11260</v>
      </c>
      <c r="U2234" s="20" t="s">
        <v>5359</v>
      </c>
      <c r="V2234" s="16" t="s">
        <v>6887</v>
      </c>
      <c r="W2234" s="11" t="s">
        <v>14433</v>
      </c>
      <c r="X2234" s="174">
        <v>344.18</v>
      </c>
      <c r="Y2234" s="174">
        <v>439.72</v>
      </c>
    </row>
    <row r="2235" spans="1:25" ht="15" customHeight="1" x14ac:dyDescent="0.25">
      <c r="A2235" s="20" t="s">
        <v>775</v>
      </c>
      <c r="B2235" s="14" t="s">
        <v>776</v>
      </c>
      <c r="C2235" s="71" t="str">
        <f t="shared" si="44"/>
        <v>Product Info</v>
      </c>
      <c r="D2235" s="37" t="s">
        <v>777</v>
      </c>
      <c r="E2235" s="143">
        <v>1</v>
      </c>
      <c r="F2235" s="12" t="s">
        <v>4992</v>
      </c>
      <c r="G2235" s="38">
        <v>540.55999999999995</v>
      </c>
      <c r="H2235" s="38">
        <v>459.49</v>
      </c>
      <c r="I2235" s="38">
        <v>378.39</v>
      </c>
      <c r="J2235" s="39"/>
      <c r="K2235" s="143"/>
      <c r="L2235" s="22">
        <v>0</v>
      </c>
      <c r="M2235" s="22">
        <v>0</v>
      </c>
      <c r="N2235" s="20" t="s">
        <v>14489</v>
      </c>
      <c r="O2235" s="16">
        <v>0</v>
      </c>
      <c r="P2235" s="143">
        <v>758</v>
      </c>
      <c r="Q2235" s="121" t="s">
        <v>14285</v>
      </c>
      <c r="R2235" s="16" t="s">
        <v>9235</v>
      </c>
      <c r="S2235" s="10" t="s">
        <v>1163</v>
      </c>
      <c r="T2235" s="28" t="s">
        <v>11261</v>
      </c>
      <c r="U2235" s="20" t="s">
        <v>5359</v>
      </c>
      <c r="V2235" s="16" t="s">
        <v>775</v>
      </c>
      <c r="W2235" s="11" t="s">
        <v>14433</v>
      </c>
      <c r="X2235" s="174">
        <v>359.65</v>
      </c>
      <c r="Y2235" s="174">
        <v>459.49</v>
      </c>
    </row>
    <row r="2236" spans="1:25" ht="15" customHeight="1" x14ac:dyDescent="0.25">
      <c r="A2236" s="20" t="s">
        <v>6888</v>
      </c>
      <c r="B2236" s="14" t="s">
        <v>778</v>
      </c>
      <c r="C2236" s="71" t="str">
        <f t="shared" si="44"/>
        <v>Product Info</v>
      </c>
      <c r="D2236" s="37" t="s">
        <v>3881</v>
      </c>
      <c r="E2236" s="143">
        <v>1</v>
      </c>
      <c r="F2236" s="12" t="s">
        <v>4992</v>
      </c>
      <c r="G2236" s="38">
        <v>517.29999999999995</v>
      </c>
      <c r="H2236" s="38">
        <v>439.72</v>
      </c>
      <c r="I2236" s="38">
        <v>362.11</v>
      </c>
      <c r="J2236" s="39"/>
      <c r="K2236" s="143"/>
      <c r="L2236" s="22">
        <v>0</v>
      </c>
      <c r="M2236" s="22">
        <v>0</v>
      </c>
      <c r="N2236" s="20" t="s">
        <v>14489</v>
      </c>
      <c r="O2236" s="16">
        <v>0</v>
      </c>
      <c r="P2236" s="143">
        <v>758</v>
      </c>
      <c r="Q2236" s="121" t="s">
        <v>14285</v>
      </c>
      <c r="R2236" s="16" t="s">
        <v>9235</v>
      </c>
      <c r="S2236" s="10" t="s">
        <v>1163</v>
      </c>
      <c r="T2236" s="28" t="s">
        <v>11262</v>
      </c>
      <c r="U2236" s="20" t="s">
        <v>5359</v>
      </c>
      <c r="V2236" s="16" t="s">
        <v>6888</v>
      </c>
      <c r="W2236" s="11" t="s">
        <v>14433</v>
      </c>
      <c r="X2236" s="174">
        <v>344.18</v>
      </c>
      <c r="Y2236" s="174">
        <v>439.72</v>
      </c>
    </row>
    <row r="2237" spans="1:25" ht="15" customHeight="1" x14ac:dyDescent="0.25">
      <c r="A2237" s="20" t="s">
        <v>779</v>
      </c>
      <c r="B2237" s="14" t="s">
        <v>780</v>
      </c>
      <c r="C2237" s="71" t="str">
        <f t="shared" si="44"/>
        <v>Product Info</v>
      </c>
      <c r="D2237" s="37" t="s">
        <v>781</v>
      </c>
      <c r="E2237" s="143">
        <v>1</v>
      </c>
      <c r="F2237" s="12" t="s">
        <v>4992</v>
      </c>
      <c r="G2237" s="38">
        <v>540.55999999999995</v>
      </c>
      <c r="H2237" s="38">
        <v>459.49</v>
      </c>
      <c r="I2237" s="38">
        <v>378.39</v>
      </c>
      <c r="J2237" s="39"/>
      <c r="K2237" s="143"/>
      <c r="L2237" s="22">
        <v>0</v>
      </c>
      <c r="M2237" s="22">
        <v>0</v>
      </c>
      <c r="N2237" s="20" t="s">
        <v>14489</v>
      </c>
      <c r="O2237" s="16">
        <v>0</v>
      </c>
      <c r="P2237" s="143">
        <v>758</v>
      </c>
      <c r="Q2237" s="121" t="s">
        <v>14285</v>
      </c>
      <c r="R2237" s="16" t="s">
        <v>9235</v>
      </c>
      <c r="S2237" s="10" t="s">
        <v>1163</v>
      </c>
      <c r="T2237" s="28" t="s">
        <v>11263</v>
      </c>
      <c r="U2237" s="20" t="s">
        <v>5359</v>
      </c>
      <c r="V2237" s="16" t="s">
        <v>779</v>
      </c>
      <c r="W2237" s="11" t="s">
        <v>14433</v>
      </c>
      <c r="X2237" s="174">
        <v>359.65</v>
      </c>
      <c r="Y2237" s="174">
        <v>459.49</v>
      </c>
    </row>
    <row r="2238" spans="1:25" ht="15" customHeight="1" x14ac:dyDescent="0.25">
      <c r="A2238" s="20" t="s">
        <v>6893</v>
      </c>
      <c r="B2238" s="14" t="s">
        <v>782</v>
      </c>
      <c r="C2238" s="71" t="str">
        <f t="shared" si="44"/>
        <v>Product Info</v>
      </c>
      <c r="D2238" s="37" t="s">
        <v>3884</v>
      </c>
      <c r="E2238" s="143">
        <v>1</v>
      </c>
      <c r="F2238" s="12" t="s">
        <v>4992</v>
      </c>
      <c r="G2238" s="38">
        <v>517.29999999999995</v>
      </c>
      <c r="H2238" s="38">
        <v>439.72</v>
      </c>
      <c r="I2238" s="38">
        <v>362.11</v>
      </c>
      <c r="J2238" s="39"/>
      <c r="K2238" s="143"/>
      <c r="L2238" s="22">
        <v>0</v>
      </c>
      <c r="M2238" s="22">
        <v>0</v>
      </c>
      <c r="N2238" s="20" t="s">
        <v>14489</v>
      </c>
      <c r="O2238" s="16" t="s">
        <v>13914</v>
      </c>
      <c r="P2238" s="143">
        <v>758</v>
      </c>
      <c r="Q2238" s="121" t="s">
        <v>14285</v>
      </c>
      <c r="R2238" s="16" t="s">
        <v>9235</v>
      </c>
      <c r="S2238" s="10" t="s">
        <v>1163</v>
      </c>
      <c r="T2238" s="28" t="s">
        <v>11264</v>
      </c>
      <c r="U2238" s="20" t="s">
        <v>5359</v>
      </c>
      <c r="V2238" s="16" t="s">
        <v>6893</v>
      </c>
      <c r="W2238" s="11" t="s">
        <v>14433</v>
      </c>
      <c r="X2238" s="174">
        <v>344.18</v>
      </c>
      <c r="Y2238" s="174">
        <v>439.72</v>
      </c>
    </row>
    <row r="2239" spans="1:25" ht="15" customHeight="1" x14ac:dyDescent="0.25">
      <c r="A2239" s="20" t="s">
        <v>5187</v>
      </c>
      <c r="B2239" s="14" t="s">
        <v>783</v>
      </c>
      <c r="C2239" s="71" t="str">
        <f t="shared" si="44"/>
        <v>Product Info</v>
      </c>
      <c r="D2239" s="37" t="s">
        <v>3887</v>
      </c>
      <c r="E2239" s="143">
        <v>1</v>
      </c>
      <c r="F2239" s="12" t="s">
        <v>4992</v>
      </c>
      <c r="G2239" s="38">
        <v>517.29999999999995</v>
      </c>
      <c r="H2239" s="38">
        <v>439.72</v>
      </c>
      <c r="I2239" s="38">
        <v>362.11</v>
      </c>
      <c r="J2239" s="39"/>
      <c r="K2239" s="143"/>
      <c r="L2239" s="22">
        <v>0</v>
      </c>
      <c r="M2239" s="22">
        <v>0</v>
      </c>
      <c r="N2239" s="20" t="s">
        <v>14489</v>
      </c>
      <c r="O2239" s="16">
        <v>0</v>
      </c>
      <c r="P2239" s="143">
        <v>758</v>
      </c>
      <c r="Q2239" s="121" t="s">
        <v>14285</v>
      </c>
      <c r="R2239" s="16" t="s">
        <v>9235</v>
      </c>
      <c r="S2239" s="10" t="s">
        <v>1163</v>
      </c>
      <c r="T2239" s="28" t="s">
        <v>11265</v>
      </c>
      <c r="U2239" s="20" t="s">
        <v>5359</v>
      </c>
      <c r="V2239" s="16" t="s">
        <v>5187</v>
      </c>
      <c r="W2239" s="11" t="s">
        <v>14433</v>
      </c>
      <c r="X2239" s="174">
        <v>344.18</v>
      </c>
      <c r="Y2239" s="174">
        <v>439.72</v>
      </c>
    </row>
    <row r="2240" spans="1:25" ht="15" customHeight="1" x14ac:dyDescent="0.25">
      <c r="A2240" s="20" t="s">
        <v>784</v>
      </c>
      <c r="B2240" s="14" t="s">
        <v>785</v>
      </c>
      <c r="C2240" s="71" t="str">
        <f t="shared" si="44"/>
        <v>Product Info</v>
      </c>
      <c r="D2240" s="37" t="s">
        <v>786</v>
      </c>
      <c r="E2240" s="143">
        <v>1</v>
      </c>
      <c r="F2240" s="12" t="s">
        <v>4992</v>
      </c>
      <c r="G2240" s="38">
        <v>540.55999999999995</v>
      </c>
      <c r="H2240" s="38">
        <v>459.49</v>
      </c>
      <c r="I2240" s="38">
        <v>378.39</v>
      </c>
      <c r="J2240" s="39"/>
      <c r="K2240" s="143"/>
      <c r="L2240" s="22">
        <v>0</v>
      </c>
      <c r="M2240" s="22">
        <v>0</v>
      </c>
      <c r="N2240" s="20" t="s">
        <v>14489</v>
      </c>
      <c r="O2240" s="16">
        <v>0</v>
      </c>
      <c r="P2240" s="143">
        <v>758</v>
      </c>
      <c r="Q2240" s="121" t="s">
        <v>14285</v>
      </c>
      <c r="R2240" s="16" t="s">
        <v>9235</v>
      </c>
      <c r="S2240" s="10" t="s">
        <v>1163</v>
      </c>
      <c r="T2240" s="28" t="s">
        <v>11266</v>
      </c>
      <c r="U2240" s="20" t="s">
        <v>5359</v>
      </c>
      <c r="V2240" s="16" t="s">
        <v>784</v>
      </c>
      <c r="W2240" s="11" t="s">
        <v>14433</v>
      </c>
      <c r="X2240" s="174">
        <v>359.65</v>
      </c>
      <c r="Y2240" s="174">
        <v>459.49</v>
      </c>
    </row>
    <row r="2241" spans="1:25" ht="15" customHeight="1" x14ac:dyDescent="0.25">
      <c r="A2241" s="20" t="s">
        <v>1770</v>
      </c>
      <c r="B2241" s="14" t="s">
        <v>12474</v>
      </c>
      <c r="C2241" s="71" t="str">
        <f t="shared" si="44"/>
        <v>Product Info</v>
      </c>
      <c r="D2241" s="37" t="s">
        <v>121</v>
      </c>
      <c r="E2241" s="143">
        <v>50</v>
      </c>
      <c r="F2241" s="12" t="s">
        <v>4992</v>
      </c>
      <c r="G2241" s="38">
        <v>10.53</v>
      </c>
      <c r="H2241" s="38">
        <v>8.9499999999999993</v>
      </c>
      <c r="I2241" s="38">
        <v>7.37</v>
      </c>
      <c r="J2241" s="39"/>
      <c r="K2241" s="143"/>
      <c r="L2241" s="22">
        <v>0</v>
      </c>
      <c r="M2241" s="22">
        <v>0</v>
      </c>
      <c r="N2241" s="20" t="s">
        <v>8865</v>
      </c>
      <c r="O2241" s="16" t="s">
        <v>12608</v>
      </c>
      <c r="P2241" s="143">
        <v>758</v>
      </c>
      <c r="Q2241" s="121" t="s">
        <v>14285</v>
      </c>
      <c r="R2241" s="16" t="s">
        <v>9235</v>
      </c>
      <c r="S2241" s="10" t="s">
        <v>1163</v>
      </c>
      <c r="T2241" s="28" t="s">
        <v>10928</v>
      </c>
      <c r="U2241" s="20" t="s">
        <v>5359</v>
      </c>
      <c r="V2241" s="16" t="s">
        <v>1770</v>
      </c>
      <c r="W2241" s="11" t="s">
        <v>14433</v>
      </c>
      <c r="X2241" s="174">
        <v>7.01</v>
      </c>
      <c r="Y2241" s="174">
        <v>8.9499999999999993</v>
      </c>
    </row>
    <row r="2242" spans="1:25" ht="15" customHeight="1" x14ac:dyDescent="0.25">
      <c r="A2242" s="20" t="s">
        <v>1099</v>
      </c>
      <c r="B2242" s="14" t="s">
        <v>1100</v>
      </c>
      <c r="C2242" s="71" t="str">
        <f t="shared" si="44"/>
        <v>Product Info</v>
      </c>
      <c r="D2242" s="37" t="s">
        <v>1105</v>
      </c>
      <c r="E2242" s="143">
        <v>3</v>
      </c>
      <c r="F2242" s="12" t="s">
        <v>4992</v>
      </c>
      <c r="G2242" s="38">
        <v>14.03</v>
      </c>
      <c r="H2242" s="38">
        <v>11.92</v>
      </c>
      <c r="I2242" s="38">
        <v>9.82</v>
      </c>
      <c r="J2242" s="39"/>
      <c r="K2242" s="12" t="s">
        <v>8905</v>
      </c>
      <c r="L2242" s="22">
        <v>0</v>
      </c>
      <c r="M2242" s="22">
        <v>0</v>
      </c>
      <c r="N2242" s="20" t="s">
        <v>14489</v>
      </c>
      <c r="O2242" s="16" t="s">
        <v>13914</v>
      </c>
      <c r="P2242" s="143">
        <v>758</v>
      </c>
      <c r="Q2242" s="121" t="s">
        <v>14285</v>
      </c>
      <c r="R2242" s="16" t="s">
        <v>9235</v>
      </c>
      <c r="S2242" s="10" t="s">
        <v>1163</v>
      </c>
      <c r="T2242" s="28" t="s">
        <v>11267</v>
      </c>
      <c r="U2242" s="20" t="s">
        <v>5359</v>
      </c>
      <c r="V2242" s="16" t="s">
        <v>1099</v>
      </c>
      <c r="W2242" s="11" t="s">
        <v>14433</v>
      </c>
      <c r="X2242" s="174">
        <v>9.33</v>
      </c>
      <c r="Y2242" s="174">
        <v>11.92</v>
      </c>
    </row>
    <row r="2243" spans="1:25" ht="15" customHeight="1" x14ac:dyDescent="0.25">
      <c r="A2243" s="20" t="s">
        <v>1101</v>
      </c>
      <c r="B2243" s="14" t="s">
        <v>1102</v>
      </c>
      <c r="C2243" s="71" t="str">
        <f t="shared" si="44"/>
        <v>Product Info</v>
      </c>
      <c r="D2243" s="37" t="s">
        <v>787</v>
      </c>
      <c r="E2243" s="143">
        <v>3</v>
      </c>
      <c r="F2243" s="12" t="s">
        <v>4992</v>
      </c>
      <c r="G2243" s="38">
        <v>18.46</v>
      </c>
      <c r="H2243" s="38">
        <v>15.69</v>
      </c>
      <c r="I2243" s="38">
        <v>12.92</v>
      </c>
      <c r="J2243" s="39"/>
      <c r="K2243" s="12" t="s">
        <v>8905</v>
      </c>
      <c r="L2243" s="22">
        <v>0</v>
      </c>
      <c r="M2243" s="22">
        <v>0</v>
      </c>
      <c r="N2243" s="20" t="s">
        <v>14489</v>
      </c>
      <c r="O2243" s="16" t="s">
        <v>13914</v>
      </c>
      <c r="P2243" s="143">
        <v>758</v>
      </c>
      <c r="Q2243" s="122" t="s">
        <v>12421</v>
      </c>
      <c r="R2243" s="16" t="s">
        <v>9235</v>
      </c>
      <c r="S2243" s="10" t="s">
        <v>1163</v>
      </c>
      <c r="T2243" s="28" t="s">
        <v>11268</v>
      </c>
      <c r="U2243" s="20" t="s">
        <v>5359</v>
      </c>
      <c r="V2243" s="16" t="s">
        <v>1101</v>
      </c>
      <c r="W2243" s="11" t="s">
        <v>14433</v>
      </c>
      <c r="X2243" s="174">
        <v>12.28</v>
      </c>
      <c r="Y2243" s="174">
        <v>15.69</v>
      </c>
    </row>
    <row r="2244" spans="1:25" ht="15" customHeight="1" x14ac:dyDescent="0.25">
      <c r="A2244" s="20" t="s">
        <v>1103</v>
      </c>
      <c r="B2244" s="14" t="s">
        <v>1104</v>
      </c>
      <c r="C2244" s="71" t="str">
        <f t="shared" si="44"/>
        <v>Product Info</v>
      </c>
      <c r="D2244" s="37" t="s">
        <v>3542</v>
      </c>
      <c r="E2244" s="143">
        <v>3</v>
      </c>
      <c r="F2244" s="12" t="s">
        <v>4992</v>
      </c>
      <c r="G2244" s="38">
        <v>24.09</v>
      </c>
      <c r="H2244" s="38">
        <v>20.47</v>
      </c>
      <c r="I2244" s="38">
        <v>16.86</v>
      </c>
      <c r="J2244" s="39"/>
      <c r="K2244" s="143"/>
      <c r="L2244" s="22">
        <v>0</v>
      </c>
      <c r="M2244" s="22">
        <v>0</v>
      </c>
      <c r="N2244" s="20" t="s">
        <v>14489</v>
      </c>
      <c r="O2244" s="16" t="s">
        <v>13914</v>
      </c>
      <c r="P2244" s="143">
        <v>758</v>
      </c>
      <c r="Q2244" s="121" t="s">
        <v>14285</v>
      </c>
      <c r="R2244" s="16" t="s">
        <v>9235</v>
      </c>
      <c r="S2244" s="10" t="s">
        <v>1163</v>
      </c>
      <c r="T2244" s="28" t="s">
        <v>11269</v>
      </c>
      <c r="U2244" s="20" t="s">
        <v>5359</v>
      </c>
      <c r="V2244" s="16" t="s">
        <v>1103</v>
      </c>
      <c r="W2244" s="11" t="s">
        <v>14433</v>
      </c>
      <c r="X2244" s="174">
        <v>16.02</v>
      </c>
      <c r="Y2244" s="174">
        <v>20.47</v>
      </c>
    </row>
    <row r="2245" spans="1:25" ht="15" customHeight="1" x14ac:dyDescent="0.25">
      <c r="A2245" s="20" t="s">
        <v>788</v>
      </c>
      <c r="B2245" s="14" t="s">
        <v>12463</v>
      </c>
      <c r="C2245" s="71" t="str">
        <f t="shared" si="44"/>
        <v>Product Info</v>
      </c>
      <c r="D2245" s="37" t="s">
        <v>141</v>
      </c>
      <c r="E2245" s="143">
        <v>3</v>
      </c>
      <c r="F2245" s="12" t="s">
        <v>4992</v>
      </c>
      <c r="G2245" s="38">
        <v>33.06</v>
      </c>
      <c r="H2245" s="38">
        <v>28.1</v>
      </c>
      <c r="I2245" s="38">
        <v>23.14</v>
      </c>
      <c r="J2245" s="39"/>
      <c r="K2245" s="12" t="s">
        <v>8905</v>
      </c>
      <c r="L2245" s="22">
        <v>3</v>
      </c>
      <c r="M2245" s="22" t="s">
        <v>12488</v>
      </c>
      <c r="N2245" s="20" t="s">
        <v>9381</v>
      </c>
      <c r="O2245" s="16" t="s">
        <v>12608</v>
      </c>
      <c r="P2245" s="143">
        <v>758</v>
      </c>
      <c r="Q2245" s="122" t="s">
        <v>12421</v>
      </c>
      <c r="R2245" s="16" t="s">
        <v>9235</v>
      </c>
      <c r="S2245" s="10" t="s">
        <v>1163</v>
      </c>
      <c r="T2245" s="28" t="s">
        <v>11270</v>
      </c>
      <c r="U2245" s="20" t="s">
        <v>5359</v>
      </c>
      <c r="V2245" s="16" t="s">
        <v>788</v>
      </c>
      <c r="W2245" s="11" t="s">
        <v>14433</v>
      </c>
      <c r="X2245" s="174">
        <v>21.99</v>
      </c>
      <c r="Y2245" s="174">
        <v>28.1</v>
      </c>
    </row>
    <row r="2246" spans="1:25" ht="15" customHeight="1" x14ac:dyDescent="0.25">
      <c r="A2246" s="20" t="s">
        <v>789</v>
      </c>
      <c r="B2246" s="14" t="s">
        <v>12465</v>
      </c>
      <c r="C2246" s="71" t="str">
        <f t="shared" ref="C2246:C2309" si="45">HYPERLINK(T2246,U2246)</f>
        <v>Product Info</v>
      </c>
      <c r="D2246" s="37" t="s">
        <v>142</v>
      </c>
      <c r="E2246" s="143">
        <v>3</v>
      </c>
      <c r="F2246" s="12" t="s">
        <v>4992</v>
      </c>
      <c r="G2246" s="38">
        <v>38.74</v>
      </c>
      <c r="H2246" s="38">
        <v>32.93</v>
      </c>
      <c r="I2246" s="38">
        <v>27.12</v>
      </c>
      <c r="J2246" s="39">
        <v>1</v>
      </c>
      <c r="K2246" s="143" t="s">
        <v>8905</v>
      </c>
      <c r="L2246" s="22">
        <v>3</v>
      </c>
      <c r="M2246" s="22" t="s">
        <v>12488</v>
      </c>
      <c r="N2246" s="20" t="s">
        <v>9381</v>
      </c>
      <c r="O2246" s="16" t="s">
        <v>12608</v>
      </c>
      <c r="P2246" s="143">
        <v>758</v>
      </c>
      <c r="Q2246" s="122" t="s">
        <v>12421</v>
      </c>
      <c r="R2246" s="16" t="s">
        <v>9235</v>
      </c>
      <c r="S2246" s="10" t="s">
        <v>1163</v>
      </c>
      <c r="T2246" s="28" t="s">
        <v>11271</v>
      </c>
      <c r="U2246" s="20" t="s">
        <v>5359</v>
      </c>
      <c r="V2246" s="16" t="s">
        <v>789</v>
      </c>
      <c r="W2246" s="11" t="s">
        <v>14433</v>
      </c>
      <c r="X2246" s="174">
        <v>25.78</v>
      </c>
      <c r="Y2246" s="174">
        <v>32.93</v>
      </c>
    </row>
    <row r="2247" spans="1:25" ht="15" customHeight="1" x14ac:dyDescent="0.25">
      <c r="A2247" s="20" t="s">
        <v>790</v>
      </c>
      <c r="B2247" s="14" t="s">
        <v>12464</v>
      </c>
      <c r="C2247" s="71" t="str">
        <f t="shared" si="45"/>
        <v>Product Info</v>
      </c>
      <c r="D2247" s="37" t="s">
        <v>143</v>
      </c>
      <c r="E2247" s="143">
        <v>3</v>
      </c>
      <c r="F2247" s="12" t="s">
        <v>4992</v>
      </c>
      <c r="G2247" s="38">
        <v>47.21</v>
      </c>
      <c r="H2247" s="38">
        <v>40.130000000000003</v>
      </c>
      <c r="I2247" s="38">
        <v>33.049999999999997</v>
      </c>
      <c r="J2247" s="39"/>
      <c r="K2247" s="143"/>
      <c r="L2247" s="22">
        <v>3</v>
      </c>
      <c r="M2247" s="22" t="s">
        <v>12488</v>
      </c>
      <c r="N2247" s="20" t="s">
        <v>9381</v>
      </c>
      <c r="O2247" s="16" t="s">
        <v>12608</v>
      </c>
      <c r="P2247" s="143">
        <v>758</v>
      </c>
      <c r="Q2247" s="121" t="s">
        <v>14285</v>
      </c>
      <c r="R2247" s="16" t="s">
        <v>9235</v>
      </c>
      <c r="S2247" s="10" t="s">
        <v>1163</v>
      </c>
      <c r="T2247" s="28" t="s">
        <v>11272</v>
      </c>
      <c r="U2247" s="20" t="s">
        <v>5359</v>
      </c>
      <c r="V2247" s="16" t="s">
        <v>790</v>
      </c>
      <c r="W2247" s="11" t="s">
        <v>14433</v>
      </c>
      <c r="X2247" s="174">
        <v>31.41</v>
      </c>
      <c r="Y2247" s="174">
        <v>40.130000000000003</v>
      </c>
    </row>
    <row r="2248" spans="1:25" ht="15" customHeight="1" x14ac:dyDescent="0.25">
      <c r="A2248" s="20" t="s">
        <v>791</v>
      </c>
      <c r="B2248" s="14" t="s">
        <v>792</v>
      </c>
      <c r="C2248" s="71" t="str">
        <f t="shared" si="45"/>
        <v>Product Info</v>
      </c>
      <c r="D2248" s="37" t="s">
        <v>144</v>
      </c>
      <c r="E2248" s="143">
        <v>1</v>
      </c>
      <c r="F2248" s="12" t="s">
        <v>4992</v>
      </c>
      <c r="G2248" s="38">
        <v>85.99</v>
      </c>
      <c r="H2248" s="38">
        <v>73.09</v>
      </c>
      <c r="I2248" s="38">
        <v>60.19</v>
      </c>
      <c r="J2248" s="39"/>
      <c r="K2248" s="143"/>
      <c r="L2248" s="22">
        <v>0</v>
      </c>
      <c r="M2248" s="22">
        <v>0</v>
      </c>
      <c r="N2248" s="20" t="s">
        <v>14489</v>
      </c>
      <c r="O2248" s="16" t="s">
        <v>12608</v>
      </c>
      <c r="P2248" s="143">
        <v>758</v>
      </c>
      <c r="Q2248" s="121" t="s">
        <v>14285</v>
      </c>
      <c r="R2248" s="16" t="s">
        <v>9235</v>
      </c>
      <c r="S2248" s="10" t="s">
        <v>1163</v>
      </c>
      <c r="T2248" s="28" t="s">
        <v>11273</v>
      </c>
      <c r="U2248" s="20" t="s">
        <v>5359</v>
      </c>
      <c r="V2248" s="16" t="s">
        <v>791</v>
      </c>
      <c r="W2248" s="11" t="s">
        <v>14433</v>
      </c>
      <c r="X2248" s="174">
        <v>57.21</v>
      </c>
      <c r="Y2248" s="174">
        <v>73.09</v>
      </c>
    </row>
    <row r="2249" spans="1:25" ht="15" customHeight="1" x14ac:dyDescent="0.25">
      <c r="A2249" s="20" t="s">
        <v>793</v>
      </c>
      <c r="B2249" s="14" t="s">
        <v>794</v>
      </c>
      <c r="C2249" s="71" t="str">
        <f t="shared" si="45"/>
        <v>Product Info</v>
      </c>
      <c r="D2249" s="37" t="s">
        <v>145</v>
      </c>
      <c r="E2249" s="143">
        <v>1</v>
      </c>
      <c r="F2249" s="12" t="s">
        <v>4992</v>
      </c>
      <c r="G2249" s="38">
        <v>100.56</v>
      </c>
      <c r="H2249" s="38">
        <v>85.48</v>
      </c>
      <c r="I2249" s="38">
        <v>70.39</v>
      </c>
      <c r="J2249" s="39"/>
      <c r="K2249" s="143"/>
      <c r="L2249" s="22">
        <v>0</v>
      </c>
      <c r="M2249" s="22">
        <v>0</v>
      </c>
      <c r="N2249" s="20" t="s">
        <v>14489</v>
      </c>
      <c r="O2249" s="16">
        <v>0</v>
      </c>
      <c r="P2249" s="143">
        <v>758</v>
      </c>
      <c r="Q2249" s="121" t="s">
        <v>14285</v>
      </c>
      <c r="R2249" s="16" t="s">
        <v>9235</v>
      </c>
      <c r="S2249" s="10" t="s">
        <v>1163</v>
      </c>
      <c r="T2249" s="28" t="s">
        <v>11274</v>
      </c>
      <c r="U2249" s="20" t="s">
        <v>5359</v>
      </c>
      <c r="V2249" s="16" t="s">
        <v>793</v>
      </c>
      <c r="W2249" s="11" t="s">
        <v>14433</v>
      </c>
      <c r="X2249" s="174">
        <v>66.900000000000006</v>
      </c>
      <c r="Y2249" s="174">
        <v>85.48</v>
      </c>
    </row>
    <row r="2250" spans="1:25" ht="15" customHeight="1" x14ac:dyDescent="0.25">
      <c r="A2250" s="20" t="s">
        <v>795</v>
      </c>
      <c r="B2250" s="14" t="s">
        <v>796</v>
      </c>
      <c r="C2250" s="71" t="str">
        <f t="shared" si="45"/>
        <v>Product Info</v>
      </c>
      <c r="D2250" s="37" t="s">
        <v>146</v>
      </c>
      <c r="E2250" s="143">
        <v>1</v>
      </c>
      <c r="F2250" s="12" t="s">
        <v>4992</v>
      </c>
      <c r="G2250" s="38">
        <v>144.27000000000001</v>
      </c>
      <c r="H2250" s="38">
        <v>122.64</v>
      </c>
      <c r="I2250" s="38">
        <v>100.99</v>
      </c>
      <c r="J2250" s="39"/>
      <c r="K2250" s="143"/>
      <c r="L2250" s="22">
        <v>0</v>
      </c>
      <c r="M2250" s="22">
        <v>0</v>
      </c>
      <c r="N2250" s="20" t="s">
        <v>14489</v>
      </c>
      <c r="O2250" s="16">
        <v>0</v>
      </c>
      <c r="P2250" s="143">
        <v>758</v>
      </c>
      <c r="Q2250" s="121" t="s">
        <v>14285</v>
      </c>
      <c r="R2250" s="16" t="s">
        <v>9235</v>
      </c>
      <c r="S2250" s="10" t="s">
        <v>1163</v>
      </c>
      <c r="T2250" s="28" t="s">
        <v>11275</v>
      </c>
      <c r="U2250" s="20" t="s">
        <v>5359</v>
      </c>
      <c r="V2250" s="16" t="s">
        <v>795</v>
      </c>
      <c r="W2250" s="11" t="s">
        <v>14433</v>
      </c>
      <c r="X2250" s="174">
        <v>95.99</v>
      </c>
      <c r="Y2250" s="174">
        <v>122.64</v>
      </c>
    </row>
    <row r="2251" spans="1:25" ht="15" customHeight="1" x14ac:dyDescent="0.25">
      <c r="A2251" s="20" t="s">
        <v>797</v>
      </c>
      <c r="B2251" s="14" t="s">
        <v>798</v>
      </c>
      <c r="C2251" s="71" t="str">
        <f t="shared" si="45"/>
        <v>Product Info</v>
      </c>
      <c r="D2251" s="37" t="s">
        <v>147</v>
      </c>
      <c r="E2251" s="143">
        <v>1</v>
      </c>
      <c r="F2251" s="12" t="s">
        <v>4992</v>
      </c>
      <c r="G2251" s="38">
        <v>151.56</v>
      </c>
      <c r="H2251" s="38">
        <v>128.83000000000001</v>
      </c>
      <c r="I2251" s="38">
        <v>106.09</v>
      </c>
      <c r="J2251" s="39"/>
      <c r="K2251" s="143"/>
      <c r="L2251" s="22">
        <v>0</v>
      </c>
      <c r="M2251" s="22">
        <v>0</v>
      </c>
      <c r="N2251" s="20" t="s">
        <v>14489</v>
      </c>
      <c r="O2251" s="16">
        <v>0</v>
      </c>
      <c r="P2251" s="143">
        <v>758</v>
      </c>
      <c r="Q2251" s="121" t="s">
        <v>14285</v>
      </c>
      <c r="R2251" s="16" t="s">
        <v>9235</v>
      </c>
      <c r="S2251" s="10" t="s">
        <v>1163</v>
      </c>
      <c r="T2251" s="28" t="s">
        <v>11276</v>
      </c>
      <c r="U2251" s="20" t="s">
        <v>5359</v>
      </c>
      <c r="V2251" s="16" t="s">
        <v>797</v>
      </c>
      <c r="W2251" s="11" t="s">
        <v>14433</v>
      </c>
      <c r="X2251" s="174">
        <v>100.84</v>
      </c>
      <c r="Y2251" s="174">
        <v>128.83000000000001</v>
      </c>
    </row>
    <row r="2252" spans="1:25" ht="15" customHeight="1" x14ac:dyDescent="0.25">
      <c r="A2252" s="20" t="s">
        <v>799</v>
      </c>
      <c r="B2252" s="14" t="s">
        <v>12476</v>
      </c>
      <c r="C2252" s="71" t="str">
        <f t="shared" si="45"/>
        <v>Product Info</v>
      </c>
      <c r="D2252" s="37" t="s">
        <v>148</v>
      </c>
      <c r="E2252" s="143">
        <v>10</v>
      </c>
      <c r="F2252" s="12" t="s">
        <v>4992</v>
      </c>
      <c r="G2252" s="38">
        <v>26.23</v>
      </c>
      <c r="H2252" s="38">
        <v>22.3</v>
      </c>
      <c r="I2252" s="38">
        <v>18.36</v>
      </c>
      <c r="J2252" s="39"/>
      <c r="K2252" s="12" t="s">
        <v>8905</v>
      </c>
      <c r="L2252" s="22">
        <v>0</v>
      </c>
      <c r="M2252" s="22">
        <v>0</v>
      </c>
      <c r="N2252" s="20" t="s">
        <v>14489</v>
      </c>
      <c r="O2252" s="16" t="s">
        <v>12608</v>
      </c>
      <c r="P2252" s="143">
        <v>758</v>
      </c>
      <c r="Q2252" s="121" t="s">
        <v>14285</v>
      </c>
      <c r="R2252" s="16" t="s">
        <v>9235</v>
      </c>
      <c r="S2252" s="10" t="s">
        <v>1163</v>
      </c>
      <c r="T2252" s="28" t="s">
        <v>11277</v>
      </c>
      <c r="U2252" s="20" t="s">
        <v>5359</v>
      </c>
      <c r="V2252" s="16" t="s">
        <v>799</v>
      </c>
      <c r="W2252" s="11" t="s">
        <v>14433</v>
      </c>
      <c r="X2252" s="174">
        <v>10</v>
      </c>
      <c r="Y2252" s="174">
        <v>18.36</v>
      </c>
    </row>
    <row r="2253" spans="1:25" ht="15" customHeight="1" x14ac:dyDescent="0.25">
      <c r="A2253" s="20" t="s">
        <v>800</v>
      </c>
      <c r="B2253" s="14" t="s">
        <v>12477</v>
      </c>
      <c r="C2253" s="71" t="str">
        <f t="shared" si="45"/>
        <v>Product Info</v>
      </c>
      <c r="D2253" s="37" t="s">
        <v>149</v>
      </c>
      <c r="E2253" s="143">
        <v>10</v>
      </c>
      <c r="F2253" s="12" t="s">
        <v>4992</v>
      </c>
      <c r="G2253" s="38">
        <v>26.23</v>
      </c>
      <c r="H2253" s="38">
        <v>22.3</v>
      </c>
      <c r="I2253" s="38">
        <v>18.36</v>
      </c>
      <c r="J2253" s="39"/>
      <c r="K2253" s="12" t="s">
        <v>8905</v>
      </c>
      <c r="L2253" s="22">
        <v>0</v>
      </c>
      <c r="M2253" s="22">
        <v>0</v>
      </c>
      <c r="N2253" s="20" t="s">
        <v>14489</v>
      </c>
      <c r="O2253" s="16" t="s">
        <v>12608</v>
      </c>
      <c r="P2253" s="143">
        <v>758</v>
      </c>
      <c r="Q2253" s="122" t="s">
        <v>12421</v>
      </c>
      <c r="R2253" s="16" t="s">
        <v>9235</v>
      </c>
      <c r="S2253" s="10" t="s">
        <v>1163</v>
      </c>
      <c r="T2253" s="28" t="s">
        <v>11278</v>
      </c>
      <c r="U2253" s="20" t="s">
        <v>5359</v>
      </c>
      <c r="V2253" s="16" t="s">
        <v>800</v>
      </c>
      <c r="W2253" s="11" t="s">
        <v>14433</v>
      </c>
      <c r="X2253" s="174">
        <v>10</v>
      </c>
      <c r="Y2253" s="174">
        <v>18.36</v>
      </c>
    </row>
    <row r="2254" spans="1:25" ht="15" customHeight="1" x14ac:dyDescent="0.25">
      <c r="A2254" s="20" t="s">
        <v>801</v>
      </c>
      <c r="B2254" s="14" t="s">
        <v>802</v>
      </c>
      <c r="C2254" s="71" t="str">
        <f t="shared" si="45"/>
        <v>Product Info</v>
      </c>
      <c r="D2254" s="37" t="s">
        <v>150</v>
      </c>
      <c r="E2254" s="143">
        <v>1</v>
      </c>
      <c r="F2254" s="12" t="s">
        <v>4992</v>
      </c>
      <c r="G2254" s="38">
        <v>32.79</v>
      </c>
      <c r="H2254" s="38">
        <v>27.87</v>
      </c>
      <c r="I2254" s="38">
        <v>22.95</v>
      </c>
      <c r="J2254" s="39"/>
      <c r="K2254" s="143"/>
      <c r="L2254" s="22">
        <v>0</v>
      </c>
      <c r="M2254" s="22">
        <v>0</v>
      </c>
      <c r="N2254" s="20" t="s">
        <v>14489</v>
      </c>
      <c r="O2254" s="16">
        <v>0</v>
      </c>
      <c r="P2254" s="143">
        <v>758</v>
      </c>
      <c r="Q2254" s="121" t="s">
        <v>14285</v>
      </c>
      <c r="R2254" s="16" t="s">
        <v>9235</v>
      </c>
      <c r="S2254" s="10" t="s">
        <v>1163</v>
      </c>
      <c r="T2254" s="28" t="s">
        <v>11279</v>
      </c>
      <c r="U2254" s="20" t="s">
        <v>5359</v>
      </c>
      <c r="V2254" s="16" t="s">
        <v>801</v>
      </c>
      <c r="W2254" s="11" t="s">
        <v>14433</v>
      </c>
      <c r="X2254" s="174">
        <v>21.81</v>
      </c>
      <c r="Y2254" s="174">
        <v>27.87</v>
      </c>
    </row>
    <row r="2255" spans="1:25" ht="15" customHeight="1" x14ac:dyDescent="0.25">
      <c r="A2255" s="20" t="s">
        <v>803</v>
      </c>
      <c r="B2255" s="14" t="s">
        <v>804</v>
      </c>
      <c r="C2255" s="71" t="str">
        <f t="shared" si="45"/>
        <v>Product Info</v>
      </c>
      <c r="D2255" s="37" t="s">
        <v>151</v>
      </c>
      <c r="E2255" s="143">
        <v>1</v>
      </c>
      <c r="F2255" s="12" t="s">
        <v>4992</v>
      </c>
      <c r="G2255" s="38">
        <v>32.79</v>
      </c>
      <c r="H2255" s="38">
        <v>27.87</v>
      </c>
      <c r="I2255" s="38">
        <v>22.95</v>
      </c>
      <c r="J2255" s="39"/>
      <c r="K2255" s="143"/>
      <c r="L2255" s="22">
        <v>0</v>
      </c>
      <c r="M2255" s="22">
        <v>0</v>
      </c>
      <c r="N2255" s="20" t="s">
        <v>14489</v>
      </c>
      <c r="O2255" s="16">
        <v>0</v>
      </c>
      <c r="P2255" s="143">
        <v>758</v>
      </c>
      <c r="Q2255" s="121" t="s">
        <v>14285</v>
      </c>
      <c r="R2255" s="16" t="s">
        <v>9235</v>
      </c>
      <c r="S2255" s="10" t="s">
        <v>1163</v>
      </c>
      <c r="T2255" s="28" t="s">
        <v>11280</v>
      </c>
      <c r="U2255" s="20" t="s">
        <v>5359</v>
      </c>
      <c r="V2255" s="16" t="s">
        <v>803</v>
      </c>
      <c r="W2255" s="11" t="s">
        <v>14433</v>
      </c>
      <c r="X2255" s="174">
        <v>21.81</v>
      </c>
      <c r="Y2255" s="174">
        <v>27.87</v>
      </c>
    </row>
    <row r="2256" spans="1:25" ht="15" customHeight="1" x14ac:dyDescent="0.25">
      <c r="A2256" s="20" t="s">
        <v>805</v>
      </c>
      <c r="B2256" s="14" t="s">
        <v>806</v>
      </c>
      <c r="C2256" s="71" t="str">
        <f t="shared" si="45"/>
        <v>Product Info</v>
      </c>
      <c r="D2256" s="37" t="s">
        <v>152</v>
      </c>
      <c r="E2256" s="143">
        <v>1</v>
      </c>
      <c r="F2256" s="12" t="s">
        <v>4992</v>
      </c>
      <c r="G2256" s="38">
        <v>32.79</v>
      </c>
      <c r="H2256" s="38">
        <v>27.87</v>
      </c>
      <c r="I2256" s="38">
        <v>22.95</v>
      </c>
      <c r="J2256" s="39"/>
      <c r="K2256" s="143"/>
      <c r="L2256" s="22">
        <v>0</v>
      </c>
      <c r="M2256" s="22">
        <v>0</v>
      </c>
      <c r="N2256" s="20" t="s">
        <v>14489</v>
      </c>
      <c r="O2256" s="16">
        <v>0</v>
      </c>
      <c r="P2256" s="143">
        <v>758</v>
      </c>
      <c r="Q2256" s="122" t="s">
        <v>12421</v>
      </c>
      <c r="R2256" s="16" t="s">
        <v>9235</v>
      </c>
      <c r="S2256" s="10" t="s">
        <v>1163</v>
      </c>
      <c r="T2256" s="28" t="s">
        <v>11281</v>
      </c>
      <c r="U2256" s="20" t="s">
        <v>5359</v>
      </c>
      <c r="V2256" s="16" t="s">
        <v>805</v>
      </c>
      <c r="W2256" s="11" t="s">
        <v>14433</v>
      </c>
      <c r="X2256" s="174">
        <v>21.81</v>
      </c>
      <c r="Y2256" s="174">
        <v>27.87</v>
      </c>
    </row>
    <row r="2257" spans="1:25" ht="15" customHeight="1" x14ac:dyDescent="0.25">
      <c r="A2257" s="20" t="s">
        <v>807</v>
      </c>
      <c r="B2257" s="14" t="s">
        <v>12478</v>
      </c>
      <c r="C2257" s="71" t="str">
        <f t="shared" si="45"/>
        <v>Product Info</v>
      </c>
      <c r="D2257" s="37" t="s">
        <v>153</v>
      </c>
      <c r="E2257" s="143">
        <v>10</v>
      </c>
      <c r="F2257" s="12" t="s">
        <v>4992</v>
      </c>
      <c r="G2257" s="38">
        <v>26.23</v>
      </c>
      <c r="H2257" s="38">
        <v>22.3</v>
      </c>
      <c r="I2257" s="38">
        <v>18.36</v>
      </c>
      <c r="J2257" s="39"/>
      <c r="K2257" s="12" t="s">
        <v>8905</v>
      </c>
      <c r="L2257" s="22">
        <v>0</v>
      </c>
      <c r="M2257" s="22">
        <v>0</v>
      </c>
      <c r="N2257" s="20" t="s">
        <v>14489</v>
      </c>
      <c r="O2257" s="16" t="s">
        <v>12608</v>
      </c>
      <c r="P2257" s="143">
        <v>758</v>
      </c>
      <c r="Q2257" s="121" t="s">
        <v>14285</v>
      </c>
      <c r="R2257" s="16" t="s">
        <v>9235</v>
      </c>
      <c r="S2257" s="10" t="s">
        <v>1163</v>
      </c>
      <c r="T2257" s="28" t="s">
        <v>11282</v>
      </c>
      <c r="U2257" s="20" t="s">
        <v>5359</v>
      </c>
      <c r="V2257" s="16" t="s">
        <v>807</v>
      </c>
      <c r="W2257" s="11" t="s">
        <v>14433</v>
      </c>
      <c r="X2257" s="174">
        <v>10</v>
      </c>
      <c r="Y2257" s="174">
        <v>18.36</v>
      </c>
    </row>
    <row r="2258" spans="1:25" ht="15" customHeight="1" x14ac:dyDescent="0.25">
      <c r="A2258" s="20" t="s">
        <v>808</v>
      </c>
      <c r="B2258" s="14" t="s">
        <v>809</v>
      </c>
      <c r="C2258" s="71" t="str">
        <f t="shared" si="45"/>
        <v>Product Info</v>
      </c>
      <c r="D2258" s="37" t="s">
        <v>154</v>
      </c>
      <c r="E2258" s="143">
        <v>1</v>
      </c>
      <c r="F2258" s="12" t="s">
        <v>4992</v>
      </c>
      <c r="G2258" s="38">
        <v>26.23</v>
      </c>
      <c r="H2258" s="38">
        <v>22.3</v>
      </c>
      <c r="I2258" s="38">
        <v>18.36</v>
      </c>
      <c r="J2258" s="39"/>
      <c r="K2258" s="12" t="s">
        <v>8905</v>
      </c>
      <c r="L2258" s="22">
        <v>0</v>
      </c>
      <c r="M2258" s="22">
        <v>0</v>
      </c>
      <c r="N2258" s="20" t="s">
        <v>14489</v>
      </c>
      <c r="O2258" s="16">
        <v>0</v>
      </c>
      <c r="P2258" s="143">
        <v>758</v>
      </c>
      <c r="Q2258" s="121" t="s">
        <v>14285</v>
      </c>
      <c r="R2258" s="16" t="s">
        <v>9235</v>
      </c>
      <c r="S2258" s="10" t="s">
        <v>1163</v>
      </c>
      <c r="T2258" s="28" t="s">
        <v>11283</v>
      </c>
      <c r="U2258" s="20" t="s">
        <v>5359</v>
      </c>
      <c r="V2258" s="16" t="s">
        <v>808</v>
      </c>
      <c r="W2258" s="11" t="s">
        <v>14433</v>
      </c>
      <c r="X2258" s="174">
        <v>10</v>
      </c>
      <c r="Y2258" s="174">
        <v>18.36</v>
      </c>
    </row>
    <row r="2259" spans="1:25" ht="15" customHeight="1" x14ac:dyDescent="0.25">
      <c r="A2259" s="20" t="s">
        <v>810</v>
      </c>
      <c r="B2259" s="14" t="s">
        <v>811</v>
      </c>
      <c r="C2259" s="71" t="str">
        <f t="shared" si="45"/>
        <v>Product Info</v>
      </c>
      <c r="D2259" s="37" t="s">
        <v>155</v>
      </c>
      <c r="E2259" s="143">
        <v>1</v>
      </c>
      <c r="F2259" s="12" t="s">
        <v>4992</v>
      </c>
      <c r="G2259" s="38">
        <v>26.23</v>
      </c>
      <c r="H2259" s="38">
        <v>22.3</v>
      </c>
      <c r="I2259" s="38">
        <v>18.36</v>
      </c>
      <c r="J2259" s="39"/>
      <c r="K2259" s="12" t="s">
        <v>8905</v>
      </c>
      <c r="L2259" s="22">
        <v>0</v>
      </c>
      <c r="M2259" s="22">
        <v>0</v>
      </c>
      <c r="N2259" s="20" t="s">
        <v>14489</v>
      </c>
      <c r="O2259" s="16">
        <v>0</v>
      </c>
      <c r="P2259" s="143">
        <v>758</v>
      </c>
      <c r="Q2259" s="121" t="s">
        <v>14285</v>
      </c>
      <c r="R2259" s="16" t="s">
        <v>9235</v>
      </c>
      <c r="S2259" s="10" t="s">
        <v>1163</v>
      </c>
      <c r="T2259" s="28" t="s">
        <v>11284</v>
      </c>
      <c r="U2259" s="20" t="s">
        <v>5359</v>
      </c>
      <c r="V2259" s="16" t="s">
        <v>810</v>
      </c>
      <c r="W2259" s="11" t="s">
        <v>14433</v>
      </c>
      <c r="X2259" s="174">
        <v>10</v>
      </c>
      <c r="Y2259" s="174">
        <v>18.36</v>
      </c>
    </row>
    <row r="2260" spans="1:25" ht="15" customHeight="1" x14ac:dyDescent="0.25">
      <c r="A2260" s="20" t="s">
        <v>812</v>
      </c>
      <c r="B2260" s="14" t="s">
        <v>12479</v>
      </c>
      <c r="C2260" s="71" t="str">
        <f t="shared" si="45"/>
        <v>Product Info</v>
      </c>
      <c r="D2260" s="37" t="s">
        <v>156</v>
      </c>
      <c r="E2260" s="143">
        <v>10</v>
      </c>
      <c r="F2260" s="12" t="s">
        <v>4992</v>
      </c>
      <c r="G2260" s="38">
        <v>26.23</v>
      </c>
      <c r="H2260" s="38">
        <v>22.3</v>
      </c>
      <c r="I2260" s="38">
        <v>18.36</v>
      </c>
      <c r="J2260" s="39"/>
      <c r="K2260" s="12" t="s">
        <v>8905</v>
      </c>
      <c r="L2260" s="22">
        <v>0</v>
      </c>
      <c r="M2260" s="22">
        <v>0</v>
      </c>
      <c r="N2260" s="20" t="s">
        <v>14489</v>
      </c>
      <c r="O2260" s="16" t="s">
        <v>12608</v>
      </c>
      <c r="P2260" s="143">
        <v>758</v>
      </c>
      <c r="Q2260" s="122" t="s">
        <v>12421</v>
      </c>
      <c r="R2260" s="16" t="s">
        <v>9235</v>
      </c>
      <c r="S2260" s="10" t="s">
        <v>1163</v>
      </c>
      <c r="T2260" s="28" t="s">
        <v>11285</v>
      </c>
      <c r="U2260" s="20" t="s">
        <v>5359</v>
      </c>
      <c r="V2260" s="16" t="s">
        <v>812</v>
      </c>
      <c r="W2260" s="11" t="s">
        <v>14433</v>
      </c>
      <c r="X2260" s="174">
        <v>10</v>
      </c>
      <c r="Y2260" s="174">
        <v>18.36</v>
      </c>
    </row>
    <row r="2261" spans="1:25" ht="15" customHeight="1" x14ac:dyDescent="0.25">
      <c r="A2261" s="20" t="s">
        <v>813</v>
      </c>
      <c r="B2261" s="14" t="s">
        <v>12480</v>
      </c>
      <c r="C2261" s="71" t="str">
        <f t="shared" si="45"/>
        <v>Product Info</v>
      </c>
      <c r="D2261" s="37" t="s">
        <v>157</v>
      </c>
      <c r="E2261" s="143">
        <v>10</v>
      </c>
      <c r="F2261" s="12" t="s">
        <v>4992</v>
      </c>
      <c r="G2261" s="38">
        <v>26.23</v>
      </c>
      <c r="H2261" s="38">
        <v>22.3</v>
      </c>
      <c r="I2261" s="38">
        <v>18.36</v>
      </c>
      <c r="J2261" s="39"/>
      <c r="K2261" s="12" t="s">
        <v>8905</v>
      </c>
      <c r="L2261" s="22">
        <v>0</v>
      </c>
      <c r="M2261" s="22">
        <v>0</v>
      </c>
      <c r="N2261" s="20" t="s">
        <v>14489</v>
      </c>
      <c r="O2261" s="16" t="s">
        <v>12608</v>
      </c>
      <c r="P2261" s="143">
        <v>758</v>
      </c>
      <c r="Q2261" s="121" t="s">
        <v>14285</v>
      </c>
      <c r="R2261" s="16" t="s">
        <v>9235</v>
      </c>
      <c r="S2261" s="10" t="s">
        <v>1163</v>
      </c>
      <c r="T2261" s="28" t="s">
        <v>11286</v>
      </c>
      <c r="U2261" s="20" t="s">
        <v>5359</v>
      </c>
      <c r="V2261" s="16" t="s">
        <v>813</v>
      </c>
      <c r="W2261" s="11" t="s">
        <v>14433</v>
      </c>
      <c r="X2261" s="174">
        <v>10</v>
      </c>
      <c r="Y2261" s="174">
        <v>18.36</v>
      </c>
    </row>
    <row r="2262" spans="1:25" ht="15" customHeight="1" x14ac:dyDescent="0.25">
      <c r="A2262" s="20" t="s">
        <v>814</v>
      </c>
      <c r="B2262" s="14" t="s">
        <v>815</v>
      </c>
      <c r="C2262" s="71" t="str">
        <f t="shared" si="45"/>
        <v>Product Info</v>
      </c>
      <c r="D2262" s="37" t="s">
        <v>158</v>
      </c>
      <c r="E2262" s="143">
        <v>1</v>
      </c>
      <c r="F2262" s="12" t="s">
        <v>4992</v>
      </c>
      <c r="G2262" s="38">
        <v>26.23</v>
      </c>
      <c r="H2262" s="38">
        <v>22.3</v>
      </c>
      <c r="I2262" s="38">
        <v>18.36</v>
      </c>
      <c r="J2262" s="39"/>
      <c r="K2262" s="12"/>
      <c r="L2262" s="22">
        <v>0</v>
      </c>
      <c r="M2262" s="22">
        <v>0</v>
      </c>
      <c r="N2262" s="20" t="s">
        <v>14489</v>
      </c>
      <c r="O2262" s="16">
        <v>0</v>
      </c>
      <c r="P2262" s="143">
        <v>758</v>
      </c>
      <c r="Q2262" s="121" t="s">
        <v>14285</v>
      </c>
      <c r="R2262" s="16" t="s">
        <v>9235</v>
      </c>
      <c r="S2262" s="10" t="s">
        <v>1163</v>
      </c>
      <c r="T2262" s="28" t="s">
        <v>11287</v>
      </c>
      <c r="U2262" s="20" t="s">
        <v>5359</v>
      </c>
      <c r="V2262" s="16" t="s">
        <v>814</v>
      </c>
      <c r="W2262" s="11" t="s">
        <v>14433</v>
      </c>
      <c r="X2262" s="174">
        <v>10</v>
      </c>
      <c r="Y2262" s="174">
        <v>18.36</v>
      </c>
    </row>
    <row r="2263" spans="1:25" ht="15" customHeight="1" x14ac:dyDescent="0.25">
      <c r="A2263" s="20" t="s">
        <v>816</v>
      </c>
      <c r="B2263" s="14" t="s">
        <v>12481</v>
      </c>
      <c r="C2263" s="71" t="str">
        <f t="shared" si="45"/>
        <v>Product Info</v>
      </c>
      <c r="D2263" s="37" t="s">
        <v>159</v>
      </c>
      <c r="E2263" s="143">
        <v>10</v>
      </c>
      <c r="F2263" s="12" t="s">
        <v>4992</v>
      </c>
      <c r="G2263" s="38">
        <v>26.23</v>
      </c>
      <c r="H2263" s="38">
        <v>22.3</v>
      </c>
      <c r="I2263" s="38">
        <v>18.36</v>
      </c>
      <c r="J2263" s="39"/>
      <c r="K2263" s="12" t="s">
        <v>8905</v>
      </c>
      <c r="L2263" s="22">
        <v>0</v>
      </c>
      <c r="M2263" s="22">
        <v>0</v>
      </c>
      <c r="N2263" s="20" t="s">
        <v>14489</v>
      </c>
      <c r="O2263" s="16" t="s">
        <v>12608</v>
      </c>
      <c r="P2263" s="143">
        <v>758</v>
      </c>
      <c r="Q2263" s="121" t="s">
        <v>14285</v>
      </c>
      <c r="R2263" s="16" t="s">
        <v>9235</v>
      </c>
      <c r="S2263" s="10" t="s">
        <v>1163</v>
      </c>
      <c r="T2263" s="28" t="s">
        <v>11288</v>
      </c>
      <c r="U2263" s="20" t="s">
        <v>5359</v>
      </c>
      <c r="V2263" s="16" t="s">
        <v>816</v>
      </c>
      <c r="W2263" s="11" t="s">
        <v>14433</v>
      </c>
      <c r="X2263" s="174">
        <v>10</v>
      </c>
      <c r="Y2263" s="174">
        <v>18.36</v>
      </c>
    </row>
    <row r="2264" spans="1:25" ht="15" customHeight="1" x14ac:dyDescent="0.25">
      <c r="A2264" s="20" t="s">
        <v>817</v>
      </c>
      <c r="B2264" s="14" t="s">
        <v>12482</v>
      </c>
      <c r="C2264" s="71" t="str">
        <f t="shared" si="45"/>
        <v>Product Info</v>
      </c>
      <c r="D2264" s="37" t="s">
        <v>160</v>
      </c>
      <c r="E2264" s="143">
        <v>10</v>
      </c>
      <c r="F2264" s="12" t="s">
        <v>4992</v>
      </c>
      <c r="G2264" s="38">
        <v>27.54</v>
      </c>
      <c r="H2264" s="38">
        <v>23.41</v>
      </c>
      <c r="I2264" s="38">
        <v>19.28</v>
      </c>
      <c r="J2264" s="39"/>
      <c r="K2264" s="12" t="s">
        <v>8905</v>
      </c>
      <c r="L2264" s="22">
        <v>0</v>
      </c>
      <c r="M2264" s="22">
        <v>0</v>
      </c>
      <c r="N2264" s="20" t="s">
        <v>14489</v>
      </c>
      <c r="O2264" s="16" t="s">
        <v>12608</v>
      </c>
      <c r="P2264" s="143">
        <v>758</v>
      </c>
      <c r="Q2264" s="122" t="s">
        <v>12421</v>
      </c>
      <c r="R2264" s="16" t="s">
        <v>9235</v>
      </c>
      <c r="S2264" s="10" t="s">
        <v>1163</v>
      </c>
      <c r="T2264" s="28" t="s">
        <v>11289</v>
      </c>
      <c r="U2264" s="20" t="s">
        <v>5359</v>
      </c>
      <c r="V2264" s="16" t="s">
        <v>817</v>
      </c>
      <c r="W2264" s="11" t="s">
        <v>14433</v>
      </c>
      <c r="X2264" s="174">
        <v>10</v>
      </c>
      <c r="Y2264" s="174">
        <v>19.28</v>
      </c>
    </row>
    <row r="2265" spans="1:25" ht="15" customHeight="1" x14ac:dyDescent="0.25">
      <c r="A2265" s="20" t="s">
        <v>818</v>
      </c>
      <c r="B2265" s="14" t="s">
        <v>819</v>
      </c>
      <c r="C2265" s="71" t="str">
        <f t="shared" si="45"/>
        <v>Product Info</v>
      </c>
      <c r="D2265" s="37" t="s">
        <v>161</v>
      </c>
      <c r="E2265" s="143">
        <v>1</v>
      </c>
      <c r="F2265" s="12" t="s">
        <v>4992</v>
      </c>
      <c r="G2265" s="38">
        <v>27.54</v>
      </c>
      <c r="H2265" s="38">
        <v>23.41</v>
      </c>
      <c r="I2265" s="38">
        <v>19.28</v>
      </c>
      <c r="J2265" s="39"/>
      <c r="K2265" s="143"/>
      <c r="L2265" s="22">
        <v>0</v>
      </c>
      <c r="M2265" s="22">
        <v>0</v>
      </c>
      <c r="N2265" s="20" t="s">
        <v>14489</v>
      </c>
      <c r="O2265" s="16">
        <v>0</v>
      </c>
      <c r="P2265" s="143">
        <v>758</v>
      </c>
      <c r="Q2265" s="121" t="s">
        <v>14285</v>
      </c>
      <c r="R2265" s="16" t="s">
        <v>9235</v>
      </c>
      <c r="S2265" s="10" t="s">
        <v>1163</v>
      </c>
      <c r="T2265" s="28" t="s">
        <v>11290</v>
      </c>
      <c r="U2265" s="20" t="s">
        <v>5359</v>
      </c>
      <c r="V2265" s="16" t="s">
        <v>818</v>
      </c>
      <c r="W2265" s="11" t="s">
        <v>14433</v>
      </c>
      <c r="X2265" s="174">
        <v>18.329999999999998</v>
      </c>
      <c r="Y2265" s="174">
        <v>19.28</v>
      </c>
    </row>
    <row r="2266" spans="1:25" ht="15" customHeight="1" x14ac:dyDescent="0.25">
      <c r="A2266" s="20" t="s">
        <v>820</v>
      </c>
      <c r="B2266" s="14" t="s">
        <v>821</v>
      </c>
      <c r="C2266" s="71" t="str">
        <f t="shared" si="45"/>
        <v>Product Info</v>
      </c>
      <c r="D2266" s="37" t="s">
        <v>162</v>
      </c>
      <c r="E2266" s="143">
        <v>1</v>
      </c>
      <c r="F2266" s="12" t="s">
        <v>4992</v>
      </c>
      <c r="G2266" s="38">
        <v>27.54</v>
      </c>
      <c r="H2266" s="38">
        <v>23.41</v>
      </c>
      <c r="I2266" s="38">
        <v>19.28</v>
      </c>
      <c r="J2266" s="39"/>
      <c r="K2266" s="12" t="s">
        <v>8905</v>
      </c>
      <c r="L2266" s="22">
        <v>0</v>
      </c>
      <c r="M2266" s="22">
        <v>0</v>
      </c>
      <c r="N2266" s="20" t="s">
        <v>14489</v>
      </c>
      <c r="O2266" s="16">
        <v>0</v>
      </c>
      <c r="P2266" s="143">
        <v>758</v>
      </c>
      <c r="Q2266" s="122" t="s">
        <v>12421</v>
      </c>
      <c r="R2266" s="16" t="s">
        <v>9235</v>
      </c>
      <c r="S2266" s="10" t="s">
        <v>1163</v>
      </c>
      <c r="T2266" s="28" t="s">
        <v>11291</v>
      </c>
      <c r="U2266" s="20" t="s">
        <v>5359</v>
      </c>
      <c r="V2266" s="16" t="s">
        <v>820</v>
      </c>
      <c r="W2266" s="11" t="s">
        <v>14433</v>
      </c>
      <c r="X2266" s="174">
        <v>10</v>
      </c>
      <c r="Y2266" s="174">
        <v>19.28</v>
      </c>
    </row>
    <row r="2267" spans="1:25" ht="15" customHeight="1" x14ac:dyDescent="0.25">
      <c r="A2267" s="20" t="s">
        <v>822</v>
      </c>
      <c r="B2267" s="14" t="s">
        <v>823</v>
      </c>
      <c r="C2267" s="71" t="str">
        <f t="shared" si="45"/>
        <v>Product Info</v>
      </c>
      <c r="D2267" s="37" t="s">
        <v>163</v>
      </c>
      <c r="E2267" s="143">
        <v>1</v>
      </c>
      <c r="F2267" s="12" t="s">
        <v>4992</v>
      </c>
      <c r="G2267" s="38">
        <v>27.54</v>
      </c>
      <c r="H2267" s="38">
        <v>23.41</v>
      </c>
      <c r="I2267" s="38">
        <v>19.28</v>
      </c>
      <c r="J2267" s="39"/>
      <c r="K2267" s="143"/>
      <c r="L2267" s="22">
        <v>0</v>
      </c>
      <c r="M2267" s="22">
        <v>0</v>
      </c>
      <c r="N2267" s="20" t="s">
        <v>14489</v>
      </c>
      <c r="O2267" s="16">
        <v>0</v>
      </c>
      <c r="P2267" s="143">
        <v>758</v>
      </c>
      <c r="Q2267" s="122" t="s">
        <v>12421</v>
      </c>
      <c r="R2267" s="16" t="s">
        <v>9235</v>
      </c>
      <c r="S2267" s="10" t="s">
        <v>1163</v>
      </c>
      <c r="T2267" s="28" t="s">
        <v>11292</v>
      </c>
      <c r="U2267" s="20" t="s">
        <v>5359</v>
      </c>
      <c r="V2267" s="16" t="s">
        <v>822</v>
      </c>
      <c r="W2267" s="11" t="s">
        <v>14433</v>
      </c>
      <c r="X2267" s="174">
        <v>18.329999999999998</v>
      </c>
      <c r="Y2267" s="174">
        <v>23.41</v>
      </c>
    </row>
    <row r="2268" spans="1:25" ht="15" customHeight="1" x14ac:dyDescent="0.25">
      <c r="A2268" s="20" t="s">
        <v>824</v>
      </c>
      <c r="B2268" s="14" t="s">
        <v>825</v>
      </c>
      <c r="C2268" s="71" t="str">
        <f t="shared" si="45"/>
        <v>Product Info</v>
      </c>
      <c r="D2268" s="37" t="s">
        <v>164</v>
      </c>
      <c r="E2268" s="143">
        <v>1</v>
      </c>
      <c r="F2268" s="12" t="s">
        <v>4992</v>
      </c>
      <c r="G2268" s="38">
        <v>27.54</v>
      </c>
      <c r="H2268" s="38">
        <v>23.41</v>
      </c>
      <c r="I2268" s="38">
        <v>19.28</v>
      </c>
      <c r="J2268" s="39"/>
      <c r="K2268" s="143"/>
      <c r="L2268" s="22">
        <v>0</v>
      </c>
      <c r="M2268" s="22">
        <v>0</v>
      </c>
      <c r="N2268" s="20" t="s">
        <v>14489</v>
      </c>
      <c r="O2268" s="16">
        <v>0</v>
      </c>
      <c r="P2268" s="143">
        <v>758</v>
      </c>
      <c r="Q2268" s="121" t="s">
        <v>14285</v>
      </c>
      <c r="R2268" s="16" t="s">
        <v>9235</v>
      </c>
      <c r="S2268" s="10" t="s">
        <v>1163</v>
      </c>
      <c r="T2268" s="28" t="s">
        <v>11293</v>
      </c>
      <c r="U2268" s="20" t="s">
        <v>5359</v>
      </c>
      <c r="V2268" s="16" t="s">
        <v>824</v>
      </c>
      <c r="W2268" s="11" t="s">
        <v>14433</v>
      </c>
      <c r="X2268" s="174">
        <v>10</v>
      </c>
      <c r="Y2268" s="174">
        <v>19.28</v>
      </c>
    </row>
    <row r="2269" spans="1:25" ht="15" customHeight="1" x14ac:dyDescent="0.25">
      <c r="A2269" s="20" t="s">
        <v>826</v>
      </c>
      <c r="B2269" s="14" t="s">
        <v>12483</v>
      </c>
      <c r="C2269" s="71" t="str">
        <f t="shared" si="45"/>
        <v>Product Info</v>
      </c>
      <c r="D2269" s="37" t="s">
        <v>165</v>
      </c>
      <c r="E2269" s="143">
        <v>10</v>
      </c>
      <c r="F2269" s="12" t="s">
        <v>4992</v>
      </c>
      <c r="G2269" s="38">
        <v>27.54</v>
      </c>
      <c r="H2269" s="38">
        <v>23.41</v>
      </c>
      <c r="I2269" s="38">
        <v>19.28</v>
      </c>
      <c r="J2269" s="39"/>
      <c r="K2269" s="12" t="s">
        <v>8905</v>
      </c>
      <c r="L2269" s="22">
        <v>0</v>
      </c>
      <c r="M2269" s="22">
        <v>0</v>
      </c>
      <c r="N2269" s="20" t="s">
        <v>14489</v>
      </c>
      <c r="O2269" s="16" t="s">
        <v>12608</v>
      </c>
      <c r="P2269" s="143">
        <v>758</v>
      </c>
      <c r="Q2269" s="122" t="s">
        <v>12421</v>
      </c>
      <c r="R2269" s="16" t="s">
        <v>9235</v>
      </c>
      <c r="S2269" s="10" t="s">
        <v>1163</v>
      </c>
      <c r="T2269" s="28" t="s">
        <v>11294</v>
      </c>
      <c r="U2269" s="20" t="s">
        <v>5359</v>
      </c>
      <c r="V2269" s="16" t="s">
        <v>826</v>
      </c>
      <c r="W2269" s="11" t="s">
        <v>14433</v>
      </c>
      <c r="X2269" s="174">
        <v>10</v>
      </c>
      <c r="Y2269" s="174">
        <v>19.28</v>
      </c>
    </row>
    <row r="2270" spans="1:25" ht="15" customHeight="1" x14ac:dyDescent="0.25">
      <c r="A2270" s="20" t="s">
        <v>827</v>
      </c>
      <c r="B2270" s="14" t="s">
        <v>828</v>
      </c>
      <c r="C2270" s="71" t="str">
        <f t="shared" si="45"/>
        <v>Product Info</v>
      </c>
      <c r="D2270" s="37" t="s">
        <v>166</v>
      </c>
      <c r="E2270" s="143">
        <v>1</v>
      </c>
      <c r="F2270" s="12" t="s">
        <v>4992</v>
      </c>
      <c r="G2270" s="38">
        <v>28.86</v>
      </c>
      <c r="H2270" s="38">
        <v>24.53</v>
      </c>
      <c r="I2270" s="38">
        <v>20.2</v>
      </c>
      <c r="J2270" s="39"/>
      <c r="K2270" s="143"/>
      <c r="L2270" s="22">
        <v>0</v>
      </c>
      <c r="M2270" s="22">
        <v>0</v>
      </c>
      <c r="N2270" s="20" t="s">
        <v>14489</v>
      </c>
      <c r="O2270" s="16">
        <v>0</v>
      </c>
      <c r="P2270" s="143">
        <v>758</v>
      </c>
      <c r="Q2270" s="121" t="s">
        <v>14285</v>
      </c>
      <c r="R2270" s="16" t="s">
        <v>9235</v>
      </c>
      <c r="S2270" s="10" t="s">
        <v>1163</v>
      </c>
      <c r="T2270" s="28" t="s">
        <v>11295</v>
      </c>
      <c r="U2270" s="20" t="s">
        <v>5359</v>
      </c>
      <c r="V2270" s="16" t="s">
        <v>827</v>
      </c>
      <c r="W2270" s="11" t="s">
        <v>14433</v>
      </c>
      <c r="X2270" s="174">
        <v>19.2</v>
      </c>
      <c r="Y2270" s="174">
        <v>24.53</v>
      </c>
    </row>
    <row r="2271" spans="1:25" ht="15" customHeight="1" x14ac:dyDescent="0.25">
      <c r="A2271" s="20" t="s">
        <v>829</v>
      </c>
      <c r="B2271" s="14" t="s">
        <v>830</v>
      </c>
      <c r="C2271" s="71" t="str">
        <f t="shared" si="45"/>
        <v>Product Info</v>
      </c>
      <c r="D2271" s="37" t="s">
        <v>167</v>
      </c>
      <c r="E2271" s="143">
        <v>1</v>
      </c>
      <c r="F2271" s="12" t="s">
        <v>4992</v>
      </c>
      <c r="G2271" s="38">
        <v>28.86</v>
      </c>
      <c r="H2271" s="38">
        <v>24.53</v>
      </c>
      <c r="I2271" s="38">
        <v>20.2</v>
      </c>
      <c r="J2271" s="39"/>
      <c r="K2271" s="143"/>
      <c r="L2271" s="22">
        <v>0</v>
      </c>
      <c r="M2271" s="22">
        <v>0</v>
      </c>
      <c r="N2271" s="20" t="s">
        <v>14489</v>
      </c>
      <c r="O2271" s="16">
        <v>0</v>
      </c>
      <c r="P2271" s="143">
        <v>758</v>
      </c>
      <c r="Q2271" s="121" t="s">
        <v>14285</v>
      </c>
      <c r="R2271" s="16" t="s">
        <v>9235</v>
      </c>
      <c r="S2271" s="10" t="s">
        <v>1163</v>
      </c>
      <c r="T2271" s="28" t="s">
        <v>11296</v>
      </c>
      <c r="U2271" s="20" t="s">
        <v>5359</v>
      </c>
      <c r="V2271" s="16" t="s">
        <v>829</v>
      </c>
      <c r="W2271" s="11" t="s">
        <v>14433</v>
      </c>
      <c r="X2271" s="174">
        <v>19.2</v>
      </c>
      <c r="Y2271" s="174">
        <v>24.53</v>
      </c>
    </row>
    <row r="2272" spans="1:25" ht="15" customHeight="1" x14ac:dyDescent="0.25">
      <c r="A2272" s="20" t="s">
        <v>831</v>
      </c>
      <c r="B2272" s="14" t="s">
        <v>832</v>
      </c>
      <c r="C2272" s="71" t="str">
        <f t="shared" si="45"/>
        <v>Product Info</v>
      </c>
      <c r="D2272" s="37" t="s">
        <v>168</v>
      </c>
      <c r="E2272" s="143">
        <v>1</v>
      </c>
      <c r="F2272" s="12" t="s">
        <v>4992</v>
      </c>
      <c r="G2272" s="38">
        <v>32.79</v>
      </c>
      <c r="H2272" s="38">
        <v>27.87</v>
      </c>
      <c r="I2272" s="38">
        <v>22.95</v>
      </c>
      <c r="J2272" s="39"/>
      <c r="K2272" s="143"/>
      <c r="L2272" s="22">
        <v>0</v>
      </c>
      <c r="M2272" s="22">
        <v>0</v>
      </c>
      <c r="N2272" s="20" t="s">
        <v>14489</v>
      </c>
      <c r="O2272" s="16">
        <v>0</v>
      </c>
      <c r="P2272" s="143">
        <v>758</v>
      </c>
      <c r="Q2272" s="121" t="s">
        <v>14285</v>
      </c>
      <c r="R2272" s="16" t="s">
        <v>9235</v>
      </c>
      <c r="S2272" s="10" t="s">
        <v>1163</v>
      </c>
      <c r="T2272" s="28" t="s">
        <v>11297</v>
      </c>
      <c r="U2272" s="20" t="s">
        <v>5359</v>
      </c>
      <c r="V2272" s="16" t="s">
        <v>831</v>
      </c>
      <c r="W2272" s="11" t="s">
        <v>14433</v>
      </c>
      <c r="X2272" s="174">
        <v>21.81</v>
      </c>
      <c r="Y2272" s="174">
        <v>27.87</v>
      </c>
    </row>
    <row r="2273" spans="1:25" ht="15" customHeight="1" x14ac:dyDescent="0.25">
      <c r="A2273" s="20" t="s">
        <v>833</v>
      </c>
      <c r="B2273" s="14" t="s">
        <v>834</v>
      </c>
      <c r="C2273" s="71" t="str">
        <f t="shared" si="45"/>
        <v>Product Info</v>
      </c>
      <c r="D2273" s="37" t="s">
        <v>169</v>
      </c>
      <c r="E2273" s="143">
        <v>1</v>
      </c>
      <c r="F2273" s="12" t="s">
        <v>4992</v>
      </c>
      <c r="G2273" s="38">
        <v>103.61</v>
      </c>
      <c r="H2273" s="38">
        <v>88.08</v>
      </c>
      <c r="I2273" s="38">
        <v>72.53</v>
      </c>
      <c r="J2273" s="39"/>
      <c r="K2273" s="143"/>
      <c r="L2273" s="22">
        <v>0</v>
      </c>
      <c r="M2273" s="22">
        <v>0</v>
      </c>
      <c r="N2273" s="20" t="s">
        <v>14489</v>
      </c>
      <c r="O2273" s="16">
        <v>0</v>
      </c>
      <c r="P2273" s="143">
        <v>758</v>
      </c>
      <c r="Q2273" s="122" t="s">
        <v>12421</v>
      </c>
      <c r="R2273" s="16" t="s">
        <v>9235</v>
      </c>
      <c r="S2273" s="10" t="s">
        <v>1163</v>
      </c>
      <c r="T2273" s="28" t="s">
        <v>11298</v>
      </c>
      <c r="U2273" s="20" t="s">
        <v>5359</v>
      </c>
      <c r="V2273" s="16" t="s">
        <v>833</v>
      </c>
      <c r="W2273" s="11" t="s">
        <v>14433</v>
      </c>
      <c r="X2273" s="174">
        <v>68.94</v>
      </c>
      <c r="Y2273" s="174">
        <v>88.08</v>
      </c>
    </row>
    <row r="2274" spans="1:25" ht="15" customHeight="1" x14ac:dyDescent="0.25">
      <c r="A2274" s="20" t="s">
        <v>835</v>
      </c>
      <c r="B2274" s="14" t="s">
        <v>836</v>
      </c>
      <c r="C2274" s="71" t="str">
        <f t="shared" si="45"/>
        <v>Product Info</v>
      </c>
      <c r="D2274" s="37" t="s">
        <v>170</v>
      </c>
      <c r="E2274" s="143">
        <v>1</v>
      </c>
      <c r="F2274" s="12" t="s">
        <v>4992</v>
      </c>
      <c r="G2274" s="38">
        <v>129.84</v>
      </c>
      <c r="H2274" s="38">
        <v>110.37</v>
      </c>
      <c r="I2274" s="38">
        <v>90.89</v>
      </c>
      <c r="J2274" s="39"/>
      <c r="K2274" s="143"/>
      <c r="L2274" s="22">
        <v>0</v>
      </c>
      <c r="M2274" s="22">
        <v>0</v>
      </c>
      <c r="N2274" s="20" t="s">
        <v>14489</v>
      </c>
      <c r="O2274" s="16">
        <v>0</v>
      </c>
      <c r="P2274" s="143">
        <v>758</v>
      </c>
      <c r="Q2274" s="121" t="s">
        <v>14285</v>
      </c>
      <c r="R2274" s="16" t="s">
        <v>9235</v>
      </c>
      <c r="S2274" s="10" t="s">
        <v>1163</v>
      </c>
      <c r="T2274" s="28" t="s">
        <v>11299</v>
      </c>
      <c r="U2274" s="20" t="s">
        <v>5359</v>
      </c>
      <c r="V2274" s="16" t="s">
        <v>835</v>
      </c>
      <c r="W2274" s="11" t="s">
        <v>14433</v>
      </c>
      <c r="X2274" s="174">
        <v>86.39</v>
      </c>
      <c r="Y2274" s="174">
        <v>110.37</v>
      </c>
    </row>
    <row r="2275" spans="1:25" ht="15" customHeight="1" x14ac:dyDescent="0.25">
      <c r="A2275" s="20" t="s">
        <v>837</v>
      </c>
      <c r="B2275" s="14" t="s">
        <v>838</v>
      </c>
      <c r="C2275" s="71" t="str">
        <f t="shared" si="45"/>
        <v>Product Info</v>
      </c>
      <c r="D2275" s="37" t="s">
        <v>171</v>
      </c>
      <c r="E2275" s="143">
        <v>1</v>
      </c>
      <c r="F2275" s="12" t="s">
        <v>4992</v>
      </c>
      <c r="G2275" s="38">
        <v>142.96</v>
      </c>
      <c r="H2275" s="38">
        <v>121.52</v>
      </c>
      <c r="I2275" s="38">
        <v>100.07</v>
      </c>
      <c r="J2275" s="39"/>
      <c r="K2275" s="143"/>
      <c r="L2275" s="22">
        <v>0</v>
      </c>
      <c r="M2275" s="22">
        <v>0</v>
      </c>
      <c r="N2275" s="20" t="s">
        <v>14489</v>
      </c>
      <c r="O2275" s="16">
        <v>0</v>
      </c>
      <c r="P2275" s="143">
        <v>758</v>
      </c>
      <c r="Q2275" s="121" t="s">
        <v>14285</v>
      </c>
      <c r="R2275" s="16" t="s">
        <v>9235</v>
      </c>
      <c r="S2275" s="10" t="s">
        <v>1163</v>
      </c>
      <c r="T2275" s="28" t="s">
        <v>11300</v>
      </c>
      <c r="U2275" s="20" t="s">
        <v>5359</v>
      </c>
      <c r="V2275" s="16" t="s">
        <v>837</v>
      </c>
      <c r="W2275" s="11" t="s">
        <v>14433</v>
      </c>
      <c r="X2275" s="174">
        <v>95.12</v>
      </c>
      <c r="Y2275" s="174">
        <v>121.52</v>
      </c>
    </row>
    <row r="2276" spans="1:25" ht="15" customHeight="1" x14ac:dyDescent="0.25">
      <c r="A2276" s="20" t="s">
        <v>839</v>
      </c>
      <c r="B2276" s="14" t="s">
        <v>840</v>
      </c>
      <c r="C2276" s="71" t="str">
        <f t="shared" si="45"/>
        <v>Product Info</v>
      </c>
      <c r="D2276" s="37" t="s">
        <v>172</v>
      </c>
      <c r="E2276" s="143">
        <v>1</v>
      </c>
      <c r="F2276" s="12" t="s">
        <v>4992</v>
      </c>
      <c r="G2276" s="38">
        <v>169.19</v>
      </c>
      <c r="H2276" s="38">
        <v>143.81</v>
      </c>
      <c r="I2276" s="38">
        <v>118.43</v>
      </c>
      <c r="J2276" s="39"/>
      <c r="K2276" s="143"/>
      <c r="L2276" s="22">
        <v>0</v>
      </c>
      <c r="M2276" s="22">
        <v>0</v>
      </c>
      <c r="N2276" s="20" t="s">
        <v>14489</v>
      </c>
      <c r="O2276" s="16">
        <v>0</v>
      </c>
      <c r="P2276" s="143">
        <v>758</v>
      </c>
      <c r="Q2276" s="121" t="s">
        <v>14285</v>
      </c>
      <c r="R2276" s="16" t="s">
        <v>9235</v>
      </c>
      <c r="S2276" s="10" t="s">
        <v>1163</v>
      </c>
      <c r="T2276" s="28" t="s">
        <v>11301</v>
      </c>
      <c r="U2276" s="20" t="s">
        <v>5359</v>
      </c>
      <c r="V2276" s="16" t="s">
        <v>839</v>
      </c>
      <c r="W2276" s="11" t="s">
        <v>14433</v>
      </c>
      <c r="X2276" s="174">
        <v>112.57</v>
      </c>
      <c r="Y2276" s="174">
        <v>143.81</v>
      </c>
    </row>
    <row r="2277" spans="1:25" ht="15" customHeight="1" x14ac:dyDescent="0.25">
      <c r="A2277" s="20" t="s">
        <v>841</v>
      </c>
      <c r="B2277" s="14" t="s">
        <v>842</v>
      </c>
      <c r="C2277" s="71" t="str">
        <f t="shared" si="45"/>
        <v>Product Info</v>
      </c>
      <c r="D2277" s="37" t="s">
        <v>173</v>
      </c>
      <c r="E2277" s="143">
        <v>1</v>
      </c>
      <c r="F2277" s="12" t="s">
        <v>4992</v>
      </c>
      <c r="G2277" s="38">
        <v>182.3</v>
      </c>
      <c r="H2277" s="38">
        <v>154.96</v>
      </c>
      <c r="I2277" s="38">
        <v>127.61</v>
      </c>
      <c r="J2277" s="39"/>
      <c r="K2277" s="143"/>
      <c r="L2277" s="22">
        <v>0</v>
      </c>
      <c r="M2277" s="22">
        <v>0</v>
      </c>
      <c r="N2277" s="20" t="s">
        <v>14489</v>
      </c>
      <c r="O2277" s="16">
        <v>0</v>
      </c>
      <c r="P2277" s="143">
        <v>758</v>
      </c>
      <c r="Q2277" s="121" t="s">
        <v>14285</v>
      </c>
      <c r="R2277" s="16" t="s">
        <v>9235</v>
      </c>
      <c r="S2277" s="10" t="s">
        <v>1163</v>
      </c>
      <c r="T2277" s="28" t="s">
        <v>11302</v>
      </c>
      <c r="U2277" s="20" t="s">
        <v>5359</v>
      </c>
      <c r="V2277" s="16" t="s">
        <v>841</v>
      </c>
      <c r="W2277" s="11" t="s">
        <v>14433</v>
      </c>
      <c r="X2277" s="174">
        <v>121.3</v>
      </c>
      <c r="Y2277" s="174">
        <v>154.96</v>
      </c>
    </row>
    <row r="2278" spans="1:25" ht="15" customHeight="1" x14ac:dyDescent="0.25">
      <c r="A2278" s="20" t="s">
        <v>3128</v>
      </c>
      <c r="B2278" s="14" t="s">
        <v>3129</v>
      </c>
      <c r="C2278" s="71" t="str">
        <f t="shared" si="45"/>
        <v>Product Info</v>
      </c>
      <c r="D2278" s="37" t="s">
        <v>3130</v>
      </c>
      <c r="E2278" s="143">
        <v>1</v>
      </c>
      <c r="F2278" s="12" t="s">
        <v>4992</v>
      </c>
      <c r="G2278" s="38">
        <v>38.67</v>
      </c>
      <c r="H2278" s="38">
        <v>32.869999999999997</v>
      </c>
      <c r="I2278" s="38">
        <v>27.07</v>
      </c>
      <c r="J2278" s="39"/>
      <c r="K2278" s="143"/>
      <c r="L2278" s="22">
        <v>0</v>
      </c>
      <c r="M2278" s="22">
        <v>0</v>
      </c>
      <c r="N2278" s="20" t="s">
        <v>14489</v>
      </c>
      <c r="O2278" s="16">
        <v>0</v>
      </c>
      <c r="P2278" s="143">
        <v>758</v>
      </c>
      <c r="Q2278" s="121" t="s">
        <v>14285</v>
      </c>
      <c r="R2278" s="16" t="s">
        <v>9235</v>
      </c>
      <c r="S2278" s="10" t="s">
        <v>1163</v>
      </c>
      <c r="T2278" s="28" t="s">
        <v>11303</v>
      </c>
      <c r="U2278" s="20" t="s">
        <v>5359</v>
      </c>
      <c r="V2278" s="16" t="s">
        <v>3128</v>
      </c>
      <c r="W2278" s="11" t="s">
        <v>14433</v>
      </c>
      <c r="X2278" s="174">
        <v>25.73</v>
      </c>
      <c r="Y2278" s="174">
        <v>32.869999999999997</v>
      </c>
    </row>
    <row r="2279" spans="1:25" ht="15" customHeight="1" x14ac:dyDescent="0.25">
      <c r="A2279" s="20" t="s">
        <v>602</v>
      </c>
      <c r="B2279" s="14" t="s">
        <v>12475</v>
      </c>
      <c r="C2279" s="71" t="str">
        <f t="shared" si="45"/>
        <v>Product Info</v>
      </c>
      <c r="D2279" s="37" t="s">
        <v>140</v>
      </c>
      <c r="E2279" s="143">
        <v>50</v>
      </c>
      <c r="F2279" s="12" t="s">
        <v>4992</v>
      </c>
      <c r="G2279" s="38">
        <v>14.61</v>
      </c>
      <c r="H2279" s="38">
        <v>12.42</v>
      </c>
      <c r="I2279" s="38">
        <v>10.23</v>
      </c>
      <c r="J2279" s="39"/>
      <c r="K2279" s="143"/>
      <c r="L2279" s="22">
        <v>0</v>
      </c>
      <c r="M2279" s="22">
        <v>0</v>
      </c>
      <c r="N2279" s="20" t="s">
        <v>14489</v>
      </c>
      <c r="O2279" s="16" t="s">
        <v>12608</v>
      </c>
      <c r="P2279" s="143">
        <v>758</v>
      </c>
      <c r="Q2279" s="121" t="s">
        <v>14285</v>
      </c>
      <c r="R2279" s="16" t="s">
        <v>9235</v>
      </c>
      <c r="S2279" s="10" t="s">
        <v>1163</v>
      </c>
      <c r="T2279" s="28" t="s">
        <v>11166</v>
      </c>
      <c r="U2279" s="20" t="s">
        <v>5359</v>
      </c>
      <c r="V2279" s="16" t="s">
        <v>602</v>
      </c>
      <c r="W2279" s="11" t="s">
        <v>14433</v>
      </c>
      <c r="X2279" s="174">
        <v>9.7200000000000006</v>
      </c>
      <c r="Y2279" s="174">
        <v>12.42</v>
      </c>
    </row>
    <row r="2280" spans="1:25" ht="15" customHeight="1" x14ac:dyDescent="0.25">
      <c r="A2280" s="20" t="s">
        <v>8158</v>
      </c>
      <c r="B2280" s="14" t="s">
        <v>8159</v>
      </c>
      <c r="C2280" s="71" t="str">
        <f t="shared" si="45"/>
        <v>Product Info</v>
      </c>
      <c r="D2280" s="37" t="s">
        <v>8745</v>
      </c>
      <c r="E2280" s="143">
        <v>10</v>
      </c>
      <c r="F2280" s="12" t="s">
        <v>4992</v>
      </c>
      <c r="G2280" s="38">
        <v>11.04</v>
      </c>
      <c r="H2280" s="38">
        <v>9.39</v>
      </c>
      <c r="I2280" s="38">
        <v>7.73</v>
      </c>
      <c r="J2280" s="39"/>
      <c r="K2280" s="143"/>
      <c r="L2280" s="22">
        <v>0.10299999999999999</v>
      </c>
      <c r="M2280" s="22" t="s">
        <v>12488</v>
      </c>
      <c r="N2280" s="20" t="s">
        <v>9382</v>
      </c>
      <c r="O2280" s="16" t="s">
        <v>13912</v>
      </c>
      <c r="P2280" s="143">
        <v>758</v>
      </c>
      <c r="Q2280" s="121" t="s">
        <v>14285</v>
      </c>
      <c r="R2280" s="16" t="s">
        <v>9235</v>
      </c>
      <c r="S2280" s="10" t="s">
        <v>1163</v>
      </c>
      <c r="T2280" s="28" t="s">
        <v>11304</v>
      </c>
      <c r="U2280" s="20" t="s">
        <v>5359</v>
      </c>
      <c r="V2280" s="16" t="s">
        <v>8158</v>
      </c>
      <c r="W2280" s="11" t="s">
        <v>14433</v>
      </c>
      <c r="X2280" s="174">
        <v>7.34</v>
      </c>
      <c r="Y2280" s="174">
        <v>9.39</v>
      </c>
    </row>
    <row r="2281" spans="1:25" ht="15" customHeight="1" x14ac:dyDescent="0.25">
      <c r="A2281" s="20" t="s">
        <v>8160</v>
      </c>
      <c r="B2281" s="14" t="s">
        <v>8161</v>
      </c>
      <c r="C2281" s="71" t="str">
        <f t="shared" si="45"/>
        <v>Product Info</v>
      </c>
      <c r="D2281" s="37" t="s">
        <v>8746</v>
      </c>
      <c r="E2281" s="143">
        <v>10</v>
      </c>
      <c r="F2281" s="12" t="s">
        <v>4992</v>
      </c>
      <c r="G2281" s="38">
        <v>11.09</v>
      </c>
      <c r="H2281" s="38">
        <v>9.42</v>
      </c>
      <c r="I2281" s="38">
        <v>7.76</v>
      </c>
      <c r="J2281" s="39"/>
      <c r="K2281" s="143"/>
      <c r="L2281" s="22">
        <v>0.10100000000000001</v>
      </c>
      <c r="M2281" s="22" t="s">
        <v>12488</v>
      </c>
      <c r="N2281" s="20" t="s">
        <v>9382</v>
      </c>
      <c r="O2281" s="16" t="s">
        <v>13912</v>
      </c>
      <c r="P2281" s="143">
        <v>758</v>
      </c>
      <c r="Q2281" s="121" t="s">
        <v>14285</v>
      </c>
      <c r="R2281" s="16" t="s">
        <v>9235</v>
      </c>
      <c r="S2281" s="10" t="s">
        <v>1163</v>
      </c>
      <c r="T2281" s="28" t="s">
        <v>11305</v>
      </c>
      <c r="U2281" s="20" t="s">
        <v>5359</v>
      </c>
      <c r="V2281" s="16" t="s">
        <v>8160</v>
      </c>
      <c r="W2281" s="11" t="s">
        <v>14433</v>
      </c>
      <c r="X2281" s="174">
        <v>7.37</v>
      </c>
      <c r="Y2281" s="174">
        <v>9.42</v>
      </c>
    </row>
    <row r="2282" spans="1:25" ht="15" customHeight="1" x14ac:dyDescent="0.25">
      <c r="A2282" s="20" t="s">
        <v>8162</v>
      </c>
      <c r="B2282" s="14" t="s">
        <v>8163</v>
      </c>
      <c r="C2282" s="71" t="str">
        <f t="shared" si="45"/>
        <v>Product Info</v>
      </c>
      <c r="D2282" s="37" t="s">
        <v>8747</v>
      </c>
      <c r="E2282" s="143">
        <v>10</v>
      </c>
      <c r="F2282" s="12" t="s">
        <v>4992</v>
      </c>
      <c r="G2282" s="38">
        <v>11.04</v>
      </c>
      <c r="H2282" s="38">
        <v>9.39</v>
      </c>
      <c r="I2282" s="38">
        <v>7.73</v>
      </c>
      <c r="J2282" s="39"/>
      <c r="K2282" s="143"/>
      <c r="L2282" s="22">
        <v>0.106</v>
      </c>
      <c r="M2282" s="22" t="s">
        <v>12488</v>
      </c>
      <c r="N2282" s="20" t="s">
        <v>9382</v>
      </c>
      <c r="O2282" s="16" t="s">
        <v>13912</v>
      </c>
      <c r="P2282" s="143">
        <v>758</v>
      </c>
      <c r="Q2282" s="122" t="s">
        <v>12421</v>
      </c>
      <c r="R2282" s="16" t="s">
        <v>9235</v>
      </c>
      <c r="S2282" s="10" t="s">
        <v>1163</v>
      </c>
      <c r="T2282" s="28" t="s">
        <v>11306</v>
      </c>
      <c r="U2282" s="20" t="s">
        <v>5359</v>
      </c>
      <c r="V2282" s="16" t="s">
        <v>8162</v>
      </c>
      <c r="W2282" s="11" t="s">
        <v>14433</v>
      </c>
      <c r="X2282" s="174">
        <v>7.34</v>
      </c>
      <c r="Y2282" s="174">
        <v>9.39</v>
      </c>
    </row>
    <row r="2283" spans="1:25" ht="15" customHeight="1" x14ac:dyDescent="0.25">
      <c r="A2283" s="20" t="s">
        <v>8164</v>
      </c>
      <c r="B2283" s="14" t="s">
        <v>8165</v>
      </c>
      <c r="C2283" s="71" t="str">
        <f t="shared" si="45"/>
        <v>Product Info</v>
      </c>
      <c r="D2283" s="37" t="s">
        <v>8748</v>
      </c>
      <c r="E2283" s="143">
        <v>10</v>
      </c>
      <c r="F2283" s="12" t="s">
        <v>4992</v>
      </c>
      <c r="G2283" s="38">
        <v>11.1</v>
      </c>
      <c r="H2283" s="38">
        <v>9.44</v>
      </c>
      <c r="I2283" s="38">
        <v>7.77</v>
      </c>
      <c r="J2283" s="39"/>
      <c r="K2283" s="143"/>
      <c r="L2283" s="22">
        <v>9.6000000000000002E-2</v>
      </c>
      <c r="M2283" s="22" t="s">
        <v>12488</v>
      </c>
      <c r="N2283" s="20" t="s">
        <v>9382</v>
      </c>
      <c r="O2283" s="16" t="s">
        <v>13912</v>
      </c>
      <c r="P2283" s="143">
        <v>758</v>
      </c>
      <c r="Q2283" s="122" t="s">
        <v>12421</v>
      </c>
      <c r="R2283" s="16" t="s">
        <v>9235</v>
      </c>
      <c r="S2283" s="10" t="s">
        <v>1163</v>
      </c>
      <c r="T2283" s="28" t="s">
        <v>11307</v>
      </c>
      <c r="U2283" s="20" t="s">
        <v>5359</v>
      </c>
      <c r="V2283" s="16" t="s">
        <v>8164</v>
      </c>
      <c r="W2283" s="11" t="s">
        <v>14433</v>
      </c>
      <c r="X2283" s="174">
        <v>7.38</v>
      </c>
      <c r="Y2283" s="174">
        <v>9.44</v>
      </c>
    </row>
    <row r="2284" spans="1:25" ht="15" customHeight="1" x14ac:dyDescent="0.25">
      <c r="A2284" s="20" t="s">
        <v>8166</v>
      </c>
      <c r="B2284" s="14" t="s">
        <v>8167</v>
      </c>
      <c r="C2284" s="71" t="str">
        <f t="shared" si="45"/>
        <v>Product Info</v>
      </c>
      <c r="D2284" s="37" t="s">
        <v>8749</v>
      </c>
      <c r="E2284" s="143">
        <v>10</v>
      </c>
      <c r="F2284" s="12" t="s">
        <v>4992</v>
      </c>
      <c r="G2284" s="38">
        <v>11.01</v>
      </c>
      <c r="H2284" s="38">
        <v>9.36</v>
      </c>
      <c r="I2284" s="38">
        <v>7.71</v>
      </c>
      <c r="J2284" s="39"/>
      <c r="K2284" s="143"/>
      <c r="L2284" s="22">
        <v>0.109</v>
      </c>
      <c r="M2284" s="22" t="s">
        <v>12488</v>
      </c>
      <c r="N2284" s="20" t="s">
        <v>9382</v>
      </c>
      <c r="O2284" s="16" t="s">
        <v>13912</v>
      </c>
      <c r="P2284" s="143">
        <v>758</v>
      </c>
      <c r="Q2284" s="121" t="s">
        <v>14285</v>
      </c>
      <c r="R2284" s="16" t="s">
        <v>9235</v>
      </c>
      <c r="S2284" s="10" t="s">
        <v>1163</v>
      </c>
      <c r="T2284" s="28" t="s">
        <v>11308</v>
      </c>
      <c r="U2284" s="20" t="s">
        <v>5359</v>
      </c>
      <c r="V2284" s="16" t="s">
        <v>8166</v>
      </c>
      <c r="W2284" s="11" t="s">
        <v>14433</v>
      </c>
      <c r="X2284" s="174">
        <v>7.32</v>
      </c>
      <c r="Y2284" s="174">
        <v>9.36</v>
      </c>
    </row>
    <row r="2285" spans="1:25" ht="15" customHeight="1" x14ac:dyDescent="0.25">
      <c r="A2285" s="20" t="s">
        <v>8168</v>
      </c>
      <c r="B2285" s="14" t="s">
        <v>8169</v>
      </c>
      <c r="C2285" s="71" t="str">
        <f t="shared" si="45"/>
        <v>Product Info</v>
      </c>
      <c r="D2285" s="37" t="s">
        <v>8750</v>
      </c>
      <c r="E2285" s="143">
        <v>10</v>
      </c>
      <c r="F2285" s="12" t="s">
        <v>4992</v>
      </c>
      <c r="G2285" s="38">
        <v>12.16</v>
      </c>
      <c r="H2285" s="38">
        <v>10.33</v>
      </c>
      <c r="I2285" s="38">
        <v>8.51</v>
      </c>
      <c r="J2285" s="39"/>
      <c r="K2285" s="143"/>
      <c r="L2285" s="22">
        <v>0.13500000000000001</v>
      </c>
      <c r="M2285" s="22" t="s">
        <v>12488</v>
      </c>
      <c r="N2285" s="20" t="s">
        <v>9382</v>
      </c>
      <c r="O2285" s="16" t="s">
        <v>13912</v>
      </c>
      <c r="P2285" s="143">
        <v>758</v>
      </c>
      <c r="Q2285" s="121" t="s">
        <v>14285</v>
      </c>
      <c r="R2285" s="16" t="s">
        <v>9235</v>
      </c>
      <c r="S2285" s="10" t="s">
        <v>1163</v>
      </c>
      <c r="T2285" s="28" t="s">
        <v>11309</v>
      </c>
      <c r="U2285" s="20" t="s">
        <v>5359</v>
      </c>
      <c r="V2285" s="16" t="s">
        <v>8168</v>
      </c>
      <c r="W2285" s="11" t="s">
        <v>14433</v>
      </c>
      <c r="X2285" s="174">
        <v>8.09</v>
      </c>
      <c r="Y2285" s="174">
        <v>10.33</v>
      </c>
    </row>
    <row r="2286" spans="1:25" ht="15" customHeight="1" x14ac:dyDescent="0.25">
      <c r="A2286" s="20" t="s">
        <v>8170</v>
      </c>
      <c r="B2286" s="14" t="s">
        <v>8171</v>
      </c>
      <c r="C2286" s="71" t="str">
        <f t="shared" si="45"/>
        <v>Product Info</v>
      </c>
      <c r="D2286" s="37" t="s">
        <v>8751</v>
      </c>
      <c r="E2286" s="143">
        <v>10</v>
      </c>
      <c r="F2286" s="12" t="s">
        <v>4992</v>
      </c>
      <c r="G2286" s="38">
        <v>11.01</v>
      </c>
      <c r="H2286" s="38">
        <v>9.36</v>
      </c>
      <c r="I2286" s="38">
        <v>7.71</v>
      </c>
      <c r="J2286" s="39"/>
      <c r="K2286" s="143"/>
      <c r="L2286" s="22">
        <v>0.111</v>
      </c>
      <c r="M2286" s="22" t="s">
        <v>12488</v>
      </c>
      <c r="N2286" s="20" t="s">
        <v>9382</v>
      </c>
      <c r="O2286" s="16" t="s">
        <v>13912</v>
      </c>
      <c r="P2286" s="143">
        <v>758</v>
      </c>
      <c r="Q2286" s="121" t="s">
        <v>14285</v>
      </c>
      <c r="R2286" s="16" t="s">
        <v>9235</v>
      </c>
      <c r="S2286" s="10" t="s">
        <v>1163</v>
      </c>
      <c r="T2286" s="28" t="s">
        <v>11310</v>
      </c>
      <c r="U2286" s="20" t="s">
        <v>5359</v>
      </c>
      <c r="V2286" s="16" t="s">
        <v>8170</v>
      </c>
      <c r="W2286" s="11" t="s">
        <v>14433</v>
      </c>
      <c r="X2286" s="174">
        <v>7.32</v>
      </c>
      <c r="Y2286" s="174">
        <v>9.36</v>
      </c>
    </row>
    <row r="2287" spans="1:25" ht="15" customHeight="1" x14ac:dyDescent="0.25">
      <c r="A2287" s="20" t="s">
        <v>8172</v>
      </c>
      <c r="B2287" s="14" t="s">
        <v>8173</v>
      </c>
      <c r="C2287" s="71" t="str">
        <f t="shared" si="45"/>
        <v>Product Info</v>
      </c>
      <c r="D2287" s="37" t="s">
        <v>8752</v>
      </c>
      <c r="E2287" s="143">
        <v>10</v>
      </c>
      <c r="F2287" s="12" t="s">
        <v>4992</v>
      </c>
      <c r="G2287" s="38">
        <v>12.2</v>
      </c>
      <c r="H2287" s="38">
        <v>10.37</v>
      </c>
      <c r="I2287" s="38">
        <v>8.5399999999999991</v>
      </c>
      <c r="J2287" s="39"/>
      <c r="K2287" s="143"/>
      <c r="L2287" s="22">
        <v>0.128</v>
      </c>
      <c r="M2287" s="22" t="s">
        <v>12488</v>
      </c>
      <c r="N2287" s="20" t="s">
        <v>9382</v>
      </c>
      <c r="O2287" s="16" t="s">
        <v>13912</v>
      </c>
      <c r="P2287" s="143">
        <v>758</v>
      </c>
      <c r="Q2287" s="121" t="s">
        <v>14285</v>
      </c>
      <c r="R2287" s="16" t="s">
        <v>9235</v>
      </c>
      <c r="S2287" s="10" t="s">
        <v>1163</v>
      </c>
      <c r="T2287" s="28" t="s">
        <v>11311</v>
      </c>
      <c r="U2287" s="20" t="s">
        <v>5359</v>
      </c>
      <c r="V2287" s="16" t="s">
        <v>8172</v>
      </c>
      <c r="W2287" s="11" t="s">
        <v>14433</v>
      </c>
      <c r="X2287" s="174">
        <v>8.1199999999999992</v>
      </c>
      <c r="Y2287" s="174">
        <v>10.37</v>
      </c>
    </row>
    <row r="2288" spans="1:25" ht="15" customHeight="1" x14ac:dyDescent="0.25">
      <c r="A2288" s="20" t="s">
        <v>8174</v>
      </c>
      <c r="B2288" s="14" t="s">
        <v>8175</v>
      </c>
      <c r="C2288" s="71" t="str">
        <f t="shared" si="45"/>
        <v>Product Info</v>
      </c>
      <c r="D2288" s="37" t="s">
        <v>8753</v>
      </c>
      <c r="E2288" s="143">
        <v>10</v>
      </c>
      <c r="F2288" s="12" t="s">
        <v>4992</v>
      </c>
      <c r="G2288" s="38">
        <v>11</v>
      </c>
      <c r="H2288" s="38">
        <v>9.35</v>
      </c>
      <c r="I2288" s="38">
        <v>7.7</v>
      </c>
      <c r="J2288" s="39"/>
      <c r="K2288" s="143"/>
      <c r="L2288" s="22">
        <v>0.114</v>
      </c>
      <c r="M2288" s="22" t="s">
        <v>12488</v>
      </c>
      <c r="N2288" s="20" t="s">
        <v>8865</v>
      </c>
      <c r="O2288" s="16" t="s">
        <v>13912</v>
      </c>
      <c r="P2288" s="143">
        <v>758</v>
      </c>
      <c r="Q2288" s="121" t="s">
        <v>14285</v>
      </c>
      <c r="R2288" s="16" t="s">
        <v>9235</v>
      </c>
      <c r="S2288" s="10" t="s">
        <v>1163</v>
      </c>
      <c r="T2288" s="28" t="s">
        <v>11312</v>
      </c>
      <c r="U2288" s="20" t="s">
        <v>5359</v>
      </c>
      <c r="V2288" s="16" t="s">
        <v>8174</v>
      </c>
      <c r="W2288" s="11" t="s">
        <v>14433</v>
      </c>
      <c r="X2288" s="174">
        <v>7.32</v>
      </c>
      <c r="Y2288" s="174">
        <v>9.35</v>
      </c>
    </row>
    <row r="2289" spans="1:25" ht="15" customHeight="1" x14ac:dyDescent="0.25">
      <c r="A2289" s="20" t="s">
        <v>8176</v>
      </c>
      <c r="B2289" s="14" t="s">
        <v>8177</v>
      </c>
      <c r="C2289" s="71" t="str">
        <f t="shared" si="45"/>
        <v>Product Info</v>
      </c>
      <c r="D2289" s="37" t="s">
        <v>8754</v>
      </c>
      <c r="E2289" s="143">
        <v>10</v>
      </c>
      <c r="F2289" s="12" t="s">
        <v>4992</v>
      </c>
      <c r="G2289" s="38">
        <v>11</v>
      </c>
      <c r="H2289" s="38">
        <v>9.35</v>
      </c>
      <c r="I2289" s="38">
        <v>7.7</v>
      </c>
      <c r="J2289" s="39"/>
      <c r="K2289" s="143"/>
      <c r="L2289" s="22">
        <v>0.115</v>
      </c>
      <c r="M2289" s="22" t="s">
        <v>12488</v>
      </c>
      <c r="N2289" s="20" t="s">
        <v>8865</v>
      </c>
      <c r="O2289" s="16" t="s">
        <v>13912</v>
      </c>
      <c r="P2289" s="143">
        <v>758</v>
      </c>
      <c r="Q2289" s="121" t="s">
        <v>14285</v>
      </c>
      <c r="R2289" s="16" t="s">
        <v>9235</v>
      </c>
      <c r="S2289" s="10" t="s">
        <v>1163</v>
      </c>
      <c r="T2289" s="28" t="s">
        <v>11313</v>
      </c>
      <c r="U2289" s="20" t="s">
        <v>5359</v>
      </c>
      <c r="V2289" s="16" t="s">
        <v>8176</v>
      </c>
      <c r="W2289" s="11" t="s">
        <v>14433</v>
      </c>
      <c r="X2289" s="174">
        <v>7.32</v>
      </c>
      <c r="Y2289" s="174">
        <v>9.35</v>
      </c>
    </row>
    <row r="2290" spans="1:25" ht="15" customHeight="1" x14ac:dyDescent="0.25">
      <c r="A2290" s="20" t="s">
        <v>9029</v>
      </c>
      <c r="B2290" s="14" t="s">
        <v>9030</v>
      </c>
      <c r="C2290" s="71" t="str">
        <f t="shared" si="45"/>
        <v>Product Info</v>
      </c>
      <c r="D2290" s="37" t="s">
        <v>9031</v>
      </c>
      <c r="E2290" s="143">
        <v>20</v>
      </c>
      <c r="F2290" s="12" t="s">
        <v>4992</v>
      </c>
      <c r="G2290" s="38">
        <v>8.61</v>
      </c>
      <c r="H2290" s="38">
        <v>7.32</v>
      </c>
      <c r="I2290" s="38">
        <v>6.03</v>
      </c>
      <c r="J2290" s="39"/>
      <c r="K2290" s="143"/>
      <c r="L2290" s="22">
        <v>1</v>
      </c>
      <c r="M2290" s="22" t="s">
        <v>12488</v>
      </c>
      <c r="N2290" s="20" t="s">
        <v>9383</v>
      </c>
      <c r="O2290" s="16" t="s">
        <v>13912</v>
      </c>
      <c r="P2290" s="143">
        <v>761</v>
      </c>
      <c r="Q2290" s="122" t="s">
        <v>12421</v>
      </c>
      <c r="R2290" s="16" t="s">
        <v>8904</v>
      </c>
      <c r="S2290" s="10" t="s">
        <v>1163</v>
      </c>
      <c r="T2290" s="28" t="s">
        <v>13136</v>
      </c>
      <c r="U2290" s="20" t="s">
        <v>5359</v>
      </c>
      <c r="V2290" s="16" t="s">
        <v>9029</v>
      </c>
      <c r="W2290" s="11" t="s">
        <v>14283</v>
      </c>
      <c r="X2290" s="174">
        <v>5.57</v>
      </c>
      <c r="Y2290" s="174">
        <v>7.32</v>
      </c>
    </row>
    <row r="2291" spans="1:25" ht="15" customHeight="1" x14ac:dyDescent="0.25">
      <c r="A2291" s="20" t="s">
        <v>5814</v>
      </c>
      <c r="B2291" s="14" t="s">
        <v>5815</v>
      </c>
      <c r="C2291" s="71" t="str">
        <f t="shared" si="45"/>
        <v>Product Info</v>
      </c>
      <c r="D2291" s="37" t="s">
        <v>7135</v>
      </c>
      <c r="E2291" s="143">
        <v>1</v>
      </c>
      <c r="F2291" s="12" t="s">
        <v>2170</v>
      </c>
      <c r="G2291" s="38">
        <v>3.81</v>
      </c>
      <c r="H2291" s="38">
        <v>3.24</v>
      </c>
      <c r="I2291" s="38">
        <v>2.67</v>
      </c>
      <c r="J2291" s="39"/>
      <c r="K2291" s="143"/>
      <c r="L2291" s="22">
        <v>2.5000000000000001E-2</v>
      </c>
      <c r="M2291" s="22" t="s">
        <v>12487</v>
      </c>
      <c r="N2291" s="20" t="s">
        <v>14489</v>
      </c>
      <c r="O2291" s="16" t="s">
        <v>12608</v>
      </c>
      <c r="P2291" s="143">
        <v>761</v>
      </c>
      <c r="Q2291" s="122" t="s">
        <v>9227</v>
      </c>
      <c r="R2291" s="16" t="s">
        <v>8904</v>
      </c>
      <c r="S2291" s="10" t="s">
        <v>1163</v>
      </c>
      <c r="T2291" s="28" t="s">
        <v>11314</v>
      </c>
      <c r="U2291" s="20" t="s">
        <v>5359</v>
      </c>
      <c r="V2291" s="16" t="s">
        <v>5814</v>
      </c>
      <c r="W2291" s="11" t="s">
        <v>14283</v>
      </c>
      <c r="X2291" s="174">
        <v>2.4900000000000002</v>
      </c>
      <c r="Y2291" s="174">
        <v>3.24</v>
      </c>
    </row>
    <row r="2292" spans="1:25" ht="15" customHeight="1" x14ac:dyDescent="0.25">
      <c r="A2292" s="20" t="s">
        <v>4215</v>
      </c>
      <c r="B2292" s="14" t="s">
        <v>4216</v>
      </c>
      <c r="C2292" s="71" t="str">
        <f t="shared" si="45"/>
        <v>Product Info</v>
      </c>
      <c r="D2292" s="37" t="s">
        <v>3888</v>
      </c>
      <c r="E2292" s="143">
        <v>50</v>
      </c>
      <c r="F2292" s="12" t="s">
        <v>4992</v>
      </c>
      <c r="G2292" s="38">
        <v>3.74</v>
      </c>
      <c r="H2292" s="38">
        <v>3.18</v>
      </c>
      <c r="I2292" s="38">
        <v>2.62</v>
      </c>
      <c r="J2292" s="39"/>
      <c r="K2292" s="143"/>
      <c r="L2292" s="22">
        <v>0</v>
      </c>
      <c r="M2292" s="22">
        <v>0</v>
      </c>
      <c r="N2292" s="20" t="s">
        <v>14489</v>
      </c>
      <c r="O2292" s="16" t="s">
        <v>4992</v>
      </c>
      <c r="P2292" s="143">
        <v>761</v>
      </c>
      <c r="Q2292" s="122" t="s">
        <v>12421</v>
      </c>
      <c r="R2292" s="16" t="s">
        <v>8904</v>
      </c>
      <c r="S2292" s="10" t="s">
        <v>1163</v>
      </c>
      <c r="T2292" s="28" t="s">
        <v>11315</v>
      </c>
      <c r="U2292" s="20" t="s">
        <v>5359</v>
      </c>
      <c r="V2292" s="16" t="s">
        <v>4215</v>
      </c>
      <c r="W2292" s="11" t="s">
        <v>14283</v>
      </c>
      <c r="X2292" s="174">
        <v>2.44</v>
      </c>
      <c r="Y2292" s="174">
        <v>3.18</v>
      </c>
    </row>
    <row r="2293" spans="1:25" ht="15" customHeight="1" x14ac:dyDescent="0.25">
      <c r="A2293" s="20" t="s">
        <v>5816</v>
      </c>
      <c r="B2293" s="14" t="s">
        <v>5817</v>
      </c>
      <c r="C2293" s="71" t="str">
        <f t="shared" si="45"/>
        <v>Product Info</v>
      </c>
      <c r="D2293" s="37" t="s">
        <v>7136</v>
      </c>
      <c r="E2293" s="143">
        <v>1</v>
      </c>
      <c r="F2293" s="12" t="s">
        <v>2170</v>
      </c>
      <c r="G2293" s="38">
        <v>4.2699999999999996</v>
      </c>
      <c r="H2293" s="38">
        <v>3.63</v>
      </c>
      <c r="I2293" s="38">
        <v>2.99</v>
      </c>
      <c r="J2293" s="39"/>
      <c r="K2293" s="143"/>
      <c r="L2293" s="22">
        <v>4.4999999999999998E-2</v>
      </c>
      <c r="M2293" s="22" t="s">
        <v>12487</v>
      </c>
      <c r="N2293" s="20" t="s">
        <v>14489</v>
      </c>
      <c r="O2293" s="16" t="s">
        <v>12608</v>
      </c>
      <c r="P2293" s="143">
        <v>761</v>
      </c>
      <c r="Q2293" s="122" t="s">
        <v>9227</v>
      </c>
      <c r="R2293" s="16" t="s">
        <v>8904</v>
      </c>
      <c r="S2293" s="10" t="s">
        <v>1163</v>
      </c>
      <c r="T2293" s="28" t="s">
        <v>11316</v>
      </c>
      <c r="U2293" s="20" t="s">
        <v>5359</v>
      </c>
      <c r="V2293" s="16" t="s">
        <v>5816</v>
      </c>
      <c r="W2293" s="11" t="s">
        <v>14283</v>
      </c>
      <c r="X2293" s="174">
        <v>2.78</v>
      </c>
      <c r="Y2293" s="174">
        <v>3.63</v>
      </c>
    </row>
    <row r="2294" spans="1:25" ht="15" customHeight="1" x14ac:dyDescent="0.25">
      <c r="A2294" s="20" t="s">
        <v>4211</v>
      </c>
      <c r="B2294" s="14" t="s">
        <v>4212</v>
      </c>
      <c r="C2294" s="71" t="str">
        <f t="shared" si="45"/>
        <v>Product Info</v>
      </c>
      <c r="D2294" s="37" t="s">
        <v>3889</v>
      </c>
      <c r="E2294" s="143">
        <v>200</v>
      </c>
      <c r="F2294" s="12" t="s">
        <v>2170</v>
      </c>
      <c r="G2294" s="38">
        <v>3.77</v>
      </c>
      <c r="H2294" s="38">
        <v>3.21</v>
      </c>
      <c r="I2294" s="38">
        <v>2.64</v>
      </c>
      <c r="J2294" s="39"/>
      <c r="K2294" s="143"/>
      <c r="L2294" s="22">
        <v>0</v>
      </c>
      <c r="M2294" s="22">
        <v>0</v>
      </c>
      <c r="N2294" s="20" t="s">
        <v>14489</v>
      </c>
      <c r="O2294" s="16">
        <v>0</v>
      </c>
      <c r="P2294" s="143">
        <v>761</v>
      </c>
      <c r="Q2294" s="122" t="s">
        <v>9227</v>
      </c>
      <c r="R2294" s="16" t="s">
        <v>8904</v>
      </c>
      <c r="S2294" s="10" t="s">
        <v>1163</v>
      </c>
      <c r="T2294" s="28" t="s">
        <v>11317</v>
      </c>
      <c r="U2294" s="20" t="s">
        <v>5359</v>
      </c>
      <c r="V2294" s="16" t="s">
        <v>4211</v>
      </c>
      <c r="W2294" s="11" t="s">
        <v>14283</v>
      </c>
      <c r="X2294" s="174">
        <v>2.46</v>
      </c>
      <c r="Y2294" s="174">
        <v>3.21</v>
      </c>
    </row>
    <row r="2295" spans="1:25" ht="15" customHeight="1" x14ac:dyDescent="0.25">
      <c r="A2295" s="20" t="s">
        <v>2093</v>
      </c>
      <c r="B2295" s="14" t="s">
        <v>2094</v>
      </c>
      <c r="C2295" s="71" t="str">
        <f t="shared" si="45"/>
        <v>Product Info</v>
      </c>
      <c r="D2295" s="37" t="s">
        <v>4938</v>
      </c>
      <c r="E2295" s="143">
        <v>50</v>
      </c>
      <c r="F2295" s="12" t="s">
        <v>4992</v>
      </c>
      <c r="G2295" s="38">
        <v>4.1900000000000004</v>
      </c>
      <c r="H2295" s="38">
        <v>3.56</v>
      </c>
      <c r="I2295" s="38">
        <v>2.93</v>
      </c>
      <c r="J2295" s="39"/>
      <c r="K2295" s="143"/>
      <c r="L2295" s="22">
        <v>0</v>
      </c>
      <c r="M2295" s="22">
        <v>0</v>
      </c>
      <c r="N2295" s="20" t="s">
        <v>14489</v>
      </c>
      <c r="O2295" s="16">
        <v>0</v>
      </c>
      <c r="P2295" s="143">
        <v>761</v>
      </c>
      <c r="Q2295" s="121" t="s">
        <v>14285</v>
      </c>
      <c r="R2295" s="16" t="s">
        <v>8904</v>
      </c>
      <c r="S2295" s="10" t="s">
        <v>1163</v>
      </c>
      <c r="T2295" s="28" t="s">
        <v>11318</v>
      </c>
      <c r="U2295" s="20" t="s">
        <v>5359</v>
      </c>
      <c r="V2295" s="16" t="s">
        <v>2093</v>
      </c>
      <c r="W2295" s="11" t="s">
        <v>14283</v>
      </c>
      <c r="X2295" s="174">
        <v>2.73</v>
      </c>
      <c r="Y2295" s="174">
        <v>3.56</v>
      </c>
    </row>
    <row r="2296" spans="1:25" ht="15" customHeight="1" x14ac:dyDescent="0.25">
      <c r="A2296" s="20" t="s">
        <v>5595</v>
      </c>
      <c r="B2296" s="14" t="s">
        <v>5818</v>
      </c>
      <c r="C2296" s="71" t="str">
        <f t="shared" si="45"/>
        <v>Product Info</v>
      </c>
      <c r="D2296" s="37" t="s">
        <v>5594</v>
      </c>
      <c r="E2296" s="143">
        <v>1</v>
      </c>
      <c r="F2296" s="12" t="s">
        <v>2170</v>
      </c>
      <c r="G2296" s="38">
        <v>5.54</v>
      </c>
      <c r="H2296" s="38">
        <v>4.71</v>
      </c>
      <c r="I2296" s="38">
        <v>3.88</v>
      </c>
      <c r="J2296" s="39"/>
      <c r="K2296" s="143"/>
      <c r="L2296" s="22">
        <v>6.6000000000000003E-2</v>
      </c>
      <c r="M2296" s="22" t="s">
        <v>12487</v>
      </c>
      <c r="N2296" s="20" t="s">
        <v>14489</v>
      </c>
      <c r="O2296" s="16" t="s">
        <v>12608</v>
      </c>
      <c r="P2296" s="143">
        <v>761</v>
      </c>
      <c r="Q2296" s="122" t="s">
        <v>9227</v>
      </c>
      <c r="R2296" s="16" t="s">
        <v>8904</v>
      </c>
      <c r="S2296" s="10" t="s">
        <v>1163</v>
      </c>
      <c r="T2296" s="28" t="s">
        <v>11319</v>
      </c>
      <c r="U2296" s="20" t="s">
        <v>5359</v>
      </c>
      <c r="V2296" s="16" t="s">
        <v>5595</v>
      </c>
      <c r="W2296" s="11" t="s">
        <v>14283</v>
      </c>
      <c r="X2296" s="174">
        <v>3.62</v>
      </c>
      <c r="Y2296" s="174">
        <v>4.71</v>
      </c>
    </row>
    <row r="2297" spans="1:25" ht="15" customHeight="1" x14ac:dyDescent="0.25">
      <c r="A2297" s="20" t="s">
        <v>4213</v>
      </c>
      <c r="B2297" s="14" t="s">
        <v>4214</v>
      </c>
      <c r="C2297" s="71" t="str">
        <f t="shared" si="45"/>
        <v>Product Info</v>
      </c>
      <c r="D2297" s="37" t="s">
        <v>4946</v>
      </c>
      <c r="E2297" s="143">
        <v>200</v>
      </c>
      <c r="F2297" s="12" t="s">
        <v>2170</v>
      </c>
      <c r="G2297" s="38">
        <v>4.87</v>
      </c>
      <c r="H2297" s="38">
        <v>4.1399999999999997</v>
      </c>
      <c r="I2297" s="38">
        <v>3.41</v>
      </c>
      <c r="J2297" s="39"/>
      <c r="K2297" s="143"/>
      <c r="L2297" s="22">
        <v>0</v>
      </c>
      <c r="M2297" s="22">
        <v>0</v>
      </c>
      <c r="N2297" s="20" t="s">
        <v>14489</v>
      </c>
      <c r="O2297" s="16">
        <v>0</v>
      </c>
      <c r="P2297" s="143">
        <v>761</v>
      </c>
      <c r="Q2297" s="122" t="s">
        <v>12421</v>
      </c>
      <c r="R2297" s="16" t="s">
        <v>8904</v>
      </c>
      <c r="S2297" s="10" t="s">
        <v>1163</v>
      </c>
      <c r="T2297" s="28" t="s">
        <v>11320</v>
      </c>
      <c r="U2297" s="20" t="s">
        <v>5359</v>
      </c>
      <c r="V2297" s="16" t="s">
        <v>4213</v>
      </c>
      <c r="W2297" s="11" t="s">
        <v>14283</v>
      </c>
      <c r="X2297" s="174">
        <v>3.18</v>
      </c>
      <c r="Y2297" s="174">
        <v>4.1399999999999997</v>
      </c>
    </row>
    <row r="2298" spans="1:25" ht="15" customHeight="1" x14ac:dyDescent="0.25">
      <c r="A2298" s="20" t="s">
        <v>2095</v>
      </c>
      <c r="B2298" s="14" t="s">
        <v>2096</v>
      </c>
      <c r="C2298" s="71" t="str">
        <f t="shared" si="45"/>
        <v>Product Info</v>
      </c>
      <c r="D2298" s="37" t="s">
        <v>4947</v>
      </c>
      <c r="E2298" s="143">
        <v>50</v>
      </c>
      <c r="F2298" s="12" t="s">
        <v>4992</v>
      </c>
      <c r="G2298" s="38">
        <v>5.43</v>
      </c>
      <c r="H2298" s="38">
        <v>4.6100000000000003</v>
      </c>
      <c r="I2298" s="38">
        <v>3.8</v>
      </c>
      <c r="J2298" s="39"/>
      <c r="K2298" s="143"/>
      <c r="L2298" s="22">
        <v>0.16</v>
      </c>
      <c r="M2298" s="22" t="s">
        <v>12488</v>
      </c>
      <c r="N2298" s="20" t="s">
        <v>9384</v>
      </c>
      <c r="O2298" s="16" t="s">
        <v>13914</v>
      </c>
      <c r="P2298" s="143">
        <v>761</v>
      </c>
      <c r="Q2298" s="121" t="s">
        <v>14285</v>
      </c>
      <c r="R2298" s="16" t="s">
        <v>8904</v>
      </c>
      <c r="S2298" s="10" t="s">
        <v>1163</v>
      </c>
      <c r="T2298" s="28" t="s">
        <v>11321</v>
      </c>
      <c r="U2298" s="20" t="s">
        <v>5359</v>
      </c>
      <c r="V2298" s="16" t="s">
        <v>2095</v>
      </c>
      <c r="W2298" s="11" t="s">
        <v>14283</v>
      </c>
      <c r="X2298" s="174">
        <v>3.54</v>
      </c>
      <c r="Y2298" s="174">
        <v>4.6100000000000003</v>
      </c>
    </row>
    <row r="2299" spans="1:25" ht="15" customHeight="1" x14ac:dyDescent="0.25">
      <c r="A2299" s="20" t="s">
        <v>5819</v>
      </c>
      <c r="B2299" s="14" t="s">
        <v>5820</v>
      </c>
      <c r="C2299" s="71" t="str">
        <f t="shared" si="45"/>
        <v>Product Info</v>
      </c>
      <c r="D2299" s="37" t="s">
        <v>6302</v>
      </c>
      <c r="E2299" s="143">
        <v>1</v>
      </c>
      <c r="F2299" s="12" t="s">
        <v>2170</v>
      </c>
      <c r="G2299" s="38">
        <v>8.8000000000000007</v>
      </c>
      <c r="H2299" s="38">
        <v>7.48</v>
      </c>
      <c r="I2299" s="38">
        <v>6.16</v>
      </c>
      <c r="J2299" s="39"/>
      <c r="K2299" s="143"/>
      <c r="L2299" s="22">
        <v>0.11</v>
      </c>
      <c r="M2299" s="22" t="s">
        <v>12487</v>
      </c>
      <c r="N2299" s="20" t="s">
        <v>14489</v>
      </c>
      <c r="O2299" s="16" t="s">
        <v>12608</v>
      </c>
      <c r="P2299" s="143">
        <v>761</v>
      </c>
      <c r="Q2299" s="122" t="s">
        <v>9227</v>
      </c>
      <c r="R2299" s="16" t="s">
        <v>8904</v>
      </c>
      <c r="S2299" s="10" t="s">
        <v>1163</v>
      </c>
      <c r="T2299" s="28" t="s">
        <v>11322</v>
      </c>
      <c r="U2299" s="20" t="s">
        <v>5359</v>
      </c>
      <c r="V2299" s="16" t="s">
        <v>5819</v>
      </c>
      <c r="W2299" s="11" t="s">
        <v>14283</v>
      </c>
      <c r="X2299" s="174">
        <v>5.74</v>
      </c>
      <c r="Y2299" s="174">
        <v>7.48</v>
      </c>
    </row>
    <row r="2300" spans="1:25" ht="15" customHeight="1" x14ac:dyDescent="0.25">
      <c r="A2300" s="20" t="s">
        <v>4207</v>
      </c>
      <c r="B2300" s="14" t="s">
        <v>4208</v>
      </c>
      <c r="C2300" s="71" t="str">
        <f t="shared" si="45"/>
        <v>Product Info</v>
      </c>
      <c r="D2300" s="37" t="s">
        <v>4948</v>
      </c>
      <c r="E2300" s="143">
        <v>200</v>
      </c>
      <c r="F2300" s="12" t="s">
        <v>2170</v>
      </c>
      <c r="G2300" s="38">
        <v>7.77</v>
      </c>
      <c r="H2300" s="38">
        <v>6.61</v>
      </c>
      <c r="I2300" s="38">
        <v>5.44</v>
      </c>
      <c r="J2300" s="39"/>
      <c r="K2300" s="143"/>
      <c r="L2300" s="22">
        <v>0</v>
      </c>
      <c r="M2300" s="22">
        <v>0</v>
      </c>
      <c r="N2300" s="20" t="s">
        <v>14489</v>
      </c>
      <c r="O2300" s="16">
        <v>0</v>
      </c>
      <c r="P2300" s="143">
        <v>761</v>
      </c>
      <c r="Q2300" s="121" t="s">
        <v>14285</v>
      </c>
      <c r="R2300" s="16" t="s">
        <v>8904</v>
      </c>
      <c r="S2300" s="10" t="s">
        <v>1163</v>
      </c>
      <c r="T2300" s="28" t="s">
        <v>11323</v>
      </c>
      <c r="U2300" s="20" t="s">
        <v>5359</v>
      </c>
      <c r="V2300" s="16" t="s">
        <v>4207</v>
      </c>
      <c r="W2300" s="11" t="s">
        <v>14283</v>
      </c>
      <c r="X2300" s="174">
        <v>5.07</v>
      </c>
      <c r="Y2300" s="174">
        <v>6.61</v>
      </c>
    </row>
    <row r="2301" spans="1:25" ht="15" customHeight="1" x14ac:dyDescent="0.25">
      <c r="A2301" s="20" t="s">
        <v>6443</v>
      </c>
      <c r="B2301" s="14" t="s">
        <v>6444</v>
      </c>
      <c r="C2301" s="71" t="str">
        <f t="shared" si="45"/>
        <v>Product Info</v>
      </c>
      <c r="D2301" s="37" t="s">
        <v>6303</v>
      </c>
      <c r="E2301" s="143">
        <v>1</v>
      </c>
      <c r="F2301" s="12" t="s">
        <v>2170</v>
      </c>
      <c r="G2301" s="38">
        <v>11.96</v>
      </c>
      <c r="H2301" s="38">
        <v>10.16</v>
      </c>
      <c r="I2301" s="38">
        <v>8.3699999999999992</v>
      </c>
      <c r="J2301" s="39"/>
      <c r="K2301" s="143"/>
      <c r="L2301" s="22">
        <v>0.879</v>
      </c>
      <c r="M2301" s="22" t="s">
        <v>12487</v>
      </c>
      <c r="N2301" s="20" t="s">
        <v>14489</v>
      </c>
      <c r="O2301" s="16" t="s">
        <v>12608</v>
      </c>
      <c r="P2301" s="143">
        <v>761</v>
      </c>
      <c r="Q2301" s="122" t="s">
        <v>9227</v>
      </c>
      <c r="R2301" s="16" t="s">
        <v>8904</v>
      </c>
      <c r="S2301" s="10" t="s">
        <v>1163</v>
      </c>
      <c r="T2301" s="28" t="s">
        <v>11324</v>
      </c>
      <c r="U2301" s="20" t="s">
        <v>5359</v>
      </c>
      <c r="V2301" s="16" t="s">
        <v>6443</v>
      </c>
      <c r="W2301" s="11" t="s">
        <v>14283</v>
      </c>
      <c r="X2301" s="174">
        <v>7.8</v>
      </c>
      <c r="Y2301" s="174">
        <v>10.16</v>
      </c>
    </row>
    <row r="2302" spans="1:25" ht="15" customHeight="1" x14ac:dyDescent="0.25">
      <c r="A2302" s="20" t="s">
        <v>4209</v>
      </c>
      <c r="B2302" s="14" t="s">
        <v>4210</v>
      </c>
      <c r="C2302" s="71" t="str">
        <f t="shared" si="45"/>
        <v>Product Info</v>
      </c>
      <c r="D2302" s="37" t="s">
        <v>4949</v>
      </c>
      <c r="E2302" s="143">
        <v>200</v>
      </c>
      <c r="F2302" s="12" t="s">
        <v>2170</v>
      </c>
      <c r="G2302" s="38">
        <v>10.59</v>
      </c>
      <c r="H2302" s="38">
        <v>9</v>
      </c>
      <c r="I2302" s="38">
        <v>7.41</v>
      </c>
      <c r="J2302" s="39"/>
      <c r="K2302" s="143"/>
      <c r="L2302" s="22">
        <v>0</v>
      </c>
      <c r="M2302" s="22">
        <v>0</v>
      </c>
      <c r="N2302" s="20" t="s">
        <v>14489</v>
      </c>
      <c r="O2302" s="16">
        <v>0</v>
      </c>
      <c r="P2302" s="143">
        <v>761</v>
      </c>
      <c r="Q2302" s="121" t="s">
        <v>14285</v>
      </c>
      <c r="R2302" s="16" t="s">
        <v>8904</v>
      </c>
      <c r="S2302" s="10" t="s">
        <v>1163</v>
      </c>
      <c r="T2302" s="28" t="s">
        <v>11325</v>
      </c>
      <c r="U2302" s="20" t="s">
        <v>5359</v>
      </c>
      <c r="V2302" s="16" t="s">
        <v>4209</v>
      </c>
      <c r="W2302" s="11" t="s">
        <v>14283</v>
      </c>
      <c r="X2302" s="174">
        <v>6.9</v>
      </c>
      <c r="Y2302" s="174">
        <v>9</v>
      </c>
    </row>
    <row r="2303" spans="1:25" ht="15" customHeight="1" x14ac:dyDescent="0.25">
      <c r="A2303" s="20" t="s">
        <v>6445</v>
      </c>
      <c r="B2303" s="14" t="s">
        <v>6446</v>
      </c>
      <c r="C2303" s="71" t="str">
        <f t="shared" si="45"/>
        <v>Product Info</v>
      </c>
      <c r="D2303" s="37" t="s">
        <v>8013</v>
      </c>
      <c r="E2303" s="143">
        <v>1</v>
      </c>
      <c r="F2303" s="12" t="s">
        <v>2170</v>
      </c>
      <c r="G2303" s="38">
        <v>5.69</v>
      </c>
      <c r="H2303" s="38">
        <v>4.83</v>
      </c>
      <c r="I2303" s="38">
        <v>3.98</v>
      </c>
      <c r="J2303" s="39"/>
      <c r="K2303" s="143"/>
      <c r="L2303" s="22">
        <v>5.2999999999999999E-2</v>
      </c>
      <c r="M2303" s="22" t="s">
        <v>12487</v>
      </c>
      <c r="N2303" s="20" t="s">
        <v>14489</v>
      </c>
      <c r="O2303" s="16">
        <v>0</v>
      </c>
      <c r="P2303" s="143">
        <v>761</v>
      </c>
      <c r="Q2303" s="122" t="s">
        <v>9227</v>
      </c>
      <c r="R2303" s="16" t="s">
        <v>8904</v>
      </c>
      <c r="S2303" s="10" t="s">
        <v>1163</v>
      </c>
      <c r="T2303" s="28" t="s">
        <v>11326</v>
      </c>
      <c r="U2303" s="20" t="s">
        <v>5359</v>
      </c>
      <c r="V2303" s="16" t="s">
        <v>6445</v>
      </c>
      <c r="W2303" s="11" t="s">
        <v>14283</v>
      </c>
      <c r="X2303" s="174">
        <v>3.71</v>
      </c>
      <c r="Y2303" s="174">
        <v>4.83</v>
      </c>
    </row>
    <row r="2304" spans="1:25" ht="15" customHeight="1" x14ac:dyDescent="0.25">
      <c r="A2304" s="20" t="s">
        <v>6447</v>
      </c>
      <c r="B2304" s="14" t="s">
        <v>6644</v>
      </c>
      <c r="C2304" s="71" t="str">
        <f t="shared" si="45"/>
        <v>Product Info</v>
      </c>
      <c r="D2304" s="37" t="s">
        <v>8014</v>
      </c>
      <c r="E2304" s="143">
        <v>1</v>
      </c>
      <c r="F2304" s="12" t="s">
        <v>2170</v>
      </c>
      <c r="G2304" s="38">
        <v>16.440000000000001</v>
      </c>
      <c r="H2304" s="38">
        <v>13.98</v>
      </c>
      <c r="I2304" s="38">
        <v>11.51</v>
      </c>
      <c r="J2304" s="39"/>
      <c r="K2304" s="143"/>
      <c r="L2304" s="22">
        <v>0.14699999999999999</v>
      </c>
      <c r="M2304" s="22" t="s">
        <v>12487</v>
      </c>
      <c r="N2304" s="20" t="s">
        <v>14489</v>
      </c>
      <c r="O2304" s="16" t="s">
        <v>12608</v>
      </c>
      <c r="P2304" s="143">
        <v>761</v>
      </c>
      <c r="Q2304" s="121" t="s">
        <v>14285</v>
      </c>
      <c r="R2304" s="16" t="s">
        <v>8904</v>
      </c>
      <c r="S2304" s="10" t="s">
        <v>1163</v>
      </c>
      <c r="T2304" s="28" t="s">
        <v>11327</v>
      </c>
      <c r="U2304" s="20" t="s">
        <v>5359</v>
      </c>
      <c r="V2304" s="16" t="s">
        <v>6447</v>
      </c>
      <c r="W2304" s="11" t="s">
        <v>14283</v>
      </c>
      <c r="X2304" s="174">
        <v>10.72</v>
      </c>
      <c r="Y2304" s="174">
        <v>13.98</v>
      </c>
    </row>
    <row r="2305" spans="1:25" ht="15" customHeight="1" x14ac:dyDescent="0.25">
      <c r="A2305" s="20" t="s">
        <v>6645</v>
      </c>
      <c r="B2305" s="14" t="s">
        <v>843</v>
      </c>
      <c r="C2305" s="71" t="str">
        <f t="shared" si="45"/>
        <v>Product Info</v>
      </c>
      <c r="D2305" s="37" t="s">
        <v>2440</v>
      </c>
      <c r="E2305" s="143">
        <v>1</v>
      </c>
      <c r="F2305" s="12" t="s">
        <v>4992</v>
      </c>
      <c r="G2305" s="38">
        <v>1553.73</v>
      </c>
      <c r="H2305" s="38">
        <v>1320.72</v>
      </c>
      <c r="I2305" s="38">
        <v>1087.6099999999999</v>
      </c>
      <c r="J2305" s="39"/>
      <c r="K2305" s="143"/>
      <c r="L2305" s="22">
        <v>15.5</v>
      </c>
      <c r="M2305" s="22" t="s">
        <v>12487</v>
      </c>
      <c r="N2305" s="20" t="s">
        <v>14489</v>
      </c>
      <c r="O2305" s="16" t="s">
        <v>12608</v>
      </c>
      <c r="P2305" s="143">
        <v>748</v>
      </c>
      <c r="Q2305" s="121" t="s">
        <v>14285</v>
      </c>
      <c r="R2305" s="16" t="s">
        <v>8904</v>
      </c>
      <c r="S2305" s="10" t="s">
        <v>1163</v>
      </c>
      <c r="T2305" s="28" t="s">
        <v>11328</v>
      </c>
      <c r="U2305" s="20" t="s">
        <v>5359</v>
      </c>
      <c r="V2305" s="16" t="s">
        <v>6645</v>
      </c>
      <c r="W2305" s="11" t="s">
        <v>14399</v>
      </c>
      <c r="X2305" s="174">
        <v>1013.47</v>
      </c>
      <c r="Y2305" s="174">
        <v>1320.72</v>
      </c>
    </row>
    <row r="2306" spans="1:25" ht="15" customHeight="1" x14ac:dyDescent="0.25">
      <c r="A2306" s="20" t="s">
        <v>73</v>
      </c>
      <c r="B2306" s="14" t="s">
        <v>74</v>
      </c>
      <c r="C2306" s="71" t="str">
        <f t="shared" si="45"/>
        <v>Product Info</v>
      </c>
      <c r="D2306" s="37" t="s">
        <v>75</v>
      </c>
      <c r="E2306" s="143">
        <v>1</v>
      </c>
      <c r="F2306" s="12" t="s">
        <v>4992</v>
      </c>
      <c r="G2306" s="38">
        <v>1553.73</v>
      </c>
      <c r="H2306" s="38">
        <v>1320.72</v>
      </c>
      <c r="I2306" s="38">
        <v>1087.6099999999999</v>
      </c>
      <c r="J2306" s="39"/>
      <c r="K2306" s="143"/>
      <c r="L2306" s="22">
        <v>23</v>
      </c>
      <c r="M2306" s="22" t="s">
        <v>12488</v>
      </c>
      <c r="N2306" s="20" t="s">
        <v>8832</v>
      </c>
      <c r="O2306" s="16" t="s">
        <v>12608</v>
      </c>
      <c r="P2306" s="143">
        <v>748</v>
      </c>
      <c r="Q2306" s="121" t="s">
        <v>14285</v>
      </c>
      <c r="R2306" s="16" t="s">
        <v>8904</v>
      </c>
      <c r="S2306" s="10" t="s">
        <v>1163</v>
      </c>
      <c r="T2306" s="28" t="s">
        <v>11329</v>
      </c>
      <c r="U2306" s="20" t="s">
        <v>5359</v>
      </c>
      <c r="V2306" s="16" t="s">
        <v>73</v>
      </c>
      <c r="W2306" s="11" t="s">
        <v>14399</v>
      </c>
      <c r="X2306" s="174">
        <v>1013.47</v>
      </c>
      <c r="Y2306" s="174">
        <v>1320.72</v>
      </c>
    </row>
    <row r="2307" spans="1:25" ht="15" customHeight="1" x14ac:dyDescent="0.25">
      <c r="A2307" s="20" t="s">
        <v>2263</v>
      </c>
      <c r="B2307" s="14" t="s">
        <v>2264</v>
      </c>
      <c r="C2307" s="71" t="str">
        <f t="shared" si="45"/>
        <v>Product Info</v>
      </c>
      <c r="D2307" s="37" t="s">
        <v>2441</v>
      </c>
      <c r="E2307" s="143">
        <v>1</v>
      </c>
      <c r="F2307" s="12" t="s">
        <v>2170</v>
      </c>
      <c r="G2307" s="38">
        <v>1726.37</v>
      </c>
      <c r="H2307" s="38">
        <v>1467.47</v>
      </c>
      <c r="I2307" s="38">
        <v>1208.46</v>
      </c>
      <c r="J2307" s="39"/>
      <c r="K2307" s="143"/>
      <c r="L2307" s="22">
        <v>12</v>
      </c>
      <c r="M2307" s="22" t="s">
        <v>12487</v>
      </c>
      <c r="N2307" s="20" t="s">
        <v>9386</v>
      </c>
      <c r="O2307" s="16" t="s">
        <v>12608</v>
      </c>
      <c r="P2307" s="143">
        <v>748</v>
      </c>
      <c r="Q2307" s="121" t="s">
        <v>14285</v>
      </c>
      <c r="R2307" s="16" t="s">
        <v>8904</v>
      </c>
      <c r="S2307" s="10" t="s">
        <v>1163</v>
      </c>
      <c r="T2307" s="28" t="s">
        <v>11330</v>
      </c>
      <c r="U2307" s="20" t="s">
        <v>5359</v>
      </c>
      <c r="V2307" s="16" t="s">
        <v>2263</v>
      </c>
      <c r="W2307" s="11" t="s">
        <v>14399</v>
      </c>
      <c r="X2307" s="174">
        <v>1126.08</v>
      </c>
      <c r="Y2307" s="174">
        <v>1467.47</v>
      </c>
    </row>
    <row r="2308" spans="1:25" ht="15" customHeight="1" x14ac:dyDescent="0.25">
      <c r="A2308" s="20" t="s">
        <v>76</v>
      </c>
      <c r="B2308" s="14" t="s">
        <v>77</v>
      </c>
      <c r="C2308" s="71" t="str">
        <f t="shared" si="45"/>
        <v>Product Info</v>
      </c>
      <c r="D2308" s="37" t="s">
        <v>78</v>
      </c>
      <c r="E2308" s="143">
        <v>1</v>
      </c>
      <c r="F2308" s="12" t="s">
        <v>4992</v>
      </c>
      <c r="G2308" s="38">
        <v>1726.37</v>
      </c>
      <c r="H2308" s="38">
        <v>1467.47</v>
      </c>
      <c r="I2308" s="38">
        <v>1208.46</v>
      </c>
      <c r="J2308" s="39"/>
      <c r="K2308" s="12"/>
      <c r="L2308" s="22">
        <v>36</v>
      </c>
      <c r="M2308" s="22" t="s">
        <v>12488</v>
      </c>
      <c r="N2308" s="20" t="s">
        <v>8833</v>
      </c>
      <c r="O2308" s="16" t="s">
        <v>12608</v>
      </c>
      <c r="P2308" s="143">
        <v>748</v>
      </c>
      <c r="Q2308" s="121" t="s">
        <v>14285</v>
      </c>
      <c r="R2308" s="16" t="s">
        <v>8904</v>
      </c>
      <c r="S2308" s="10" t="s">
        <v>1163</v>
      </c>
      <c r="T2308" s="28" t="s">
        <v>11331</v>
      </c>
      <c r="U2308" s="20" t="s">
        <v>5359</v>
      </c>
      <c r="V2308" s="16" t="s">
        <v>76</v>
      </c>
      <c r="W2308" s="11" t="s">
        <v>14399</v>
      </c>
      <c r="X2308" s="174">
        <v>1126.08</v>
      </c>
      <c r="Y2308" s="174">
        <v>1467.47</v>
      </c>
    </row>
    <row r="2309" spans="1:25" ht="15" customHeight="1" x14ac:dyDescent="0.25">
      <c r="A2309" s="20" t="s">
        <v>2265</v>
      </c>
      <c r="B2309" s="14" t="s">
        <v>2266</v>
      </c>
      <c r="C2309" s="71" t="str">
        <f t="shared" si="45"/>
        <v>Product Info</v>
      </c>
      <c r="D2309" s="37" t="s">
        <v>2442</v>
      </c>
      <c r="E2309" s="143">
        <v>1</v>
      </c>
      <c r="F2309" s="12" t="s">
        <v>2170</v>
      </c>
      <c r="G2309" s="38">
        <v>1985.31</v>
      </c>
      <c r="H2309" s="38">
        <v>1687.58</v>
      </c>
      <c r="I2309" s="38">
        <v>1389.72</v>
      </c>
      <c r="J2309" s="39"/>
      <c r="K2309" s="143"/>
      <c r="L2309" s="22">
        <v>8.25</v>
      </c>
      <c r="M2309" s="22" t="s">
        <v>12487</v>
      </c>
      <c r="N2309" s="20" t="s">
        <v>9385</v>
      </c>
      <c r="O2309" s="16" t="s">
        <v>12608</v>
      </c>
      <c r="P2309" s="143">
        <v>748</v>
      </c>
      <c r="Q2309" s="121" t="s">
        <v>14285</v>
      </c>
      <c r="R2309" s="16" t="s">
        <v>8904</v>
      </c>
      <c r="S2309" s="10" t="s">
        <v>1163</v>
      </c>
      <c r="T2309" s="28" t="s">
        <v>11332</v>
      </c>
      <c r="U2309" s="20" t="s">
        <v>5359</v>
      </c>
      <c r="V2309" s="16" t="s">
        <v>2265</v>
      </c>
      <c r="W2309" s="11" t="s">
        <v>14399</v>
      </c>
      <c r="X2309" s="174">
        <v>1294.99</v>
      </c>
      <c r="Y2309" s="174">
        <v>1687.58</v>
      </c>
    </row>
    <row r="2310" spans="1:25" ht="15" customHeight="1" x14ac:dyDescent="0.25">
      <c r="A2310" s="20" t="s">
        <v>79</v>
      </c>
      <c r="B2310" s="14" t="s">
        <v>80</v>
      </c>
      <c r="C2310" s="71" t="str">
        <f t="shared" ref="C2310:C2373" si="46">HYPERLINK(T2310,U2310)</f>
        <v>Product Info</v>
      </c>
      <c r="D2310" s="37" t="s">
        <v>81</v>
      </c>
      <c r="E2310" s="143">
        <v>1</v>
      </c>
      <c r="F2310" s="12" t="s">
        <v>4992</v>
      </c>
      <c r="G2310" s="38">
        <v>1985.31</v>
      </c>
      <c r="H2310" s="38">
        <v>1687.58</v>
      </c>
      <c r="I2310" s="38">
        <v>1389.72</v>
      </c>
      <c r="J2310" s="39"/>
      <c r="K2310" s="143"/>
      <c r="L2310" s="22">
        <v>23</v>
      </c>
      <c r="M2310" s="22" t="s">
        <v>12488</v>
      </c>
      <c r="N2310" s="20" t="s">
        <v>8832</v>
      </c>
      <c r="O2310" s="16" t="s">
        <v>12608</v>
      </c>
      <c r="P2310" s="143">
        <v>748</v>
      </c>
      <c r="Q2310" s="121" t="s">
        <v>14285</v>
      </c>
      <c r="R2310" s="16" t="s">
        <v>8904</v>
      </c>
      <c r="S2310" s="10" t="s">
        <v>1163</v>
      </c>
      <c r="T2310" s="28" t="s">
        <v>11333</v>
      </c>
      <c r="U2310" s="20" t="s">
        <v>5359</v>
      </c>
      <c r="V2310" s="16" t="s">
        <v>79</v>
      </c>
      <c r="W2310" s="11" t="s">
        <v>14399</v>
      </c>
      <c r="X2310" s="174">
        <v>1294.99</v>
      </c>
      <c r="Y2310" s="174">
        <v>1687.58</v>
      </c>
    </row>
    <row r="2311" spans="1:25" ht="15" customHeight="1" x14ac:dyDescent="0.25">
      <c r="A2311" s="20" t="s">
        <v>2267</v>
      </c>
      <c r="B2311" s="14" t="s">
        <v>2268</v>
      </c>
      <c r="C2311" s="71" t="str">
        <f t="shared" si="46"/>
        <v>Product Info</v>
      </c>
      <c r="D2311" s="37" t="s">
        <v>2443</v>
      </c>
      <c r="E2311" s="143">
        <v>1</v>
      </c>
      <c r="F2311" s="12" t="s">
        <v>2170</v>
      </c>
      <c r="G2311" s="38">
        <v>3021.13</v>
      </c>
      <c r="H2311" s="38">
        <v>2568.0500000000002</v>
      </c>
      <c r="I2311" s="38">
        <v>2114.79</v>
      </c>
      <c r="J2311" s="39"/>
      <c r="K2311" s="143"/>
      <c r="L2311" s="22">
        <v>14.8</v>
      </c>
      <c r="M2311" s="22" t="s">
        <v>12487</v>
      </c>
      <c r="N2311" s="20" t="s">
        <v>9387</v>
      </c>
      <c r="O2311" s="16" t="s">
        <v>12608</v>
      </c>
      <c r="P2311" s="143">
        <v>748</v>
      </c>
      <c r="Q2311" s="121" t="s">
        <v>14285</v>
      </c>
      <c r="R2311" s="16" t="s">
        <v>8904</v>
      </c>
      <c r="S2311" s="10" t="s">
        <v>1163</v>
      </c>
      <c r="T2311" s="28" t="s">
        <v>11334</v>
      </c>
      <c r="U2311" s="20" t="s">
        <v>5359</v>
      </c>
      <c r="V2311" s="16" t="s">
        <v>2267</v>
      </c>
      <c r="W2311" s="11" t="s">
        <v>14399</v>
      </c>
      <c r="X2311" s="174">
        <v>1970.64</v>
      </c>
      <c r="Y2311" s="174">
        <v>2568.0500000000002</v>
      </c>
    </row>
    <row r="2312" spans="1:25" ht="15" customHeight="1" x14ac:dyDescent="0.25">
      <c r="A2312" s="20" t="s">
        <v>82</v>
      </c>
      <c r="B2312" s="14" t="s">
        <v>83</v>
      </c>
      <c r="C2312" s="71" t="str">
        <f t="shared" si="46"/>
        <v>Product Info</v>
      </c>
      <c r="D2312" s="37" t="s">
        <v>84</v>
      </c>
      <c r="E2312" s="143">
        <v>1</v>
      </c>
      <c r="F2312" s="12" t="s">
        <v>4992</v>
      </c>
      <c r="G2312" s="38">
        <v>3021.13</v>
      </c>
      <c r="H2312" s="38">
        <v>2568.0500000000002</v>
      </c>
      <c r="I2312" s="38">
        <v>2114.79</v>
      </c>
      <c r="J2312" s="39"/>
      <c r="K2312" s="12"/>
      <c r="L2312" s="22">
        <v>36</v>
      </c>
      <c r="M2312" s="22" t="s">
        <v>12488</v>
      </c>
      <c r="N2312" s="20" t="s">
        <v>8833</v>
      </c>
      <c r="O2312" s="16" t="s">
        <v>12608</v>
      </c>
      <c r="P2312" s="143">
        <v>748</v>
      </c>
      <c r="Q2312" s="121" t="s">
        <v>14285</v>
      </c>
      <c r="R2312" s="16" t="s">
        <v>8904</v>
      </c>
      <c r="S2312" s="10" t="s">
        <v>1163</v>
      </c>
      <c r="T2312" s="28" t="s">
        <v>11335</v>
      </c>
      <c r="U2312" s="20" t="s">
        <v>5359</v>
      </c>
      <c r="V2312" s="16" t="s">
        <v>82</v>
      </c>
      <c r="W2312" s="11" t="s">
        <v>14399</v>
      </c>
      <c r="X2312" s="174">
        <v>1970.64</v>
      </c>
      <c r="Y2312" s="174">
        <v>2568.0500000000002</v>
      </c>
    </row>
    <row r="2313" spans="1:25" ht="15" customHeight="1" x14ac:dyDescent="0.25">
      <c r="A2313" s="20" t="s">
        <v>2269</v>
      </c>
      <c r="B2313" s="14" t="s">
        <v>2270</v>
      </c>
      <c r="C2313" s="71" t="str">
        <f t="shared" si="46"/>
        <v>Product Info</v>
      </c>
      <c r="D2313" s="37" t="s">
        <v>2444</v>
      </c>
      <c r="E2313" s="143">
        <v>1</v>
      </c>
      <c r="F2313" s="12" t="s">
        <v>2170</v>
      </c>
      <c r="G2313" s="38">
        <v>2071.63</v>
      </c>
      <c r="H2313" s="38">
        <v>1760.95</v>
      </c>
      <c r="I2313" s="38">
        <v>1450.14</v>
      </c>
      <c r="J2313" s="39"/>
      <c r="K2313" s="143"/>
      <c r="L2313" s="22">
        <v>25</v>
      </c>
      <c r="M2313" s="22" t="s">
        <v>12488</v>
      </c>
      <c r="N2313" s="20" t="s">
        <v>9385</v>
      </c>
      <c r="O2313" s="16" t="s">
        <v>12608</v>
      </c>
      <c r="P2313" s="143">
        <v>748</v>
      </c>
      <c r="Q2313" s="121" t="s">
        <v>14285</v>
      </c>
      <c r="R2313" s="16" t="s">
        <v>8904</v>
      </c>
      <c r="S2313" s="10" t="s">
        <v>1163</v>
      </c>
      <c r="T2313" s="28" t="s">
        <v>11336</v>
      </c>
      <c r="U2313" s="20" t="s">
        <v>5359</v>
      </c>
      <c r="V2313" s="16" t="s">
        <v>2269</v>
      </c>
      <c r="W2313" s="11" t="s">
        <v>14399</v>
      </c>
      <c r="X2313" s="174">
        <v>1351.3</v>
      </c>
      <c r="Y2313" s="174">
        <v>1760.95</v>
      </c>
    </row>
    <row r="2314" spans="1:25" ht="15" customHeight="1" x14ac:dyDescent="0.25">
      <c r="A2314" s="20" t="s">
        <v>85</v>
      </c>
      <c r="B2314" s="14" t="s">
        <v>86</v>
      </c>
      <c r="C2314" s="71" t="str">
        <f t="shared" si="46"/>
        <v>Product Info</v>
      </c>
      <c r="D2314" s="37" t="s">
        <v>87</v>
      </c>
      <c r="E2314" s="143">
        <v>1</v>
      </c>
      <c r="F2314" s="12" t="s">
        <v>4992</v>
      </c>
      <c r="G2314" s="38">
        <v>2071.63</v>
      </c>
      <c r="H2314" s="38">
        <v>1760.95</v>
      </c>
      <c r="I2314" s="38">
        <v>1450.14</v>
      </c>
      <c r="J2314" s="39"/>
      <c r="K2314" s="143"/>
      <c r="L2314" s="22">
        <v>23</v>
      </c>
      <c r="M2314" s="22" t="s">
        <v>12488</v>
      </c>
      <c r="N2314" s="20" t="s">
        <v>8832</v>
      </c>
      <c r="O2314" s="16" t="s">
        <v>12608</v>
      </c>
      <c r="P2314" s="143">
        <v>748</v>
      </c>
      <c r="Q2314" s="121" t="s">
        <v>14285</v>
      </c>
      <c r="R2314" s="16" t="s">
        <v>8904</v>
      </c>
      <c r="S2314" s="10" t="s">
        <v>1163</v>
      </c>
      <c r="T2314" s="28" t="s">
        <v>11337</v>
      </c>
      <c r="U2314" s="20" t="s">
        <v>5359</v>
      </c>
      <c r="V2314" s="16" t="s">
        <v>85</v>
      </c>
      <c r="W2314" s="11" t="s">
        <v>14399</v>
      </c>
      <c r="X2314" s="174">
        <v>1351.3</v>
      </c>
      <c r="Y2314" s="174">
        <v>1760.95</v>
      </c>
    </row>
    <row r="2315" spans="1:25" ht="15" customHeight="1" x14ac:dyDescent="0.25">
      <c r="A2315" s="20" t="s">
        <v>2271</v>
      </c>
      <c r="B2315" s="14" t="s">
        <v>2272</v>
      </c>
      <c r="C2315" s="71" t="str">
        <f t="shared" si="46"/>
        <v>Product Info</v>
      </c>
      <c r="D2315" s="37" t="s">
        <v>4779</v>
      </c>
      <c r="E2315" s="143">
        <v>1</v>
      </c>
      <c r="F2315" s="12" t="s">
        <v>2170</v>
      </c>
      <c r="G2315" s="38">
        <v>3193.77</v>
      </c>
      <c r="H2315" s="38">
        <v>2714.8</v>
      </c>
      <c r="I2315" s="38">
        <v>2235.64</v>
      </c>
      <c r="J2315" s="39"/>
      <c r="K2315" s="143"/>
      <c r="L2315" s="22">
        <v>15.5</v>
      </c>
      <c r="M2315" s="22" t="s">
        <v>12487</v>
      </c>
      <c r="N2315" s="20" t="s">
        <v>9386</v>
      </c>
      <c r="O2315" s="16" t="s">
        <v>12608</v>
      </c>
      <c r="P2315" s="143">
        <v>748</v>
      </c>
      <c r="Q2315" s="121" t="s">
        <v>14285</v>
      </c>
      <c r="R2315" s="16" t="s">
        <v>8904</v>
      </c>
      <c r="S2315" s="10" t="s">
        <v>1163</v>
      </c>
      <c r="T2315" s="28" t="s">
        <v>11338</v>
      </c>
      <c r="U2315" s="20" t="s">
        <v>5359</v>
      </c>
      <c r="V2315" s="16" t="s">
        <v>2271</v>
      </c>
      <c r="W2315" s="11" t="s">
        <v>14399</v>
      </c>
      <c r="X2315" s="174">
        <v>2083.25</v>
      </c>
      <c r="Y2315" s="174">
        <v>2714.8</v>
      </c>
    </row>
    <row r="2316" spans="1:25" ht="15" customHeight="1" x14ac:dyDescent="0.25">
      <c r="A2316" s="20" t="s">
        <v>88</v>
      </c>
      <c r="B2316" s="14" t="s">
        <v>89</v>
      </c>
      <c r="C2316" s="71" t="str">
        <f t="shared" si="46"/>
        <v>Product Info</v>
      </c>
      <c r="D2316" s="37" t="s">
        <v>90</v>
      </c>
      <c r="E2316" s="143">
        <v>1</v>
      </c>
      <c r="F2316" s="12" t="s">
        <v>4992</v>
      </c>
      <c r="G2316" s="38">
        <v>3107.46</v>
      </c>
      <c r="H2316" s="38">
        <v>2641.43</v>
      </c>
      <c r="I2316" s="38">
        <v>2175.2199999999998</v>
      </c>
      <c r="J2316" s="39"/>
      <c r="K2316" s="12"/>
      <c r="L2316" s="22">
        <v>36</v>
      </c>
      <c r="M2316" s="22" t="s">
        <v>12488</v>
      </c>
      <c r="N2316" s="20" t="s">
        <v>8833</v>
      </c>
      <c r="O2316" s="16" t="s">
        <v>12608</v>
      </c>
      <c r="P2316" s="143">
        <v>748</v>
      </c>
      <c r="Q2316" s="121" t="s">
        <v>14285</v>
      </c>
      <c r="R2316" s="16" t="s">
        <v>8904</v>
      </c>
      <c r="S2316" s="10" t="s">
        <v>1163</v>
      </c>
      <c r="T2316" s="28" t="s">
        <v>11339</v>
      </c>
      <c r="U2316" s="20" t="s">
        <v>5359</v>
      </c>
      <c r="V2316" s="16" t="s">
        <v>88</v>
      </c>
      <c r="W2316" s="11" t="s">
        <v>14399</v>
      </c>
      <c r="X2316" s="174">
        <v>2026.94</v>
      </c>
      <c r="Y2316" s="174">
        <v>2641.43</v>
      </c>
    </row>
    <row r="2317" spans="1:25" ht="15" customHeight="1" x14ac:dyDescent="0.25">
      <c r="A2317" s="20" t="s">
        <v>5837</v>
      </c>
      <c r="B2317" s="14" t="s">
        <v>5838</v>
      </c>
      <c r="C2317" s="71" t="str">
        <f t="shared" si="46"/>
        <v>Product Info</v>
      </c>
      <c r="D2317" s="37" t="s">
        <v>5839</v>
      </c>
      <c r="E2317" s="143">
        <v>1</v>
      </c>
      <c r="F2317" s="12" t="s">
        <v>4992</v>
      </c>
      <c r="G2317" s="38">
        <v>71.66</v>
      </c>
      <c r="H2317" s="38">
        <v>60.91</v>
      </c>
      <c r="I2317" s="38">
        <v>50.16</v>
      </c>
      <c r="J2317" s="39"/>
      <c r="K2317" s="143"/>
      <c r="L2317" s="22">
        <v>0.67100000000000004</v>
      </c>
      <c r="M2317" s="22" t="s">
        <v>12487</v>
      </c>
      <c r="N2317" s="20" t="s">
        <v>14489</v>
      </c>
      <c r="O2317" s="16" t="s">
        <v>12608</v>
      </c>
      <c r="P2317" s="143">
        <v>761</v>
      </c>
      <c r="Q2317" s="121" t="s">
        <v>14285</v>
      </c>
      <c r="R2317" s="16" t="s">
        <v>8904</v>
      </c>
      <c r="S2317" s="10" t="s">
        <v>1163</v>
      </c>
      <c r="T2317" s="28" t="s">
        <v>11340</v>
      </c>
      <c r="U2317" s="20" t="s">
        <v>5359</v>
      </c>
      <c r="V2317" s="16" t="s">
        <v>5837</v>
      </c>
      <c r="W2317" s="11" t="s">
        <v>14283</v>
      </c>
      <c r="X2317" s="174">
        <v>46.75</v>
      </c>
      <c r="Y2317" s="174">
        <v>60.91</v>
      </c>
    </row>
    <row r="2318" spans="1:25" ht="15" customHeight="1" x14ac:dyDescent="0.25">
      <c r="A2318" s="20" t="s">
        <v>6084</v>
      </c>
      <c r="B2318" s="14" t="s">
        <v>6085</v>
      </c>
      <c r="C2318" s="71" t="str">
        <f t="shared" si="46"/>
        <v>Product Info</v>
      </c>
      <c r="D2318" s="37" t="s">
        <v>4780</v>
      </c>
      <c r="E2318" s="143">
        <v>3</v>
      </c>
      <c r="F2318" s="12" t="s">
        <v>2170</v>
      </c>
      <c r="G2318" s="38">
        <v>27.89</v>
      </c>
      <c r="H2318" s="38">
        <f t="shared" ref="H2318:H2333" si="47">I2318</f>
        <v>19.52</v>
      </c>
      <c r="I2318" s="38">
        <v>19.52</v>
      </c>
      <c r="J2318" s="39"/>
      <c r="K2318" s="143"/>
      <c r="L2318" s="22">
        <v>2.5</v>
      </c>
      <c r="M2318" s="22" t="s">
        <v>12488</v>
      </c>
      <c r="N2318" s="20" t="s">
        <v>9388</v>
      </c>
      <c r="O2318" s="16" t="s">
        <v>12608</v>
      </c>
      <c r="P2318" s="143">
        <v>755</v>
      </c>
      <c r="Q2318" s="122" t="s">
        <v>12421</v>
      </c>
      <c r="R2318" s="16" t="s">
        <v>8904</v>
      </c>
      <c r="S2318" s="10" t="s">
        <v>194</v>
      </c>
      <c r="T2318" s="28" t="s">
        <v>11341</v>
      </c>
      <c r="U2318" s="20" t="s">
        <v>5359</v>
      </c>
      <c r="V2318" s="16" t="s">
        <v>6084</v>
      </c>
      <c r="W2318" s="11" t="s">
        <v>14433</v>
      </c>
      <c r="X2318" s="174">
        <v>15.31</v>
      </c>
      <c r="Y2318" s="174">
        <v>19.52</v>
      </c>
    </row>
    <row r="2319" spans="1:25" ht="15" customHeight="1" x14ac:dyDescent="0.25">
      <c r="A2319" s="20" t="s">
        <v>4536</v>
      </c>
      <c r="B2319" s="14" t="s">
        <v>4537</v>
      </c>
      <c r="C2319" s="71" t="str">
        <f t="shared" si="46"/>
        <v>Product Info</v>
      </c>
      <c r="D2319" s="37" t="s">
        <v>4781</v>
      </c>
      <c r="E2319" s="143">
        <v>3</v>
      </c>
      <c r="F2319" s="12" t="s">
        <v>2170</v>
      </c>
      <c r="G2319" s="38">
        <v>33.03</v>
      </c>
      <c r="H2319" s="38">
        <f t="shared" si="47"/>
        <v>23.12</v>
      </c>
      <c r="I2319" s="38">
        <v>23.12</v>
      </c>
      <c r="J2319" s="39"/>
      <c r="K2319" s="143"/>
      <c r="L2319" s="22">
        <v>3</v>
      </c>
      <c r="M2319" s="22" t="s">
        <v>12488</v>
      </c>
      <c r="N2319" s="20" t="s">
        <v>9389</v>
      </c>
      <c r="O2319" s="16" t="s">
        <v>12608</v>
      </c>
      <c r="P2319" s="143">
        <v>755</v>
      </c>
      <c r="Q2319" s="121" t="s">
        <v>14285</v>
      </c>
      <c r="R2319" s="16" t="s">
        <v>8904</v>
      </c>
      <c r="S2319" s="10" t="s">
        <v>194</v>
      </c>
      <c r="T2319" s="28" t="s">
        <v>11342</v>
      </c>
      <c r="U2319" s="20" t="s">
        <v>5359</v>
      </c>
      <c r="V2319" s="16" t="s">
        <v>4536</v>
      </c>
      <c r="W2319" s="11" t="s">
        <v>14433</v>
      </c>
      <c r="X2319" s="174">
        <v>18.13</v>
      </c>
      <c r="Y2319" s="174">
        <v>23.12</v>
      </c>
    </row>
    <row r="2320" spans="1:25" ht="15" customHeight="1" x14ac:dyDescent="0.25">
      <c r="A2320" s="20" t="s">
        <v>4538</v>
      </c>
      <c r="B2320" s="14" t="s">
        <v>4539</v>
      </c>
      <c r="C2320" s="71" t="str">
        <f t="shared" si="46"/>
        <v>Product Info</v>
      </c>
      <c r="D2320" s="37" t="s">
        <v>6667</v>
      </c>
      <c r="E2320" s="143">
        <v>50</v>
      </c>
      <c r="F2320" s="12" t="s">
        <v>2170</v>
      </c>
      <c r="G2320" s="38">
        <v>2.4700000000000002</v>
      </c>
      <c r="H2320" s="38">
        <f t="shared" si="47"/>
        <v>1.73</v>
      </c>
      <c r="I2320" s="38">
        <v>1.73</v>
      </c>
      <c r="J2320" s="39"/>
      <c r="K2320" s="12" t="s">
        <v>8905</v>
      </c>
      <c r="L2320" s="22">
        <v>1</v>
      </c>
      <c r="M2320" s="22" t="s">
        <v>12488</v>
      </c>
      <c r="N2320" s="20" t="s">
        <v>9283</v>
      </c>
      <c r="O2320" s="16" t="s">
        <v>12608</v>
      </c>
      <c r="P2320" s="143">
        <v>755</v>
      </c>
      <c r="Q2320" s="122" t="s">
        <v>14461</v>
      </c>
      <c r="R2320" s="16" t="s">
        <v>8904</v>
      </c>
      <c r="S2320" s="10" t="s">
        <v>194</v>
      </c>
      <c r="T2320" s="28" t="s">
        <v>11343</v>
      </c>
      <c r="U2320" s="20" t="s">
        <v>5359</v>
      </c>
      <c r="V2320" s="16" t="s">
        <v>4538</v>
      </c>
      <c r="W2320" s="11" t="s">
        <v>14433</v>
      </c>
      <c r="X2320" s="174">
        <v>1.35</v>
      </c>
      <c r="Y2320" s="174">
        <v>1.73</v>
      </c>
    </row>
    <row r="2321" spans="1:25" ht="15" customHeight="1" x14ac:dyDescent="0.25">
      <c r="A2321" s="20" t="s">
        <v>240</v>
      </c>
      <c r="B2321" s="14" t="s">
        <v>241</v>
      </c>
      <c r="C2321" s="71" t="str">
        <f t="shared" si="46"/>
        <v>Product Info</v>
      </c>
      <c r="D2321" s="37" t="s">
        <v>177</v>
      </c>
      <c r="E2321" s="143">
        <v>200</v>
      </c>
      <c r="F2321" s="12" t="s">
        <v>2170</v>
      </c>
      <c r="G2321" s="38">
        <v>1.86</v>
      </c>
      <c r="H2321" s="38">
        <f t="shared" si="47"/>
        <v>1.3</v>
      </c>
      <c r="I2321" s="38">
        <v>1.3</v>
      </c>
      <c r="J2321" s="39"/>
      <c r="K2321" s="143"/>
      <c r="L2321" s="22">
        <v>0</v>
      </c>
      <c r="M2321" s="22">
        <v>0</v>
      </c>
      <c r="N2321" s="20" t="s">
        <v>14489</v>
      </c>
      <c r="O2321" s="16">
        <v>0</v>
      </c>
      <c r="P2321" s="143">
        <v>755</v>
      </c>
      <c r="Q2321" s="121" t="s">
        <v>14285</v>
      </c>
      <c r="R2321" s="16" t="s">
        <v>8904</v>
      </c>
      <c r="S2321" s="10" t="s">
        <v>194</v>
      </c>
      <c r="T2321" s="28" t="s">
        <v>11344</v>
      </c>
      <c r="U2321" s="20" t="s">
        <v>5359</v>
      </c>
      <c r="V2321" s="16" t="s">
        <v>240</v>
      </c>
      <c r="W2321" s="11" t="s">
        <v>14433</v>
      </c>
      <c r="X2321" s="174">
        <v>1.02</v>
      </c>
      <c r="Y2321" s="174">
        <v>1.3</v>
      </c>
    </row>
    <row r="2322" spans="1:25" ht="15" customHeight="1" x14ac:dyDescent="0.25">
      <c r="A2322" s="20" t="s">
        <v>4540</v>
      </c>
      <c r="B2322" s="14" t="s">
        <v>4541</v>
      </c>
      <c r="C2322" s="71" t="str">
        <f t="shared" si="46"/>
        <v>Product Info</v>
      </c>
      <c r="D2322" s="37" t="s">
        <v>6776</v>
      </c>
      <c r="E2322" s="143">
        <v>50</v>
      </c>
      <c r="F2322" s="12" t="s">
        <v>2170</v>
      </c>
      <c r="G2322" s="38">
        <v>2.96</v>
      </c>
      <c r="H2322" s="38">
        <f t="shared" si="47"/>
        <v>2.0699999999999998</v>
      </c>
      <c r="I2322" s="38">
        <v>2.0699999999999998</v>
      </c>
      <c r="J2322" s="39"/>
      <c r="K2322" s="12" t="s">
        <v>8905</v>
      </c>
      <c r="L2322" s="22">
        <v>0.02</v>
      </c>
      <c r="M2322" s="22" t="s">
        <v>12488</v>
      </c>
      <c r="N2322" s="20" t="s">
        <v>9390</v>
      </c>
      <c r="O2322" s="16" t="s">
        <v>13914</v>
      </c>
      <c r="P2322" s="143">
        <v>755</v>
      </c>
      <c r="Q2322" s="122" t="s">
        <v>14461</v>
      </c>
      <c r="R2322" s="16" t="s">
        <v>8904</v>
      </c>
      <c r="S2322" s="10" t="s">
        <v>194</v>
      </c>
      <c r="T2322" s="28" t="s">
        <v>11345</v>
      </c>
      <c r="U2322" s="20" t="s">
        <v>5359</v>
      </c>
      <c r="V2322" s="16" t="s">
        <v>4540</v>
      </c>
      <c r="W2322" s="11" t="s">
        <v>14433</v>
      </c>
      <c r="X2322" s="174">
        <v>1.62</v>
      </c>
      <c r="Y2322" s="174">
        <v>2.0699999999999998</v>
      </c>
    </row>
    <row r="2323" spans="1:25" ht="15" customHeight="1" x14ac:dyDescent="0.25">
      <c r="A2323" s="20" t="s">
        <v>242</v>
      </c>
      <c r="B2323" s="14" t="s">
        <v>243</v>
      </c>
      <c r="C2323" s="71" t="str">
        <f t="shared" si="46"/>
        <v>Product Info</v>
      </c>
      <c r="D2323" s="37" t="s">
        <v>178</v>
      </c>
      <c r="E2323" s="143">
        <v>200</v>
      </c>
      <c r="F2323" s="12" t="s">
        <v>2170</v>
      </c>
      <c r="G2323" s="38">
        <v>2.2000000000000002</v>
      </c>
      <c r="H2323" s="38">
        <f t="shared" si="47"/>
        <v>1.54</v>
      </c>
      <c r="I2323" s="38">
        <v>1.54</v>
      </c>
      <c r="J2323" s="39"/>
      <c r="K2323" s="143"/>
      <c r="L2323" s="22">
        <v>0</v>
      </c>
      <c r="M2323" s="22">
        <v>0</v>
      </c>
      <c r="N2323" s="20" t="s">
        <v>14489</v>
      </c>
      <c r="O2323" s="16">
        <v>0</v>
      </c>
      <c r="P2323" s="143">
        <v>755</v>
      </c>
      <c r="Q2323" s="121" t="s">
        <v>14285</v>
      </c>
      <c r="R2323" s="16" t="s">
        <v>8904</v>
      </c>
      <c r="S2323" s="10" t="s">
        <v>194</v>
      </c>
      <c r="T2323" s="28" t="s">
        <v>11346</v>
      </c>
      <c r="U2323" s="20" t="s">
        <v>5359</v>
      </c>
      <c r="V2323" s="16" t="s">
        <v>242</v>
      </c>
      <c r="W2323" s="11" t="s">
        <v>14433</v>
      </c>
      <c r="X2323" s="174">
        <v>1.2</v>
      </c>
      <c r="Y2323" s="174">
        <v>1.54</v>
      </c>
    </row>
    <row r="2324" spans="1:25" ht="15" customHeight="1" x14ac:dyDescent="0.25">
      <c r="A2324" s="20" t="s">
        <v>244</v>
      </c>
      <c r="B2324" s="14" t="s">
        <v>245</v>
      </c>
      <c r="C2324" s="71" t="str">
        <f t="shared" si="46"/>
        <v>Product Info</v>
      </c>
      <c r="D2324" s="37" t="s">
        <v>179</v>
      </c>
      <c r="E2324" s="143">
        <v>500</v>
      </c>
      <c r="F2324" s="12" t="s">
        <v>2170</v>
      </c>
      <c r="G2324" s="38">
        <v>1.67</v>
      </c>
      <c r="H2324" s="38">
        <f t="shared" si="47"/>
        <v>1.17</v>
      </c>
      <c r="I2324" s="38">
        <v>1.17</v>
      </c>
      <c r="J2324" s="39"/>
      <c r="K2324" s="143"/>
      <c r="L2324" s="22">
        <v>0</v>
      </c>
      <c r="M2324" s="22">
        <v>0</v>
      </c>
      <c r="N2324" s="20" t="s">
        <v>14489</v>
      </c>
      <c r="O2324" s="16">
        <v>0</v>
      </c>
      <c r="P2324" s="143">
        <v>755</v>
      </c>
      <c r="Q2324" s="122" t="s">
        <v>12421</v>
      </c>
      <c r="R2324" s="16" t="s">
        <v>8904</v>
      </c>
      <c r="S2324" s="10" t="s">
        <v>194</v>
      </c>
      <c r="T2324" s="28" t="s">
        <v>11347</v>
      </c>
      <c r="U2324" s="20" t="s">
        <v>5359</v>
      </c>
      <c r="V2324" s="16" t="s">
        <v>244</v>
      </c>
      <c r="W2324" s="11" t="s">
        <v>14433</v>
      </c>
      <c r="X2324" s="174">
        <v>0.92</v>
      </c>
      <c r="Y2324" s="174">
        <v>1.17</v>
      </c>
    </row>
    <row r="2325" spans="1:25" ht="15" customHeight="1" x14ac:dyDescent="0.25">
      <c r="A2325" s="20" t="s">
        <v>4542</v>
      </c>
      <c r="B2325" s="14" t="s">
        <v>4543</v>
      </c>
      <c r="C2325" s="71" t="str">
        <f t="shared" si="46"/>
        <v>Product Info</v>
      </c>
      <c r="D2325" s="37" t="s">
        <v>6777</v>
      </c>
      <c r="E2325" s="143">
        <v>40</v>
      </c>
      <c r="F2325" s="12" t="s">
        <v>2170</v>
      </c>
      <c r="G2325" s="38">
        <v>3.91</v>
      </c>
      <c r="H2325" s="38">
        <f t="shared" si="47"/>
        <v>2.74</v>
      </c>
      <c r="I2325" s="38">
        <v>2.74</v>
      </c>
      <c r="J2325" s="39"/>
      <c r="K2325" s="12" t="s">
        <v>8905</v>
      </c>
      <c r="L2325" s="22">
        <v>6.1249999999999999E-2</v>
      </c>
      <c r="M2325" s="22" t="s">
        <v>12488</v>
      </c>
      <c r="N2325" s="20" t="s">
        <v>9266</v>
      </c>
      <c r="O2325" s="16" t="s">
        <v>12608</v>
      </c>
      <c r="P2325" s="143">
        <v>755</v>
      </c>
      <c r="Q2325" s="122" t="s">
        <v>14461</v>
      </c>
      <c r="R2325" s="16" t="s">
        <v>8904</v>
      </c>
      <c r="S2325" s="10" t="s">
        <v>194</v>
      </c>
      <c r="T2325" s="28" t="s">
        <v>11348</v>
      </c>
      <c r="U2325" s="20" t="s">
        <v>5359</v>
      </c>
      <c r="V2325" s="16" t="s">
        <v>4542</v>
      </c>
      <c r="W2325" s="11" t="s">
        <v>14433</v>
      </c>
      <c r="X2325" s="174">
        <v>2.14</v>
      </c>
      <c r="Y2325" s="174">
        <v>2.74</v>
      </c>
    </row>
    <row r="2326" spans="1:25" ht="15" customHeight="1" x14ac:dyDescent="0.25">
      <c r="A2326" s="20" t="s">
        <v>246</v>
      </c>
      <c r="B2326" s="14" t="s">
        <v>247</v>
      </c>
      <c r="C2326" s="71" t="str">
        <f t="shared" si="46"/>
        <v>Product Info</v>
      </c>
      <c r="D2326" s="37" t="s">
        <v>180</v>
      </c>
      <c r="E2326" s="143">
        <v>200</v>
      </c>
      <c r="F2326" s="12" t="s">
        <v>2170</v>
      </c>
      <c r="G2326" s="38">
        <v>2.91</v>
      </c>
      <c r="H2326" s="38">
        <f t="shared" si="47"/>
        <v>2.04</v>
      </c>
      <c r="I2326" s="38">
        <v>2.04</v>
      </c>
      <c r="J2326" s="39"/>
      <c r="K2326" s="12" t="s">
        <v>8905</v>
      </c>
      <c r="L2326" s="22">
        <v>0</v>
      </c>
      <c r="M2326" s="22">
        <v>0</v>
      </c>
      <c r="N2326" s="20" t="s">
        <v>14489</v>
      </c>
      <c r="O2326" s="16">
        <v>0</v>
      </c>
      <c r="P2326" s="143">
        <v>755</v>
      </c>
      <c r="Q2326" s="122" t="s">
        <v>14461</v>
      </c>
      <c r="R2326" s="16" t="s">
        <v>8904</v>
      </c>
      <c r="S2326" s="10" t="s">
        <v>194</v>
      </c>
      <c r="T2326" s="28" t="s">
        <v>11349</v>
      </c>
      <c r="U2326" s="20" t="s">
        <v>5359</v>
      </c>
      <c r="V2326" s="16" t="s">
        <v>246</v>
      </c>
      <c r="W2326" s="11" t="s">
        <v>14433</v>
      </c>
      <c r="X2326" s="174">
        <v>1.6</v>
      </c>
      <c r="Y2326" s="174">
        <v>2.04</v>
      </c>
    </row>
    <row r="2327" spans="1:25" ht="15" customHeight="1" x14ac:dyDescent="0.25">
      <c r="A2327" s="20" t="s">
        <v>4544</v>
      </c>
      <c r="B2327" s="14" t="s">
        <v>4545</v>
      </c>
      <c r="C2327" s="71" t="str">
        <f t="shared" si="46"/>
        <v>Product Info</v>
      </c>
      <c r="D2327" s="37" t="s">
        <v>5929</v>
      </c>
      <c r="E2327" s="143">
        <v>20</v>
      </c>
      <c r="F2327" s="12" t="s">
        <v>2170</v>
      </c>
      <c r="G2327" s="38">
        <v>6</v>
      </c>
      <c r="H2327" s="38">
        <f t="shared" si="47"/>
        <v>4.2</v>
      </c>
      <c r="I2327" s="38">
        <v>4.2</v>
      </c>
      <c r="J2327" s="39"/>
      <c r="K2327" s="12" t="s">
        <v>8905</v>
      </c>
      <c r="L2327" s="22">
        <v>0.17299999999999999</v>
      </c>
      <c r="M2327" s="22" t="s">
        <v>12488</v>
      </c>
      <c r="N2327" s="20" t="s">
        <v>9391</v>
      </c>
      <c r="O2327" s="16" t="s">
        <v>12608</v>
      </c>
      <c r="P2327" s="143">
        <v>755</v>
      </c>
      <c r="Q2327" s="122" t="s">
        <v>14461</v>
      </c>
      <c r="R2327" s="16" t="s">
        <v>8904</v>
      </c>
      <c r="S2327" s="10" t="s">
        <v>194</v>
      </c>
      <c r="T2327" s="28" t="s">
        <v>11350</v>
      </c>
      <c r="U2327" s="20" t="s">
        <v>5359</v>
      </c>
      <c r="V2327" s="16" t="s">
        <v>4544</v>
      </c>
      <c r="W2327" s="11" t="s">
        <v>14433</v>
      </c>
      <c r="X2327" s="174">
        <v>3.3</v>
      </c>
      <c r="Y2327" s="174">
        <v>4.2</v>
      </c>
    </row>
    <row r="2328" spans="1:25" ht="15" customHeight="1" x14ac:dyDescent="0.25">
      <c r="A2328" s="20" t="s">
        <v>248</v>
      </c>
      <c r="B2328" s="14" t="s">
        <v>249</v>
      </c>
      <c r="C2328" s="71" t="str">
        <f t="shared" si="46"/>
        <v>Product Info</v>
      </c>
      <c r="D2328" s="37" t="s">
        <v>181</v>
      </c>
      <c r="E2328" s="143">
        <v>200</v>
      </c>
      <c r="F2328" s="12" t="s">
        <v>2170</v>
      </c>
      <c r="G2328" s="38">
        <v>4.53</v>
      </c>
      <c r="H2328" s="38">
        <f t="shared" si="47"/>
        <v>3.17</v>
      </c>
      <c r="I2328" s="38">
        <v>3.17</v>
      </c>
      <c r="J2328" s="39"/>
      <c r="K2328" s="143"/>
      <c r="L2328" s="22">
        <v>0</v>
      </c>
      <c r="M2328" s="22">
        <v>0</v>
      </c>
      <c r="N2328" s="20" t="s">
        <v>14489</v>
      </c>
      <c r="O2328" s="16">
        <v>0</v>
      </c>
      <c r="P2328" s="143">
        <v>755</v>
      </c>
      <c r="Q2328" s="122" t="s">
        <v>9227</v>
      </c>
      <c r="R2328" s="16" t="s">
        <v>8904</v>
      </c>
      <c r="S2328" s="10" t="s">
        <v>194</v>
      </c>
      <c r="T2328" s="28" t="s">
        <v>11351</v>
      </c>
      <c r="U2328" s="20" t="s">
        <v>5359</v>
      </c>
      <c r="V2328" s="16" t="s">
        <v>248</v>
      </c>
      <c r="W2328" s="11" t="s">
        <v>14433</v>
      </c>
      <c r="X2328" s="174">
        <v>2.4900000000000002</v>
      </c>
      <c r="Y2328" s="174">
        <v>3.17</v>
      </c>
    </row>
    <row r="2329" spans="1:25" ht="15" customHeight="1" x14ac:dyDescent="0.25">
      <c r="A2329" s="20" t="s">
        <v>4546</v>
      </c>
      <c r="B2329" s="14" t="s">
        <v>4547</v>
      </c>
      <c r="C2329" s="71" t="str">
        <f t="shared" si="46"/>
        <v>Product Info</v>
      </c>
      <c r="D2329" s="37" t="s">
        <v>5930</v>
      </c>
      <c r="E2329" s="143">
        <v>10</v>
      </c>
      <c r="F2329" s="12" t="s">
        <v>2170</v>
      </c>
      <c r="G2329" s="38">
        <v>9.9700000000000006</v>
      </c>
      <c r="H2329" s="38">
        <f t="shared" si="47"/>
        <v>6.98</v>
      </c>
      <c r="I2329" s="38">
        <v>6.98</v>
      </c>
      <c r="J2329" s="39"/>
      <c r="K2329" s="12" t="s">
        <v>8905</v>
      </c>
      <c r="L2329" s="22">
        <v>0.29599999999999999</v>
      </c>
      <c r="M2329" s="22" t="s">
        <v>12488</v>
      </c>
      <c r="N2329" s="20" t="s">
        <v>9392</v>
      </c>
      <c r="O2329" s="16" t="s">
        <v>12608</v>
      </c>
      <c r="P2329" s="143">
        <v>755</v>
      </c>
      <c r="Q2329" s="122" t="s">
        <v>14461</v>
      </c>
      <c r="R2329" s="16" t="s">
        <v>8904</v>
      </c>
      <c r="S2329" s="10" t="s">
        <v>194</v>
      </c>
      <c r="T2329" s="28" t="s">
        <v>11352</v>
      </c>
      <c r="U2329" s="20" t="s">
        <v>5359</v>
      </c>
      <c r="V2329" s="16" t="s">
        <v>4546</v>
      </c>
      <c r="W2329" s="11" t="s">
        <v>14433</v>
      </c>
      <c r="X2329" s="174">
        <v>5.47</v>
      </c>
      <c r="Y2329" s="174">
        <v>6.98</v>
      </c>
    </row>
    <row r="2330" spans="1:25" ht="15" customHeight="1" x14ac:dyDescent="0.25">
      <c r="A2330" s="20" t="s">
        <v>250</v>
      </c>
      <c r="B2330" s="14" t="s">
        <v>251</v>
      </c>
      <c r="C2330" s="71" t="str">
        <f t="shared" si="46"/>
        <v>Product Info</v>
      </c>
      <c r="D2330" s="37" t="s">
        <v>182</v>
      </c>
      <c r="E2330" s="143">
        <v>200</v>
      </c>
      <c r="F2330" s="12" t="s">
        <v>2170</v>
      </c>
      <c r="G2330" s="38">
        <v>7.5</v>
      </c>
      <c r="H2330" s="38">
        <f t="shared" si="47"/>
        <v>5.25</v>
      </c>
      <c r="I2330" s="38">
        <v>5.25</v>
      </c>
      <c r="J2330" s="39"/>
      <c r="K2330" s="143"/>
      <c r="L2330" s="22">
        <v>0</v>
      </c>
      <c r="M2330" s="22">
        <v>0</v>
      </c>
      <c r="N2330" s="20" t="s">
        <v>14489</v>
      </c>
      <c r="O2330" s="16">
        <v>0</v>
      </c>
      <c r="P2330" s="143">
        <v>755</v>
      </c>
      <c r="Q2330" s="122" t="s">
        <v>12421</v>
      </c>
      <c r="R2330" s="16" t="s">
        <v>8904</v>
      </c>
      <c r="S2330" s="10" t="s">
        <v>194</v>
      </c>
      <c r="T2330" s="28" t="s">
        <v>11353</v>
      </c>
      <c r="U2330" s="20" t="s">
        <v>5359</v>
      </c>
      <c r="V2330" s="16" t="s">
        <v>250</v>
      </c>
      <c r="W2330" s="11" t="s">
        <v>14433</v>
      </c>
      <c r="X2330" s="174">
        <v>4.12</v>
      </c>
      <c r="Y2330" s="174">
        <v>5.25</v>
      </c>
    </row>
    <row r="2331" spans="1:25" ht="15" customHeight="1" x14ac:dyDescent="0.25">
      <c r="A2331" s="20" t="s">
        <v>4548</v>
      </c>
      <c r="B2331" s="14" t="s">
        <v>4549</v>
      </c>
      <c r="C2331" s="71" t="str">
        <f t="shared" si="46"/>
        <v>Product Info</v>
      </c>
      <c r="D2331" s="37" t="s">
        <v>6668</v>
      </c>
      <c r="E2331" s="143">
        <v>10</v>
      </c>
      <c r="F2331" s="12" t="s">
        <v>2170</v>
      </c>
      <c r="G2331" s="38">
        <v>12.94</v>
      </c>
      <c r="H2331" s="38">
        <f t="shared" si="47"/>
        <v>9.06</v>
      </c>
      <c r="I2331" s="38">
        <v>9.06</v>
      </c>
      <c r="J2331" s="39"/>
      <c r="K2331" s="12" t="s">
        <v>8905</v>
      </c>
      <c r="L2331" s="22">
        <v>0.34649999999999997</v>
      </c>
      <c r="M2331" s="22" t="s">
        <v>12488</v>
      </c>
      <c r="N2331" s="20" t="s">
        <v>8826</v>
      </c>
      <c r="O2331" s="16" t="s">
        <v>12608</v>
      </c>
      <c r="P2331" s="143">
        <v>755</v>
      </c>
      <c r="Q2331" s="122" t="s">
        <v>14461</v>
      </c>
      <c r="R2331" s="16" t="s">
        <v>8904</v>
      </c>
      <c r="S2331" s="10" t="s">
        <v>194</v>
      </c>
      <c r="T2331" s="28" t="s">
        <v>11354</v>
      </c>
      <c r="U2331" s="20" t="s">
        <v>5359</v>
      </c>
      <c r="V2331" s="16" t="s">
        <v>4548</v>
      </c>
      <c r="W2331" s="11" t="s">
        <v>14433</v>
      </c>
      <c r="X2331" s="174">
        <v>7.1</v>
      </c>
      <c r="Y2331" s="174">
        <v>9.06</v>
      </c>
    </row>
    <row r="2332" spans="1:25" ht="15" customHeight="1" x14ac:dyDescent="0.25">
      <c r="A2332" s="20" t="s">
        <v>4550</v>
      </c>
      <c r="B2332" s="14" t="s">
        <v>4551</v>
      </c>
      <c r="C2332" s="71" t="str">
        <f t="shared" si="46"/>
        <v>Product Info</v>
      </c>
      <c r="D2332" s="37" t="s">
        <v>6669</v>
      </c>
      <c r="E2332" s="143">
        <v>10</v>
      </c>
      <c r="F2332" s="12" t="s">
        <v>2170</v>
      </c>
      <c r="G2332" s="38">
        <v>15.7</v>
      </c>
      <c r="H2332" s="38">
        <f t="shared" si="47"/>
        <v>10.99</v>
      </c>
      <c r="I2332" s="38">
        <v>10.99</v>
      </c>
      <c r="J2332" s="39"/>
      <c r="K2332" s="12" t="s">
        <v>8905</v>
      </c>
      <c r="L2332" s="22">
        <v>0.43</v>
      </c>
      <c r="M2332" s="22" t="s">
        <v>12488</v>
      </c>
      <c r="N2332" s="20" t="s">
        <v>9228</v>
      </c>
      <c r="O2332" s="16" t="s">
        <v>12608</v>
      </c>
      <c r="P2332" s="143">
        <v>755</v>
      </c>
      <c r="Q2332" s="122" t="s">
        <v>14461</v>
      </c>
      <c r="R2332" s="16" t="s">
        <v>8904</v>
      </c>
      <c r="S2332" s="10" t="s">
        <v>194</v>
      </c>
      <c r="T2332" s="28" t="s">
        <v>11355</v>
      </c>
      <c r="U2332" s="20" t="s">
        <v>5359</v>
      </c>
      <c r="V2332" s="16" t="s">
        <v>4550</v>
      </c>
      <c r="W2332" s="11" t="s">
        <v>14433</v>
      </c>
      <c r="X2332" s="174">
        <v>8.6199999999999992</v>
      </c>
      <c r="Y2332" s="174">
        <v>10.99</v>
      </c>
    </row>
    <row r="2333" spans="1:25" ht="15" customHeight="1" x14ac:dyDescent="0.25">
      <c r="A2333" s="20" t="s">
        <v>4552</v>
      </c>
      <c r="B2333" s="14" t="s">
        <v>4553</v>
      </c>
      <c r="C2333" s="71" t="str">
        <f t="shared" si="46"/>
        <v>Product Info</v>
      </c>
      <c r="D2333" s="37" t="s">
        <v>8015</v>
      </c>
      <c r="E2333" s="143">
        <v>1</v>
      </c>
      <c r="F2333" s="12" t="s">
        <v>2170</v>
      </c>
      <c r="G2333" s="38">
        <v>30.31</v>
      </c>
      <c r="H2333" s="38">
        <f t="shared" si="47"/>
        <v>21.22</v>
      </c>
      <c r="I2333" s="38">
        <v>21.22</v>
      </c>
      <c r="J2333" s="39"/>
      <c r="K2333" s="143"/>
      <c r="L2333" s="22">
        <v>6.7000000000000004E-2</v>
      </c>
      <c r="M2333" s="22" t="s">
        <v>12487</v>
      </c>
      <c r="N2333" s="20" t="s">
        <v>8834</v>
      </c>
      <c r="O2333" s="16" t="s">
        <v>12608</v>
      </c>
      <c r="P2333" s="143">
        <v>761</v>
      </c>
      <c r="Q2333" s="121" t="s">
        <v>14285</v>
      </c>
      <c r="R2333" s="16" t="s">
        <v>8904</v>
      </c>
      <c r="S2333" s="10" t="s">
        <v>194</v>
      </c>
      <c r="T2333" s="28" t="s">
        <v>11356</v>
      </c>
      <c r="U2333" s="20" t="s">
        <v>5359</v>
      </c>
      <c r="V2333" s="16" t="s">
        <v>4552</v>
      </c>
      <c r="W2333" s="11" t="s">
        <v>14283</v>
      </c>
      <c r="X2333" s="174">
        <v>16.48</v>
      </c>
      <c r="Y2333" s="174">
        <v>21.22</v>
      </c>
    </row>
    <row r="2334" spans="1:25" ht="15" customHeight="1" x14ac:dyDescent="0.25">
      <c r="A2334" s="20" t="s">
        <v>4554</v>
      </c>
      <c r="B2334" s="14" t="s">
        <v>4555</v>
      </c>
      <c r="C2334" s="71" t="str">
        <f t="shared" si="46"/>
        <v>Product Info</v>
      </c>
      <c r="D2334" s="37" t="s">
        <v>4783</v>
      </c>
      <c r="E2334" s="143">
        <v>1</v>
      </c>
      <c r="F2334" s="12" t="s">
        <v>4992</v>
      </c>
      <c r="G2334" s="38">
        <v>168.33</v>
      </c>
      <c r="H2334" s="38">
        <v>143.08000000000001</v>
      </c>
      <c r="I2334" s="38">
        <v>117.83</v>
      </c>
      <c r="J2334" s="39"/>
      <c r="K2334" s="143"/>
      <c r="L2334" s="22">
        <v>0.3</v>
      </c>
      <c r="M2334" s="22" t="s">
        <v>12488</v>
      </c>
      <c r="N2334" s="20" t="s">
        <v>8835</v>
      </c>
      <c r="O2334" s="16" t="s">
        <v>12608</v>
      </c>
      <c r="P2334" s="143">
        <v>761</v>
      </c>
      <c r="Q2334" s="121" t="s">
        <v>14285</v>
      </c>
      <c r="R2334" s="16" t="s">
        <v>8904</v>
      </c>
      <c r="S2334" s="10" t="s">
        <v>1163</v>
      </c>
      <c r="T2334" s="28" t="s">
        <v>11357</v>
      </c>
      <c r="U2334" s="20" t="s">
        <v>5359</v>
      </c>
      <c r="V2334" s="16" t="s">
        <v>4554</v>
      </c>
      <c r="W2334" s="11" t="s">
        <v>14283</v>
      </c>
      <c r="X2334" s="174">
        <v>109.82</v>
      </c>
      <c r="Y2334" s="174">
        <v>143.08000000000001</v>
      </c>
    </row>
    <row r="2335" spans="1:25" ht="15" customHeight="1" x14ac:dyDescent="0.25">
      <c r="A2335" s="20" t="s">
        <v>4556</v>
      </c>
      <c r="B2335" s="14" t="s">
        <v>4557</v>
      </c>
      <c r="C2335" s="71" t="str">
        <f t="shared" si="46"/>
        <v>Product Info</v>
      </c>
      <c r="D2335" s="37" t="s">
        <v>4782</v>
      </c>
      <c r="E2335" s="143">
        <v>1</v>
      </c>
      <c r="F2335" s="12" t="s">
        <v>2170</v>
      </c>
      <c r="G2335" s="38">
        <v>307.23</v>
      </c>
      <c r="H2335" s="38">
        <v>261.14999999999998</v>
      </c>
      <c r="I2335" s="38">
        <v>215.06</v>
      </c>
      <c r="J2335" s="39"/>
      <c r="K2335" s="143"/>
      <c r="L2335" s="22">
        <v>0.17499999999999999</v>
      </c>
      <c r="M2335" s="22" t="s">
        <v>12487</v>
      </c>
      <c r="N2335" s="20" t="s">
        <v>14489</v>
      </c>
      <c r="O2335" s="16">
        <v>0</v>
      </c>
      <c r="P2335" s="143">
        <v>761</v>
      </c>
      <c r="Q2335" s="121" t="s">
        <v>14285</v>
      </c>
      <c r="R2335" s="16" t="s">
        <v>8904</v>
      </c>
      <c r="S2335" s="10" t="s">
        <v>1163</v>
      </c>
      <c r="T2335" s="28" t="s">
        <v>11358</v>
      </c>
      <c r="U2335" s="20" t="s">
        <v>5359</v>
      </c>
      <c r="V2335" s="16" t="s">
        <v>4556</v>
      </c>
      <c r="W2335" s="11" t="s">
        <v>14283</v>
      </c>
      <c r="X2335" s="174">
        <v>200.45</v>
      </c>
      <c r="Y2335" s="174">
        <v>261.14999999999998</v>
      </c>
    </row>
    <row r="2336" spans="1:25" ht="15" customHeight="1" x14ac:dyDescent="0.25">
      <c r="A2336" s="20" t="s">
        <v>844</v>
      </c>
      <c r="B2336" s="14" t="s">
        <v>845</v>
      </c>
      <c r="C2336" s="71" t="str">
        <f t="shared" si="46"/>
        <v>Product Info</v>
      </c>
      <c r="D2336" s="37" t="s">
        <v>846</v>
      </c>
      <c r="E2336" s="143">
        <v>1</v>
      </c>
      <c r="F2336" s="12" t="s">
        <v>4992</v>
      </c>
      <c r="G2336" s="38">
        <v>57.57</v>
      </c>
      <c r="H2336" s="38">
        <f>I2336</f>
        <v>40.299999999999997</v>
      </c>
      <c r="I2336" s="38">
        <v>40.299999999999997</v>
      </c>
      <c r="J2336" s="39">
        <v>13</v>
      </c>
      <c r="K2336" s="143"/>
      <c r="L2336" s="22">
        <v>0.3</v>
      </c>
      <c r="M2336" s="22" t="s">
        <v>12487</v>
      </c>
      <c r="N2336" s="20" t="s">
        <v>13079</v>
      </c>
      <c r="O2336" s="16" t="s">
        <v>13912</v>
      </c>
      <c r="P2336" s="143">
        <v>761</v>
      </c>
      <c r="Q2336" s="122" t="s">
        <v>14461</v>
      </c>
      <c r="R2336" s="16" t="s">
        <v>8904</v>
      </c>
      <c r="S2336" s="10" t="s">
        <v>194</v>
      </c>
      <c r="T2336" s="28" t="s">
        <v>11359</v>
      </c>
      <c r="U2336" s="20" t="s">
        <v>5359</v>
      </c>
      <c r="V2336" s="16" t="s">
        <v>844</v>
      </c>
      <c r="W2336" s="11" t="s">
        <v>14283</v>
      </c>
      <c r="X2336" s="174">
        <v>31.3</v>
      </c>
      <c r="Y2336" s="174">
        <v>40.299999999999997</v>
      </c>
    </row>
    <row r="2337" spans="1:25" ht="15" customHeight="1" x14ac:dyDescent="0.25">
      <c r="A2337" s="20" t="s">
        <v>9124</v>
      </c>
      <c r="B2337" s="14" t="s">
        <v>9125</v>
      </c>
      <c r="C2337" s="71" t="str">
        <f t="shared" si="46"/>
        <v>Product Info</v>
      </c>
      <c r="D2337" s="37" t="s">
        <v>9126</v>
      </c>
      <c r="E2337" s="143">
        <v>1</v>
      </c>
      <c r="F2337" s="12" t="s">
        <v>4992</v>
      </c>
      <c r="G2337" s="38">
        <v>129.34</v>
      </c>
      <c r="H2337" s="38">
        <v>109.95</v>
      </c>
      <c r="I2337" s="38">
        <v>90.54</v>
      </c>
      <c r="J2337" s="39"/>
      <c r="K2337" s="143"/>
      <c r="L2337" s="22">
        <v>0</v>
      </c>
      <c r="M2337" s="22" t="s">
        <v>12487</v>
      </c>
      <c r="N2337" s="20" t="s">
        <v>14489</v>
      </c>
      <c r="O2337" s="16" t="s">
        <v>13912</v>
      </c>
      <c r="P2337" s="143">
        <v>761</v>
      </c>
      <c r="Q2337" s="121" t="s">
        <v>14285</v>
      </c>
      <c r="R2337" s="16" t="s">
        <v>8904</v>
      </c>
      <c r="S2337" s="10" t="s">
        <v>1163</v>
      </c>
      <c r="T2337" s="28" t="s">
        <v>12569</v>
      </c>
      <c r="U2337" s="20" t="s">
        <v>5359</v>
      </c>
      <c r="V2337" s="16" t="s">
        <v>9124</v>
      </c>
      <c r="W2337" s="11" t="s">
        <v>14283</v>
      </c>
      <c r="X2337" s="174">
        <v>84.38</v>
      </c>
      <c r="Y2337" s="174">
        <v>109.95</v>
      </c>
    </row>
    <row r="2338" spans="1:25" ht="15" customHeight="1" x14ac:dyDescent="0.25">
      <c r="A2338" s="20" t="s">
        <v>9127</v>
      </c>
      <c r="B2338" s="14" t="s">
        <v>9128</v>
      </c>
      <c r="C2338" s="71" t="str">
        <f t="shared" si="46"/>
        <v>Product Info</v>
      </c>
      <c r="D2338" s="37" t="s">
        <v>9129</v>
      </c>
      <c r="E2338" s="143">
        <v>1</v>
      </c>
      <c r="F2338" s="12" t="s">
        <v>4992</v>
      </c>
      <c r="G2338" s="38">
        <v>158.46</v>
      </c>
      <c r="H2338" s="38">
        <v>134.69</v>
      </c>
      <c r="I2338" s="38">
        <v>110.92</v>
      </c>
      <c r="J2338" s="39"/>
      <c r="K2338" s="143"/>
      <c r="L2338" s="22">
        <v>0</v>
      </c>
      <c r="M2338" s="22" t="s">
        <v>12487</v>
      </c>
      <c r="N2338" s="20" t="s">
        <v>14489</v>
      </c>
      <c r="O2338" s="16" t="s">
        <v>13912</v>
      </c>
      <c r="P2338" s="143">
        <v>761</v>
      </c>
      <c r="Q2338" s="121" t="s">
        <v>14285</v>
      </c>
      <c r="R2338" s="16" t="s">
        <v>8904</v>
      </c>
      <c r="S2338" s="10" t="s">
        <v>1163</v>
      </c>
      <c r="T2338" s="28" t="s">
        <v>12570</v>
      </c>
      <c r="U2338" s="20" t="s">
        <v>5359</v>
      </c>
      <c r="V2338" s="16" t="s">
        <v>9127</v>
      </c>
      <c r="W2338" s="11" t="s">
        <v>14283</v>
      </c>
      <c r="X2338" s="174">
        <v>103.38</v>
      </c>
      <c r="Y2338" s="174">
        <v>134.69</v>
      </c>
    </row>
    <row r="2339" spans="1:25" ht="15" customHeight="1" x14ac:dyDescent="0.25">
      <c r="A2339" s="20" t="s">
        <v>4558</v>
      </c>
      <c r="B2339" s="14" t="s">
        <v>4559</v>
      </c>
      <c r="C2339" s="71" t="str">
        <f t="shared" si="46"/>
        <v>Product Info</v>
      </c>
      <c r="D2339" s="37" t="s">
        <v>6670</v>
      </c>
      <c r="E2339" s="143">
        <v>5</v>
      </c>
      <c r="F2339" s="12" t="s">
        <v>2170</v>
      </c>
      <c r="G2339" s="38">
        <v>198.86</v>
      </c>
      <c r="H2339" s="38">
        <f t="shared" ref="H2339:H2367" si="48">I2339</f>
        <v>139.19999999999999</v>
      </c>
      <c r="I2339" s="38">
        <v>139.19999999999999</v>
      </c>
      <c r="J2339" s="39"/>
      <c r="K2339" s="143"/>
      <c r="L2339" s="22">
        <v>3</v>
      </c>
      <c r="M2339" s="22" t="s">
        <v>12488</v>
      </c>
      <c r="N2339" s="20" t="s">
        <v>9393</v>
      </c>
      <c r="O2339" s="16" t="s">
        <v>13914</v>
      </c>
      <c r="P2339" s="143">
        <v>755</v>
      </c>
      <c r="Q2339" s="122" t="s">
        <v>12421</v>
      </c>
      <c r="R2339" s="16" t="s">
        <v>8904</v>
      </c>
      <c r="S2339" s="10" t="s">
        <v>194</v>
      </c>
      <c r="T2339" s="28" t="s">
        <v>11360</v>
      </c>
      <c r="U2339" s="20" t="s">
        <v>5359</v>
      </c>
      <c r="V2339" s="16" t="s">
        <v>4558</v>
      </c>
      <c r="W2339" s="11" t="s">
        <v>14433</v>
      </c>
      <c r="X2339" s="174">
        <v>88.7</v>
      </c>
      <c r="Y2339" s="174">
        <v>139.19999999999999</v>
      </c>
    </row>
    <row r="2340" spans="1:25" ht="15" customHeight="1" x14ac:dyDescent="0.25">
      <c r="A2340" s="20" t="s">
        <v>7631</v>
      </c>
      <c r="B2340" s="14" t="s">
        <v>7632</v>
      </c>
      <c r="C2340" s="71" t="str">
        <f t="shared" si="46"/>
        <v>Product Info</v>
      </c>
      <c r="D2340" s="37" t="s">
        <v>6671</v>
      </c>
      <c r="E2340" s="143">
        <v>6</v>
      </c>
      <c r="F2340" s="12" t="s">
        <v>2170</v>
      </c>
      <c r="G2340" s="38">
        <v>161.6</v>
      </c>
      <c r="H2340" s="38">
        <f t="shared" si="48"/>
        <v>113.12</v>
      </c>
      <c r="I2340" s="38">
        <v>113.12</v>
      </c>
      <c r="J2340" s="39"/>
      <c r="K2340" s="143"/>
      <c r="L2340" s="22">
        <v>32</v>
      </c>
      <c r="M2340" s="22" t="s">
        <v>12488</v>
      </c>
      <c r="N2340" s="20" t="s">
        <v>9394</v>
      </c>
      <c r="O2340" s="16" t="s">
        <v>12608</v>
      </c>
      <c r="P2340" s="143">
        <v>755</v>
      </c>
      <c r="Q2340" s="121" t="s">
        <v>14285</v>
      </c>
      <c r="R2340" s="16" t="s">
        <v>8904</v>
      </c>
      <c r="S2340" s="10" t="s">
        <v>194</v>
      </c>
      <c r="T2340" s="28" t="s">
        <v>11361</v>
      </c>
      <c r="U2340" s="20" t="s">
        <v>5359</v>
      </c>
      <c r="V2340" s="16" t="s">
        <v>7631</v>
      </c>
      <c r="W2340" s="11" t="s">
        <v>14433</v>
      </c>
      <c r="X2340" s="174">
        <v>72.08</v>
      </c>
      <c r="Y2340" s="174">
        <v>113.12</v>
      </c>
    </row>
    <row r="2341" spans="1:25" ht="15" customHeight="1" x14ac:dyDescent="0.25">
      <c r="A2341" s="20" t="s">
        <v>7633</v>
      </c>
      <c r="B2341" s="14" t="s">
        <v>7634</v>
      </c>
      <c r="C2341" s="71" t="str">
        <f t="shared" si="46"/>
        <v>Product Info</v>
      </c>
      <c r="D2341" s="37" t="s">
        <v>6672</v>
      </c>
      <c r="E2341" s="143">
        <v>5</v>
      </c>
      <c r="F2341" s="12" t="s">
        <v>2170</v>
      </c>
      <c r="G2341" s="38">
        <v>311.27</v>
      </c>
      <c r="H2341" s="38">
        <f t="shared" si="48"/>
        <v>217.89</v>
      </c>
      <c r="I2341" s="38">
        <v>217.89</v>
      </c>
      <c r="J2341" s="39"/>
      <c r="K2341" s="143"/>
      <c r="L2341" s="22">
        <v>54</v>
      </c>
      <c r="M2341" s="22" t="s">
        <v>12488</v>
      </c>
      <c r="N2341" s="20" t="s">
        <v>9394</v>
      </c>
      <c r="O2341" s="16" t="s">
        <v>12608</v>
      </c>
      <c r="P2341" s="143">
        <v>755</v>
      </c>
      <c r="Q2341" s="122" t="s">
        <v>12421</v>
      </c>
      <c r="R2341" s="16" t="s">
        <v>8904</v>
      </c>
      <c r="S2341" s="10" t="s">
        <v>194</v>
      </c>
      <c r="T2341" s="28" t="s">
        <v>11362</v>
      </c>
      <c r="U2341" s="20" t="s">
        <v>5359</v>
      </c>
      <c r="V2341" s="16" t="s">
        <v>7633</v>
      </c>
      <c r="W2341" s="11" t="s">
        <v>14433</v>
      </c>
      <c r="X2341" s="174">
        <v>138.83000000000001</v>
      </c>
      <c r="Y2341" s="174">
        <v>217.89</v>
      </c>
    </row>
    <row r="2342" spans="1:25" ht="15" customHeight="1" x14ac:dyDescent="0.25">
      <c r="A2342" s="20" t="s">
        <v>7635</v>
      </c>
      <c r="B2342" s="14" t="s">
        <v>7636</v>
      </c>
      <c r="C2342" s="71" t="str">
        <f t="shared" si="46"/>
        <v>Product Info</v>
      </c>
      <c r="D2342" s="37" t="s">
        <v>6673</v>
      </c>
      <c r="E2342" s="143">
        <v>25</v>
      </c>
      <c r="F2342" s="12" t="s">
        <v>2170</v>
      </c>
      <c r="G2342" s="38">
        <v>33.99</v>
      </c>
      <c r="H2342" s="38">
        <f t="shared" si="48"/>
        <v>23.79</v>
      </c>
      <c r="I2342" s="38">
        <v>23.79</v>
      </c>
      <c r="J2342" s="39"/>
      <c r="K2342" s="12" t="s">
        <v>8905</v>
      </c>
      <c r="L2342" s="22">
        <v>22</v>
      </c>
      <c r="M2342" s="22" t="s">
        <v>12488</v>
      </c>
      <c r="N2342" s="20" t="s">
        <v>9395</v>
      </c>
      <c r="O2342" s="16" t="s">
        <v>12608</v>
      </c>
      <c r="P2342" s="143">
        <v>755</v>
      </c>
      <c r="Q2342" s="122" t="s">
        <v>9227</v>
      </c>
      <c r="R2342" s="16" t="s">
        <v>8904</v>
      </c>
      <c r="S2342" s="10" t="s">
        <v>194</v>
      </c>
      <c r="T2342" s="28" t="s">
        <v>11363</v>
      </c>
      <c r="U2342" s="20" t="s">
        <v>5359</v>
      </c>
      <c r="V2342" s="16" t="s">
        <v>7635</v>
      </c>
      <c r="W2342" s="11" t="s">
        <v>14433</v>
      </c>
      <c r="X2342" s="174">
        <v>15.16</v>
      </c>
      <c r="Y2342" s="174">
        <v>23.79</v>
      </c>
    </row>
    <row r="2343" spans="1:25" ht="15" customHeight="1" x14ac:dyDescent="0.25">
      <c r="A2343" s="20" t="s">
        <v>2000</v>
      </c>
      <c r="B2343" s="14" t="s">
        <v>2001</v>
      </c>
      <c r="C2343" s="71" t="str">
        <f t="shared" si="46"/>
        <v>Product Info</v>
      </c>
      <c r="D2343" s="37" t="s">
        <v>6674</v>
      </c>
      <c r="E2343" s="143">
        <v>50</v>
      </c>
      <c r="F2343" s="12" t="s">
        <v>2170</v>
      </c>
      <c r="G2343" s="38">
        <v>5.24</v>
      </c>
      <c r="H2343" s="38">
        <f t="shared" si="48"/>
        <v>3.67</v>
      </c>
      <c r="I2343" s="38">
        <v>3.67</v>
      </c>
      <c r="J2343" s="39"/>
      <c r="K2343" s="143"/>
      <c r="L2343" s="22">
        <v>6</v>
      </c>
      <c r="M2343" s="22" t="s">
        <v>12488</v>
      </c>
      <c r="N2343" s="20" t="s">
        <v>9396</v>
      </c>
      <c r="O2343" s="16" t="s">
        <v>12608</v>
      </c>
      <c r="P2343" s="143">
        <v>755</v>
      </c>
      <c r="Q2343" s="121" t="s">
        <v>14285</v>
      </c>
      <c r="R2343" s="16" t="s">
        <v>8904</v>
      </c>
      <c r="S2343" s="10" t="s">
        <v>194</v>
      </c>
      <c r="T2343" s="28" t="s">
        <v>11364</v>
      </c>
      <c r="U2343" s="20" t="s">
        <v>5359</v>
      </c>
      <c r="V2343" s="16" t="s">
        <v>2000</v>
      </c>
      <c r="W2343" s="11" t="s">
        <v>14433</v>
      </c>
      <c r="X2343" s="174">
        <v>2.33</v>
      </c>
      <c r="Y2343" s="174">
        <v>3.67</v>
      </c>
    </row>
    <row r="2344" spans="1:25" ht="15" customHeight="1" x14ac:dyDescent="0.25">
      <c r="A2344" s="20" t="s">
        <v>2002</v>
      </c>
      <c r="B2344" s="14" t="s">
        <v>2375</v>
      </c>
      <c r="C2344" s="71" t="str">
        <f t="shared" si="46"/>
        <v>Product Info</v>
      </c>
      <c r="D2344" s="37" t="s">
        <v>6675</v>
      </c>
      <c r="E2344" s="143">
        <v>25</v>
      </c>
      <c r="F2344" s="12" t="s">
        <v>2170</v>
      </c>
      <c r="G2344" s="38">
        <v>37.840000000000003</v>
      </c>
      <c r="H2344" s="38">
        <f t="shared" si="48"/>
        <v>26.49</v>
      </c>
      <c r="I2344" s="38">
        <v>26.49</v>
      </c>
      <c r="J2344" s="39"/>
      <c r="K2344" s="12" t="s">
        <v>8905</v>
      </c>
      <c r="L2344" s="22">
        <v>40</v>
      </c>
      <c r="M2344" s="22" t="s">
        <v>12488</v>
      </c>
      <c r="N2344" s="20" t="s">
        <v>9397</v>
      </c>
      <c r="O2344" s="16" t="s">
        <v>12608</v>
      </c>
      <c r="P2344" s="143">
        <v>755</v>
      </c>
      <c r="Q2344" s="122" t="s">
        <v>9227</v>
      </c>
      <c r="R2344" s="16" t="s">
        <v>8904</v>
      </c>
      <c r="S2344" s="10" t="s">
        <v>194</v>
      </c>
      <c r="T2344" s="28" t="s">
        <v>11365</v>
      </c>
      <c r="U2344" s="20" t="s">
        <v>5359</v>
      </c>
      <c r="V2344" s="16" t="s">
        <v>2002</v>
      </c>
      <c r="W2344" s="11" t="s">
        <v>14433</v>
      </c>
      <c r="X2344" s="174">
        <v>16.88</v>
      </c>
      <c r="Y2344" s="174">
        <v>26.49</v>
      </c>
    </row>
    <row r="2345" spans="1:25" ht="15" customHeight="1" x14ac:dyDescent="0.25">
      <c r="A2345" s="20" t="s">
        <v>2376</v>
      </c>
      <c r="B2345" s="14" t="s">
        <v>2377</v>
      </c>
      <c r="C2345" s="71" t="str">
        <f t="shared" si="46"/>
        <v>Product Info</v>
      </c>
      <c r="D2345" s="37" t="s">
        <v>6676</v>
      </c>
      <c r="E2345" s="143">
        <v>50</v>
      </c>
      <c r="F2345" s="12" t="s">
        <v>2170</v>
      </c>
      <c r="G2345" s="38">
        <v>9.26</v>
      </c>
      <c r="H2345" s="38">
        <f t="shared" si="48"/>
        <v>6.48</v>
      </c>
      <c r="I2345" s="38">
        <v>6.48</v>
      </c>
      <c r="J2345" s="39"/>
      <c r="K2345" s="143"/>
      <c r="L2345" s="22">
        <v>15</v>
      </c>
      <c r="M2345" s="22" t="s">
        <v>12488</v>
      </c>
      <c r="N2345" s="20" t="s">
        <v>9293</v>
      </c>
      <c r="O2345" s="16" t="s">
        <v>12608</v>
      </c>
      <c r="P2345" s="143">
        <v>755</v>
      </c>
      <c r="Q2345" s="121" t="s">
        <v>14285</v>
      </c>
      <c r="R2345" s="16" t="s">
        <v>8904</v>
      </c>
      <c r="S2345" s="10" t="s">
        <v>194</v>
      </c>
      <c r="T2345" s="28" t="s">
        <v>11366</v>
      </c>
      <c r="U2345" s="20" t="s">
        <v>5359</v>
      </c>
      <c r="V2345" s="16" t="s">
        <v>2376</v>
      </c>
      <c r="W2345" s="11" t="s">
        <v>14433</v>
      </c>
      <c r="X2345" s="174">
        <v>4.13</v>
      </c>
      <c r="Y2345" s="174">
        <v>6.48</v>
      </c>
    </row>
    <row r="2346" spans="1:25" ht="15" customHeight="1" x14ac:dyDescent="0.25">
      <c r="A2346" s="20" t="s">
        <v>2378</v>
      </c>
      <c r="B2346" s="14" t="s">
        <v>2379</v>
      </c>
      <c r="C2346" s="71" t="str">
        <f t="shared" si="46"/>
        <v>Product Info</v>
      </c>
      <c r="D2346" s="37" t="s">
        <v>3203</v>
      </c>
      <c r="E2346" s="143">
        <v>50</v>
      </c>
      <c r="F2346" s="12" t="s">
        <v>4992</v>
      </c>
      <c r="G2346" s="38">
        <v>9.66</v>
      </c>
      <c r="H2346" s="38">
        <f t="shared" si="48"/>
        <v>6.76</v>
      </c>
      <c r="I2346" s="38">
        <v>6.76</v>
      </c>
      <c r="J2346" s="39"/>
      <c r="K2346" s="143"/>
      <c r="L2346" s="22">
        <v>8</v>
      </c>
      <c r="M2346" s="22" t="s">
        <v>12488</v>
      </c>
      <c r="N2346" s="20" t="s">
        <v>9241</v>
      </c>
      <c r="O2346" s="16" t="s">
        <v>12608</v>
      </c>
      <c r="P2346" s="143">
        <v>755</v>
      </c>
      <c r="Q2346" s="122" t="s">
        <v>12421</v>
      </c>
      <c r="R2346" s="16" t="s">
        <v>8904</v>
      </c>
      <c r="S2346" s="10" t="s">
        <v>194</v>
      </c>
      <c r="T2346" s="28" t="s">
        <v>11367</v>
      </c>
      <c r="U2346" s="20" t="s">
        <v>5359</v>
      </c>
      <c r="V2346" s="16" t="s">
        <v>2378</v>
      </c>
      <c r="W2346" s="11" t="s">
        <v>14433</v>
      </c>
      <c r="X2346" s="174">
        <v>4.3</v>
      </c>
      <c r="Y2346" s="174">
        <v>6.76</v>
      </c>
    </row>
    <row r="2347" spans="1:25" ht="15" customHeight="1" x14ac:dyDescent="0.25">
      <c r="A2347" s="20" t="s">
        <v>1263</v>
      </c>
      <c r="B2347" s="14" t="s">
        <v>1264</v>
      </c>
      <c r="C2347" s="71" t="str">
        <f t="shared" si="46"/>
        <v>Product Info</v>
      </c>
      <c r="D2347" s="37" t="s">
        <v>1265</v>
      </c>
      <c r="E2347" s="143">
        <v>65</v>
      </c>
      <c r="F2347" s="12" t="s">
        <v>6692</v>
      </c>
      <c r="G2347" s="38">
        <v>9.14</v>
      </c>
      <c r="H2347" s="38">
        <f t="shared" si="48"/>
        <v>6.4</v>
      </c>
      <c r="I2347" s="38">
        <v>6.4</v>
      </c>
      <c r="J2347" s="39"/>
      <c r="K2347" s="143"/>
      <c r="L2347" s="22">
        <v>27</v>
      </c>
      <c r="M2347" s="22" t="s">
        <v>12488</v>
      </c>
      <c r="N2347" s="20" t="s">
        <v>9398</v>
      </c>
      <c r="O2347" s="16" t="s">
        <v>12608</v>
      </c>
      <c r="P2347" s="143">
        <v>755</v>
      </c>
      <c r="Q2347" s="121" t="s">
        <v>14285</v>
      </c>
      <c r="R2347" s="16" t="s">
        <v>8904</v>
      </c>
      <c r="S2347" s="10" t="s">
        <v>194</v>
      </c>
      <c r="T2347" s="28" t="s">
        <v>11368</v>
      </c>
      <c r="U2347" s="20" t="s">
        <v>5359</v>
      </c>
      <c r="V2347" s="16" t="s">
        <v>1263</v>
      </c>
      <c r="W2347" s="11" t="s">
        <v>14433</v>
      </c>
      <c r="X2347" s="174">
        <v>4.08</v>
      </c>
      <c r="Y2347" s="174">
        <v>6.4</v>
      </c>
    </row>
    <row r="2348" spans="1:25" ht="15" customHeight="1" x14ac:dyDescent="0.25">
      <c r="A2348" s="20" t="s">
        <v>2380</v>
      </c>
      <c r="B2348" s="14" t="s">
        <v>2381</v>
      </c>
      <c r="C2348" s="71" t="str">
        <f t="shared" si="46"/>
        <v>Product Info</v>
      </c>
      <c r="D2348" s="37" t="s">
        <v>3204</v>
      </c>
      <c r="E2348" s="143">
        <v>10</v>
      </c>
      <c r="F2348" s="12" t="s">
        <v>2170</v>
      </c>
      <c r="G2348" s="38">
        <v>51.76</v>
      </c>
      <c r="H2348" s="38">
        <f t="shared" si="48"/>
        <v>36.229999999999997</v>
      </c>
      <c r="I2348" s="38">
        <v>36.229999999999997</v>
      </c>
      <c r="J2348" s="39"/>
      <c r="K2348" s="143"/>
      <c r="L2348" s="22">
        <v>1.0295000000000001</v>
      </c>
      <c r="M2348" s="22" t="s">
        <v>12488</v>
      </c>
      <c r="N2348" s="20" t="s">
        <v>9399</v>
      </c>
      <c r="O2348" s="16" t="s">
        <v>12608</v>
      </c>
      <c r="P2348" s="143">
        <v>755</v>
      </c>
      <c r="Q2348" s="122" t="s">
        <v>9227</v>
      </c>
      <c r="R2348" s="16" t="s">
        <v>8904</v>
      </c>
      <c r="S2348" s="10" t="s">
        <v>194</v>
      </c>
      <c r="T2348" s="28" t="s">
        <v>11369</v>
      </c>
      <c r="U2348" s="20" t="s">
        <v>5359</v>
      </c>
      <c r="V2348" s="16" t="s">
        <v>2380</v>
      </c>
      <c r="W2348" s="11" t="s">
        <v>14433</v>
      </c>
      <c r="X2348" s="174">
        <v>23.08</v>
      </c>
      <c r="Y2348" s="174">
        <v>36.229999999999997</v>
      </c>
    </row>
    <row r="2349" spans="1:25" ht="15" customHeight="1" x14ac:dyDescent="0.25">
      <c r="A2349" s="20" t="s">
        <v>2382</v>
      </c>
      <c r="B2349" s="14" t="s">
        <v>2383</v>
      </c>
      <c r="C2349" s="71" t="str">
        <f t="shared" si="46"/>
        <v>Product Info</v>
      </c>
      <c r="D2349" s="37" t="s">
        <v>3205</v>
      </c>
      <c r="E2349" s="143">
        <v>40</v>
      </c>
      <c r="F2349" s="12" t="s">
        <v>2170</v>
      </c>
      <c r="G2349" s="38">
        <v>16.13</v>
      </c>
      <c r="H2349" s="38">
        <f t="shared" si="48"/>
        <v>11.29</v>
      </c>
      <c r="I2349" s="38">
        <v>11.29</v>
      </c>
      <c r="J2349" s="39"/>
      <c r="K2349" s="143"/>
      <c r="L2349" s="22">
        <v>28</v>
      </c>
      <c r="M2349" s="22" t="s">
        <v>12488</v>
      </c>
      <c r="N2349" s="20" t="s">
        <v>9400</v>
      </c>
      <c r="O2349" s="16" t="s">
        <v>12608</v>
      </c>
      <c r="P2349" s="143">
        <v>755</v>
      </c>
      <c r="Q2349" s="121" t="s">
        <v>14285</v>
      </c>
      <c r="R2349" s="16" t="s">
        <v>8904</v>
      </c>
      <c r="S2349" s="10" t="s">
        <v>194</v>
      </c>
      <c r="T2349" s="28" t="s">
        <v>11370</v>
      </c>
      <c r="U2349" s="20" t="s">
        <v>5359</v>
      </c>
      <c r="V2349" s="16" t="s">
        <v>2382</v>
      </c>
      <c r="W2349" s="11" t="s">
        <v>14433</v>
      </c>
      <c r="X2349" s="174">
        <v>7.2</v>
      </c>
      <c r="Y2349" s="174">
        <v>11.29</v>
      </c>
    </row>
    <row r="2350" spans="1:25" ht="15" customHeight="1" x14ac:dyDescent="0.25">
      <c r="A2350" s="20" t="s">
        <v>1266</v>
      </c>
      <c r="B2350" s="14" t="s">
        <v>1267</v>
      </c>
      <c r="C2350" s="71" t="str">
        <f t="shared" si="46"/>
        <v>Product Info</v>
      </c>
      <c r="D2350" s="37" t="s">
        <v>1268</v>
      </c>
      <c r="E2350" s="143">
        <v>50</v>
      </c>
      <c r="F2350" s="12" t="s">
        <v>6692</v>
      </c>
      <c r="G2350" s="38">
        <v>10.51</v>
      </c>
      <c r="H2350" s="38">
        <f t="shared" si="48"/>
        <v>7.36</v>
      </c>
      <c r="I2350" s="38">
        <v>7.36</v>
      </c>
      <c r="J2350" s="39"/>
      <c r="K2350" s="143"/>
      <c r="L2350" s="22">
        <v>27</v>
      </c>
      <c r="M2350" s="22" t="s">
        <v>12488</v>
      </c>
      <c r="N2350" s="20" t="s">
        <v>9398</v>
      </c>
      <c r="O2350" s="16" t="s">
        <v>12608</v>
      </c>
      <c r="P2350" s="143">
        <v>755</v>
      </c>
      <c r="Q2350" s="121" t="s">
        <v>14285</v>
      </c>
      <c r="R2350" s="16" t="s">
        <v>8904</v>
      </c>
      <c r="S2350" s="10" t="s">
        <v>194</v>
      </c>
      <c r="T2350" s="28" t="s">
        <v>11371</v>
      </c>
      <c r="U2350" s="20" t="s">
        <v>5359</v>
      </c>
      <c r="V2350" s="16" t="s">
        <v>1266</v>
      </c>
      <c r="W2350" s="11" t="s">
        <v>14433</v>
      </c>
      <c r="X2350" s="174">
        <v>4.6900000000000004</v>
      </c>
      <c r="Y2350" s="174">
        <v>7.36</v>
      </c>
    </row>
    <row r="2351" spans="1:25" ht="15" customHeight="1" x14ac:dyDescent="0.25">
      <c r="A2351" s="20" t="s">
        <v>2384</v>
      </c>
      <c r="B2351" s="14" t="s">
        <v>2385</v>
      </c>
      <c r="C2351" s="71" t="str">
        <f t="shared" si="46"/>
        <v>Product Info</v>
      </c>
      <c r="D2351" s="37" t="s">
        <v>3206</v>
      </c>
      <c r="E2351" s="143">
        <v>10</v>
      </c>
      <c r="F2351" s="12" t="s">
        <v>2170</v>
      </c>
      <c r="G2351" s="38">
        <v>70.2</v>
      </c>
      <c r="H2351" s="38">
        <f t="shared" si="48"/>
        <v>49.14</v>
      </c>
      <c r="I2351" s="38">
        <v>49.14</v>
      </c>
      <c r="J2351" s="39"/>
      <c r="K2351" s="12" t="s">
        <v>8905</v>
      </c>
      <c r="L2351" s="22">
        <v>2.88</v>
      </c>
      <c r="M2351" s="22" t="s">
        <v>12488</v>
      </c>
      <c r="N2351" s="20" t="s">
        <v>9401</v>
      </c>
      <c r="O2351" s="16" t="s">
        <v>12608</v>
      </c>
      <c r="P2351" s="143">
        <v>755</v>
      </c>
      <c r="Q2351" s="122" t="s">
        <v>14461</v>
      </c>
      <c r="R2351" s="16" t="s">
        <v>8904</v>
      </c>
      <c r="S2351" s="10" t="s">
        <v>194</v>
      </c>
      <c r="T2351" s="28" t="s">
        <v>11372</v>
      </c>
      <c r="U2351" s="20" t="s">
        <v>5359</v>
      </c>
      <c r="V2351" s="16" t="s">
        <v>2384</v>
      </c>
      <c r="W2351" s="11" t="s">
        <v>14433</v>
      </c>
      <c r="X2351" s="174">
        <v>31.31</v>
      </c>
      <c r="Y2351" s="174">
        <v>49.14</v>
      </c>
    </row>
    <row r="2352" spans="1:25" ht="15" customHeight="1" x14ac:dyDescent="0.25">
      <c r="A2352" s="20" t="s">
        <v>2386</v>
      </c>
      <c r="B2352" s="14" t="s">
        <v>2387</v>
      </c>
      <c r="C2352" s="71" t="str">
        <f t="shared" si="46"/>
        <v>Product Info</v>
      </c>
      <c r="D2352" s="37" t="s">
        <v>3447</v>
      </c>
      <c r="E2352" s="143">
        <v>30</v>
      </c>
      <c r="F2352" s="12" t="s">
        <v>2170</v>
      </c>
      <c r="G2352" s="38">
        <v>16.39</v>
      </c>
      <c r="H2352" s="38">
        <f t="shared" si="48"/>
        <v>11.47</v>
      </c>
      <c r="I2352" s="38">
        <v>11.47</v>
      </c>
      <c r="J2352" s="39"/>
      <c r="K2352" s="143"/>
      <c r="L2352" s="22">
        <v>26</v>
      </c>
      <c r="M2352" s="22" t="s">
        <v>12488</v>
      </c>
      <c r="N2352" s="20" t="s">
        <v>9259</v>
      </c>
      <c r="O2352" s="16" t="s">
        <v>12608</v>
      </c>
      <c r="P2352" s="143">
        <v>755</v>
      </c>
      <c r="Q2352" s="122" t="s">
        <v>12421</v>
      </c>
      <c r="R2352" s="16" t="s">
        <v>8904</v>
      </c>
      <c r="S2352" s="10" t="s">
        <v>194</v>
      </c>
      <c r="T2352" s="28" t="s">
        <v>11373</v>
      </c>
      <c r="U2352" s="20" t="s">
        <v>5359</v>
      </c>
      <c r="V2352" s="16" t="s">
        <v>2386</v>
      </c>
      <c r="W2352" s="11" t="s">
        <v>14433</v>
      </c>
      <c r="X2352" s="174">
        <v>7.31</v>
      </c>
      <c r="Y2352" s="174">
        <v>11.47</v>
      </c>
    </row>
    <row r="2353" spans="1:25" ht="15" customHeight="1" x14ac:dyDescent="0.25">
      <c r="A2353" s="20" t="s">
        <v>2388</v>
      </c>
      <c r="B2353" s="14" t="s">
        <v>4427</v>
      </c>
      <c r="C2353" s="71" t="str">
        <f t="shared" si="46"/>
        <v>Product Info</v>
      </c>
      <c r="D2353" s="37" t="s">
        <v>3448</v>
      </c>
      <c r="E2353" s="143">
        <v>40</v>
      </c>
      <c r="F2353" s="12" t="s">
        <v>6692</v>
      </c>
      <c r="G2353" s="38">
        <v>11.09</v>
      </c>
      <c r="H2353" s="38">
        <f t="shared" si="48"/>
        <v>7.76</v>
      </c>
      <c r="I2353" s="38">
        <v>7.76</v>
      </c>
      <c r="J2353" s="39"/>
      <c r="K2353" s="143"/>
      <c r="L2353" s="22">
        <v>27</v>
      </c>
      <c r="M2353" s="22" t="s">
        <v>12488</v>
      </c>
      <c r="N2353" s="20" t="s">
        <v>9398</v>
      </c>
      <c r="O2353" s="16" t="s">
        <v>12608</v>
      </c>
      <c r="P2353" s="143">
        <v>755</v>
      </c>
      <c r="Q2353" s="122" t="s">
        <v>12421</v>
      </c>
      <c r="R2353" s="16" t="s">
        <v>8904</v>
      </c>
      <c r="S2353" s="10" t="s">
        <v>194</v>
      </c>
      <c r="T2353" s="28" t="s">
        <v>11374</v>
      </c>
      <c r="U2353" s="20" t="s">
        <v>5359</v>
      </c>
      <c r="V2353" s="16" t="s">
        <v>2388</v>
      </c>
      <c r="W2353" s="11" t="s">
        <v>14433</v>
      </c>
      <c r="X2353" s="174">
        <v>4.9400000000000004</v>
      </c>
      <c r="Y2353" s="174">
        <v>7.76</v>
      </c>
    </row>
    <row r="2354" spans="1:25" ht="15" customHeight="1" x14ac:dyDescent="0.25">
      <c r="A2354" s="20" t="s">
        <v>4428</v>
      </c>
      <c r="B2354" s="14" t="s">
        <v>4429</v>
      </c>
      <c r="C2354" s="71" t="str">
        <f t="shared" si="46"/>
        <v>Product Info</v>
      </c>
      <c r="D2354" s="37" t="s">
        <v>3449</v>
      </c>
      <c r="E2354" s="143">
        <v>10</v>
      </c>
      <c r="F2354" s="12" t="s">
        <v>2170</v>
      </c>
      <c r="G2354" s="38">
        <v>107.19</v>
      </c>
      <c r="H2354" s="38">
        <f t="shared" si="48"/>
        <v>75.03</v>
      </c>
      <c r="I2354" s="38">
        <v>75.03</v>
      </c>
      <c r="J2354" s="39"/>
      <c r="K2354" s="143"/>
      <c r="L2354" s="22">
        <v>40</v>
      </c>
      <c r="M2354" s="22" t="s">
        <v>12488</v>
      </c>
      <c r="N2354" s="20" t="s">
        <v>9402</v>
      </c>
      <c r="O2354" s="16" t="s">
        <v>12608</v>
      </c>
      <c r="P2354" s="143">
        <v>755</v>
      </c>
      <c r="Q2354" s="122" t="s">
        <v>12421</v>
      </c>
      <c r="R2354" s="16" t="s">
        <v>8904</v>
      </c>
      <c r="S2354" s="10" t="s">
        <v>194</v>
      </c>
      <c r="T2354" s="28" t="s">
        <v>11375</v>
      </c>
      <c r="U2354" s="20" t="s">
        <v>5359</v>
      </c>
      <c r="V2354" s="16" t="s">
        <v>4428</v>
      </c>
      <c r="W2354" s="11" t="s">
        <v>14433</v>
      </c>
      <c r="X2354" s="174">
        <v>47.81</v>
      </c>
      <c r="Y2354" s="174">
        <v>75.03</v>
      </c>
    </row>
    <row r="2355" spans="1:25" ht="15" customHeight="1" x14ac:dyDescent="0.25">
      <c r="A2355" s="20" t="s">
        <v>4430</v>
      </c>
      <c r="B2355" s="14" t="s">
        <v>4431</v>
      </c>
      <c r="C2355" s="71" t="str">
        <f t="shared" si="46"/>
        <v>Product Info</v>
      </c>
      <c r="D2355" s="37" t="s">
        <v>992</v>
      </c>
      <c r="E2355" s="143">
        <v>25</v>
      </c>
      <c r="F2355" s="12" t="s">
        <v>2170</v>
      </c>
      <c r="G2355" s="38">
        <v>32.94</v>
      </c>
      <c r="H2355" s="38">
        <f t="shared" si="48"/>
        <v>23.06</v>
      </c>
      <c r="I2355" s="38">
        <v>23.06</v>
      </c>
      <c r="J2355" s="39"/>
      <c r="K2355" s="12" t="s">
        <v>8905</v>
      </c>
      <c r="L2355" s="22">
        <v>10</v>
      </c>
      <c r="M2355" s="22" t="s">
        <v>12488</v>
      </c>
      <c r="N2355" s="20" t="s">
        <v>9403</v>
      </c>
      <c r="O2355" s="16" t="s">
        <v>12608</v>
      </c>
      <c r="P2355" s="143">
        <v>755</v>
      </c>
      <c r="Q2355" s="122" t="s">
        <v>14461</v>
      </c>
      <c r="R2355" s="16" t="s">
        <v>8904</v>
      </c>
      <c r="S2355" s="10" t="s">
        <v>194</v>
      </c>
      <c r="T2355" s="28" t="s">
        <v>11376</v>
      </c>
      <c r="U2355" s="20" t="s">
        <v>5359</v>
      </c>
      <c r="V2355" s="16" t="s">
        <v>4430</v>
      </c>
      <c r="W2355" s="11" t="s">
        <v>14433</v>
      </c>
      <c r="X2355" s="174">
        <v>14.69</v>
      </c>
      <c r="Y2355" s="174">
        <v>23.06</v>
      </c>
    </row>
    <row r="2356" spans="1:25" ht="15" customHeight="1" x14ac:dyDescent="0.25">
      <c r="A2356" s="20" t="s">
        <v>4432</v>
      </c>
      <c r="B2356" s="14" t="s">
        <v>4433</v>
      </c>
      <c r="C2356" s="71" t="str">
        <f t="shared" si="46"/>
        <v>Product Info</v>
      </c>
      <c r="D2356" s="37" t="s">
        <v>993</v>
      </c>
      <c r="E2356" s="143">
        <v>5</v>
      </c>
      <c r="F2356" s="12" t="s">
        <v>2170</v>
      </c>
      <c r="G2356" s="38">
        <v>120.24</v>
      </c>
      <c r="H2356" s="38">
        <f t="shared" si="48"/>
        <v>84.17</v>
      </c>
      <c r="I2356" s="38">
        <v>84.17</v>
      </c>
      <c r="J2356" s="39"/>
      <c r="K2356" s="143"/>
      <c r="L2356" s="22">
        <v>30</v>
      </c>
      <c r="M2356" s="22" t="s">
        <v>12488</v>
      </c>
      <c r="N2356" s="20" t="s">
        <v>9394</v>
      </c>
      <c r="O2356" s="16" t="s">
        <v>12608</v>
      </c>
      <c r="P2356" s="143">
        <v>755</v>
      </c>
      <c r="Q2356" s="122" t="s">
        <v>12421</v>
      </c>
      <c r="R2356" s="16" t="s">
        <v>8904</v>
      </c>
      <c r="S2356" s="10" t="s">
        <v>194</v>
      </c>
      <c r="T2356" s="28" t="s">
        <v>11377</v>
      </c>
      <c r="U2356" s="20" t="s">
        <v>5359</v>
      </c>
      <c r="V2356" s="16" t="s">
        <v>4432</v>
      </c>
      <c r="W2356" s="11" t="s">
        <v>14433</v>
      </c>
      <c r="X2356" s="174">
        <v>53.63</v>
      </c>
      <c r="Y2356" s="174">
        <v>84.17</v>
      </c>
    </row>
    <row r="2357" spans="1:25" ht="15" customHeight="1" x14ac:dyDescent="0.25">
      <c r="A2357" s="20" t="s">
        <v>4434</v>
      </c>
      <c r="B2357" s="14" t="s">
        <v>4435</v>
      </c>
      <c r="C2357" s="71" t="str">
        <f t="shared" si="46"/>
        <v>Product Info</v>
      </c>
      <c r="D2357" s="37" t="s">
        <v>994</v>
      </c>
      <c r="E2357" s="143">
        <v>1</v>
      </c>
      <c r="F2357" s="12" t="s">
        <v>2170</v>
      </c>
      <c r="G2357" s="38">
        <v>200.13</v>
      </c>
      <c r="H2357" s="38">
        <f t="shared" si="48"/>
        <v>140.09</v>
      </c>
      <c r="I2357" s="38">
        <v>140.09</v>
      </c>
      <c r="J2357" s="39"/>
      <c r="K2357" s="143"/>
      <c r="L2357" s="22">
        <v>2.4550000000000001</v>
      </c>
      <c r="M2357" s="22" t="s">
        <v>12488</v>
      </c>
      <c r="N2357" s="20" t="s">
        <v>9404</v>
      </c>
      <c r="O2357" s="16" t="s">
        <v>12608</v>
      </c>
      <c r="P2357" s="143">
        <v>761</v>
      </c>
      <c r="Q2357" s="122" t="s">
        <v>9227</v>
      </c>
      <c r="R2357" s="16" t="s">
        <v>8904</v>
      </c>
      <c r="S2357" s="10" t="s">
        <v>194</v>
      </c>
      <c r="T2357" s="28" t="s">
        <v>11378</v>
      </c>
      <c r="U2357" s="20" t="s">
        <v>5359</v>
      </c>
      <c r="V2357" s="16" t="s">
        <v>4434</v>
      </c>
      <c r="W2357" s="11" t="s">
        <v>14283</v>
      </c>
      <c r="X2357" s="174">
        <v>108.81</v>
      </c>
      <c r="Y2357" s="174">
        <v>140.09</v>
      </c>
    </row>
    <row r="2358" spans="1:25" ht="15" customHeight="1" x14ac:dyDescent="0.25">
      <c r="A2358" s="20" t="s">
        <v>4436</v>
      </c>
      <c r="B2358" s="14" t="s">
        <v>4939</v>
      </c>
      <c r="C2358" s="71" t="str">
        <f t="shared" si="46"/>
        <v>Product Info</v>
      </c>
      <c r="D2358" s="37" t="s">
        <v>4141</v>
      </c>
      <c r="E2358" s="143">
        <v>1</v>
      </c>
      <c r="F2358" s="12" t="s">
        <v>2170</v>
      </c>
      <c r="G2358" s="38">
        <v>336.93</v>
      </c>
      <c r="H2358" s="38">
        <f t="shared" si="48"/>
        <v>235.85</v>
      </c>
      <c r="I2358" s="38">
        <v>235.85</v>
      </c>
      <c r="J2358" s="39"/>
      <c r="K2358" s="143"/>
      <c r="L2358" s="22">
        <v>6.9649999999999999</v>
      </c>
      <c r="M2358" s="22" t="s">
        <v>12488</v>
      </c>
      <c r="N2358" s="20" t="s">
        <v>9405</v>
      </c>
      <c r="O2358" s="16" t="s">
        <v>12608</v>
      </c>
      <c r="P2358" s="143">
        <v>761</v>
      </c>
      <c r="Q2358" s="122" t="s">
        <v>9227</v>
      </c>
      <c r="R2358" s="16" t="s">
        <v>8904</v>
      </c>
      <c r="S2358" s="10" t="s">
        <v>194</v>
      </c>
      <c r="T2358" s="28" t="s">
        <v>11379</v>
      </c>
      <c r="U2358" s="20" t="s">
        <v>5359</v>
      </c>
      <c r="V2358" s="16" t="s">
        <v>4436</v>
      </c>
      <c r="W2358" s="11" t="s">
        <v>14283</v>
      </c>
      <c r="X2358" s="174">
        <v>183.18</v>
      </c>
      <c r="Y2358" s="174">
        <v>235.85</v>
      </c>
    </row>
    <row r="2359" spans="1:25" ht="15" customHeight="1" x14ac:dyDescent="0.25">
      <c r="A2359" s="20" t="s">
        <v>4940</v>
      </c>
      <c r="B2359" s="14" t="s">
        <v>4943</v>
      </c>
      <c r="C2359" s="71" t="str">
        <f t="shared" si="46"/>
        <v>Product Info</v>
      </c>
      <c r="D2359" s="37" t="s">
        <v>8915</v>
      </c>
      <c r="E2359" s="143">
        <v>1</v>
      </c>
      <c r="F2359" s="12" t="s">
        <v>2170</v>
      </c>
      <c r="G2359" s="38">
        <v>165.54</v>
      </c>
      <c r="H2359" s="38">
        <f t="shared" si="48"/>
        <v>115.88</v>
      </c>
      <c r="I2359" s="38">
        <v>115.88</v>
      </c>
      <c r="J2359" s="39"/>
      <c r="K2359" s="143"/>
      <c r="L2359" s="22">
        <v>0.8</v>
      </c>
      <c r="M2359" s="22" t="s">
        <v>12487</v>
      </c>
      <c r="N2359" s="20" t="s">
        <v>8836</v>
      </c>
      <c r="O2359" s="16" t="s">
        <v>12608</v>
      </c>
      <c r="P2359" s="143">
        <v>761</v>
      </c>
      <c r="Q2359" s="122" t="s">
        <v>9227</v>
      </c>
      <c r="R2359" s="16" t="s">
        <v>8904</v>
      </c>
      <c r="S2359" s="10" t="s">
        <v>194</v>
      </c>
      <c r="T2359" s="28" t="s">
        <v>11380</v>
      </c>
      <c r="U2359" s="20" t="s">
        <v>5359</v>
      </c>
      <c r="V2359" s="16" t="s">
        <v>4940</v>
      </c>
      <c r="W2359" s="11" t="s">
        <v>14283</v>
      </c>
      <c r="X2359" s="174">
        <v>90</v>
      </c>
      <c r="Y2359" s="174">
        <v>115.88</v>
      </c>
    </row>
    <row r="2360" spans="1:25" ht="15" customHeight="1" x14ac:dyDescent="0.25">
      <c r="A2360" s="20" t="s">
        <v>4944</v>
      </c>
      <c r="B2360" s="14" t="s">
        <v>4945</v>
      </c>
      <c r="C2360" s="71" t="str">
        <f t="shared" si="46"/>
        <v>Product Info</v>
      </c>
      <c r="D2360" s="37" t="s">
        <v>4142</v>
      </c>
      <c r="E2360" s="143">
        <v>1</v>
      </c>
      <c r="F2360" s="12" t="s">
        <v>2170</v>
      </c>
      <c r="G2360" s="38">
        <v>381.53</v>
      </c>
      <c r="H2360" s="38">
        <f t="shared" si="48"/>
        <v>267.07</v>
      </c>
      <c r="I2360" s="38">
        <v>267.07</v>
      </c>
      <c r="J2360" s="39"/>
      <c r="K2360" s="143"/>
      <c r="L2360" s="22">
        <v>2.5</v>
      </c>
      <c r="M2360" s="22" t="s">
        <v>12488</v>
      </c>
      <c r="N2360" s="20" t="s">
        <v>8837</v>
      </c>
      <c r="O2360" s="16" t="s">
        <v>12608</v>
      </c>
      <c r="P2360" s="143">
        <v>761</v>
      </c>
      <c r="Q2360" s="122" t="s">
        <v>9227</v>
      </c>
      <c r="R2360" s="16" t="s">
        <v>8904</v>
      </c>
      <c r="S2360" s="10" t="s">
        <v>194</v>
      </c>
      <c r="T2360" s="28" t="s">
        <v>11381</v>
      </c>
      <c r="U2360" s="20" t="s">
        <v>5359</v>
      </c>
      <c r="V2360" s="16" t="s">
        <v>4944</v>
      </c>
      <c r="W2360" s="11" t="s">
        <v>14283</v>
      </c>
      <c r="X2360" s="174">
        <v>194.23</v>
      </c>
      <c r="Y2360" s="174">
        <v>267.07</v>
      </c>
    </row>
    <row r="2361" spans="1:25" ht="15" customHeight="1" x14ac:dyDescent="0.25">
      <c r="A2361" s="20" t="s">
        <v>7082</v>
      </c>
      <c r="B2361" s="14" t="s">
        <v>7083</v>
      </c>
      <c r="C2361" s="71" t="str">
        <f t="shared" si="46"/>
        <v>Product Info</v>
      </c>
      <c r="D2361" s="37" t="s">
        <v>3198</v>
      </c>
      <c r="E2361" s="143">
        <v>1</v>
      </c>
      <c r="F2361" s="12" t="s">
        <v>2170</v>
      </c>
      <c r="G2361" s="38">
        <v>562.66999999999996</v>
      </c>
      <c r="H2361" s="38">
        <f t="shared" si="48"/>
        <v>393.87</v>
      </c>
      <c r="I2361" s="38">
        <v>393.87</v>
      </c>
      <c r="J2361" s="39"/>
      <c r="K2361" s="143"/>
      <c r="L2361" s="22">
        <v>6.0350000000000001</v>
      </c>
      <c r="M2361" s="22" t="s">
        <v>12488</v>
      </c>
      <c r="N2361" s="20" t="s">
        <v>8838</v>
      </c>
      <c r="O2361" s="16" t="s">
        <v>12608</v>
      </c>
      <c r="P2361" s="143">
        <v>761</v>
      </c>
      <c r="Q2361" s="122" t="s">
        <v>9227</v>
      </c>
      <c r="R2361" s="16" t="s">
        <v>8904</v>
      </c>
      <c r="S2361" s="10" t="s">
        <v>194</v>
      </c>
      <c r="T2361" s="28" t="s">
        <v>11382</v>
      </c>
      <c r="U2361" s="20" t="s">
        <v>5359</v>
      </c>
      <c r="V2361" s="16" t="s">
        <v>7082</v>
      </c>
      <c r="W2361" s="11" t="s">
        <v>14283</v>
      </c>
      <c r="X2361" s="174">
        <v>300.41000000000003</v>
      </c>
      <c r="Y2361" s="174">
        <v>393.87</v>
      </c>
    </row>
    <row r="2362" spans="1:25" ht="15" customHeight="1" x14ac:dyDescent="0.25">
      <c r="A2362" s="20" t="s">
        <v>7084</v>
      </c>
      <c r="B2362" s="14" t="s">
        <v>1269</v>
      </c>
      <c r="C2362" s="71" t="str">
        <f t="shared" si="46"/>
        <v>Product Info</v>
      </c>
      <c r="D2362" s="37" t="s">
        <v>3199</v>
      </c>
      <c r="E2362" s="143">
        <v>1</v>
      </c>
      <c r="F2362" s="12" t="s">
        <v>2170</v>
      </c>
      <c r="G2362" s="38">
        <v>179.39</v>
      </c>
      <c r="H2362" s="38">
        <f t="shared" si="48"/>
        <v>125.57</v>
      </c>
      <c r="I2362" s="38">
        <v>125.57</v>
      </c>
      <c r="J2362" s="39"/>
      <c r="K2362" s="143"/>
      <c r="L2362" s="22">
        <v>0.98</v>
      </c>
      <c r="M2362" s="22" t="s">
        <v>12488</v>
      </c>
      <c r="N2362" s="20" t="s">
        <v>8839</v>
      </c>
      <c r="O2362" s="16" t="s">
        <v>12608</v>
      </c>
      <c r="P2362" s="143">
        <v>761</v>
      </c>
      <c r="Q2362" s="122" t="s">
        <v>9227</v>
      </c>
      <c r="R2362" s="16" t="s">
        <v>8904</v>
      </c>
      <c r="S2362" s="10" t="s">
        <v>194</v>
      </c>
      <c r="T2362" s="28" t="s">
        <v>11383</v>
      </c>
      <c r="U2362" s="20" t="s">
        <v>5359</v>
      </c>
      <c r="V2362" s="16" t="s">
        <v>7084</v>
      </c>
      <c r="W2362" s="11" t="s">
        <v>14283</v>
      </c>
      <c r="X2362" s="174">
        <v>102.74</v>
      </c>
      <c r="Y2362" s="174">
        <v>125.57</v>
      </c>
    </row>
    <row r="2363" spans="1:25" ht="15" customHeight="1" x14ac:dyDescent="0.25">
      <c r="A2363" s="20" t="s">
        <v>7085</v>
      </c>
      <c r="B2363" s="14" t="s">
        <v>5363</v>
      </c>
      <c r="C2363" s="71" t="str">
        <f t="shared" si="46"/>
        <v>Product Info</v>
      </c>
      <c r="D2363" s="37" t="s">
        <v>4422</v>
      </c>
      <c r="E2363" s="143">
        <v>1</v>
      </c>
      <c r="F2363" s="12" t="s">
        <v>2170</v>
      </c>
      <c r="G2363" s="38">
        <v>93.51</v>
      </c>
      <c r="H2363" s="38">
        <f t="shared" si="48"/>
        <v>65.459999999999994</v>
      </c>
      <c r="I2363" s="38">
        <v>65.459999999999994</v>
      </c>
      <c r="J2363" s="39"/>
      <c r="K2363" s="143"/>
      <c r="L2363" s="22">
        <v>0.93500000000000005</v>
      </c>
      <c r="M2363" s="22" t="s">
        <v>12488</v>
      </c>
      <c r="N2363" s="20" t="s">
        <v>8840</v>
      </c>
      <c r="O2363" s="16" t="s">
        <v>12608</v>
      </c>
      <c r="P2363" s="143">
        <v>761</v>
      </c>
      <c r="Q2363" s="122" t="s">
        <v>9227</v>
      </c>
      <c r="R2363" s="16" t="s">
        <v>8904</v>
      </c>
      <c r="S2363" s="10" t="s">
        <v>194</v>
      </c>
      <c r="T2363" s="28" t="s">
        <v>11384</v>
      </c>
      <c r="U2363" s="20" t="s">
        <v>5359</v>
      </c>
      <c r="V2363" s="16" t="s">
        <v>7085</v>
      </c>
      <c r="W2363" s="11" t="s">
        <v>14283</v>
      </c>
      <c r="X2363" s="174">
        <v>52.14</v>
      </c>
      <c r="Y2363" s="174">
        <v>65.459999999999994</v>
      </c>
    </row>
    <row r="2364" spans="1:25" ht="15" customHeight="1" x14ac:dyDescent="0.25">
      <c r="A2364" s="20" t="s">
        <v>7889</v>
      </c>
      <c r="B2364" s="14" t="s">
        <v>12425</v>
      </c>
      <c r="C2364" s="71" t="str">
        <f t="shared" si="46"/>
        <v>Product Info</v>
      </c>
      <c r="D2364" s="37" t="s">
        <v>4423</v>
      </c>
      <c r="E2364" s="143">
        <v>1</v>
      </c>
      <c r="F2364" s="12" t="s">
        <v>2170</v>
      </c>
      <c r="G2364" s="38">
        <v>132.06</v>
      </c>
      <c r="H2364" s="38">
        <f t="shared" si="48"/>
        <v>92.44</v>
      </c>
      <c r="I2364" s="38">
        <v>92.44</v>
      </c>
      <c r="J2364" s="39"/>
      <c r="K2364" s="143"/>
      <c r="L2364" s="22">
        <v>0.73</v>
      </c>
      <c r="M2364" s="22" t="s">
        <v>12488</v>
      </c>
      <c r="N2364" s="20" t="s">
        <v>8839</v>
      </c>
      <c r="O2364" s="16" t="s">
        <v>12608</v>
      </c>
      <c r="P2364" s="143">
        <v>761</v>
      </c>
      <c r="Q2364" s="122" t="s">
        <v>9227</v>
      </c>
      <c r="R2364" s="16" t="s">
        <v>8904</v>
      </c>
      <c r="S2364" s="10" t="s">
        <v>194</v>
      </c>
      <c r="T2364" s="28" t="s">
        <v>11385</v>
      </c>
      <c r="U2364" s="20" t="s">
        <v>5359</v>
      </c>
      <c r="V2364" s="16" t="s">
        <v>7889</v>
      </c>
      <c r="W2364" s="11" t="s">
        <v>14283</v>
      </c>
      <c r="X2364" s="174">
        <v>71.8</v>
      </c>
      <c r="Y2364" s="174">
        <v>92.44</v>
      </c>
    </row>
    <row r="2365" spans="1:25" ht="15" customHeight="1" x14ac:dyDescent="0.25">
      <c r="A2365" s="20" t="s">
        <v>2542</v>
      </c>
      <c r="B2365" s="14" t="s">
        <v>2543</v>
      </c>
      <c r="C2365" s="71" t="str">
        <f t="shared" si="46"/>
        <v>Product Info</v>
      </c>
      <c r="D2365" s="37" t="s">
        <v>3623</v>
      </c>
      <c r="E2365" s="143">
        <v>1</v>
      </c>
      <c r="F2365" s="12" t="s">
        <v>2170</v>
      </c>
      <c r="G2365" s="38">
        <v>123.17</v>
      </c>
      <c r="H2365" s="38">
        <f t="shared" si="48"/>
        <v>86.22</v>
      </c>
      <c r="I2365" s="38">
        <v>86.22</v>
      </c>
      <c r="J2365" s="39"/>
      <c r="K2365" s="143"/>
      <c r="L2365" s="22">
        <v>0.68</v>
      </c>
      <c r="M2365" s="22" t="s">
        <v>12488</v>
      </c>
      <c r="N2365" s="20" t="s">
        <v>8841</v>
      </c>
      <c r="O2365" s="16" t="s">
        <v>12608</v>
      </c>
      <c r="P2365" s="143">
        <v>761</v>
      </c>
      <c r="Q2365" s="121" t="s">
        <v>14285</v>
      </c>
      <c r="R2365" s="16" t="s">
        <v>8904</v>
      </c>
      <c r="S2365" s="10" t="s">
        <v>194</v>
      </c>
      <c r="T2365" s="28" t="s">
        <v>11386</v>
      </c>
      <c r="U2365" s="20" t="s">
        <v>5359</v>
      </c>
      <c r="V2365" s="16" t="s">
        <v>2542</v>
      </c>
      <c r="W2365" s="11" t="s">
        <v>14283</v>
      </c>
      <c r="X2365" s="174">
        <v>66.97</v>
      </c>
      <c r="Y2365" s="174">
        <v>86.22</v>
      </c>
    </row>
    <row r="2366" spans="1:25" ht="15" customHeight="1" x14ac:dyDescent="0.25">
      <c r="A2366" s="20" t="s">
        <v>2544</v>
      </c>
      <c r="B2366" s="14" t="s">
        <v>2545</v>
      </c>
      <c r="C2366" s="71" t="str">
        <f t="shared" si="46"/>
        <v>Product Info</v>
      </c>
      <c r="D2366" s="37" t="s">
        <v>3624</v>
      </c>
      <c r="E2366" s="143">
        <v>1</v>
      </c>
      <c r="F2366" s="12" t="s">
        <v>2170</v>
      </c>
      <c r="G2366" s="38">
        <v>146.33000000000001</v>
      </c>
      <c r="H2366" s="38">
        <f t="shared" si="48"/>
        <v>102.43</v>
      </c>
      <c r="I2366" s="38">
        <v>102.43</v>
      </c>
      <c r="J2366" s="39"/>
      <c r="K2366" s="143"/>
      <c r="L2366" s="22">
        <v>0.82</v>
      </c>
      <c r="M2366" s="22" t="s">
        <v>12488</v>
      </c>
      <c r="N2366" s="20" t="s">
        <v>8841</v>
      </c>
      <c r="O2366" s="16" t="s">
        <v>12608</v>
      </c>
      <c r="P2366" s="143">
        <v>761</v>
      </c>
      <c r="Q2366" s="121" t="s">
        <v>14285</v>
      </c>
      <c r="R2366" s="16" t="s">
        <v>8904</v>
      </c>
      <c r="S2366" s="10" t="s">
        <v>194</v>
      </c>
      <c r="T2366" s="28" t="s">
        <v>11387</v>
      </c>
      <c r="U2366" s="20" t="s">
        <v>5359</v>
      </c>
      <c r="V2366" s="16" t="s">
        <v>2544</v>
      </c>
      <c r="W2366" s="11" t="s">
        <v>14283</v>
      </c>
      <c r="X2366" s="174">
        <v>79.56</v>
      </c>
      <c r="Y2366" s="174">
        <v>102.43</v>
      </c>
    </row>
    <row r="2367" spans="1:25" ht="15" customHeight="1" x14ac:dyDescent="0.25">
      <c r="A2367" s="20" t="s">
        <v>8178</v>
      </c>
      <c r="B2367" s="14" t="s">
        <v>8179</v>
      </c>
      <c r="C2367" s="71" t="str">
        <f t="shared" si="46"/>
        <v>Product Info</v>
      </c>
      <c r="D2367" s="37" t="s">
        <v>8960</v>
      </c>
      <c r="E2367" s="143">
        <v>1</v>
      </c>
      <c r="F2367" s="12" t="s">
        <v>4992</v>
      </c>
      <c r="G2367" s="38">
        <v>1006.8</v>
      </c>
      <c r="H2367" s="38">
        <f t="shared" si="48"/>
        <v>704.76</v>
      </c>
      <c r="I2367" s="38">
        <v>704.76</v>
      </c>
      <c r="J2367" s="39"/>
      <c r="K2367" s="143"/>
      <c r="L2367" s="22">
        <v>5</v>
      </c>
      <c r="M2367" s="22" t="s">
        <v>12488</v>
      </c>
      <c r="N2367" s="20" t="s">
        <v>9406</v>
      </c>
      <c r="O2367" s="16" t="s">
        <v>13912</v>
      </c>
      <c r="P2367" s="143">
        <v>761</v>
      </c>
      <c r="Q2367" s="121" t="s">
        <v>14285</v>
      </c>
      <c r="R2367" s="16" t="s">
        <v>8904</v>
      </c>
      <c r="S2367" s="10" t="s">
        <v>194</v>
      </c>
      <c r="T2367" s="28" t="s">
        <v>13138</v>
      </c>
      <c r="U2367" s="20" t="s">
        <v>5359</v>
      </c>
      <c r="V2367" s="16" t="s">
        <v>8178</v>
      </c>
      <c r="W2367" s="11" t="s">
        <v>14283</v>
      </c>
      <c r="X2367" s="174">
        <v>547.38</v>
      </c>
      <c r="Y2367" s="174">
        <v>704.76</v>
      </c>
    </row>
    <row r="2368" spans="1:25" ht="15" customHeight="1" x14ac:dyDescent="0.25">
      <c r="A2368" s="20" t="s">
        <v>9130</v>
      </c>
      <c r="B2368" s="14" t="s">
        <v>12429</v>
      </c>
      <c r="C2368" s="71" t="str">
        <f t="shared" si="46"/>
        <v>Product Info</v>
      </c>
      <c r="D2368" s="37" t="s">
        <v>9131</v>
      </c>
      <c r="E2368" s="143">
        <v>0</v>
      </c>
      <c r="F2368" s="12" t="s">
        <v>4992</v>
      </c>
      <c r="G2368" s="38">
        <v>942.1</v>
      </c>
      <c r="H2368" s="38">
        <v>800.81</v>
      </c>
      <c r="I2368" s="38">
        <v>659.47</v>
      </c>
      <c r="J2368" s="39"/>
      <c r="K2368" s="143"/>
      <c r="L2368" s="22">
        <v>0</v>
      </c>
      <c r="M2368" s="22">
        <v>0</v>
      </c>
      <c r="N2368" s="20" t="s">
        <v>14489</v>
      </c>
      <c r="O2368" s="16">
        <v>0</v>
      </c>
      <c r="P2368" s="143" t="s">
        <v>12611</v>
      </c>
      <c r="Q2368" s="122" t="s">
        <v>12421</v>
      </c>
      <c r="R2368" s="16" t="s">
        <v>9235</v>
      </c>
      <c r="S2368" s="10" t="s">
        <v>9225</v>
      </c>
      <c r="T2368" s="28" t="s">
        <v>12363</v>
      </c>
      <c r="U2368" s="20" t="s">
        <v>5359</v>
      </c>
      <c r="V2368" s="16" t="s">
        <v>9130</v>
      </c>
      <c r="W2368" s="11" t="s">
        <v>14395</v>
      </c>
      <c r="X2368" s="174">
        <v>591.97</v>
      </c>
      <c r="Y2368" s="174">
        <v>800.81</v>
      </c>
    </row>
    <row r="2369" spans="1:25" ht="15" customHeight="1" x14ac:dyDescent="0.25">
      <c r="A2369" s="20" t="s">
        <v>9138</v>
      </c>
      <c r="B2369" s="14" t="s">
        <v>12428</v>
      </c>
      <c r="C2369" s="71" t="str">
        <f t="shared" si="46"/>
        <v>Product Info</v>
      </c>
      <c r="D2369" s="37" t="s">
        <v>9139</v>
      </c>
      <c r="E2369" s="143">
        <v>1</v>
      </c>
      <c r="F2369" s="12" t="s">
        <v>4992</v>
      </c>
      <c r="G2369" s="38">
        <v>942.1</v>
      </c>
      <c r="H2369" s="38">
        <v>800.81</v>
      </c>
      <c r="I2369" s="38">
        <v>659.47</v>
      </c>
      <c r="J2369" s="39"/>
      <c r="K2369" s="143"/>
      <c r="L2369" s="22">
        <v>0</v>
      </c>
      <c r="M2369" s="22">
        <v>0</v>
      </c>
      <c r="N2369" s="20" t="s">
        <v>14489</v>
      </c>
      <c r="O2369" s="16">
        <v>0</v>
      </c>
      <c r="P2369" s="143" t="s">
        <v>12611</v>
      </c>
      <c r="Q2369" s="121" t="s">
        <v>14285</v>
      </c>
      <c r="R2369" s="16" t="s">
        <v>9235</v>
      </c>
      <c r="S2369" s="10" t="s">
        <v>9225</v>
      </c>
      <c r="T2369" s="28" t="s">
        <v>12366</v>
      </c>
      <c r="U2369" s="20" t="s">
        <v>5359</v>
      </c>
      <c r="V2369" s="16" t="s">
        <v>9138</v>
      </c>
      <c r="W2369" s="11" t="s">
        <v>14395</v>
      </c>
      <c r="X2369" s="174">
        <v>591.97</v>
      </c>
      <c r="Y2369" s="174">
        <v>800.81</v>
      </c>
    </row>
    <row r="2370" spans="1:25" ht="15" customHeight="1" x14ac:dyDescent="0.25">
      <c r="A2370" s="20" t="s">
        <v>9132</v>
      </c>
      <c r="B2370" s="14" t="s">
        <v>9133</v>
      </c>
      <c r="C2370" s="71" t="str">
        <f t="shared" si="46"/>
        <v>Product Info</v>
      </c>
      <c r="D2370" s="37" t="s">
        <v>9134</v>
      </c>
      <c r="E2370" s="143">
        <v>0</v>
      </c>
      <c r="F2370" s="12" t="s">
        <v>4992</v>
      </c>
      <c r="G2370" s="38">
        <v>1024.69</v>
      </c>
      <c r="H2370" s="38">
        <v>871.01</v>
      </c>
      <c r="I2370" s="38">
        <v>717.28</v>
      </c>
      <c r="J2370" s="39"/>
      <c r="K2370" s="143"/>
      <c r="L2370" s="22">
        <v>0</v>
      </c>
      <c r="M2370" s="22">
        <v>0</v>
      </c>
      <c r="N2370" s="20" t="s">
        <v>14489</v>
      </c>
      <c r="O2370" s="16">
        <v>0</v>
      </c>
      <c r="P2370" s="143" t="s">
        <v>12611</v>
      </c>
      <c r="Q2370" s="122" t="s">
        <v>12421</v>
      </c>
      <c r="R2370" s="16" t="s">
        <v>9235</v>
      </c>
      <c r="S2370" s="10" t="s">
        <v>9225</v>
      </c>
      <c r="T2370" s="28" t="s">
        <v>12364</v>
      </c>
      <c r="U2370" s="20" t="s">
        <v>5359</v>
      </c>
      <c r="V2370" s="16" t="s">
        <v>9132</v>
      </c>
      <c r="W2370" s="11" t="s">
        <v>14395</v>
      </c>
      <c r="X2370" s="174">
        <v>643.87</v>
      </c>
      <c r="Y2370" s="174">
        <v>871.01</v>
      </c>
    </row>
    <row r="2371" spans="1:25" ht="15" customHeight="1" x14ac:dyDescent="0.25">
      <c r="A2371" s="20" t="s">
        <v>9135</v>
      </c>
      <c r="B2371" s="14" t="s">
        <v>9136</v>
      </c>
      <c r="C2371" s="71" t="str">
        <f t="shared" si="46"/>
        <v>Product Info</v>
      </c>
      <c r="D2371" s="37" t="s">
        <v>9137</v>
      </c>
      <c r="E2371" s="143">
        <v>0</v>
      </c>
      <c r="F2371" s="12" t="s">
        <v>4992</v>
      </c>
      <c r="G2371" s="38">
        <v>1024.69</v>
      </c>
      <c r="H2371" s="38">
        <v>871.01</v>
      </c>
      <c r="I2371" s="38">
        <v>717.28</v>
      </c>
      <c r="J2371" s="39"/>
      <c r="K2371" s="143"/>
      <c r="L2371" s="22">
        <v>0</v>
      </c>
      <c r="M2371" s="22">
        <v>0</v>
      </c>
      <c r="N2371" s="20" t="s">
        <v>14489</v>
      </c>
      <c r="O2371" s="16">
        <v>0</v>
      </c>
      <c r="P2371" s="143" t="s">
        <v>12611</v>
      </c>
      <c r="Q2371" s="121" t="s">
        <v>14285</v>
      </c>
      <c r="R2371" s="16" t="s">
        <v>9235</v>
      </c>
      <c r="S2371" s="10" t="s">
        <v>9225</v>
      </c>
      <c r="T2371" s="28" t="s">
        <v>12365</v>
      </c>
      <c r="U2371" s="20" t="s">
        <v>5359</v>
      </c>
      <c r="V2371" s="16" t="s">
        <v>9135</v>
      </c>
      <c r="W2371" s="11" t="s">
        <v>14395</v>
      </c>
      <c r="X2371" s="174">
        <v>643.87</v>
      </c>
      <c r="Y2371" s="174">
        <v>871.01</v>
      </c>
    </row>
    <row r="2372" spans="1:25" ht="15" customHeight="1" x14ac:dyDescent="0.25">
      <c r="A2372" s="20" t="s">
        <v>9140</v>
      </c>
      <c r="B2372" s="14" t="s">
        <v>9141</v>
      </c>
      <c r="C2372" s="71" t="str">
        <f t="shared" si="46"/>
        <v>Product Info</v>
      </c>
      <c r="D2372" s="37" t="s">
        <v>9142</v>
      </c>
      <c r="E2372" s="143">
        <v>0</v>
      </c>
      <c r="F2372" s="12" t="s">
        <v>4992</v>
      </c>
      <c r="G2372" s="38">
        <v>1024.69</v>
      </c>
      <c r="H2372" s="38">
        <v>871.01</v>
      </c>
      <c r="I2372" s="38">
        <v>717.28</v>
      </c>
      <c r="J2372" s="39"/>
      <c r="K2372" s="143"/>
      <c r="L2372" s="22">
        <v>0</v>
      </c>
      <c r="M2372" s="22">
        <v>0</v>
      </c>
      <c r="N2372" s="20" t="s">
        <v>14489</v>
      </c>
      <c r="O2372" s="16">
        <v>0</v>
      </c>
      <c r="P2372" s="143" t="s">
        <v>12611</v>
      </c>
      <c r="Q2372" s="121" t="s">
        <v>14285</v>
      </c>
      <c r="R2372" s="16" t="s">
        <v>9235</v>
      </c>
      <c r="S2372" s="10" t="s">
        <v>9225</v>
      </c>
      <c r="T2372" s="28" t="s">
        <v>12367</v>
      </c>
      <c r="U2372" s="20" t="s">
        <v>5359</v>
      </c>
      <c r="V2372" s="16" t="s">
        <v>9140</v>
      </c>
      <c r="W2372" s="11" t="s">
        <v>14395</v>
      </c>
      <c r="X2372" s="174">
        <v>643.87</v>
      </c>
      <c r="Y2372" s="174">
        <v>871.01</v>
      </c>
    </row>
    <row r="2373" spans="1:25" ht="15" customHeight="1" x14ac:dyDescent="0.25">
      <c r="A2373" s="20" t="s">
        <v>9143</v>
      </c>
      <c r="B2373" s="14" t="s">
        <v>9144</v>
      </c>
      <c r="C2373" s="71" t="str">
        <f t="shared" si="46"/>
        <v>Product Info</v>
      </c>
      <c r="D2373" s="37" t="s">
        <v>9145</v>
      </c>
      <c r="E2373" s="143">
        <v>0</v>
      </c>
      <c r="F2373" s="12" t="s">
        <v>4992</v>
      </c>
      <c r="G2373" s="38">
        <v>1024.69</v>
      </c>
      <c r="H2373" s="38">
        <v>871.01</v>
      </c>
      <c r="I2373" s="38">
        <v>717.28</v>
      </c>
      <c r="J2373" s="39"/>
      <c r="K2373" s="143"/>
      <c r="L2373" s="22">
        <v>0</v>
      </c>
      <c r="M2373" s="22">
        <v>0</v>
      </c>
      <c r="N2373" s="20" t="s">
        <v>14489</v>
      </c>
      <c r="O2373" s="16">
        <v>0</v>
      </c>
      <c r="P2373" s="143" t="s">
        <v>12611</v>
      </c>
      <c r="Q2373" s="121" t="s">
        <v>14285</v>
      </c>
      <c r="R2373" s="16" t="s">
        <v>9235</v>
      </c>
      <c r="S2373" s="10" t="s">
        <v>9225</v>
      </c>
      <c r="T2373" s="28" t="s">
        <v>12368</v>
      </c>
      <c r="U2373" s="20" t="s">
        <v>5359</v>
      </c>
      <c r="V2373" s="16" t="s">
        <v>9143</v>
      </c>
      <c r="W2373" s="11" t="s">
        <v>14395</v>
      </c>
      <c r="X2373" s="174">
        <v>643.87</v>
      </c>
      <c r="Y2373" s="174">
        <v>871.01</v>
      </c>
    </row>
    <row r="2374" spans="1:25" ht="15" customHeight="1" x14ac:dyDescent="0.25">
      <c r="A2374" s="20" t="s">
        <v>9146</v>
      </c>
      <c r="B2374" s="14" t="s">
        <v>12427</v>
      </c>
      <c r="C2374" s="71" t="str">
        <f t="shared" ref="C2374:C2437" si="49">HYPERLINK(T2374,U2374)</f>
        <v>Product Info</v>
      </c>
      <c r="D2374" s="37" t="s">
        <v>9147</v>
      </c>
      <c r="E2374" s="143">
        <v>0</v>
      </c>
      <c r="F2374" s="12" t="s">
        <v>4992</v>
      </c>
      <c r="G2374" s="38">
        <v>942.1</v>
      </c>
      <c r="H2374" s="38">
        <v>800.81</v>
      </c>
      <c r="I2374" s="38">
        <v>659.47</v>
      </c>
      <c r="J2374" s="39"/>
      <c r="K2374" s="143"/>
      <c r="L2374" s="22">
        <v>0</v>
      </c>
      <c r="M2374" s="22">
        <v>0</v>
      </c>
      <c r="N2374" s="20" t="s">
        <v>14489</v>
      </c>
      <c r="O2374" s="16">
        <v>0</v>
      </c>
      <c r="P2374" s="143" t="s">
        <v>12611</v>
      </c>
      <c r="Q2374" s="122" t="s">
        <v>12421</v>
      </c>
      <c r="R2374" s="16" t="s">
        <v>9235</v>
      </c>
      <c r="S2374" s="10" t="s">
        <v>9225</v>
      </c>
      <c r="T2374" s="28" t="s">
        <v>12369</v>
      </c>
      <c r="U2374" s="20" t="s">
        <v>5359</v>
      </c>
      <c r="V2374" s="16" t="s">
        <v>9146</v>
      </c>
      <c r="W2374" s="11" t="s">
        <v>14395</v>
      </c>
      <c r="X2374" s="174">
        <v>591.97</v>
      </c>
      <c r="Y2374" s="174">
        <v>800.81</v>
      </c>
    </row>
    <row r="2375" spans="1:25" ht="15" customHeight="1" x14ac:dyDescent="0.25">
      <c r="A2375" s="20" t="s">
        <v>9148</v>
      </c>
      <c r="B2375" s="14" t="s">
        <v>9149</v>
      </c>
      <c r="C2375" s="71" t="str">
        <f t="shared" si="49"/>
        <v>Product Info</v>
      </c>
      <c r="D2375" s="37" t="s">
        <v>9150</v>
      </c>
      <c r="E2375" s="143">
        <v>0</v>
      </c>
      <c r="F2375" s="12" t="s">
        <v>4992</v>
      </c>
      <c r="G2375" s="38">
        <v>1024.69</v>
      </c>
      <c r="H2375" s="38">
        <v>871.01</v>
      </c>
      <c r="I2375" s="38">
        <v>717.28</v>
      </c>
      <c r="J2375" s="39"/>
      <c r="K2375" s="143"/>
      <c r="L2375" s="22">
        <v>0</v>
      </c>
      <c r="M2375" s="22">
        <v>0</v>
      </c>
      <c r="N2375" s="20" t="s">
        <v>14489</v>
      </c>
      <c r="O2375" s="16">
        <v>0</v>
      </c>
      <c r="P2375" s="143" t="s">
        <v>12611</v>
      </c>
      <c r="Q2375" s="121" t="s">
        <v>14285</v>
      </c>
      <c r="R2375" s="16" t="s">
        <v>9235</v>
      </c>
      <c r="S2375" s="10" t="s">
        <v>9225</v>
      </c>
      <c r="T2375" s="28" t="s">
        <v>12370</v>
      </c>
      <c r="U2375" s="20" t="s">
        <v>5359</v>
      </c>
      <c r="V2375" s="16" t="s">
        <v>9148</v>
      </c>
      <c r="W2375" s="11" t="s">
        <v>14395</v>
      </c>
      <c r="X2375" s="174">
        <v>643.87</v>
      </c>
      <c r="Y2375" s="174">
        <v>871.01</v>
      </c>
    </row>
    <row r="2376" spans="1:25" ht="15" customHeight="1" x14ac:dyDescent="0.25">
      <c r="A2376" s="20" t="s">
        <v>9151</v>
      </c>
      <c r="B2376" s="14" t="s">
        <v>9152</v>
      </c>
      <c r="C2376" s="71" t="str">
        <f t="shared" si="49"/>
        <v>Product Info</v>
      </c>
      <c r="D2376" s="37" t="s">
        <v>9153</v>
      </c>
      <c r="E2376" s="143">
        <v>1</v>
      </c>
      <c r="F2376" s="12" t="s">
        <v>4992</v>
      </c>
      <c r="G2376" s="38">
        <v>1024.69</v>
      </c>
      <c r="H2376" s="38">
        <v>871.01</v>
      </c>
      <c r="I2376" s="38">
        <v>717.28</v>
      </c>
      <c r="J2376" s="39"/>
      <c r="K2376" s="143"/>
      <c r="L2376" s="22">
        <v>0</v>
      </c>
      <c r="M2376" s="22">
        <v>0</v>
      </c>
      <c r="N2376" s="20" t="s">
        <v>14489</v>
      </c>
      <c r="O2376" s="16">
        <v>0</v>
      </c>
      <c r="P2376" s="143" t="s">
        <v>12611</v>
      </c>
      <c r="Q2376" s="121" t="s">
        <v>14285</v>
      </c>
      <c r="R2376" s="16" t="s">
        <v>9235</v>
      </c>
      <c r="S2376" s="10" t="s">
        <v>9225</v>
      </c>
      <c r="T2376" s="28" t="s">
        <v>12371</v>
      </c>
      <c r="U2376" s="20" t="s">
        <v>5359</v>
      </c>
      <c r="V2376" s="16" t="s">
        <v>9151</v>
      </c>
      <c r="W2376" s="11" t="s">
        <v>14395</v>
      </c>
      <c r="X2376" s="174">
        <v>643.87</v>
      </c>
      <c r="Y2376" s="174">
        <v>871.01</v>
      </c>
    </row>
    <row r="2377" spans="1:25" ht="15" customHeight="1" x14ac:dyDescent="0.25">
      <c r="A2377" s="20" t="s">
        <v>3605</v>
      </c>
      <c r="B2377" s="14" t="s">
        <v>3606</v>
      </c>
      <c r="C2377" s="71" t="str">
        <f t="shared" si="49"/>
        <v>Product Info</v>
      </c>
      <c r="D2377" s="37" t="s">
        <v>3625</v>
      </c>
      <c r="E2377" s="143">
        <v>12</v>
      </c>
      <c r="F2377" s="12" t="s">
        <v>4992</v>
      </c>
      <c r="G2377" s="38">
        <v>22.96</v>
      </c>
      <c r="H2377" s="38">
        <f t="shared" ref="H2377:H2408" si="50">I2377</f>
        <v>16.07</v>
      </c>
      <c r="I2377" s="38">
        <v>16.07</v>
      </c>
      <c r="J2377" s="39"/>
      <c r="K2377" s="143"/>
      <c r="L2377" s="22">
        <v>0.91</v>
      </c>
      <c r="M2377" s="22" t="s">
        <v>14396</v>
      </c>
      <c r="N2377" s="20" t="s">
        <v>9407</v>
      </c>
      <c r="O2377" s="16" t="s">
        <v>12608</v>
      </c>
      <c r="P2377" s="143">
        <v>749</v>
      </c>
      <c r="Q2377" s="122" t="s">
        <v>12421</v>
      </c>
      <c r="R2377" s="16" t="s">
        <v>8904</v>
      </c>
      <c r="S2377" s="10" t="s">
        <v>194</v>
      </c>
      <c r="T2377" s="28" t="s">
        <v>11388</v>
      </c>
      <c r="U2377" s="20" t="s">
        <v>5359</v>
      </c>
      <c r="V2377" s="16" t="s">
        <v>3605</v>
      </c>
      <c r="W2377" s="11" t="s">
        <v>14433</v>
      </c>
      <c r="X2377" s="174">
        <v>12.42</v>
      </c>
      <c r="Y2377" s="174">
        <v>16.07</v>
      </c>
    </row>
    <row r="2378" spans="1:25" ht="15" customHeight="1" x14ac:dyDescent="0.25">
      <c r="A2378" s="20" t="s">
        <v>7693</v>
      </c>
      <c r="B2378" s="14" t="s">
        <v>7694</v>
      </c>
      <c r="C2378" s="71" t="str">
        <f t="shared" si="49"/>
        <v>Product Info</v>
      </c>
      <c r="D2378" s="37" t="s">
        <v>8916</v>
      </c>
      <c r="E2378" s="143">
        <v>5</v>
      </c>
      <c r="F2378" s="12" t="s">
        <v>2170</v>
      </c>
      <c r="G2378" s="38">
        <v>23.46</v>
      </c>
      <c r="H2378" s="38">
        <f t="shared" si="50"/>
        <v>16.420000000000002</v>
      </c>
      <c r="I2378" s="38">
        <v>16.420000000000002</v>
      </c>
      <c r="J2378" s="39"/>
      <c r="K2378" s="12" t="s">
        <v>8905</v>
      </c>
      <c r="L2378" s="22">
        <v>0.26</v>
      </c>
      <c r="M2378" s="22" t="s">
        <v>2170</v>
      </c>
      <c r="N2378" s="20" t="s">
        <v>14489</v>
      </c>
      <c r="O2378" s="16" t="s">
        <v>12608</v>
      </c>
      <c r="P2378" s="143">
        <v>749</v>
      </c>
      <c r="Q2378" s="122" t="s">
        <v>14461</v>
      </c>
      <c r="R2378" s="16" t="s">
        <v>9235</v>
      </c>
      <c r="S2378" s="10" t="s">
        <v>194</v>
      </c>
      <c r="T2378" s="28" t="s">
        <v>11389</v>
      </c>
      <c r="U2378" s="20" t="s">
        <v>5359</v>
      </c>
      <c r="V2378" s="16" t="s">
        <v>7693</v>
      </c>
      <c r="W2378" s="11" t="s">
        <v>14433</v>
      </c>
      <c r="X2378" s="174">
        <v>12.69</v>
      </c>
      <c r="Y2378" s="174">
        <v>16.420000000000002</v>
      </c>
    </row>
    <row r="2379" spans="1:25" ht="15" customHeight="1" x14ac:dyDescent="0.25">
      <c r="A2379" s="20" t="s">
        <v>7695</v>
      </c>
      <c r="B2379" s="14" t="s">
        <v>7696</v>
      </c>
      <c r="C2379" s="71" t="str">
        <f t="shared" si="49"/>
        <v>Product Info</v>
      </c>
      <c r="D2379" s="37" t="s">
        <v>8917</v>
      </c>
      <c r="E2379" s="143">
        <v>5</v>
      </c>
      <c r="F2379" s="12" t="s">
        <v>2170</v>
      </c>
      <c r="G2379" s="38">
        <v>30.83</v>
      </c>
      <c r="H2379" s="38">
        <f t="shared" si="50"/>
        <v>21.58</v>
      </c>
      <c r="I2379" s="38">
        <v>21.58</v>
      </c>
      <c r="J2379" s="39"/>
      <c r="K2379" s="12" t="s">
        <v>8905</v>
      </c>
      <c r="L2379" s="22">
        <v>0.32</v>
      </c>
      <c r="M2379" s="22" t="s">
        <v>2170</v>
      </c>
      <c r="N2379" s="20" t="s">
        <v>14489</v>
      </c>
      <c r="O2379" s="16" t="s">
        <v>12608</v>
      </c>
      <c r="P2379" s="143">
        <v>749</v>
      </c>
      <c r="Q2379" s="122" t="s">
        <v>9227</v>
      </c>
      <c r="R2379" s="16" t="s">
        <v>9235</v>
      </c>
      <c r="S2379" s="10" t="s">
        <v>194</v>
      </c>
      <c r="T2379" s="28" t="s">
        <v>11390</v>
      </c>
      <c r="U2379" s="20" t="s">
        <v>5359</v>
      </c>
      <c r="V2379" s="16" t="s">
        <v>7695</v>
      </c>
      <c r="W2379" s="11" t="s">
        <v>14433</v>
      </c>
      <c r="X2379" s="174">
        <v>16.68</v>
      </c>
      <c r="Y2379" s="174">
        <v>21.58</v>
      </c>
    </row>
    <row r="2380" spans="1:25" ht="15" customHeight="1" x14ac:dyDescent="0.25">
      <c r="A2380" s="20" t="s">
        <v>7697</v>
      </c>
      <c r="B2380" s="14" t="s">
        <v>7698</v>
      </c>
      <c r="C2380" s="71" t="str">
        <f t="shared" si="49"/>
        <v>Product Info</v>
      </c>
      <c r="D2380" s="37" t="s">
        <v>8918</v>
      </c>
      <c r="E2380" s="143">
        <v>5</v>
      </c>
      <c r="F2380" s="12" t="s">
        <v>2170</v>
      </c>
      <c r="G2380" s="38">
        <v>64.3</v>
      </c>
      <c r="H2380" s="38">
        <f t="shared" si="50"/>
        <v>45.01</v>
      </c>
      <c r="I2380" s="38">
        <v>45.01</v>
      </c>
      <c r="J2380" s="39"/>
      <c r="K2380" s="12" t="s">
        <v>8905</v>
      </c>
      <c r="L2380" s="22">
        <v>1.04</v>
      </c>
      <c r="M2380" s="22" t="s">
        <v>2170</v>
      </c>
      <c r="N2380" s="20" t="s">
        <v>14489</v>
      </c>
      <c r="O2380" s="16" t="s">
        <v>12608</v>
      </c>
      <c r="P2380" s="143">
        <v>749</v>
      </c>
      <c r="Q2380" s="122" t="s">
        <v>14461</v>
      </c>
      <c r="R2380" s="16" t="s">
        <v>9235</v>
      </c>
      <c r="S2380" s="10" t="s">
        <v>194</v>
      </c>
      <c r="T2380" s="28" t="s">
        <v>11391</v>
      </c>
      <c r="U2380" s="20" t="s">
        <v>5359</v>
      </c>
      <c r="V2380" s="16" t="s">
        <v>7697</v>
      </c>
      <c r="W2380" s="11" t="s">
        <v>14433</v>
      </c>
      <c r="X2380" s="174">
        <v>34.78</v>
      </c>
      <c r="Y2380" s="174">
        <v>45.01</v>
      </c>
    </row>
    <row r="2381" spans="1:25" ht="15" customHeight="1" x14ac:dyDescent="0.25">
      <c r="A2381" s="20" t="s">
        <v>7699</v>
      </c>
      <c r="B2381" s="14" t="s">
        <v>7700</v>
      </c>
      <c r="C2381" s="71" t="str">
        <f t="shared" si="49"/>
        <v>Product Info</v>
      </c>
      <c r="D2381" s="37" t="s">
        <v>8919</v>
      </c>
      <c r="E2381" s="143">
        <v>5</v>
      </c>
      <c r="F2381" s="12" t="s">
        <v>2170</v>
      </c>
      <c r="G2381" s="38">
        <v>100.7</v>
      </c>
      <c r="H2381" s="38">
        <f t="shared" si="50"/>
        <v>70.489999999999995</v>
      </c>
      <c r="I2381" s="38">
        <v>70.489999999999995</v>
      </c>
      <c r="J2381" s="39"/>
      <c r="K2381" s="12" t="s">
        <v>8905</v>
      </c>
      <c r="L2381" s="22">
        <v>2.4</v>
      </c>
      <c r="M2381" s="22" t="s">
        <v>2170</v>
      </c>
      <c r="N2381" s="20" t="s">
        <v>14489</v>
      </c>
      <c r="O2381" s="16" t="s">
        <v>12608</v>
      </c>
      <c r="P2381" s="143">
        <v>749</v>
      </c>
      <c r="Q2381" s="122" t="s">
        <v>14461</v>
      </c>
      <c r="R2381" s="16" t="s">
        <v>9235</v>
      </c>
      <c r="S2381" s="10" t="s">
        <v>194</v>
      </c>
      <c r="T2381" s="28" t="s">
        <v>11392</v>
      </c>
      <c r="U2381" s="20" t="s">
        <v>5359</v>
      </c>
      <c r="V2381" s="16" t="s">
        <v>7699</v>
      </c>
      <c r="W2381" s="11" t="s">
        <v>14433</v>
      </c>
      <c r="X2381" s="174">
        <v>54.47</v>
      </c>
      <c r="Y2381" s="174">
        <v>70.489999999999995</v>
      </c>
    </row>
    <row r="2382" spans="1:25" ht="15" customHeight="1" x14ac:dyDescent="0.25">
      <c r="A2382" s="20" t="s">
        <v>7701</v>
      </c>
      <c r="B2382" s="14" t="s">
        <v>7702</v>
      </c>
      <c r="C2382" s="71" t="str">
        <f t="shared" si="49"/>
        <v>Product Info</v>
      </c>
      <c r="D2382" s="37" t="s">
        <v>3396</v>
      </c>
      <c r="E2382" s="143">
        <v>1</v>
      </c>
      <c r="F2382" s="12" t="s">
        <v>4992</v>
      </c>
      <c r="G2382" s="38">
        <v>65.41</v>
      </c>
      <c r="H2382" s="38">
        <f t="shared" si="50"/>
        <v>45.79</v>
      </c>
      <c r="I2382" s="38">
        <v>45.79</v>
      </c>
      <c r="J2382" s="39"/>
      <c r="K2382" s="143"/>
      <c r="L2382" s="22">
        <v>1.5</v>
      </c>
      <c r="M2382" s="22" t="s">
        <v>12488</v>
      </c>
      <c r="N2382" s="20" t="s">
        <v>9304</v>
      </c>
      <c r="O2382" s="16" t="s">
        <v>12608</v>
      </c>
      <c r="P2382" s="143">
        <v>749</v>
      </c>
      <c r="Q2382" s="121" t="s">
        <v>14285</v>
      </c>
      <c r="R2382" s="16" t="s">
        <v>9235</v>
      </c>
      <c r="S2382" s="10" t="s">
        <v>194</v>
      </c>
      <c r="T2382" s="28" t="s">
        <v>11393</v>
      </c>
      <c r="U2382" s="20" t="s">
        <v>5359</v>
      </c>
      <c r="V2382" s="16" t="s">
        <v>7701</v>
      </c>
      <c r="W2382" s="11" t="s">
        <v>14433</v>
      </c>
      <c r="X2382" s="174">
        <v>35.380000000000003</v>
      </c>
      <c r="Y2382" s="174">
        <v>45.79</v>
      </c>
    </row>
    <row r="2383" spans="1:25" ht="15" customHeight="1" x14ac:dyDescent="0.25">
      <c r="A2383" s="20" t="s">
        <v>6413</v>
      </c>
      <c r="B2383" s="14" t="s">
        <v>6414</v>
      </c>
      <c r="C2383" s="71" t="str">
        <f t="shared" si="49"/>
        <v>Product Info</v>
      </c>
      <c r="D2383" s="37" t="s">
        <v>3397</v>
      </c>
      <c r="E2383" s="143">
        <v>1</v>
      </c>
      <c r="F2383" s="12" t="s">
        <v>4992</v>
      </c>
      <c r="G2383" s="38">
        <v>76.569999999999993</v>
      </c>
      <c r="H2383" s="38">
        <f t="shared" si="50"/>
        <v>53.6</v>
      </c>
      <c r="I2383" s="38">
        <v>53.6</v>
      </c>
      <c r="J2383" s="39"/>
      <c r="K2383" s="143"/>
      <c r="L2383" s="22">
        <v>2</v>
      </c>
      <c r="M2383" s="22" t="s">
        <v>12488</v>
      </c>
      <c r="N2383" s="20" t="s">
        <v>9304</v>
      </c>
      <c r="O2383" s="16" t="s">
        <v>12608</v>
      </c>
      <c r="P2383" s="143">
        <v>749</v>
      </c>
      <c r="Q2383" s="121" t="s">
        <v>14285</v>
      </c>
      <c r="R2383" s="16" t="s">
        <v>9235</v>
      </c>
      <c r="S2383" s="10" t="s">
        <v>194</v>
      </c>
      <c r="T2383" s="28" t="s">
        <v>11394</v>
      </c>
      <c r="U2383" s="20" t="s">
        <v>5359</v>
      </c>
      <c r="V2383" s="16" t="s">
        <v>6413</v>
      </c>
      <c r="W2383" s="11" t="s">
        <v>14433</v>
      </c>
      <c r="X2383" s="174">
        <v>41.42</v>
      </c>
      <c r="Y2383" s="174">
        <v>53.6</v>
      </c>
    </row>
    <row r="2384" spans="1:25" ht="15" customHeight="1" x14ac:dyDescent="0.25">
      <c r="A2384" s="20" t="s">
        <v>6415</v>
      </c>
      <c r="B2384" s="14" t="s">
        <v>6416</v>
      </c>
      <c r="C2384" s="71" t="str">
        <f t="shared" si="49"/>
        <v>Product Info</v>
      </c>
      <c r="D2384" s="37" t="s">
        <v>3398</v>
      </c>
      <c r="E2384" s="143">
        <v>1</v>
      </c>
      <c r="F2384" s="12" t="s">
        <v>4992</v>
      </c>
      <c r="G2384" s="38">
        <v>98.17</v>
      </c>
      <c r="H2384" s="38">
        <f t="shared" si="50"/>
        <v>68.72</v>
      </c>
      <c r="I2384" s="38">
        <v>68.72</v>
      </c>
      <c r="J2384" s="39"/>
      <c r="K2384" s="143"/>
      <c r="L2384" s="22">
        <v>2.4</v>
      </c>
      <c r="M2384" s="22" t="s">
        <v>12488</v>
      </c>
      <c r="N2384" s="20" t="s">
        <v>8858</v>
      </c>
      <c r="O2384" s="16" t="s">
        <v>12608</v>
      </c>
      <c r="P2384" s="143">
        <v>749</v>
      </c>
      <c r="Q2384" s="122" t="s">
        <v>9227</v>
      </c>
      <c r="R2384" s="16" t="s">
        <v>9235</v>
      </c>
      <c r="S2384" s="10" t="s">
        <v>194</v>
      </c>
      <c r="T2384" s="28" t="s">
        <v>11395</v>
      </c>
      <c r="U2384" s="20" t="s">
        <v>5359</v>
      </c>
      <c r="V2384" s="16" t="s">
        <v>6415</v>
      </c>
      <c r="W2384" s="11" t="s">
        <v>14433</v>
      </c>
      <c r="X2384" s="174">
        <v>53.1</v>
      </c>
      <c r="Y2384" s="174">
        <v>68.72</v>
      </c>
    </row>
    <row r="2385" spans="1:25" ht="15" customHeight="1" x14ac:dyDescent="0.25">
      <c r="A2385" s="20" t="s">
        <v>6417</v>
      </c>
      <c r="B2385" s="14" t="s">
        <v>6418</v>
      </c>
      <c r="C2385" s="71" t="str">
        <f t="shared" si="49"/>
        <v>Product Info</v>
      </c>
      <c r="D2385" s="37" t="s">
        <v>3399</v>
      </c>
      <c r="E2385" s="143">
        <v>1</v>
      </c>
      <c r="F2385" s="12" t="s">
        <v>4992</v>
      </c>
      <c r="G2385" s="38">
        <v>129.56</v>
      </c>
      <c r="H2385" s="38">
        <f t="shared" si="50"/>
        <v>90.69</v>
      </c>
      <c r="I2385" s="38">
        <v>90.69</v>
      </c>
      <c r="J2385" s="39"/>
      <c r="K2385" s="143"/>
      <c r="L2385" s="22">
        <v>3.2</v>
      </c>
      <c r="M2385" s="22" t="s">
        <v>12488</v>
      </c>
      <c r="N2385" s="20" t="s">
        <v>9408</v>
      </c>
      <c r="O2385" s="16" t="s">
        <v>12608</v>
      </c>
      <c r="P2385" s="143">
        <v>749</v>
      </c>
      <c r="Q2385" s="122" t="s">
        <v>12421</v>
      </c>
      <c r="R2385" s="16" t="s">
        <v>9235</v>
      </c>
      <c r="S2385" s="10" t="s">
        <v>194</v>
      </c>
      <c r="T2385" s="28" t="s">
        <v>11396</v>
      </c>
      <c r="U2385" s="20" t="s">
        <v>5359</v>
      </c>
      <c r="V2385" s="16" t="s">
        <v>6417</v>
      </c>
      <c r="W2385" s="11" t="s">
        <v>14433</v>
      </c>
      <c r="X2385" s="174">
        <v>70.08</v>
      </c>
      <c r="Y2385" s="174">
        <v>90.69</v>
      </c>
    </row>
    <row r="2386" spans="1:25" ht="15" customHeight="1" x14ac:dyDescent="0.25">
      <c r="A2386" s="20" t="s">
        <v>6419</v>
      </c>
      <c r="B2386" s="14" t="s">
        <v>6420</v>
      </c>
      <c r="C2386" s="71" t="str">
        <f t="shared" si="49"/>
        <v>Product Info</v>
      </c>
      <c r="D2386" s="37" t="s">
        <v>3400</v>
      </c>
      <c r="E2386" s="143">
        <v>1</v>
      </c>
      <c r="F2386" s="12" t="s">
        <v>4992</v>
      </c>
      <c r="G2386" s="38">
        <v>215.76</v>
      </c>
      <c r="H2386" s="38">
        <f t="shared" si="50"/>
        <v>151.03</v>
      </c>
      <c r="I2386" s="38">
        <v>151.03</v>
      </c>
      <c r="J2386" s="39"/>
      <c r="K2386" s="143"/>
      <c r="L2386" s="22">
        <v>6</v>
      </c>
      <c r="M2386" s="22" t="s">
        <v>12488</v>
      </c>
      <c r="N2386" s="20" t="s">
        <v>9306</v>
      </c>
      <c r="O2386" s="16" t="s">
        <v>12608</v>
      </c>
      <c r="P2386" s="143">
        <v>749</v>
      </c>
      <c r="Q2386" s="122" t="s">
        <v>9227</v>
      </c>
      <c r="R2386" s="16" t="s">
        <v>9235</v>
      </c>
      <c r="S2386" s="10" t="s">
        <v>194</v>
      </c>
      <c r="T2386" s="28" t="s">
        <v>11397</v>
      </c>
      <c r="U2386" s="20" t="s">
        <v>5359</v>
      </c>
      <c r="V2386" s="16" t="s">
        <v>6419</v>
      </c>
      <c r="W2386" s="11" t="s">
        <v>14433</v>
      </c>
      <c r="X2386" s="174">
        <v>116.7</v>
      </c>
      <c r="Y2386" s="174">
        <v>151.03</v>
      </c>
    </row>
    <row r="2387" spans="1:25" ht="15" customHeight="1" x14ac:dyDescent="0.25">
      <c r="A2387" s="20" t="s">
        <v>6421</v>
      </c>
      <c r="B2387" s="14" t="s">
        <v>6422</v>
      </c>
      <c r="C2387" s="71" t="str">
        <f t="shared" si="49"/>
        <v>Product Info</v>
      </c>
      <c r="D2387" s="37" t="s">
        <v>3401</v>
      </c>
      <c r="E2387" s="143">
        <v>1</v>
      </c>
      <c r="F2387" s="12" t="s">
        <v>4992</v>
      </c>
      <c r="G2387" s="38">
        <v>153.53</v>
      </c>
      <c r="H2387" s="38">
        <f t="shared" si="50"/>
        <v>107.47</v>
      </c>
      <c r="I2387" s="38">
        <v>107.47</v>
      </c>
      <c r="J2387" s="39"/>
      <c r="K2387" s="12" t="s">
        <v>8905</v>
      </c>
      <c r="L2387" s="22">
        <v>2.4</v>
      </c>
      <c r="M2387" s="22" t="s">
        <v>12488</v>
      </c>
      <c r="N2387" s="20" t="s">
        <v>8873</v>
      </c>
      <c r="O2387" s="16" t="s">
        <v>12608</v>
      </c>
      <c r="P2387" s="143">
        <v>749</v>
      </c>
      <c r="Q2387" s="122" t="s">
        <v>9227</v>
      </c>
      <c r="R2387" s="16" t="s">
        <v>9235</v>
      </c>
      <c r="S2387" s="10" t="s">
        <v>194</v>
      </c>
      <c r="T2387" s="28" t="s">
        <v>11398</v>
      </c>
      <c r="U2387" s="20" t="s">
        <v>5359</v>
      </c>
      <c r="V2387" s="16" t="s">
        <v>6421</v>
      </c>
      <c r="W2387" s="11" t="s">
        <v>14433</v>
      </c>
      <c r="X2387" s="174">
        <v>83.04</v>
      </c>
      <c r="Y2387" s="174">
        <v>107.47</v>
      </c>
    </row>
    <row r="2388" spans="1:25" ht="15" customHeight="1" x14ac:dyDescent="0.25">
      <c r="A2388" s="20" t="s">
        <v>6423</v>
      </c>
      <c r="B2388" s="14" t="s">
        <v>6424</v>
      </c>
      <c r="C2388" s="71" t="str">
        <f t="shared" si="49"/>
        <v>Product Info</v>
      </c>
      <c r="D2388" s="37" t="s">
        <v>3402</v>
      </c>
      <c r="E2388" s="143">
        <v>1</v>
      </c>
      <c r="F2388" s="12" t="s">
        <v>4992</v>
      </c>
      <c r="G2388" s="38">
        <v>187.07</v>
      </c>
      <c r="H2388" s="38">
        <f t="shared" si="50"/>
        <v>130.94999999999999</v>
      </c>
      <c r="I2388" s="38">
        <v>130.94999999999999</v>
      </c>
      <c r="J2388" s="39"/>
      <c r="K2388" s="143"/>
      <c r="L2388" s="22">
        <v>3.3</v>
      </c>
      <c r="M2388" s="22" t="s">
        <v>12488</v>
      </c>
      <c r="N2388" s="20" t="s">
        <v>9408</v>
      </c>
      <c r="O2388" s="16" t="s">
        <v>12608</v>
      </c>
      <c r="P2388" s="143">
        <v>749</v>
      </c>
      <c r="Q2388" s="122" t="s">
        <v>9227</v>
      </c>
      <c r="R2388" s="16" t="s">
        <v>9235</v>
      </c>
      <c r="S2388" s="10" t="s">
        <v>194</v>
      </c>
      <c r="T2388" s="28" t="s">
        <v>11399</v>
      </c>
      <c r="U2388" s="20" t="s">
        <v>5359</v>
      </c>
      <c r="V2388" s="16" t="s">
        <v>6423</v>
      </c>
      <c r="W2388" s="11" t="s">
        <v>14433</v>
      </c>
      <c r="X2388" s="174">
        <v>101.18</v>
      </c>
      <c r="Y2388" s="174">
        <v>130.94999999999999</v>
      </c>
    </row>
    <row r="2389" spans="1:25" ht="15" customHeight="1" x14ac:dyDescent="0.25">
      <c r="A2389" s="20" t="s">
        <v>6425</v>
      </c>
      <c r="B2389" s="14" t="s">
        <v>6426</v>
      </c>
      <c r="C2389" s="71" t="str">
        <f t="shared" si="49"/>
        <v>Product Info</v>
      </c>
      <c r="D2389" s="37" t="s">
        <v>3403</v>
      </c>
      <c r="E2389" s="143">
        <v>1</v>
      </c>
      <c r="F2389" s="12" t="s">
        <v>4992</v>
      </c>
      <c r="G2389" s="38">
        <v>282.11</v>
      </c>
      <c r="H2389" s="38">
        <f t="shared" si="50"/>
        <v>197.48</v>
      </c>
      <c r="I2389" s="38">
        <v>197.48</v>
      </c>
      <c r="J2389" s="39"/>
      <c r="K2389" s="12" t="s">
        <v>8905</v>
      </c>
      <c r="L2389" s="22">
        <v>6</v>
      </c>
      <c r="M2389" s="22" t="s">
        <v>4992</v>
      </c>
      <c r="N2389" s="20" t="s">
        <v>14489</v>
      </c>
      <c r="O2389" s="16" t="s">
        <v>12608</v>
      </c>
      <c r="P2389" s="143">
        <v>749</v>
      </c>
      <c r="Q2389" s="122" t="s">
        <v>12421</v>
      </c>
      <c r="R2389" s="16" t="s">
        <v>9235</v>
      </c>
      <c r="S2389" s="10" t="s">
        <v>194</v>
      </c>
      <c r="T2389" s="28" t="s">
        <v>11400</v>
      </c>
      <c r="U2389" s="20" t="s">
        <v>5359</v>
      </c>
      <c r="V2389" s="16" t="s">
        <v>6425</v>
      </c>
      <c r="W2389" s="11" t="s">
        <v>14433</v>
      </c>
      <c r="X2389" s="174">
        <v>152.6</v>
      </c>
      <c r="Y2389" s="174">
        <v>197.48</v>
      </c>
    </row>
    <row r="2390" spans="1:25" ht="15" customHeight="1" x14ac:dyDescent="0.25">
      <c r="A2390" s="20" t="s">
        <v>1070</v>
      </c>
      <c r="B2390" s="14" t="s">
        <v>3487</v>
      </c>
      <c r="C2390" s="71" t="str">
        <f t="shared" si="49"/>
        <v>Product Info</v>
      </c>
      <c r="D2390" s="37" t="s">
        <v>3488</v>
      </c>
      <c r="E2390" s="143">
        <v>10</v>
      </c>
      <c r="F2390" s="12" t="s">
        <v>2170</v>
      </c>
      <c r="G2390" s="38">
        <v>31.01</v>
      </c>
      <c r="H2390" s="38">
        <f t="shared" si="50"/>
        <v>21.71</v>
      </c>
      <c r="I2390" s="38">
        <v>21.71</v>
      </c>
      <c r="J2390" s="39"/>
      <c r="K2390" s="143"/>
      <c r="L2390" s="22">
        <v>0</v>
      </c>
      <c r="M2390" s="22">
        <v>0</v>
      </c>
      <c r="N2390" s="20" t="s">
        <v>14489</v>
      </c>
      <c r="O2390" s="16">
        <v>0</v>
      </c>
      <c r="P2390" s="143">
        <v>749</v>
      </c>
      <c r="Q2390" s="121" t="s">
        <v>14285</v>
      </c>
      <c r="R2390" s="16" t="s">
        <v>9235</v>
      </c>
      <c r="S2390" s="10" t="s">
        <v>194</v>
      </c>
      <c r="T2390" s="28" t="s">
        <v>11401</v>
      </c>
      <c r="U2390" s="20" t="s">
        <v>5359</v>
      </c>
      <c r="V2390" s="16" t="s">
        <v>1070</v>
      </c>
      <c r="W2390" s="11" t="s">
        <v>14433</v>
      </c>
      <c r="X2390" s="174">
        <v>16.78</v>
      </c>
      <c r="Y2390" s="174">
        <v>21.71</v>
      </c>
    </row>
    <row r="2391" spans="1:25" ht="15" customHeight="1" x14ac:dyDescent="0.25">
      <c r="A2391" s="20" t="s">
        <v>6427</v>
      </c>
      <c r="B2391" s="14" t="s">
        <v>6428</v>
      </c>
      <c r="C2391" s="71" t="str">
        <f t="shared" si="49"/>
        <v>Product Info</v>
      </c>
      <c r="D2391" s="37" t="s">
        <v>3626</v>
      </c>
      <c r="E2391" s="143">
        <v>10</v>
      </c>
      <c r="F2391" s="12" t="s">
        <v>2170</v>
      </c>
      <c r="G2391" s="38">
        <v>21.66</v>
      </c>
      <c r="H2391" s="38">
        <f t="shared" si="50"/>
        <v>15.16</v>
      </c>
      <c r="I2391" s="38">
        <v>15.16</v>
      </c>
      <c r="J2391" s="39"/>
      <c r="K2391" s="12" t="s">
        <v>8905</v>
      </c>
      <c r="L2391" s="22">
        <v>0.24</v>
      </c>
      <c r="M2391" s="22" t="s">
        <v>2170</v>
      </c>
      <c r="N2391" s="20" t="s">
        <v>14489</v>
      </c>
      <c r="O2391" s="16" t="s">
        <v>12608</v>
      </c>
      <c r="P2391" s="143">
        <v>749</v>
      </c>
      <c r="Q2391" s="122" t="s">
        <v>14461</v>
      </c>
      <c r="R2391" s="16" t="s">
        <v>9235</v>
      </c>
      <c r="S2391" s="10" t="s">
        <v>194</v>
      </c>
      <c r="T2391" s="28" t="s">
        <v>11402</v>
      </c>
      <c r="U2391" s="20" t="s">
        <v>5359</v>
      </c>
      <c r="V2391" s="16" t="s">
        <v>6427</v>
      </c>
      <c r="W2391" s="11" t="s">
        <v>14433</v>
      </c>
      <c r="X2391" s="174">
        <v>11.71</v>
      </c>
      <c r="Y2391" s="174">
        <v>15.16</v>
      </c>
    </row>
    <row r="2392" spans="1:25" ht="15" customHeight="1" x14ac:dyDescent="0.25">
      <c r="A2392" s="20" t="s">
        <v>6429</v>
      </c>
      <c r="B2392" s="14" t="s">
        <v>1270</v>
      </c>
      <c r="C2392" s="71" t="str">
        <f t="shared" si="49"/>
        <v>Product Info</v>
      </c>
      <c r="D2392" s="37" t="s">
        <v>3627</v>
      </c>
      <c r="E2392" s="143">
        <v>100</v>
      </c>
      <c r="F2392" s="12" t="s">
        <v>4992</v>
      </c>
      <c r="G2392" s="38">
        <v>19.59</v>
      </c>
      <c r="H2392" s="38">
        <f t="shared" si="50"/>
        <v>13.71</v>
      </c>
      <c r="I2392" s="38">
        <v>13.71</v>
      </c>
      <c r="J2392" s="39"/>
      <c r="K2392" s="12" t="s">
        <v>8905</v>
      </c>
      <c r="L2392" s="22">
        <v>24</v>
      </c>
      <c r="M2392" s="22" t="s">
        <v>12488</v>
      </c>
      <c r="N2392" s="20" t="s">
        <v>9245</v>
      </c>
      <c r="O2392" s="16" t="s">
        <v>12608</v>
      </c>
      <c r="P2392" s="143">
        <v>749</v>
      </c>
      <c r="Q2392" s="122" t="s">
        <v>14461</v>
      </c>
      <c r="R2392" s="16" t="s">
        <v>9235</v>
      </c>
      <c r="S2392" s="10" t="s">
        <v>194</v>
      </c>
      <c r="T2392" s="28" t="s">
        <v>11403</v>
      </c>
      <c r="U2392" s="20" t="s">
        <v>5359</v>
      </c>
      <c r="V2392" s="16" t="s">
        <v>6429</v>
      </c>
      <c r="W2392" s="11" t="s">
        <v>14433</v>
      </c>
      <c r="X2392" s="174">
        <v>10.59</v>
      </c>
      <c r="Y2392" s="174">
        <v>13.71</v>
      </c>
    </row>
    <row r="2393" spans="1:25" ht="15" customHeight="1" x14ac:dyDescent="0.25">
      <c r="A2393" s="20" t="s">
        <v>6430</v>
      </c>
      <c r="B2393" s="14" t="s">
        <v>6431</v>
      </c>
      <c r="C2393" s="71" t="str">
        <f t="shared" si="49"/>
        <v>Product Info</v>
      </c>
      <c r="D2393" s="37" t="s">
        <v>3628</v>
      </c>
      <c r="E2393" s="143">
        <v>6</v>
      </c>
      <c r="F2393" s="12" t="s">
        <v>2170</v>
      </c>
      <c r="G2393" s="38">
        <v>9.44</v>
      </c>
      <c r="H2393" s="38">
        <f t="shared" si="50"/>
        <v>6.61</v>
      </c>
      <c r="I2393" s="38">
        <v>6.61</v>
      </c>
      <c r="J2393" s="39"/>
      <c r="K2393" s="143"/>
      <c r="L2393" s="22">
        <v>0.23333300000000001</v>
      </c>
      <c r="M2393" s="22" t="s">
        <v>2170</v>
      </c>
      <c r="N2393" s="20" t="s">
        <v>14489</v>
      </c>
      <c r="O2393" s="16" t="s">
        <v>12608</v>
      </c>
      <c r="P2393" s="143">
        <v>749</v>
      </c>
      <c r="Q2393" s="122" t="s">
        <v>12421</v>
      </c>
      <c r="R2393" s="16" t="s">
        <v>9235</v>
      </c>
      <c r="S2393" s="10" t="s">
        <v>194</v>
      </c>
      <c r="T2393" s="28" t="s">
        <v>11404</v>
      </c>
      <c r="U2393" s="20" t="s">
        <v>5359</v>
      </c>
      <c r="V2393" s="16" t="s">
        <v>6430</v>
      </c>
      <c r="W2393" s="11" t="s">
        <v>14433</v>
      </c>
      <c r="X2393" s="174">
        <v>5.0999999999999996</v>
      </c>
      <c r="Y2393" s="174">
        <v>6.61</v>
      </c>
    </row>
    <row r="2394" spans="1:25" ht="15" customHeight="1" x14ac:dyDescent="0.25">
      <c r="A2394" s="20" t="s">
        <v>4590</v>
      </c>
      <c r="B2394" s="14" t="s">
        <v>4591</v>
      </c>
      <c r="C2394" s="71" t="str">
        <f t="shared" si="49"/>
        <v>Product Info</v>
      </c>
      <c r="D2394" s="37" t="s">
        <v>3629</v>
      </c>
      <c r="E2394" s="143">
        <v>6</v>
      </c>
      <c r="F2394" s="12" t="s">
        <v>2170</v>
      </c>
      <c r="G2394" s="38">
        <v>11.04</v>
      </c>
      <c r="H2394" s="38">
        <f t="shared" si="50"/>
        <v>7.73</v>
      </c>
      <c r="I2394" s="38">
        <v>7.73</v>
      </c>
      <c r="J2394" s="39"/>
      <c r="K2394" s="143" t="s">
        <v>8905</v>
      </c>
      <c r="L2394" s="22">
        <v>0.316666</v>
      </c>
      <c r="M2394" s="22" t="s">
        <v>2170</v>
      </c>
      <c r="N2394" s="20" t="s">
        <v>14489</v>
      </c>
      <c r="O2394" s="16" t="s">
        <v>13914</v>
      </c>
      <c r="P2394" s="143">
        <v>749</v>
      </c>
      <c r="Q2394" s="122" t="s">
        <v>14461</v>
      </c>
      <c r="R2394" s="16" t="s">
        <v>9235</v>
      </c>
      <c r="S2394" s="10" t="s">
        <v>194</v>
      </c>
      <c r="T2394" s="28" t="s">
        <v>11405</v>
      </c>
      <c r="U2394" s="20" t="s">
        <v>5359</v>
      </c>
      <c r="V2394" s="16" t="s">
        <v>4590</v>
      </c>
      <c r="W2394" s="11" t="s">
        <v>14433</v>
      </c>
      <c r="X2394" s="174">
        <v>5.98</v>
      </c>
      <c r="Y2394" s="174">
        <v>7.73</v>
      </c>
    </row>
    <row r="2395" spans="1:25" ht="15" customHeight="1" x14ac:dyDescent="0.25">
      <c r="A2395" s="20" t="s">
        <v>1355</v>
      </c>
      <c r="B2395" s="14" t="s">
        <v>1271</v>
      </c>
      <c r="C2395" s="71" t="str">
        <f t="shared" si="49"/>
        <v>Product Info</v>
      </c>
      <c r="D2395" s="37" t="s">
        <v>3619</v>
      </c>
      <c r="E2395" s="143">
        <v>6</v>
      </c>
      <c r="F2395" s="12" t="s">
        <v>4992</v>
      </c>
      <c r="G2395" s="38">
        <v>15.04</v>
      </c>
      <c r="H2395" s="38">
        <f t="shared" si="50"/>
        <v>10.53</v>
      </c>
      <c r="I2395" s="38">
        <v>10.53</v>
      </c>
      <c r="J2395" s="39"/>
      <c r="K2395" s="143"/>
      <c r="L2395" s="22">
        <v>0</v>
      </c>
      <c r="M2395" s="22">
        <v>0</v>
      </c>
      <c r="N2395" s="20" t="s">
        <v>14489</v>
      </c>
      <c r="O2395" s="16" t="s">
        <v>4992</v>
      </c>
      <c r="P2395" s="143">
        <v>749</v>
      </c>
      <c r="Q2395" s="121" t="s">
        <v>14285</v>
      </c>
      <c r="R2395" s="16" t="s">
        <v>9235</v>
      </c>
      <c r="S2395" s="10" t="s">
        <v>194</v>
      </c>
      <c r="T2395" s="28" t="s">
        <v>11406</v>
      </c>
      <c r="U2395" s="20" t="s">
        <v>5359</v>
      </c>
      <c r="V2395" s="16" t="s">
        <v>1355</v>
      </c>
      <c r="W2395" s="11" t="s">
        <v>14433</v>
      </c>
      <c r="X2395" s="174">
        <v>8.14</v>
      </c>
      <c r="Y2395" s="174">
        <v>10.53</v>
      </c>
    </row>
    <row r="2396" spans="1:25" ht="15" customHeight="1" x14ac:dyDescent="0.25">
      <c r="A2396" s="20" t="s">
        <v>9154</v>
      </c>
      <c r="B2396" s="14" t="s">
        <v>9155</v>
      </c>
      <c r="C2396" s="71" t="str">
        <f t="shared" si="49"/>
        <v>Product Info</v>
      </c>
      <c r="D2396" s="37" t="s">
        <v>9156</v>
      </c>
      <c r="E2396" s="143">
        <v>50</v>
      </c>
      <c r="F2396" s="12" t="s">
        <v>2170</v>
      </c>
      <c r="G2396" s="38">
        <v>12.29</v>
      </c>
      <c r="H2396" s="38">
        <f t="shared" si="50"/>
        <v>8.6</v>
      </c>
      <c r="I2396" s="38">
        <v>8.6</v>
      </c>
      <c r="J2396" s="39"/>
      <c r="K2396" s="143"/>
      <c r="L2396" s="22">
        <v>0.17155999999999999</v>
      </c>
      <c r="M2396" s="22" t="s">
        <v>14394</v>
      </c>
      <c r="N2396" s="20" t="s">
        <v>14489</v>
      </c>
      <c r="O2396" s="16" t="s">
        <v>4992</v>
      </c>
      <c r="P2396" s="143">
        <v>749</v>
      </c>
      <c r="Q2396" s="122" t="s">
        <v>12421</v>
      </c>
      <c r="R2396" s="16" t="s">
        <v>9235</v>
      </c>
      <c r="S2396" s="10" t="s">
        <v>194</v>
      </c>
      <c r="T2396" s="28" t="s">
        <v>12683</v>
      </c>
      <c r="U2396" s="20" t="s">
        <v>5359</v>
      </c>
      <c r="V2396" s="16" t="s">
        <v>9154</v>
      </c>
      <c r="W2396" s="11" t="s">
        <v>14433</v>
      </c>
      <c r="X2396" s="174">
        <v>6.65</v>
      </c>
      <c r="Y2396" s="174">
        <v>8.6</v>
      </c>
    </row>
    <row r="2397" spans="1:25" ht="15" customHeight="1" x14ac:dyDescent="0.25">
      <c r="A2397" s="20" t="s">
        <v>4592</v>
      </c>
      <c r="B2397" s="14" t="s">
        <v>4593</v>
      </c>
      <c r="C2397" s="71" t="str">
        <f t="shared" si="49"/>
        <v>Product Info</v>
      </c>
      <c r="D2397" s="37" t="s">
        <v>8920</v>
      </c>
      <c r="E2397" s="143">
        <v>6</v>
      </c>
      <c r="F2397" s="12" t="s">
        <v>2170</v>
      </c>
      <c r="G2397" s="38">
        <v>12.44</v>
      </c>
      <c r="H2397" s="38">
        <f t="shared" si="50"/>
        <v>8.7100000000000009</v>
      </c>
      <c r="I2397" s="38">
        <v>8.7100000000000009</v>
      </c>
      <c r="J2397" s="39"/>
      <c r="K2397" s="12" t="s">
        <v>8905</v>
      </c>
      <c r="L2397" s="22">
        <v>0.36</v>
      </c>
      <c r="M2397" s="22" t="s">
        <v>12488</v>
      </c>
      <c r="N2397" s="20" t="s">
        <v>8858</v>
      </c>
      <c r="O2397" s="16" t="s">
        <v>12608</v>
      </c>
      <c r="P2397" s="143">
        <v>749</v>
      </c>
      <c r="Q2397" s="122" t="s">
        <v>14461</v>
      </c>
      <c r="R2397" s="16" t="s">
        <v>9235</v>
      </c>
      <c r="S2397" s="10" t="s">
        <v>194</v>
      </c>
      <c r="T2397" s="28" t="s">
        <v>11407</v>
      </c>
      <c r="U2397" s="20" t="s">
        <v>5359</v>
      </c>
      <c r="V2397" s="16" t="s">
        <v>4592</v>
      </c>
      <c r="W2397" s="11" t="s">
        <v>14433</v>
      </c>
      <c r="X2397" s="174">
        <v>6.73</v>
      </c>
      <c r="Y2397" s="174">
        <v>8.7100000000000009</v>
      </c>
    </row>
    <row r="2398" spans="1:25" ht="15" customHeight="1" x14ac:dyDescent="0.25">
      <c r="A2398" s="20" t="s">
        <v>1356</v>
      </c>
      <c r="B2398" s="14" t="s">
        <v>1272</v>
      </c>
      <c r="C2398" s="71" t="str">
        <f t="shared" si="49"/>
        <v>Product Info</v>
      </c>
      <c r="D2398" s="37" t="s">
        <v>3620</v>
      </c>
      <c r="E2398" s="143">
        <v>6</v>
      </c>
      <c r="F2398" s="12" t="s">
        <v>4992</v>
      </c>
      <c r="G2398" s="38">
        <v>16.760000000000002</v>
      </c>
      <c r="H2398" s="38">
        <f t="shared" si="50"/>
        <v>11.73</v>
      </c>
      <c r="I2398" s="38">
        <v>11.73</v>
      </c>
      <c r="J2398" s="39"/>
      <c r="K2398" s="143" t="s">
        <v>8905</v>
      </c>
      <c r="L2398" s="22">
        <v>7.3499999999999996E-2</v>
      </c>
      <c r="M2398" s="22" t="s">
        <v>14394</v>
      </c>
      <c r="N2398" s="20" t="s">
        <v>14489</v>
      </c>
      <c r="O2398" s="16" t="s">
        <v>4992</v>
      </c>
      <c r="P2398" s="143">
        <v>749</v>
      </c>
      <c r="Q2398" s="121" t="s">
        <v>14285</v>
      </c>
      <c r="R2398" s="16" t="s">
        <v>9235</v>
      </c>
      <c r="S2398" s="10" t="s">
        <v>194</v>
      </c>
      <c r="T2398" s="28" t="s">
        <v>11408</v>
      </c>
      <c r="U2398" s="20" t="s">
        <v>5359</v>
      </c>
      <c r="V2398" s="16" t="s">
        <v>1356</v>
      </c>
      <c r="W2398" s="11" t="s">
        <v>14433</v>
      </c>
      <c r="X2398" s="174">
        <v>9.06</v>
      </c>
      <c r="Y2398" s="174">
        <v>11.73</v>
      </c>
    </row>
    <row r="2399" spans="1:25" ht="15" customHeight="1" x14ac:dyDescent="0.25">
      <c r="A2399" s="20" t="s">
        <v>4594</v>
      </c>
      <c r="B2399" s="14" t="s">
        <v>4595</v>
      </c>
      <c r="C2399" s="71" t="str">
        <f t="shared" si="49"/>
        <v>Product Info</v>
      </c>
      <c r="D2399" s="37" t="s">
        <v>3630</v>
      </c>
      <c r="E2399" s="143">
        <v>6</v>
      </c>
      <c r="F2399" s="12" t="s">
        <v>2170</v>
      </c>
      <c r="G2399" s="38">
        <v>14.26</v>
      </c>
      <c r="H2399" s="38">
        <f t="shared" si="50"/>
        <v>9.98</v>
      </c>
      <c r="I2399" s="38">
        <v>9.98</v>
      </c>
      <c r="J2399" s="39"/>
      <c r="K2399" s="143"/>
      <c r="L2399" s="22">
        <v>0.5</v>
      </c>
      <c r="M2399" s="22" t="s">
        <v>12488</v>
      </c>
      <c r="N2399" s="20" t="s">
        <v>8792</v>
      </c>
      <c r="O2399" s="16" t="s">
        <v>12608</v>
      </c>
      <c r="P2399" s="143">
        <v>749</v>
      </c>
      <c r="Q2399" s="122" t="s">
        <v>9227</v>
      </c>
      <c r="R2399" s="16" t="s">
        <v>9235</v>
      </c>
      <c r="S2399" s="10" t="s">
        <v>194</v>
      </c>
      <c r="T2399" s="28" t="s">
        <v>11409</v>
      </c>
      <c r="U2399" s="20" t="s">
        <v>5359</v>
      </c>
      <c r="V2399" s="16" t="s">
        <v>4594</v>
      </c>
      <c r="W2399" s="11" t="s">
        <v>14433</v>
      </c>
      <c r="X2399" s="174">
        <v>7.71</v>
      </c>
      <c r="Y2399" s="174">
        <v>9.98</v>
      </c>
    </row>
    <row r="2400" spans="1:25" ht="15" customHeight="1" x14ac:dyDescent="0.25">
      <c r="A2400" s="20" t="s">
        <v>1357</v>
      </c>
      <c r="B2400" s="14" t="s">
        <v>1273</v>
      </c>
      <c r="C2400" s="71" t="str">
        <f t="shared" si="49"/>
        <v>Product Info</v>
      </c>
      <c r="D2400" s="37" t="s">
        <v>3473</v>
      </c>
      <c r="E2400" s="143">
        <v>6</v>
      </c>
      <c r="F2400" s="12" t="s">
        <v>4992</v>
      </c>
      <c r="G2400" s="38">
        <v>18.829999999999998</v>
      </c>
      <c r="H2400" s="38">
        <f t="shared" si="50"/>
        <v>13.18</v>
      </c>
      <c r="I2400" s="38">
        <v>13.18</v>
      </c>
      <c r="J2400" s="39"/>
      <c r="K2400" s="143"/>
      <c r="L2400" s="22">
        <v>0</v>
      </c>
      <c r="M2400" s="22">
        <v>0</v>
      </c>
      <c r="N2400" s="20" t="s">
        <v>14489</v>
      </c>
      <c r="O2400" s="16" t="s">
        <v>4992</v>
      </c>
      <c r="P2400" s="143">
        <v>749</v>
      </c>
      <c r="Q2400" s="121" t="s">
        <v>14285</v>
      </c>
      <c r="R2400" s="16" t="s">
        <v>9235</v>
      </c>
      <c r="S2400" s="10" t="s">
        <v>194</v>
      </c>
      <c r="T2400" s="28" t="s">
        <v>11410</v>
      </c>
      <c r="U2400" s="20" t="s">
        <v>5359</v>
      </c>
      <c r="V2400" s="16" t="s">
        <v>1357</v>
      </c>
      <c r="W2400" s="11" t="s">
        <v>14433</v>
      </c>
      <c r="X2400" s="174">
        <v>10.18</v>
      </c>
      <c r="Y2400" s="174">
        <v>13.18</v>
      </c>
    </row>
    <row r="2401" spans="1:25" ht="15" customHeight="1" x14ac:dyDescent="0.25">
      <c r="A2401" s="20" t="s">
        <v>4596</v>
      </c>
      <c r="B2401" s="14" t="s">
        <v>4597</v>
      </c>
      <c r="C2401" s="71" t="str">
        <f t="shared" si="49"/>
        <v>Product Info</v>
      </c>
      <c r="D2401" s="37" t="s">
        <v>2063</v>
      </c>
      <c r="E2401" s="143">
        <v>6</v>
      </c>
      <c r="F2401" s="12" t="s">
        <v>2170</v>
      </c>
      <c r="G2401" s="38">
        <v>16.309999999999999</v>
      </c>
      <c r="H2401" s="38">
        <f t="shared" si="50"/>
        <v>11.42</v>
      </c>
      <c r="I2401" s="38">
        <v>11.42</v>
      </c>
      <c r="J2401" s="39"/>
      <c r="K2401" s="143"/>
      <c r="L2401" s="22">
        <v>0.58333299999999999</v>
      </c>
      <c r="M2401" s="22" t="s">
        <v>2170</v>
      </c>
      <c r="N2401" s="20" t="s">
        <v>14489</v>
      </c>
      <c r="O2401" s="16" t="s">
        <v>12608</v>
      </c>
      <c r="P2401" s="143">
        <v>749</v>
      </c>
      <c r="Q2401" s="122" t="s">
        <v>12421</v>
      </c>
      <c r="R2401" s="16" t="s">
        <v>9235</v>
      </c>
      <c r="S2401" s="10" t="s">
        <v>194</v>
      </c>
      <c r="T2401" s="28" t="s">
        <v>11411</v>
      </c>
      <c r="U2401" s="20" t="s">
        <v>5359</v>
      </c>
      <c r="V2401" s="16" t="s">
        <v>4596</v>
      </c>
      <c r="W2401" s="11" t="s">
        <v>14433</v>
      </c>
      <c r="X2401" s="174">
        <v>8.82</v>
      </c>
      <c r="Y2401" s="174">
        <v>11.42</v>
      </c>
    </row>
    <row r="2402" spans="1:25" ht="15" customHeight="1" x14ac:dyDescent="0.25">
      <c r="A2402" s="20" t="s">
        <v>1358</v>
      </c>
      <c r="B2402" s="14" t="s">
        <v>1274</v>
      </c>
      <c r="C2402" s="71" t="str">
        <f t="shared" si="49"/>
        <v>Product Info</v>
      </c>
      <c r="D2402" s="37" t="s">
        <v>3474</v>
      </c>
      <c r="E2402" s="143">
        <v>6</v>
      </c>
      <c r="F2402" s="12" t="s">
        <v>4992</v>
      </c>
      <c r="G2402" s="38">
        <v>20.47</v>
      </c>
      <c r="H2402" s="38">
        <f t="shared" si="50"/>
        <v>14.33</v>
      </c>
      <c r="I2402" s="38">
        <v>14.33</v>
      </c>
      <c r="J2402" s="39"/>
      <c r="K2402" s="143"/>
      <c r="L2402" s="22">
        <v>0</v>
      </c>
      <c r="M2402" s="22">
        <v>0</v>
      </c>
      <c r="N2402" s="20" t="s">
        <v>14489</v>
      </c>
      <c r="O2402" s="16" t="s">
        <v>4992</v>
      </c>
      <c r="P2402" s="143">
        <v>749</v>
      </c>
      <c r="Q2402" s="121" t="s">
        <v>14285</v>
      </c>
      <c r="R2402" s="16" t="s">
        <v>9235</v>
      </c>
      <c r="S2402" s="10" t="s">
        <v>194</v>
      </c>
      <c r="T2402" s="28" t="s">
        <v>11412</v>
      </c>
      <c r="U2402" s="20" t="s">
        <v>5359</v>
      </c>
      <c r="V2402" s="16" t="s">
        <v>1358</v>
      </c>
      <c r="W2402" s="11" t="s">
        <v>14433</v>
      </c>
      <c r="X2402" s="174">
        <v>11.07</v>
      </c>
      <c r="Y2402" s="174">
        <v>14.33</v>
      </c>
    </row>
    <row r="2403" spans="1:25" ht="15" customHeight="1" x14ac:dyDescent="0.25">
      <c r="A2403" s="20" t="s">
        <v>1359</v>
      </c>
      <c r="B2403" s="14" t="s">
        <v>1275</v>
      </c>
      <c r="C2403" s="71" t="str">
        <f t="shared" si="49"/>
        <v>Product Info</v>
      </c>
      <c r="D2403" s="37" t="s">
        <v>3475</v>
      </c>
      <c r="E2403" s="143">
        <v>6</v>
      </c>
      <c r="F2403" s="12" t="s">
        <v>4992</v>
      </c>
      <c r="G2403" s="38">
        <v>22.24</v>
      </c>
      <c r="H2403" s="38">
        <f t="shared" si="50"/>
        <v>15.57</v>
      </c>
      <c r="I2403" s="38">
        <v>15.57</v>
      </c>
      <c r="J2403" s="39"/>
      <c r="K2403" s="143"/>
      <c r="L2403" s="22">
        <v>0</v>
      </c>
      <c r="M2403" s="22">
        <v>0</v>
      </c>
      <c r="N2403" s="20" t="s">
        <v>14489</v>
      </c>
      <c r="O2403" s="16" t="s">
        <v>4992</v>
      </c>
      <c r="P2403" s="143">
        <v>749</v>
      </c>
      <c r="Q2403" s="121" t="s">
        <v>14285</v>
      </c>
      <c r="R2403" s="16" t="s">
        <v>9235</v>
      </c>
      <c r="S2403" s="10" t="s">
        <v>194</v>
      </c>
      <c r="T2403" s="28" t="s">
        <v>11413</v>
      </c>
      <c r="U2403" s="20" t="s">
        <v>5359</v>
      </c>
      <c r="V2403" s="16" t="s">
        <v>1359</v>
      </c>
      <c r="W2403" s="11" t="s">
        <v>14433</v>
      </c>
      <c r="X2403" s="174">
        <v>12.02</v>
      </c>
      <c r="Y2403" s="174">
        <v>15.57</v>
      </c>
    </row>
    <row r="2404" spans="1:25" ht="15" customHeight="1" x14ac:dyDescent="0.25">
      <c r="A2404" s="20" t="s">
        <v>1360</v>
      </c>
      <c r="B2404" s="14" t="s">
        <v>1276</v>
      </c>
      <c r="C2404" s="71" t="str">
        <f t="shared" si="49"/>
        <v>Product Info</v>
      </c>
      <c r="D2404" s="37" t="s">
        <v>3476</v>
      </c>
      <c r="E2404" s="143">
        <v>6</v>
      </c>
      <c r="F2404" s="12" t="s">
        <v>4992</v>
      </c>
      <c r="G2404" s="38">
        <v>23.63</v>
      </c>
      <c r="H2404" s="38">
        <f t="shared" si="50"/>
        <v>16.54</v>
      </c>
      <c r="I2404" s="38">
        <v>16.54</v>
      </c>
      <c r="J2404" s="39"/>
      <c r="K2404" s="143"/>
      <c r="L2404" s="22">
        <v>0</v>
      </c>
      <c r="M2404" s="22">
        <v>0</v>
      </c>
      <c r="N2404" s="20" t="s">
        <v>14489</v>
      </c>
      <c r="O2404" s="16" t="s">
        <v>4992</v>
      </c>
      <c r="P2404" s="143">
        <v>749</v>
      </c>
      <c r="Q2404" s="121" t="s">
        <v>14285</v>
      </c>
      <c r="R2404" s="16" t="s">
        <v>9235</v>
      </c>
      <c r="S2404" s="10" t="s">
        <v>194</v>
      </c>
      <c r="T2404" s="28" t="s">
        <v>11414</v>
      </c>
      <c r="U2404" s="20" t="s">
        <v>5359</v>
      </c>
      <c r="V2404" s="16" t="s">
        <v>1360</v>
      </c>
      <c r="W2404" s="11" t="s">
        <v>14433</v>
      </c>
      <c r="X2404" s="174">
        <v>12.78</v>
      </c>
      <c r="Y2404" s="174">
        <v>16.54</v>
      </c>
    </row>
    <row r="2405" spans="1:25" ht="15" customHeight="1" x14ac:dyDescent="0.25">
      <c r="A2405" s="20" t="s">
        <v>1361</v>
      </c>
      <c r="B2405" s="14" t="s">
        <v>1277</v>
      </c>
      <c r="C2405" s="71" t="str">
        <f t="shared" si="49"/>
        <v>Product Info</v>
      </c>
      <c r="D2405" s="37" t="s">
        <v>3477</v>
      </c>
      <c r="E2405" s="143">
        <v>6</v>
      </c>
      <c r="F2405" s="12" t="s">
        <v>4992</v>
      </c>
      <c r="G2405" s="38">
        <v>25.4</v>
      </c>
      <c r="H2405" s="38">
        <f t="shared" si="50"/>
        <v>17.78</v>
      </c>
      <c r="I2405" s="38">
        <v>17.78</v>
      </c>
      <c r="J2405" s="39"/>
      <c r="K2405" s="143"/>
      <c r="L2405" s="22">
        <v>0</v>
      </c>
      <c r="M2405" s="22">
        <v>0</v>
      </c>
      <c r="N2405" s="20" t="s">
        <v>14489</v>
      </c>
      <c r="O2405" s="16" t="s">
        <v>4992</v>
      </c>
      <c r="P2405" s="143">
        <v>749</v>
      </c>
      <c r="Q2405" s="121" t="s">
        <v>14285</v>
      </c>
      <c r="R2405" s="16" t="s">
        <v>9235</v>
      </c>
      <c r="S2405" s="10" t="s">
        <v>194</v>
      </c>
      <c r="T2405" s="28" t="s">
        <v>11415</v>
      </c>
      <c r="U2405" s="20" t="s">
        <v>5359</v>
      </c>
      <c r="V2405" s="16" t="s">
        <v>1361</v>
      </c>
      <c r="W2405" s="11" t="s">
        <v>14433</v>
      </c>
      <c r="X2405" s="174">
        <v>13.74</v>
      </c>
      <c r="Y2405" s="174">
        <v>17.78</v>
      </c>
    </row>
    <row r="2406" spans="1:25" ht="15" customHeight="1" x14ac:dyDescent="0.25">
      <c r="A2406" s="20" t="s">
        <v>1362</v>
      </c>
      <c r="B2406" s="14" t="s">
        <v>1278</v>
      </c>
      <c r="C2406" s="71" t="str">
        <f t="shared" si="49"/>
        <v>Product Info</v>
      </c>
      <c r="D2406" s="37" t="s">
        <v>1279</v>
      </c>
      <c r="E2406" s="143">
        <v>6</v>
      </c>
      <c r="F2406" s="12" t="s">
        <v>4992</v>
      </c>
      <c r="G2406" s="38">
        <v>27.16</v>
      </c>
      <c r="H2406" s="38">
        <f t="shared" si="50"/>
        <v>19.010000000000002</v>
      </c>
      <c r="I2406" s="38">
        <v>19.010000000000002</v>
      </c>
      <c r="J2406" s="39"/>
      <c r="K2406" s="143"/>
      <c r="L2406" s="22">
        <v>0</v>
      </c>
      <c r="M2406" s="22">
        <v>0</v>
      </c>
      <c r="N2406" s="20" t="s">
        <v>14489</v>
      </c>
      <c r="O2406" s="16" t="s">
        <v>4992</v>
      </c>
      <c r="P2406" s="143">
        <v>749</v>
      </c>
      <c r="Q2406" s="121" t="s">
        <v>14285</v>
      </c>
      <c r="R2406" s="16" t="s">
        <v>9235</v>
      </c>
      <c r="S2406" s="10" t="s">
        <v>194</v>
      </c>
      <c r="T2406" s="28" t="s">
        <v>11416</v>
      </c>
      <c r="U2406" s="20" t="s">
        <v>5359</v>
      </c>
      <c r="V2406" s="16" t="s">
        <v>1362</v>
      </c>
      <c r="W2406" s="11" t="s">
        <v>14433</v>
      </c>
      <c r="X2406" s="174">
        <v>14.69</v>
      </c>
      <c r="Y2406" s="174">
        <v>19.010000000000002</v>
      </c>
    </row>
    <row r="2407" spans="1:25" ht="15" customHeight="1" x14ac:dyDescent="0.25">
      <c r="A2407" s="20" t="s">
        <v>1065</v>
      </c>
      <c r="B2407" s="14" t="s">
        <v>1280</v>
      </c>
      <c r="C2407" s="71" t="str">
        <f t="shared" si="49"/>
        <v>Product Info</v>
      </c>
      <c r="D2407" s="37" t="s">
        <v>3478</v>
      </c>
      <c r="E2407" s="143">
        <v>6</v>
      </c>
      <c r="F2407" s="12" t="s">
        <v>4992</v>
      </c>
      <c r="G2407" s="38">
        <v>28.9</v>
      </c>
      <c r="H2407" s="38">
        <f t="shared" si="50"/>
        <v>20.23</v>
      </c>
      <c r="I2407" s="38">
        <v>20.23</v>
      </c>
      <c r="J2407" s="39"/>
      <c r="K2407" s="143"/>
      <c r="L2407" s="22">
        <v>0</v>
      </c>
      <c r="M2407" s="22">
        <v>0</v>
      </c>
      <c r="N2407" s="20" t="s">
        <v>14489</v>
      </c>
      <c r="O2407" s="16" t="s">
        <v>4992</v>
      </c>
      <c r="P2407" s="143">
        <v>749</v>
      </c>
      <c r="Q2407" s="121" t="s">
        <v>14285</v>
      </c>
      <c r="R2407" s="16" t="s">
        <v>9235</v>
      </c>
      <c r="S2407" s="10" t="s">
        <v>194</v>
      </c>
      <c r="T2407" s="28" t="s">
        <v>11417</v>
      </c>
      <c r="U2407" s="20" t="s">
        <v>5359</v>
      </c>
      <c r="V2407" s="16" t="s">
        <v>1065</v>
      </c>
      <c r="W2407" s="11" t="s">
        <v>14433</v>
      </c>
      <c r="X2407" s="174">
        <v>15.63</v>
      </c>
      <c r="Y2407" s="174">
        <v>20.23</v>
      </c>
    </row>
    <row r="2408" spans="1:25" ht="15" customHeight="1" x14ac:dyDescent="0.25">
      <c r="A2408" s="20" t="s">
        <v>1066</v>
      </c>
      <c r="B2408" s="14" t="s">
        <v>1281</v>
      </c>
      <c r="C2408" s="71" t="str">
        <f t="shared" si="49"/>
        <v>Product Info</v>
      </c>
      <c r="D2408" s="37" t="s">
        <v>3479</v>
      </c>
      <c r="E2408" s="143">
        <v>6</v>
      </c>
      <c r="F2408" s="12" t="s">
        <v>4992</v>
      </c>
      <c r="G2408" s="38">
        <v>30.69</v>
      </c>
      <c r="H2408" s="38">
        <f t="shared" si="50"/>
        <v>21.48</v>
      </c>
      <c r="I2408" s="38">
        <v>21.48</v>
      </c>
      <c r="J2408" s="39"/>
      <c r="K2408" s="143"/>
      <c r="L2408" s="22">
        <v>0</v>
      </c>
      <c r="M2408" s="22">
        <v>0</v>
      </c>
      <c r="N2408" s="20" t="s">
        <v>14489</v>
      </c>
      <c r="O2408" s="16" t="s">
        <v>4992</v>
      </c>
      <c r="P2408" s="143">
        <v>749</v>
      </c>
      <c r="Q2408" s="121" t="s">
        <v>14285</v>
      </c>
      <c r="R2408" s="16" t="s">
        <v>9235</v>
      </c>
      <c r="S2408" s="10" t="s">
        <v>194</v>
      </c>
      <c r="T2408" s="28" t="s">
        <v>11418</v>
      </c>
      <c r="U2408" s="20" t="s">
        <v>5359</v>
      </c>
      <c r="V2408" s="16" t="s">
        <v>1066</v>
      </c>
      <c r="W2408" s="11" t="s">
        <v>14433</v>
      </c>
      <c r="X2408" s="174">
        <v>16.600000000000001</v>
      </c>
      <c r="Y2408" s="174">
        <v>21.48</v>
      </c>
    </row>
    <row r="2409" spans="1:25" ht="15" customHeight="1" x14ac:dyDescent="0.25">
      <c r="A2409" s="20" t="s">
        <v>4598</v>
      </c>
      <c r="B2409" s="14" t="s">
        <v>4599</v>
      </c>
      <c r="C2409" s="71" t="str">
        <f t="shared" si="49"/>
        <v>Product Info</v>
      </c>
      <c r="D2409" s="37" t="s">
        <v>2064</v>
      </c>
      <c r="E2409" s="143">
        <v>6</v>
      </c>
      <c r="F2409" s="12" t="s">
        <v>2170</v>
      </c>
      <c r="G2409" s="38">
        <v>12.43</v>
      </c>
      <c r="H2409" s="38">
        <f t="shared" ref="H2409:H2440" si="51">I2409</f>
        <v>8.6999999999999993</v>
      </c>
      <c r="I2409" s="38">
        <v>8.6999999999999993</v>
      </c>
      <c r="J2409" s="39"/>
      <c r="K2409" s="143"/>
      <c r="L2409" s="22">
        <v>0.5</v>
      </c>
      <c r="M2409" s="22" t="s">
        <v>12488</v>
      </c>
      <c r="N2409" s="20" t="s">
        <v>9306</v>
      </c>
      <c r="O2409" s="16" t="s">
        <v>12608</v>
      </c>
      <c r="P2409" s="143">
        <v>749</v>
      </c>
      <c r="Q2409" s="122" t="s">
        <v>12421</v>
      </c>
      <c r="R2409" s="16" t="s">
        <v>9235</v>
      </c>
      <c r="S2409" s="10" t="s">
        <v>194</v>
      </c>
      <c r="T2409" s="28" t="s">
        <v>11419</v>
      </c>
      <c r="U2409" s="20" t="s">
        <v>5359</v>
      </c>
      <c r="V2409" s="16" t="s">
        <v>4598</v>
      </c>
      <c r="W2409" s="11" t="s">
        <v>14433</v>
      </c>
      <c r="X2409" s="174">
        <v>6.72</v>
      </c>
      <c r="Y2409" s="174">
        <v>8.6999999999999993</v>
      </c>
    </row>
    <row r="2410" spans="1:25" ht="15" customHeight="1" x14ac:dyDescent="0.25">
      <c r="A2410" s="20" t="s">
        <v>4600</v>
      </c>
      <c r="B2410" s="14" t="s">
        <v>4601</v>
      </c>
      <c r="C2410" s="71" t="str">
        <f t="shared" si="49"/>
        <v>Product Info</v>
      </c>
      <c r="D2410" s="37" t="s">
        <v>2065</v>
      </c>
      <c r="E2410" s="143">
        <v>6</v>
      </c>
      <c r="F2410" s="12" t="s">
        <v>2170</v>
      </c>
      <c r="G2410" s="38">
        <v>13.8</v>
      </c>
      <c r="H2410" s="38">
        <f t="shared" si="51"/>
        <v>9.66</v>
      </c>
      <c r="I2410" s="38">
        <v>9.66</v>
      </c>
      <c r="J2410" s="39"/>
      <c r="K2410" s="12" t="s">
        <v>8905</v>
      </c>
      <c r="L2410" s="22">
        <v>0.5</v>
      </c>
      <c r="M2410" s="22" t="s">
        <v>12488</v>
      </c>
      <c r="N2410" s="20" t="s">
        <v>8792</v>
      </c>
      <c r="O2410" s="16" t="s">
        <v>12608</v>
      </c>
      <c r="P2410" s="143">
        <v>749</v>
      </c>
      <c r="Q2410" s="122" t="s">
        <v>12421</v>
      </c>
      <c r="R2410" s="16" t="s">
        <v>9235</v>
      </c>
      <c r="S2410" s="10" t="s">
        <v>194</v>
      </c>
      <c r="T2410" s="28" t="s">
        <v>11420</v>
      </c>
      <c r="U2410" s="20" t="s">
        <v>5359</v>
      </c>
      <c r="V2410" s="16" t="s">
        <v>4600</v>
      </c>
      <c r="W2410" s="11" t="s">
        <v>14433</v>
      </c>
      <c r="X2410" s="174">
        <v>7.46</v>
      </c>
      <c r="Y2410" s="174">
        <v>9.66</v>
      </c>
    </row>
    <row r="2411" spans="1:25" ht="15" customHeight="1" x14ac:dyDescent="0.25">
      <c r="A2411" s="20" t="s">
        <v>4204</v>
      </c>
      <c r="B2411" s="14" t="s">
        <v>3131</v>
      </c>
      <c r="C2411" s="71" t="str">
        <f t="shared" si="49"/>
        <v>Product Info</v>
      </c>
      <c r="D2411" s="37" t="s">
        <v>3132</v>
      </c>
      <c r="E2411" s="143">
        <v>12</v>
      </c>
      <c r="F2411" s="12" t="s">
        <v>4992</v>
      </c>
      <c r="G2411" s="38">
        <v>15.01</v>
      </c>
      <c r="H2411" s="38">
        <f t="shared" si="51"/>
        <v>10.51</v>
      </c>
      <c r="I2411" s="38">
        <v>10.51</v>
      </c>
      <c r="J2411" s="39"/>
      <c r="K2411" s="143"/>
      <c r="L2411" s="22">
        <v>0.27700000000000002</v>
      </c>
      <c r="M2411" s="22" t="s">
        <v>14394</v>
      </c>
      <c r="N2411" s="20" t="s">
        <v>14489</v>
      </c>
      <c r="O2411" s="16" t="s">
        <v>4992</v>
      </c>
      <c r="P2411" s="143">
        <v>749</v>
      </c>
      <c r="Q2411" s="122" t="s">
        <v>14461</v>
      </c>
      <c r="R2411" s="16" t="s">
        <v>9235</v>
      </c>
      <c r="S2411" s="10" t="s">
        <v>194</v>
      </c>
      <c r="T2411" s="28" t="s">
        <v>11421</v>
      </c>
      <c r="U2411" s="20" t="s">
        <v>5359</v>
      </c>
      <c r="V2411" s="16" t="s">
        <v>4204</v>
      </c>
      <c r="W2411" s="11" t="s">
        <v>14433</v>
      </c>
      <c r="X2411" s="174">
        <v>8.1199999999999992</v>
      </c>
      <c r="Y2411" s="174">
        <v>10.51</v>
      </c>
    </row>
    <row r="2412" spans="1:25" ht="15" customHeight="1" x14ac:dyDescent="0.25">
      <c r="A2412" s="20" t="s">
        <v>3133</v>
      </c>
      <c r="B2412" s="14" t="s">
        <v>3134</v>
      </c>
      <c r="C2412" s="71" t="str">
        <f t="shared" si="49"/>
        <v>Product Info</v>
      </c>
      <c r="D2412" s="37" t="s">
        <v>3135</v>
      </c>
      <c r="E2412" s="143">
        <v>30</v>
      </c>
      <c r="F2412" s="12" t="s">
        <v>4992</v>
      </c>
      <c r="G2412" s="38">
        <v>14.56</v>
      </c>
      <c r="H2412" s="38">
        <f t="shared" si="51"/>
        <v>10.19</v>
      </c>
      <c r="I2412" s="38">
        <v>10.19</v>
      </c>
      <c r="J2412" s="39"/>
      <c r="K2412" s="143"/>
      <c r="L2412" s="22">
        <v>0.25669999999999998</v>
      </c>
      <c r="M2412" s="22" t="s">
        <v>14394</v>
      </c>
      <c r="N2412" s="20" t="s">
        <v>14489</v>
      </c>
      <c r="O2412" s="16" t="s">
        <v>4992</v>
      </c>
      <c r="P2412" s="143">
        <v>749</v>
      </c>
      <c r="Q2412" s="122" t="s">
        <v>12421</v>
      </c>
      <c r="R2412" s="16" t="s">
        <v>9235</v>
      </c>
      <c r="S2412" s="10" t="s">
        <v>194</v>
      </c>
      <c r="T2412" s="28" t="s">
        <v>11422</v>
      </c>
      <c r="U2412" s="20" t="s">
        <v>5359</v>
      </c>
      <c r="V2412" s="16" t="s">
        <v>3133</v>
      </c>
      <c r="W2412" s="11" t="s">
        <v>14433</v>
      </c>
      <c r="X2412" s="174">
        <v>7.87</v>
      </c>
      <c r="Y2412" s="174">
        <v>10.19</v>
      </c>
    </row>
    <row r="2413" spans="1:25" ht="15" customHeight="1" x14ac:dyDescent="0.25">
      <c r="A2413" s="20" t="s">
        <v>5769</v>
      </c>
      <c r="B2413" s="14" t="s">
        <v>5770</v>
      </c>
      <c r="C2413" s="71" t="str">
        <f t="shared" si="49"/>
        <v>Product Info</v>
      </c>
      <c r="D2413" s="37" t="s">
        <v>4844</v>
      </c>
      <c r="E2413" s="143">
        <v>6</v>
      </c>
      <c r="F2413" s="12" t="s">
        <v>2170</v>
      </c>
      <c r="G2413" s="38">
        <v>15.16</v>
      </c>
      <c r="H2413" s="38">
        <f t="shared" si="51"/>
        <v>10.61</v>
      </c>
      <c r="I2413" s="38">
        <v>10.61</v>
      </c>
      <c r="J2413" s="39"/>
      <c r="K2413" s="143"/>
      <c r="L2413" s="22">
        <v>0.65</v>
      </c>
      <c r="M2413" s="22" t="s">
        <v>2170</v>
      </c>
      <c r="N2413" s="20" t="s">
        <v>14489</v>
      </c>
      <c r="O2413" s="16" t="s">
        <v>12608</v>
      </c>
      <c r="P2413" s="143">
        <v>749</v>
      </c>
      <c r="Q2413" s="122" t="s">
        <v>14461</v>
      </c>
      <c r="R2413" s="16" t="s">
        <v>9235</v>
      </c>
      <c r="S2413" s="10" t="s">
        <v>194</v>
      </c>
      <c r="T2413" s="28" t="s">
        <v>11423</v>
      </c>
      <c r="U2413" s="20" t="s">
        <v>5359</v>
      </c>
      <c r="V2413" s="16" t="s">
        <v>5769</v>
      </c>
      <c r="W2413" s="11" t="s">
        <v>14433</v>
      </c>
      <c r="X2413" s="174">
        <v>8.1999999999999993</v>
      </c>
      <c r="Y2413" s="174">
        <v>10.61</v>
      </c>
    </row>
    <row r="2414" spans="1:25" ht="15" customHeight="1" x14ac:dyDescent="0.25">
      <c r="A2414" s="20" t="s">
        <v>5771</v>
      </c>
      <c r="B2414" s="14" t="s">
        <v>5772</v>
      </c>
      <c r="C2414" s="71" t="str">
        <f t="shared" si="49"/>
        <v>Product Info</v>
      </c>
      <c r="D2414" s="37" t="s">
        <v>2331</v>
      </c>
      <c r="E2414" s="143">
        <v>12</v>
      </c>
      <c r="F2414" s="12" t="s">
        <v>4992</v>
      </c>
      <c r="G2414" s="38">
        <v>18.36</v>
      </c>
      <c r="H2414" s="38">
        <f t="shared" si="51"/>
        <v>12.85</v>
      </c>
      <c r="I2414" s="38">
        <v>12.85</v>
      </c>
      <c r="J2414" s="39"/>
      <c r="K2414" s="143" t="s">
        <v>8905</v>
      </c>
      <c r="L2414" s="22">
        <v>1.1599999999999999</v>
      </c>
      <c r="M2414" s="22" t="s">
        <v>12488</v>
      </c>
      <c r="N2414" s="20" t="s">
        <v>8876</v>
      </c>
      <c r="O2414" s="16" t="s">
        <v>12608</v>
      </c>
      <c r="P2414" s="143">
        <v>749</v>
      </c>
      <c r="Q2414" s="122" t="s">
        <v>12421</v>
      </c>
      <c r="R2414" s="16" t="s">
        <v>9235</v>
      </c>
      <c r="S2414" s="10" t="s">
        <v>194</v>
      </c>
      <c r="T2414" s="28" t="s">
        <v>11424</v>
      </c>
      <c r="U2414" s="20" t="s">
        <v>5359</v>
      </c>
      <c r="V2414" s="16" t="s">
        <v>5771</v>
      </c>
      <c r="W2414" s="11" t="s">
        <v>14433</v>
      </c>
      <c r="X2414" s="174">
        <v>9.93</v>
      </c>
      <c r="Y2414" s="174">
        <v>12.85</v>
      </c>
    </row>
    <row r="2415" spans="1:25" ht="15" customHeight="1" x14ac:dyDescent="0.25">
      <c r="A2415" s="20" t="s">
        <v>5773</v>
      </c>
      <c r="B2415" s="14" t="s">
        <v>4640</v>
      </c>
      <c r="C2415" s="71" t="str">
        <f t="shared" si="49"/>
        <v>Product Info</v>
      </c>
      <c r="D2415" s="37" t="s">
        <v>2332</v>
      </c>
      <c r="E2415" s="143">
        <v>10</v>
      </c>
      <c r="F2415" s="12" t="s">
        <v>2170</v>
      </c>
      <c r="G2415" s="38">
        <v>23.03</v>
      </c>
      <c r="H2415" s="38">
        <f t="shared" si="51"/>
        <v>16.12</v>
      </c>
      <c r="I2415" s="38">
        <v>16.12</v>
      </c>
      <c r="J2415" s="39"/>
      <c r="K2415" s="143"/>
      <c r="L2415" s="22">
        <v>0.18140000000000001</v>
      </c>
      <c r="M2415" s="22" t="s">
        <v>14394</v>
      </c>
      <c r="N2415" s="20" t="s">
        <v>9241</v>
      </c>
      <c r="O2415" s="16" t="s">
        <v>12608</v>
      </c>
      <c r="P2415" s="143">
        <v>749</v>
      </c>
      <c r="Q2415" s="122" t="s">
        <v>12421</v>
      </c>
      <c r="R2415" s="16" t="s">
        <v>9235</v>
      </c>
      <c r="S2415" s="10" t="s">
        <v>194</v>
      </c>
      <c r="T2415" s="28" t="s">
        <v>11425</v>
      </c>
      <c r="U2415" s="20" t="s">
        <v>5359</v>
      </c>
      <c r="V2415" s="16" t="s">
        <v>5773</v>
      </c>
      <c r="W2415" s="11" t="s">
        <v>14433</v>
      </c>
      <c r="X2415" s="174">
        <v>12.46</v>
      </c>
      <c r="Y2415" s="174">
        <v>16.12</v>
      </c>
    </row>
    <row r="2416" spans="1:25" ht="15" customHeight="1" x14ac:dyDescent="0.25">
      <c r="A2416" s="20" t="s">
        <v>4641</v>
      </c>
      <c r="B2416" s="14" t="s">
        <v>4642</v>
      </c>
      <c r="C2416" s="71" t="str">
        <f t="shared" si="49"/>
        <v>Product Info</v>
      </c>
      <c r="D2416" s="37" t="s">
        <v>2333</v>
      </c>
      <c r="E2416" s="143">
        <v>12</v>
      </c>
      <c r="F2416" s="12" t="s">
        <v>4992</v>
      </c>
      <c r="G2416" s="38">
        <v>21.43</v>
      </c>
      <c r="H2416" s="38">
        <f t="shared" si="51"/>
        <v>15</v>
      </c>
      <c r="I2416" s="38">
        <v>15</v>
      </c>
      <c r="J2416" s="39"/>
      <c r="K2416" s="143"/>
      <c r="L2416" s="22">
        <v>0.30399999999999999</v>
      </c>
      <c r="M2416" s="22" t="s">
        <v>14394</v>
      </c>
      <c r="N2416" s="20" t="s">
        <v>9409</v>
      </c>
      <c r="O2416" s="16" t="s">
        <v>12608</v>
      </c>
      <c r="P2416" s="143">
        <v>749</v>
      </c>
      <c r="Q2416" s="121" t="s">
        <v>14285</v>
      </c>
      <c r="R2416" s="16" t="s">
        <v>9235</v>
      </c>
      <c r="S2416" s="10" t="s">
        <v>194</v>
      </c>
      <c r="T2416" s="28" t="s">
        <v>11426</v>
      </c>
      <c r="U2416" s="20" t="s">
        <v>5359</v>
      </c>
      <c r="V2416" s="16" t="s">
        <v>4641</v>
      </c>
      <c r="W2416" s="11" t="s">
        <v>14433</v>
      </c>
      <c r="X2416" s="174">
        <v>11.59</v>
      </c>
      <c r="Y2416" s="174">
        <v>15</v>
      </c>
    </row>
    <row r="2417" spans="1:25" ht="15" customHeight="1" x14ac:dyDescent="0.25">
      <c r="A2417" s="20" t="s">
        <v>4643</v>
      </c>
      <c r="B2417" s="14" t="s">
        <v>4644</v>
      </c>
      <c r="C2417" s="71" t="str">
        <f t="shared" si="49"/>
        <v>Product Info</v>
      </c>
      <c r="D2417" s="37" t="s">
        <v>2334</v>
      </c>
      <c r="E2417" s="143">
        <v>12</v>
      </c>
      <c r="F2417" s="12" t="s">
        <v>4992</v>
      </c>
      <c r="G2417" s="38">
        <v>27.79</v>
      </c>
      <c r="H2417" s="38">
        <f t="shared" si="51"/>
        <v>19.45</v>
      </c>
      <c r="I2417" s="38">
        <v>19.45</v>
      </c>
      <c r="J2417" s="39"/>
      <c r="K2417" s="143"/>
      <c r="L2417" s="22">
        <v>0.81666700000000003</v>
      </c>
      <c r="M2417" s="22" t="s">
        <v>4992</v>
      </c>
      <c r="N2417" s="20" t="s">
        <v>14489</v>
      </c>
      <c r="O2417" s="16" t="s">
        <v>13914</v>
      </c>
      <c r="P2417" s="143">
        <v>749</v>
      </c>
      <c r="Q2417" s="121" t="s">
        <v>14285</v>
      </c>
      <c r="R2417" s="16" t="s">
        <v>9235</v>
      </c>
      <c r="S2417" s="10" t="s">
        <v>194</v>
      </c>
      <c r="T2417" s="28" t="s">
        <v>11427</v>
      </c>
      <c r="U2417" s="20" t="s">
        <v>5359</v>
      </c>
      <c r="V2417" s="16" t="s">
        <v>4643</v>
      </c>
      <c r="W2417" s="11" t="s">
        <v>14433</v>
      </c>
      <c r="X2417" s="174">
        <v>15.03</v>
      </c>
      <c r="Y2417" s="174">
        <v>19.45</v>
      </c>
    </row>
    <row r="2418" spans="1:25" ht="15" customHeight="1" x14ac:dyDescent="0.25">
      <c r="A2418" s="20" t="s">
        <v>4645</v>
      </c>
      <c r="B2418" s="14" t="s">
        <v>4646</v>
      </c>
      <c r="C2418" s="71" t="str">
        <f t="shared" si="49"/>
        <v>Product Info</v>
      </c>
      <c r="D2418" s="37" t="s">
        <v>3202</v>
      </c>
      <c r="E2418" s="143">
        <v>12</v>
      </c>
      <c r="F2418" s="12" t="s">
        <v>4992</v>
      </c>
      <c r="G2418" s="38">
        <v>33.369999999999997</v>
      </c>
      <c r="H2418" s="38">
        <f t="shared" si="51"/>
        <v>23.36</v>
      </c>
      <c r="I2418" s="38">
        <v>23.36</v>
      </c>
      <c r="J2418" s="39"/>
      <c r="K2418" s="143"/>
      <c r="L2418" s="22">
        <v>1</v>
      </c>
      <c r="M2418" s="22" t="s">
        <v>12488</v>
      </c>
      <c r="N2418" s="20" t="s">
        <v>8826</v>
      </c>
      <c r="O2418" s="16" t="s">
        <v>12608</v>
      </c>
      <c r="P2418" s="143">
        <v>749</v>
      </c>
      <c r="Q2418" s="122" t="s">
        <v>9227</v>
      </c>
      <c r="R2418" s="16" t="s">
        <v>9235</v>
      </c>
      <c r="S2418" s="10" t="s">
        <v>194</v>
      </c>
      <c r="T2418" s="28" t="s">
        <v>11428</v>
      </c>
      <c r="U2418" s="20" t="s">
        <v>5359</v>
      </c>
      <c r="V2418" s="16" t="s">
        <v>4645</v>
      </c>
      <c r="W2418" s="11" t="s">
        <v>14433</v>
      </c>
      <c r="X2418" s="174">
        <v>18.05</v>
      </c>
      <c r="Y2418" s="174">
        <v>23.36</v>
      </c>
    </row>
    <row r="2419" spans="1:25" ht="15" customHeight="1" x14ac:dyDescent="0.25">
      <c r="A2419" s="20" t="s">
        <v>4647</v>
      </c>
      <c r="B2419" s="14" t="s">
        <v>4648</v>
      </c>
      <c r="C2419" s="71" t="str">
        <f t="shared" si="49"/>
        <v>Product Info</v>
      </c>
      <c r="D2419" s="37" t="s">
        <v>6649</v>
      </c>
      <c r="E2419" s="143">
        <v>12</v>
      </c>
      <c r="F2419" s="12" t="s">
        <v>4992</v>
      </c>
      <c r="G2419" s="38">
        <v>40.130000000000003</v>
      </c>
      <c r="H2419" s="38">
        <f t="shared" si="51"/>
        <v>28.09</v>
      </c>
      <c r="I2419" s="38">
        <v>28.09</v>
      </c>
      <c r="J2419" s="39"/>
      <c r="K2419" s="143"/>
      <c r="L2419" s="22">
        <v>1.1166659999999999</v>
      </c>
      <c r="M2419" s="22" t="s">
        <v>4992</v>
      </c>
      <c r="N2419" s="20" t="s">
        <v>14489</v>
      </c>
      <c r="O2419" s="16" t="s">
        <v>12608</v>
      </c>
      <c r="P2419" s="143">
        <v>749</v>
      </c>
      <c r="Q2419" s="122" t="s">
        <v>12421</v>
      </c>
      <c r="R2419" s="16" t="s">
        <v>9235</v>
      </c>
      <c r="S2419" s="10" t="s">
        <v>194</v>
      </c>
      <c r="T2419" s="28" t="s">
        <v>11429</v>
      </c>
      <c r="U2419" s="20" t="s">
        <v>5359</v>
      </c>
      <c r="V2419" s="16" t="s">
        <v>4647</v>
      </c>
      <c r="W2419" s="11" t="s">
        <v>14433</v>
      </c>
      <c r="X2419" s="174">
        <v>21.7</v>
      </c>
      <c r="Y2419" s="174">
        <v>28.09</v>
      </c>
    </row>
    <row r="2420" spans="1:25" ht="15" customHeight="1" x14ac:dyDescent="0.25">
      <c r="A2420" s="20" t="s">
        <v>4649</v>
      </c>
      <c r="B2420" s="14" t="s">
        <v>4650</v>
      </c>
      <c r="C2420" s="71" t="str">
        <f t="shared" si="49"/>
        <v>Product Info</v>
      </c>
      <c r="D2420" s="37" t="s">
        <v>6650</v>
      </c>
      <c r="E2420" s="143">
        <v>12</v>
      </c>
      <c r="F2420" s="12" t="s">
        <v>4992</v>
      </c>
      <c r="G2420" s="38">
        <v>46.04</v>
      </c>
      <c r="H2420" s="38">
        <f t="shared" si="51"/>
        <v>32.229999999999997</v>
      </c>
      <c r="I2420" s="38">
        <v>32.229999999999997</v>
      </c>
      <c r="J2420" s="39"/>
      <c r="K2420" s="143"/>
      <c r="L2420" s="22">
        <v>0.33300000000000002</v>
      </c>
      <c r="M2420" s="22" t="s">
        <v>14394</v>
      </c>
      <c r="N2420" s="20" t="s">
        <v>9410</v>
      </c>
      <c r="O2420" s="16" t="s">
        <v>12608</v>
      </c>
      <c r="P2420" s="143">
        <v>749</v>
      </c>
      <c r="Q2420" s="121" t="s">
        <v>14285</v>
      </c>
      <c r="R2420" s="16" t="s">
        <v>9235</v>
      </c>
      <c r="S2420" s="10" t="s">
        <v>194</v>
      </c>
      <c r="T2420" s="28" t="s">
        <v>11430</v>
      </c>
      <c r="U2420" s="20" t="s">
        <v>5359</v>
      </c>
      <c r="V2420" s="16" t="s">
        <v>4649</v>
      </c>
      <c r="W2420" s="11" t="s">
        <v>14433</v>
      </c>
      <c r="X2420" s="174">
        <v>24.9</v>
      </c>
      <c r="Y2420" s="174">
        <v>32.229999999999997</v>
      </c>
    </row>
    <row r="2421" spans="1:25" ht="15" customHeight="1" x14ac:dyDescent="0.25">
      <c r="A2421" s="20" t="s">
        <v>4651</v>
      </c>
      <c r="B2421" s="14" t="s">
        <v>4652</v>
      </c>
      <c r="C2421" s="71" t="str">
        <f t="shared" si="49"/>
        <v>Product Info</v>
      </c>
      <c r="D2421" s="37" t="s">
        <v>3404</v>
      </c>
      <c r="E2421" s="143">
        <v>6</v>
      </c>
      <c r="F2421" s="12" t="s">
        <v>2170</v>
      </c>
      <c r="G2421" s="38">
        <v>27.04</v>
      </c>
      <c r="H2421" s="38">
        <f t="shared" si="51"/>
        <v>18.93</v>
      </c>
      <c r="I2421" s="38">
        <v>18.93</v>
      </c>
      <c r="J2421" s="39"/>
      <c r="K2421" s="143"/>
      <c r="L2421" s="22">
        <v>6</v>
      </c>
      <c r="M2421" s="22" t="s">
        <v>12488</v>
      </c>
      <c r="N2421" s="20" t="s">
        <v>9306</v>
      </c>
      <c r="O2421" s="16" t="s">
        <v>12608</v>
      </c>
      <c r="P2421" s="143">
        <v>749</v>
      </c>
      <c r="Q2421" s="121" t="s">
        <v>14285</v>
      </c>
      <c r="R2421" s="16" t="s">
        <v>9235</v>
      </c>
      <c r="S2421" s="10" t="s">
        <v>194</v>
      </c>
      <c r="T2421" s="28" t="s">
        <v>11431</v>
      </c>
      <c r="U2421" s="20" t="s">
        <v>5359</v>
      </c>
      <c r="V2421" s="16" t="s">
        <v>4651</v>
      </c>
      <c r="W2421" s="11" t="s">
        <v>14433</v>
      </c>
      <c r="X2421" s="174">
        <v>14.63</v>
      </c>
      <c r="Y2421" s="174">
        <v>18.93</v>
      </c>
    </row>
    <row r="2422" spans="1:25" ht="15" customHeight="1" x14ac:dyDescent="0.25">
      <c r="A2422" s="20" t="s">
        <v>4653</v>
      </c>
      <c r="B2422" s="14" t="s">
        <v>4654</v>
      </c>
      <c r="C2422" s="71" t="str">
        <f t="shared" si="49"/>
        <v>Product Info</v>
      </c>
      <c r="D2422" s="37" t="s">
        <v>3405</v>
      </c>
      <c r="E2422" s="143">
        <v>24</v>
      </c>
      <c r="F2422" s="12" t="s">
        <v>2170</v>
      </c>
      <c r="G2422" s="38">
        <v>25.23</v>
      </c>
      <c r="H2422" s="38">
        <f t="shared" si="51"/>
        <v>17.66</v>
      </c>
      <c r="I2422" s="38">
        <v>17.66</v>
      </c>
      <c r="J2422" s="39"/>
      <c r="K2422" s="143"/>
      <c r="L2422" s="22">
        <v>25</v>
      </c>
      <c r="M2422" s="22" t="s">
        <v>12488</v>
      </c>
      <c r="N2422" s="20" t="s">
        <v>9264</v>
      </c>
      <c r="O2422" s="16" t="s">
        <v>12608</v>
      </c>
      <c r="P2422" s="143">
        <v>749</v>
      </c>
      <c r="Q2422" s="121" t="s">
        <v>14285</v>
      </c>
      <c r="R2422" s="16" t="s">
        <v>9235</v>
      </c>
      <c r="S2422" s="10" t="s">
        <v>194</v>
      </c>
      <c r="T2422" s="28" t="s">
        <v>11432</v>
      </c>
      <c r="U2422" s="20" t="s">
        <v>5359</v>
      </c>
      <c r="V2422" s="16" t="s">
        <v>4653</v>
      </c>
      <c r="W2422" s="11" t="s">
        <v>14433</v>
      </c>
      <c r="X2422" s="174">
        <v>13.64</v>
      </c>
      <c r="Y2422" s="174">
        <v>17.66</v>
      </c>
    </row>
    <row r="2423" spans="1:25" ht="15" customHeight="1" x14ac:dyDescent="0.25">
      <c r="A2423" s="20" t="s">
        <v>4655</v>
      </c>
      <c r="B2423" s="14" t="s">
        <v>4656</v>
      </c>
      <c r="C2423" s="71" t="str">
        <f t="shared" si="49"/>
        <v>Product Info</v>
      </c>
      <c r="D2423" s="37" t="s">
        <v>3406</v>
      </c>
      <c r="E2423" s="143">
        <v>3</v>
      </c>
      <c r="F2423" s="12" t="s">
        <v>4992</v>
      </c>
      <c r="G2423" s="38">
        <v>31.2</v>
      </c>
      <c r="H2423" s="38">
        <f t="shared" si="51"/>
        <v>21.84</v>
      </c>
      <c r="I2423" s="38">
        <v>21.84</v>
      </c>
      <c r="J2423" s="39"/>
      <c r="K2423" s="143"/>
      <c r="L2423" s="22">
        <v>5</v>
      </c>
      <c r="M2423" s="22" t="s">
        <v>12488</v>
      </c>
      <c r="N2423" s="20" t="s">
        <v>9306</v>
      </c>
      <c r="O2423" s="16" t="s">
        <v>12608</v>
      </c>
      <c r="P2423" s="143">
        <v>749</v>
      </c>
      <c r="Q2423" s="121" t="s">
        <v>14285</v>
      </c>
      <c r="R2423" s="16" t="s">
        <v>9235</v>
      </c>
      <c r="S2423" s="10" t="s">
        <v>194</v>
      </c>
      <c r="T2423" s="28" t="s">
        <v>11433</v>
      </c>
      <c r="U2423" s="20" t="s">
        <v>5359</v>
      </c>
      <c r="V2423" s="16" t="s">
        <v>4655</v>
      </c>
      <c r="W2423" s="11" t="s">
        <v>14433</v>
      </c>
      <c r="X2423" s="174">
        <v>16.87</v>
      </c>
      <c r="Y2423" s="174">
        <v>21.84</v>
      </c>
    </row>
    <row r="2424" spans="1:25" ht="15" customHeight="1" x14ac:dyDescent="0.25">
      <c r="A2424" s="20" t="s">
        <v>4657</v>
      </c>
      <c r="B2424" s="14" t="s">
        <v>4658</v>
      </c>
      <c r="C2424" s="71" t="str">
        <f t="shared" si="49"/>
        <v>Product Info</v>
      </c>
      <c r="D2424" s="37" t="s">
        <v>3407</v>
      </c>
      <c r="E2424" s="143">
        <v>3</v>
      </c>
      <c r="F2424" s="12" t="s">
        <v>4992</v>
      </c>
      <c r="G2424" s="38">
        <v>56.27</v>
      </c>
      <c r="H2424" s="38">
        <f t="shared" si="51"/>
        <v>39.39</v>
      </c>
      <c r="I2424" s="38">
        <v>39.39</v>
      </c>
      <c r="J2424" s="39"/>
      <c r="K2424" s="143"/>
      <c r="L2424" s="22">
        <v>6</v>
      </c>
      <c r="M2424" s="22">
        <v>0</v>
      </c>
      <c r="N2424" s="20" t="s">
        <v>9306</v>
      </c>
      <c r="O2424" s="16" t="s">
        <v>12608</v>
      </c>
      <c r="P2424" s="143">
        <v>749</v>
      </c>
      <c r="Q2424" s="121" t="s">
        <v>14285</v>
      </c>
      <c r="R2424" s="16" t="s">
        <v>9235</v>
      </c>
      <c r="S2424" s="10" t="s">
        <v>194</v>
      </c>
      <c r="T2424" s="28" t="s">
        <v>11434</v>
      </c>
      <c r="U2424" s="20" t="s">
        <v>5359</v>
      </c>
      <c r="V2424" s="16" t="s">
        <v>4657</v>
      </c>
      <c r="W2424" s="11" t="s">
        <v>14433</v>
      </c>
      <c r="X2424" s="174">
        <v>30.44</v>
      </c>
      <c r="Y2424" s="174">
        <v>39.39</v>
      </c>
    </row>
    <row r="2425" spans="1:25" ht="15" customHeight="1" x14ac:dyDescent="0.25">
      <c r="A2425" s="20" t="s">
        <v>4659</v>
      </c>
      <c r="B2425" s="14" t="s">
        <v>4660</v>
      </c>
      <c r="C2425" s="71" t="str">
        <f t="shared" si="49"/>
        <v>Product Info</v>
      </c>
      <c r="D2425" s="37" t="s">
        <v>3408</v>
      </c>
      <c r="E2425" s="143">
        <v>3</v>
      </c>
      <c r="F2425" s="12" t="s">
        <v>4992</v>
      </c>
      <c r="G2425" s="38">
        <v>65.06</v>
      </c>
      <c r="H2425" s="38">
        <f t="shared" si="51"/>
        <v>45.54</v>
      </c>
      <c r="I2425" s="38">
        <v>45.54</v>
      </c>
      <c r="J2425" s="39"/>
      <c r="K2425" s="143"/>
      <c r="L2425" s="22">
        <v>8</v>
      </c>
      <c r="M2425" s="22" t="s">
        <v>12488</v>
      </c>
      <c r="N2425" s="20" t="s">
        <v>9306</v>
      </c>
      <c r="O2425" s="16" t="s">
        <v>12608</v>
      </c>
      <c r="P2425" s="143">
        <v>749</v>
      </c>
      <c r="Q2425" s="121" t="s">
        <v>14285</v>
      </c>
      <c r="R2425" s="16" t="s">
        <v>9235</v>
      </c>
      <c r="S2425" s="10" t="s">
        <v>194</v>
      </c>
      <c r="T2425" s="28" t="s">
        <v>11435</v>
      </c>
      <c r="U2425" s="20" t="s">
        <v>5359</v>
      </c>
      <c r="V2425" s="16" t="s">
        <v>4659</v>
      </c>
      <c r="W2425" s="11" t="s">
        <v>14433</v>
      </c>
      <c r="X2425" s="174">
        <v>35.19</v>
      </c>
      <c r="Y2425" s="174">
        <v>45.54</v>
      </c>
    </row>
    <row r="2426" spans="1:25" ht="15" customHeight="1" x14ac:dyDescent="0.25">
      <c r="A2426" s="20" t="s">
        <v>4661</v>
      </c>
      <c r="B2426" s="14" t="s">
        <v>4662</v>
      </c>
      <c r="C2426" s="71" t="str">
        <f t="shared" si="49"/>
        <v>Product Info</v>
      </c>
      <c r="D2426" s="37" t="s">
        <v>6651</v>
      </c>
      <c r="E2426" s="143">
        <v>6</v>
      </c>
      <c r="F2426" s="12" t="s">
        <v>2170</v>
      </c>
      <c r="G2426" s="38">
        <v>5.8</v>
      </c>
      <c r="H2426" s="38">
        <f t="shared" si="51"/>
        <v>4.0599999999999996</v>
      </c>
      <c r="I2426" s="38">
        <v>4.0599999999999996</v>
      </c>
      <c r="J2426" s="39"/>
      <c r="K2426" s="143"/>
      <c r="L2426" s="22">
        <v>1</v>
      </c>
      <c r="M2426" s="22" t="s">
        <v>12488</v>
      </c>
      <c r="N2426" s="20" t="s">
        <v>9411</v>
      </c>
      <c r="O2426" s="16" t="s">
        <v>12608</v>
      </c>
      <c r="P2426" s="143">
        <v>749</v>
      </c>
      <c r="Q2426" s="121" t="s">
        <v>14285</v>
      </c>
      <c r="R2426" s="16" t="s">
        <v>9235</v>
      </c>
      <c r="S2426" s="10" t="s">
        <v>194</v>
      </c>
      <c r="T2426" s="28" t="s">
        <v>11436</v>
      </c>
      <c r="U2426" s="20" t="s">
        <v>5359</v>
      </c>
      <c r="V2426" s="16" t="s">
        <v>4661</v>
      </c>
      <c r="W2426" s="11" t="s">
        <v>14433</v>
      </c>
      <c r="X2426" s="174">
        <v>3.14</v>
      </c>
      <c r="Y2426" s="174">
        <v>4.0599999999999996</v>
      </c>
    </row>
    <row r="2427" spans="1:25" ht="15" customHeight="1" x14ac:dyDescent="0.25">
      <c r="A2427" s="20" t="s">
        <v>5596</v>
      </c>
      <c r="B2427" s="14" t="s">
        <v>5597</v>
      </c>
      <c r="C2427" s="71" t="str">
        <f t="shared" si="49"/>
        <v>Product Info</v>
      </c>
      <c r="D2427" s="37" t="s">
        <v>3409</v>
      </c>
      <c r="E2427" s="143">
        <v>10</v>
      </c>
      <c r="F2427" s="12" t="s">
        <v>2170</v>
      </c>
      <c r="G2427" s="38">
        <v>58.06</v>
      </c>
      <c r="H2427" s="38">
        <f t="shared" si="51"/>
        <v>40.64</v>
      </c>
      <c r="I2427" s="38">
        <v>40.64</v>
      </c>
      <c r="J2427" s="39"/>
      <c r="K2427" s="143"/>
      <c r="L2427" s="22">
        <v>0.42859999999999998</v>
      </c>
      <c r="M2427" s="22" t="s">
        <v>14394</v>
      </c>
      <c r="N2427" s="20" t="s">
        <v>8842</v>
      </c>
      <c r="O2427" s="16" t="s">
        <v>12608</v>
      </c>
      <c r="P2427" s="143">
        <v>749</v>
      </c>
      <c r="Q2427" s="121" t="s">
        <v>14285</v>
      </c>
      <c r="R2427" s="16" t="s">
        <v>9235</v>
      </c>
      <c r="S2427" s="10" t="s">
        <v>194</v>
      </c>
      <c r="T2427" s="28" t="s">
        <v>11437</v>
      </c>
      <c r="U2427" s="20" t="s">
        <v>5359</v>
      </c>
      <c r="V2427" s="16" t="s">
        <v>5596</v>
      </c>
      <c r="W2427" s="11" t="s">
        <v>14433</v>
      </c>
      <c r="X2427" s="174">
        <v>31.4</v>
      </c>
      <c r="Y2427" s="174">
        <v>40.64</v>
      </c>
    </row>
    <row r="2428" spans="1:25" ht="15" customHeight="1" x14ac:dyDescent="0.25">
      <c r="A2428" s="20" t="s">
        <v>12632</v>
      </c>
      <c r="B2428" s="11" t="s">
        <v>9157</v>
      </c>
      <c r="C2428" s="71" t="str">
        <f t="shared" si="49"/>
        <v>Product Info</v>
      </c>
      <c r="D2428" s="37" t="s">
        <v>9158</v>
      </c>
      <c r="E2428" s="143">
        <v>1</v>
      </c>
      <c r="F2428" s="12" t="s">
        <v>4992</v>
      </c>
      <c r="G2428" s="38">
        <v>39.96</v>
      </c>
      <c r="H2428" s="38">
        <f t="shared" si="51"/>
        <v>27.97</v>
      </c>
      <c r="I2428" s="38">
        <v>27.97</v>
      </c>
      <c r="J2428" s="39"/>
      <c r="K2428" s="143"/>
      <c r="L2428" s="22">
        <v>0.30099999999999999</v>
      </c>
      <c r="M2428" s="22" t="s">
        <v>14394</v>
      </c>
      <c r="N2428" s="20" t="s">
        <v>14489</v>
      </c>
      <c r="O2428" s="16" t="s">
        <v>12608</v>
      </c>
      <c r="P2428" s="143">
        <v>749</v>
      </c>
      <c r="Q2428" s="121" t="s">
        <v>14285</v>
      </c>
      <c r="R2428" s="16" t="s">
        <v>9235</v>
      </c>
      <c r="S2428" s="10" t="s">
        <v>194</v>
      </c>
      <c r="T2428" s="28" t="s">
        <v>14360</v>
      </c>
      <c r="U2428" s="20" t="s">
        <v>5359</v>
      </c>
      <c r="V2428" s="16" t="s">
        <v>12632</v>
      </c>
      <c r="W2428" s="11" t="s">
        <v>14433</v>
      </c>
      <c r="X2428" s="174">
        <v>21.61</v>
      </c>
      <c r="Y2428" s="174">
        <v>27.97</v>
      </c>
    </row>
    <row r="2429" spans="1:25" ht="15" customHeight="1" x14ac:dyDescent="0.25">
      <c r="A2429" s="20" t="s">
        <v>1067</v>
      </c>
      <c r="B2429" s="14" t="s">
        <v>3480</v>
      </c>
      <c r="C2429" s="71" t="str">
        <f t="shared" si="49"/>
        <v>Product Info</v>
      </c>
      <c r="D2429" s="37" t="s">
        <v>3481</v>
      </c>
      <c r="E2429" s="143">
        <v>12</v>
      </c>
      <c r="F2429" s="12" t="s">
        <v>4992</v>
      </c>
      <c r="G2429" s="38">
        <v>45.34</v>
      </c>
      <c r="H2429" s="38">
        <f t="shared" si="51"/>
        <v>31.74</v>
      </c>
      <c r="I2429" s="38">
        <v>31.74</v>
      </c>
      <c r="J2429" s="39"/>
      <c r="K2429" s="143"/>
      <c r="L2429" s="22">
        <v>0.5</v>
      </c>
      <c r="M2429" s="22" t="s">
        <v>14394</v>
      </c>
      <c r="N2429" s="20" t="s">
        <v>14489</v>
      </c>
      <c r="O2429" s="16" t="s">
        <v>12608</v>
      </c>
      <c r="P2429" s="143">
        <v>749</v>
      </c>
      <c r="Q2429" s="121" t="s">
        <v>14285</v>
      </c>
      <c r="R2429" s="16" t="s">
        <v>9235</v>
      </c>
      <c r="S2429" s="10" t="s">
        <v>194</v>
      </c>
      <c r="T2429" s="28" t="s">
        <v>11438</v>
      </c>
      <c r="U2429" s="20" t="s">
        <v>5359</v>
      </c>
      <c r="V2429" s="16" t="s">
        <v>1067</v>
      </c>
      <c r="W2429" s="11" t="s">
        <v>14433</v>
      </c>
      <c r="X2429" s="174">
        <v>24.53</v>
      </c>
      <c r="Y2429" s="174">
        <v>31.74</v>
      </c>
    </row>
    <row r="2430" spans="1:25" ht="15" customHeight="1" x14ac:dyDescent="0.25">
      <c r="A2430" s="20" t="s">
        <v>1068</v>
      </c>
      <c r="B2430" s="14" t="s">
        <v>3482</v>
      </c>
      <c r="C2430" s="71" t="str">
        <f t="shared" si="49"/>
        <v>Product Info</v>
      </c>
      <c r="D2430" s="37" t="s">
        <v>3483</v>
      </c>
      <c r="E2430" s="143">
        <v>12</v>
      </c>
      <c r="F2430" s="12" t="s">
        <v>4992</v>
      </c>
      <c r="G2430" s="38">
        <v>49.3</v>
      </c>
      <c r="H2430" s="38">
        <f t="shared" si="51"/>
        <v>34.51</v>
      </c>
      <c r="I2430" s="38">
        <v>34.51</v>
      </c>
      <c r="J2430" s="39"/>
      <c r="K2430" s="143"/>
      <c r="L2430" s="22">
        <v>0</v>
      </c>
      <c r="M2430" s="22">
        <v>0</v>
      </c>
      <c r="N2430" s="20" t="s">
        <v>14489</v>
      </c>
      <c r="O2430" s="16" t="s">
        <v>12608</v>
      </c>
      <c r="P2430" s="143">
        <v>749</v>
      </c>
      <c r="Q2430" s="121" t="s">
        <v>14285</v>
      </c>
      <c r="R2430" s="16" t="s">
        <v>9235</v>
      </c>
      <c r="S2430" s="10" t="s">
        <v>194</v>
      </c>
      <c r="T2430" s="28" t="s">
        <v>11439</v>
      </c>
      <c r="U2430" s="20" t="s">
        <v>5359</v>
      </c>
      <c r="V2430" s="16" t="s">
        <v>1068</v>
      </c>
      <c r="W2430" s="11" t="s">
        <v>14433</v>
      </c>
      <c r="X2430" s="174">
        <v>26.66</v>
      </c>
      <c r="Y2430" s="174">
        <v>34.51</v>
      </c>
    </row>
    <row r="2431" spans="1:25" ht="15" customHeight="1" x14ac:dyDescent="0.25">
      <c r="A2431" s="20" t="s">
        <v>1069</v>
      </c>
      <c r="B2431" s="14" t="s">
        <v>3484</v>
      </c>
      <c r="C2431" s="71" t="str">
        <f t="shared" si="49"/>
        <v>Product Info</v>
      </c>
      <c r="D2431" s="37" t="s">
        <v>1282</v>
      </c>
      <c r="E2431" s="143">
        <v>12</v>
      </c>
      <c r="F2431" s="12" t="s">
        <v>4992</v>
      </c>
      <c r="G2431" s="38">
        <v>50.66</v>
      </c>
      <c r="H2431" s="38">
        <f t="shared" si="51"/>
        <v>35.46</v>
      </c>
      <c r="I2431" s="38">
        <v>35.46</v>
      </c>
      <c r="J2431" s="39"/>
      <c r="K2431" s="143"/>
      <c r="L2431" s="22">
        <v>0</v>
      </c>
      <c r="M2431" s="22">
        <v>0</v>
      </c>
      <c r="N2431" s="20" t="s">
        <v>14489</v>
      </c>
      <c r="O2431" s="16" t="s">
        <v>12608</v>
      </c>
      <c r="P2431" s="143">
        <v>749</v>
      </c>
      <c r="Q2431" s="121" t="s">
        <v>14285</v>
      </c>
      <c r="R2431" s="16" t="s">
        <v>9235</v>
      </c>
      <c r="S2431" s="10" t="s">
        <v>194</v>
      </c>
      <c r="T2431" s="28" t="s">
        <v>11440</v>
      </c>
      <c r="U2431" s="20" t="s">
        <v>5359</v>
      </c>
      <c r="V2431" s="16" t="s">
        <v>1069</v>
      </c>
      <c r="W2431" s="11" t="s">
        <v>14433</v>
      </c>
      <c r="X2431" s="174">
        <v>27.4</v>
      </c>
      <c r="Y2431" s="174">
        <v>35.46</v>
      </c>
    </row>
    <row r="2432" spans="1:25" ht="15" customHeight="1" x14ac:dyDescent="0.25">
      <c r="A2432" s="20" t="s">
        <v>5598</v>
      </c>
      <c r="B2432" s="14" t="s">
        <v>5599</v>
      </c>
      <c r="C2432" s="71" t="str">
        <f t="shared" si="49"/>
        <v>Product Info</v>
      </c>
      <c r="D2432" s="37" t="s">
        <v>6652</v>
      </c>
      <c r="E2432" s="143">
        <v>10</v>
      </c>
      <c r="F2432" s="12" t="s">
        <v>2170</v>
      </c>
      <c r="G2432" s="38">
        <v>30.04</v>
      </c>
      <c r="H2432" s="38">
        <f t="shared" si="51"/>
        <v>21.03</v>
      </c>
      <c r="I2432" s="38">
        <v>21.03</v>
      </c>
      <c r="J2432" s="39"/>
      <c r="K2432" s="143"/>
      <c r="L2432" s="22">
        <v>0.6</v>
      </c>
      <c r="M2432" s="22" t="s">
        <v>12488</v>
      </c>
      <c r="N2432" s="20" t="s">
        <v>9311</v>
      </c>
      <c r="O2432" s="16" t="s">
        <v>12608</v>
      </c>
      <c r="P2432" s="143">
        <v>749</v>
      </c>
      <c r="Q2432" s="122" t="s">
        <v>9227</v>
      </c>
      <c r="R2432" s="16" t="s">
        <v>9235</v>
      </c>
      <c r="S2432" s="10" t="s">
        <v>194</v>
      </c>
      <c r="T2432" s="28" t="s">
        <v>11441</v>
      </c>
      <c r="U2432" s="20" t="s">
        <v>5359</v>
      </c>
      <c r="V2432" s="16" t="s">
        <v>5598</v>
      </c>
      <c r="W2432" s="11" t="s">
        <v>14433</v>
      </c>
      <c r="X2432" s="174">
        <v>16.260000000000002</v>
      </c>
      <c r="Y2432" s="174">
        <v>21.03</v>
      </c>
    </row>
    <row r="2433" spans="1:25" ht="15" customHeight="1" x14ac:dyDescent="0.25">
      <c r="A2433" s="20" t="s">
        <v>5600</v>
      </c>
      <c r="B2433" s="14" t="s">
        <v>5601</v>
      </c>
      <c r="C2433" s="71" t="str">
        <f t="shared" si="49"/>
        <v>Product Info</v>
      </c>
      <c r="D2433" s="37" t="s">
        <v>6653</v>
      </c>
      <c r="E2433" s="143">
        <v>10</v>
      </c>
      <c r="F2433" s="12" t="s">
        <v>2170</v>
      </c>
      <c r="G2433" s="38">
        <v>10.9</v>
      </c>
      <c r="H2433" s="38">
        <f t="shared" si="51"/>
        <v>7.63</v>
      </c>
      <c r="I2433" s="38">
        <v>7.63</v>
      </c>
      <c r="J2433" s="39"/>
      <c r="K2433" s="143"/>
      <c r="L2433" s="22">
        <v>0.14000000000000001</v>
      </c>
      <c r="M2433" s="22" t="s">
        <v>2170</v>
      </c>
      <c r="N2433" s="20" t="s">
        <v>14489</v>
      </c>
      <c r="O2433" s="16" t="s">
        <v>12608</v>
      </c>
      <c r="P2433" s="143">
        <v>749</v>
      </c>
      <c r="Q2433" s="122" t="s">
        <v>9227</v>
      </c>
      <c r="R2433" s="16" t="s">
        <v>9235</v>
      </c>
      <c r="S2433" s="10" t="s">
        <v>194</v>
      </c>
      <c r="T2433" s="28" t="s">
        <v>11442</v>
      </c>
      <c r="U2433" s="20" t="s">
        <v>5359</v>
      </c>
      <c r="V2433" s="16" t="s">
        <v>5600</v>
      </c>
      <c r="W2433" s="11" t="s">
        <v>14433</v>
      </c>
      <c r="X2433" s="174">
        <v>5.9</v>
      </c>
      <c r="Y2433" s="174">
        <v>7.63</v>
      </c>
    </row>
    <row r="2434" spans="1:25" ht="15" customHeight="1" x14ac:dyDescent="0.25">
      <c r="A2434" s="20" t="s">
        <v>5602</v>
      </c>
      <c r="B2434" s="14" t="s">
        <v>5603</v>
      </c>
      <c r="C2434" s="71" t="str">
        <f t="shared" si="49"/>
        <v>Product Info</v>
      </c>
      <c r="D2434" s="37" t="s">
        <v>6654</v>
      </c>
      <c r="E2434" s="143">
        <v>100</v>
      </c>
      <c r="F2434" s="12" t="s">
        <v>2170</v>
      </c>
      <c r="G2434" s="38">
        <v>10.36</v>
      </c>
      <c r="H2434" s="38">
        <f t="shared" si="51"/>
        <v>7.25</v>
      </c>
      <c r="I2434" s="38">
        <v>7.25</v>
      </c>
      <c r="J2434" s="39"/>
      <c r="K2434" s="143"/>
      <c r="L2434" s="22">
        <v>0.121</v>
      </c>
      <c r="M2434" s="22" t="s">
        <v>2170</v>
      </c>
      <c r="N2434" s="20" t="s">
        <v>14489</v>
      </c>
      <c r="O2434" s="16" t="s">
        <v>12608</v>
      </c>
      <c r="P2434" s="143">
        <v>749</v>
      </c>
      <c r="Q2434" s="122" t="s">
        <v>9227</v>
      </c>
      <c r="R2434" s="16" t="s">
        <v>9235</v>
      </c>
      <c r="S2434" s="10" t="s">
        <v>194</v>
      </c>
      <c r="T2434" s="28" t="s">
        <v>11443</v>
      </c>
      <c r="U2434" s="20" t="s">
        <v>5359</v>
      </c>
      <c r="V2434" s="16" t="s">
        <v>5602</v>
      </c>
      <c r="W2434" s="11" t="s">
        <v>14433</v>
      </c>
      <c r="X2434" s="174">
        <v>5.6</v>
      </c>
      <c r="Y2434" s="174">
        <v>7.25</v>
      </c>
    </row>
    <row r="2435" spans="1:25" ht="15" customHeight="1" x14ac:dyDescent="0.25">
      <c r="A2435" s="20" t="s">
        <v>5604</v>
      </c>
      <c r="B2435" s="14" t="s">
        <v>5605</v>
      </c>
      <c r="C2435" s="71" t="str">
        <f t="shared" si="49"/>
        <v>Product Info</v>
      </c>
      <c r="D2435" s="37" t="s">
        <v>6655</v>
      </c>
      <c r="E2435" s="143">
        <v>30</v>
      </c>
      <c r="F2435" s="12" t="s">
        <v>4992</v>
      </c>
      <c r="G2435" s="38">
        <v>28.09</v>
      </c>
      <c r="H2435" s="38">
        <f t="shared" si="51"/>
        <v>19.66</v>
      </c>
      <c r="I2435" s="38">
        <v>19.66</v>
      </c>
      <c r="J2435" s="39"/>
      <c r="K2435" s="143"/>
      <c r="L2435" s="22">
        <v>0.66333299999999995</v>
      </c>
      <c r="M2435" s="22" t="s">
        <v>4992</v>
      </c>
      <c r="N2435" s="20" t="s">
        <v>14489</v>
      </c>
      <c r="O2435" s="16" t="s">
        <v>12608</v>
      </c>
      <c r="P2435" s="143">
        <v>749</v>
      </c>
      <c r="Q2435" s="122" t="s">
        <v>12421</v>
      </c>
      <c r="R2435" s="16" t="s">
        <v>9235</v>
      </c>
      <c r="S2435" s="10" t="s">
        <v>194</v>
      </c>
      <c r="T2435" s="28" t="s">
        <v>11444</v>
      </c>
      <c r="U2435" s="20" t="s">
        <v>5359</v>
      </c>
      <c r="V2435" s="16" t="s">
        <v>5604</v>
      </c>
      <c r="W2435" s="11" t="s">
        <v>14433</v>
      </c>
      <c r="X2435" s="174">
        <v>15.19</v>
      </c>
      <c r="Y2435" s="174">
        <v>19.66</v>
      </c>
    </row>
    <row r="2436" spans="1:25" ht="15" customHeight="1" x14ac:dyDescent="0.25">
      <c r="A2436" s="20" t="s">
        <v>5606</v>
      </c>
      <c r="B2436" s="14" t="s">
        <v>5607</v>
      </c>
      <c r="C2436" s="71" t="str">
        <f t="shared" si="49"/>
        <v>Product Info</v>
      </c>
      <c r="D2436" s="37" t="s">
        <v>6656</v>
      </c>
      <c r="E2436" s="143">
        <v>10</v>
      </c>
      <c r="F2436" s="12" t="s">
        <v>2170</v>
      </c>
      <c r="G2436" s="38">
        <v>14.61</v>
      </c>
      <c r="H2436" s="38">
        <f t="shared" si="51"/>
        <v>10.23</v>
      </c>
      <c r="I2436" s="38">
        <v>10.23</v>
      </c>
      <c r="J2436" s="39"/>
      <c r="K2436" s="143"/>
      <c r="L2436" s="22">
        <v>0.24</v>
      </c>
      <c r="M2436" s="22" t="s">
        <v>2170</v>
      </c>
      <c r="N2436" s="20" t="s">
        <v>14489</v>
      </c>
      <c r="O2436" s="16" t="s">
        <v>12608</v>
      </c>
      <c r="P2436" s="143">
        <v>749</v>
      </c>
      <c r="Q2436" s="122" t="s">
        <v>14461</v>
      </c>
      <c r="R2436" s="16" t="s">
        <v>9235</v>
      </c>
      <c r="S2436" s="10" t="s">
        <v>194</v>
      </c>
      <c r="T2436" s="28" t="s">
        <v>11445</v>
      </c>
      <c r="U2436" s="20" t="s">
        <v>5359</v>
      </c>
      <c r="V2436" s="16" t="s">
        <v>5606</v>
      </c>
      <c r="W2436" s="11" t="s">
        <v>14433</v>
      </c>
      <c r="X2436" s="174">
        <v>7.9</v>
      </c>
      <c r="Y2436" s="174">
        <v>10.23</v>
      </c>
    </row>
    <row r="2437" spans="1:25" ht="15" customHeight="1" x14ac:dyDescent="0.25">
      <c r="A2437" s="20" t="s">
        <v>5608</v>
      </c>
      <c r="B2437" s="14" t="s">
        <v>5609</v>
      </c>
      <c r="C2437" s="71" t="str">
        <f t="shared" si="49"/>
        <v>Product Info</v>
      </c>
      <c r="D2437" s="37" t="s">
        <v>6657</v>
      </c>
      <c r="E2437" s="143">
        <v>100</v>
      </c>
      <c r="F2437" s="12" t="s">
        <v>2170</v>
      </c>
      <c r="G2437" s="38">
        <v>14.14</v>
      </c>
      <c r="H2437" s="38">
        <f t="shared" si="51"/>
        <v>9.9</v>
      </c>
      <c r="I2437" s="38">
        <v>9.9</v>
      </c>
      <c r="J2437" s="39"/>
      <c r="K2437" s="143"/>
      <c r="L2437" s="22">
        <v>0.224</v>
      </c>
      <c r="M2437" s="22" t="s">
        <v>2170</v>
      </c>
      <c r="N2437" s="20" t="s">
        <v>14489</v>
      </c>
      <c r="O2437" s="16" t="s">
        <v>12608</v>
      </c>
      <c r="P2437" s="143">
        <v>749</v>
      </c>
      <c r="Q2437" s="122" t="s">
        <v>9227</v>
      </c>
      <c r="R2437" s="16" t="s">
        <v>9235</v>
      </c>
      <c r="S2437" s="10" t="s">
        <v>194</v>
      </c>
      <c r="T2437" s="28" t="s">
        <v>11446</v>
      </c>
      <c r="U2437" s="20" t="s">
        <v>5359</v>
      </c>
      <c r="V2437" s="16" t="s">
        <v>5608</v>
      </c>
      <c r="W2437" s="11" t="s">
        <v>14433</v>
      </c>
      <c r="X2437" s="174">
        <v>7.66</v>
      </c>
      <c r="Y2437" s="174">
        <v>9.9</v>
      </c>
    </row>
    <row r="2438" spans="1:25" ht="15" customHeight="1" x14ac:dyDescent="0.25">
      <c r="A2438" s="20" t="s">
        <v>5610</v>
      </c>
      <c r="B2438" s="14" t="s">
        <v>5611</v>
      </c>
      <c r="C2438" s="71" t="str">
        <f t="shared" ref="C2438:C2501" si="52">HYPERLINK(T2438,U2438)</f>
        <v>Product Info</v>
      </c>
      <c r="D2438" s="37" t="s">
        <v>6658</v>
      </c>
      <c r="E2438" s="143">
        <v>6</v>
      </c>
      <c r="F2438" s="12" t="s">
        <v>2170</v>
      </c>
      <c r="G2438" s="38">
        <v>38.93</v>
      </c>
      <c r="H2438" s="38">
        <f t="shared" si="51"/>
        <v>27.25</v>
      </c>
      <c r="I2438" s="38">
        <v>27.25</v>
      </c>
      <c r="J2438" s="39"/>
      <c r="K2438" s="143"/>
      <c r="L2438" s="22">
        <v>0.5635</v>
      </c>
      <c r="M2438" s="22" t="s">
        <v>14394</v>
      </c>
      <c r="N2438" s="20" t="s">
        <v>14489</v>
      </c>
      <c r="O2438" s="16">
        <v>0</v>
      </c>
      <c r="P2438" s="143">
        <v>749</v>
      </c>
      <c r="Q2438" s="121" t="s">
        <v>14285</v>
      </c>
      <c r="R2438" s="16" t="s">
        <v>9235</v>
      </c>
      <c r="S2438" s="10" t="s">
        <v>194</v>
      </c>
      <c r="T2438" s="28" t="s">
        <v>11447</v>
      </c>
      <c r="U2438" s="20" t="s">
        <v>5359</v>
      </c>
      <c r="V2438" s="16" t="s">
        <v>5610</v>
      </c>
      <c r="W2438" s="11" t="s">
        <v>14433</v>
      </c>
      <c r="X2438" s="174">
        <v>21.06</v>
      </c>
      <c r="Y2438" s="174">
        <v>27.25</v>
      </c>
    </row>
    <row r="2439" spans="1:25" ht="15" customHeight="1" x14ac:dyDescent="0.25">
      <c r="A2439" s="20" t="s">
        <v>964</v>
      </c>
      <c r="B2439" s="14" t="s">
        <v>965</v>
      </c>
      <c r="C2439" s="71" t="str">
        <f t="shared" si="52"/>
        <v>Product Info</v>
      </c>
      <c r="D2439" s="37" t="s">
        <v>6659</v>
      </c>
      <c r="E2439" s="143">
        <v>18</v>
      </c>
      <c r="F2439" s="12" t="s">
        <v>2170</v>
      </c>
      <c r="G2439" s="38">
        <v>40.47</v>
      </c>
      <c r="H2439" s="38">
        <f t="shared" si="51"/>
        <v>28.33</v>
      </c>
      <c r="I2439" s="38">
        <v>28.33</v>
      </c>
      <c r="J2439" s="39"/>
      <c r="K2439" s="143"/>
      <c r="L2439" s="22">
        <v>0.96666700000000005</v>
      </c>
      <c r="M2439" s="22" t="s">
        <v>2170</v>
      </c>
      <c r="N2439" s="20" t="s">
        <v>14489</v>
      </c>
      <c r="O2439" s="16" t="s">
        <v>12608</v>
      </c>
      <c r="P2439" s="143">
        <v>749</v>
      </c>
      <c r="Q2439" s="122" t="s">
        <v>14461</v>
      </c>
      <c r="R2439" s="16" t="s">
        <v>9235</v>
      </c>
      <c r="S2439" s="10" t="s">
        <v>194</v>
      </c>
      <c r="T2439" s="28" t="s">
        <v>11448</v>
      </c>
      <c r="U2439" s="20" t="s">
        <v>5359</v>
      </c>
      <c r="V2439" s="16" t="s">
        <v>964</v>
      </c>
      <c r="W2439" s="11" t="s">
        <v>14433</v>
      </c>
      <c r="X2439" s="174">
        <v>21.89</v>
      </c>
      <c r="Y2439" s="174">
        <v>28.33</v>
      </c>
    </row>
    <row r="2440" spans="1:25" ht="15" customHeight="1" x14ac:dyDescent="0.25">
      <c r="A2440" s="20" t="s">
        <v>966</v>
      </c>
      <c r="B2440" s="14" t="s">
        <v>967</v>
      </c>
      <c r="C2440" s="71" t="str">
        <f t="shared" si="52"/>
        <v>Product Info</v>
      </c>
      <c r="D2440" s="37" t="s">
        <v>6660</v>
      </c>
      <c r="E2440" s="143">
        <v>6</v>
      </c>
      <c r="F2440" s="12" t="s">
        <v>2170</v>
      </c>
      <c r="G2440" s="38">
        <v>42.96</v>
      </c>
      <c r="H2440" s="38">
        <f t="shared" si="51"/>
        <v>30.07</v>
      </c>
      <c r="I2440" s="38">
        <v>30.07</v>
      </c>
      <c r="J2440" s="39"/>
      <c r="K2440" s="143"/>
      <c r="L2440" s="22">
        <v>1</v>
      </c>
      <c r="M2440" s="22" t="s">
        <v>12488</v>
      </c>
      <c r="N2440" s="20" t="s">
        <v>8792</v>
      </c>
      <c r="O2440" s="16" t="s">
        <v>12608</v>
      </c>
      <c r="P2440" s="143">
        <v>749</v>
      </c>
      <c r="Q2440" s="122" t="s">
        <v>9227</v>
      </c>
      <c r="R2440" s="16" t="s">
        <v>9235</v>
      </c>
      <c r="S2440" s="10" t="s">
        <v>194</v>
      </c>
      <c r="T2440" s="28" t="s">
        <v>11449</v>
      </c>
      <c r="U2440" s="20" t="s">
        <v>5359</v>
      </c>
      <c r="V2440" s="16" t="s">
        <v>966</v>
      </c>
      <c r="W2440" s="11" t="s">
        <v>14433</v>
      </c>
      <c r="X2440" s="174">
        <v>23.23</v>
      </c>
      <c r="Y2440" s="174">
        <v>30.07</v>
      </c>
    </row>
    <row r="2441" spans="1:25" ht="15" customHeight="1" x14ac:dyDescent="0.25">
      <c r="A2441" s="20" t="s">
        <v>968</v>
      </c>
      <c r="B2441" s="14" t="s">
        <v>969</v>
      </c>
      <c r="C2441" s="71" t="str">
        <f t="shared" si="52"/>
        <v>Product Info</v>
      </c>
      <c r="D2441" s="37" t="s">
        <v>6661</v>
      </c>
      <c r="E2441" s="143">
        <v>10</v>
      </c>
      <c r="F2441" s="12" t="s">
        <v>2170</v>
      </c>
      <c r="G2441" s="38">
        <v>14.41</v>
      </c>
      <c r="H2441" s="38">
        <f t="shared" ref="H2441:H2472" si="53">I2441</f>
        <v>10.09</v>
      </c>
      <c r="I2441" s="38">
        <v>10.09</v>
      </c>
      <c r="J2441" s="39"/>
      <c r="K2441" s="143"/>
      <c r="L2441" s="22">
        <v>0.38</v>
      </c>
      <c r="M2441" s="22" t="s">
        <v>2170</v>
      </c>
      <c r="N2441" s="20" t="s">
        <v>14489</v>
      </c>
      <c r="O2441" s="16" t="s">
        <v>12608</v>
      </c>
      <c r="P2441" s="143">
        <v>749</v>
      </c>
      <c r="Q2441" s="122" t="s">
        <v>9227</v>
      </c>
      <c r="R2441" s="16" t="s">
        <v>9235</v>
      </c>
      <c r="S2441" s="10" t="s">
        <v>194</v>
      </c>
      <c r="T2441" s="28" t="s">
        <v>11450</v>
      </c>
      <c r="U2441" s="20" t="s">
        <v>5359</v>
      </c>
      <c r="V2441" s="16" t="s">
        <v>968</v>
      </c>
      <c r="W2441" s="11" t="s">
        <v>14433</v>
      </c>
      <c r="X2441" s="174">
        <v>7.79</v>
      </c>
      <c r="Y2441" s="174">
        <v>10.09</v>
      </c>
    </row>
    <row r="2442" spans="1:25" ht="15" customHeight="1" x14ac:dyDescent="0.25">
      <c r="A2442" s="20" t="s">
        <v>942</v>
      </c>
      <c r="B2442" s="14" t="s">
        <v>943</v>
      </c>
      <c r="C2442" s="71" t="str">
        <f t="shared" si="52"/>
        <v>Product Info</v>
      </c>
      <c r="D2442" s="37" t="s">
        <v>3410</v>
      </c>
      <c r="E2442" s="143">
        <v>1</v>
      </c>
      <c r="F2442" s="12" t="s">
        <v>2170</v>
      </c>
      <c r="G2442" s="38">
        <v>2734.61</v>
      </c>
      <c r="H2442" s="38">
        <v>2324.5100000000002</v>
      </c>
      <c r="I2442" s="38">
        <v>1914.23</v>
      </c>
      <c r="J2442" s="39"/>
      <c r="K2442" s="143"/>
      <c r="L2442" s="22">
        <v>15</v>
      </c>
      <c r="M2442" s="22" t="s">
        <v>12488</v>
      </c>
      <c r="N2442" s="20" t="s">
        <v>9321</v>
      </c>
      <c r="O2442" s="16" t="s">
        <v>12608</v>
      </c>
      <c r="P2442" s="143">
        <v>748</v>
      </c>
      <c r="Q2442" s="121" t="s">
        <v>14285</v>
      </c>
      <c r="R2442" s="16" t="s">
        <v>8904</v>
      </c>
      <c r="S2442" s="10" t="s">
        <v>1163</v>
      </c>
      <c r="T2442" s="28" t="s">
        <v>11451</v>
      </c>
      <c r="U2442" s="20" t="s">
        <v>5359</v>
      </c>
      <c r="V2442" s="16" t="s">
        <v>942</v>
      </c>
      <c r="W2442" s="11" t="s">
        <v>14399</v>
      </c>
      <c r="X2442" s="174">
        <v>1783.75</v>
      </c>
      <c r="Y2442" s="174">
        <v>2324.5100000000002</v>
      </c>
    </row>
    <row r="2443" spans="1:25" ht="15" customHeight="1" x14ac:dyDescent="0.25">
      <c r="A2443" s="20" t="s">
        <v>8180</v>
      </c>
      <c r="B2443" s="14" t="s">
        <v>8181</v>
      </c>
      <c r="C2443" s="71" t="str">
        <f t="shared" si="52"/>
        <v>Product Info</v>
      </c>
      <c r="D2443" s="37" t="s">
        <v>8961</v>
      </c>
      <c r="E2443" s="143">
        <v>1</v>
      </c>
      <c r="F2443" s="12" t="s">
        <v>2170</v>
      </c>
      <c r="G2443" s="38">
        <v>2844.01</v>
      </c>
      <c r="H2443" s="38">
        <v>2417.5</v>
      </c>
      <c r="I2443" s="38">
        <v>1990.81</v>
      </c>
      <c r="J2443" s="39">
        <v>20</v>
      </c>
      <c r="K2443" s="143"/>
      <c r="L2443" s="22">
        <v>0</v>
      </c>
      <c r="M2443" s="22">
        <v>0</v>
      </c>
      <c r="N2443" s="20" t="s">
        <v>14489</v>
      </c>
      <c r="O2443" s="16">
        <v>0</v>
      </c>
      <c r="P2443" s="143">
        <v>748</v>
      </c>
      <c r="Q2443" s="121" t="s">
        <v>14285</v>
      </c>
      <c r="R2443" s="16" t="s">
        <v>8904</v>
      </c>
      <c r="S2443" s="10" t="s">
        <v>1163</v>
      </c>
      <c r="T2443" s="28" t="s">
        <v>14437</v>
      </c>
      <c r="U2443" s="20" t="s">
        <v>5359</v>
      </c>
      <c r="V2443" s="16" t="s">
        <v>8180</v>
      </c>
      <c r="W2443" s="11" t="s">
        <v>14399</v>
      </c>
      <c r="X2443" s="174">
        <v>1855.1</v>
      </c>
      <c r="Y2443" s="174">
        <v>2417.5</v>
      </c>
    </row>
    <row r="2444" spans="1:25" ht="15" customHeight="1" x14ac:dyDescent="0.25">
      <c r="A2444" s="20" t="s">
        <v>944</v>
      </c>
      <c r="B2444" s="14" t="s">
        <v>945</v>
      </c>
      <c r="C2444" s="71" t="str">
        <f t="shared" si="52"/>
        <v>Product Info</v>
      </c>
      <c r="D2444" s="37" t="s">
        <v>3411</v>
      </c>
      <c r="E2444" s="143">
        <v>1</v>
      </c>
      <c r="F2444" s="12" t="s">
        <v>2170</v>
      </c>
      <c r="G2444" s="38">
        <v>2923.21</v>
      </c>
      <c r="H2444" s="38">
        <v>2484.8200000000002</v>
      </c>
      <c r="I2444" s="38">
        <v>2046.25</v>
      </c>
      <c r="J2444" s="39">
        <v>20</v>
      </c>
      <c r="K2444" s="143"/>
      <c r="L2444" s="22">
        <v>16</v>
      </c>
      <c r="M2444" s="22" t="s">
        <v>12488</v>
      </c>
      <c r="N2444" s="20" t="s">
        <v>9412</v>
      </c>
      <c r="O2444" s="16" t="s">
        <v>12608</v>
      </c>
      <c r="P2444" s="143">
        <v>748</v>
      </c>
      <c r="Q2444" s="121" t="s">
        <v>14285</v>
      </c>
      <c r="R2444" s="16" t="s">
        <v>8904</v>
      </c>
      <c r="S2444" s="10" t="s">
        <v>1163</v>
      </c>
      <c r="T2444" s="28" t="s">
        <v>11452</v>
      </c>
      <c r="U2444" s="20" t="s">
        <v>5359</v>
      </c>
      <c r="V2444" s="16" t="s">
        <v>944</v>
      </c>
      <c r="W2444" s="11" t="s">
        <v>14399</v>
      </c>
      <c r="X2444" s="174">
        <v>1906.77</v>
      </c>
      <c r="Y2444" s="174">
        <v>2484.8200000000002</v>
      </c>
    </row>
    <row r="2445" spans="1:25" ht="15" customHeight="1" x14ac:dyDescent="0.25">
      <c r="A2445" s="20" t="s">
        <v>946</v>
      </c>
      <c r="B2445" s="14" t="s">
        <v>947</v>
      </c>
      <c r="C2445" s="71" t="str">
        <f t="shared" si="52"/>
        <v>Product Info</v>
      </c>
      <c r="D2445" s="37" t="s">
        <v>3412</v>
      </c>
      <c r="E2445" s="143">
        <v>1</v>
      </c>
      <c r="F2445" s="12" t="s">
        <v>2170</v>
      </c>
      <c r="G2445" s="38">
        <v>2981.41</v>
      </c>
      <c r="H2445" s="38">
        <v>2534.29</v>
      </c>
      <c r="I2445" s="38">
        <v>2086.9899999999998</v>
      </c>
      <c r="J2445" s="39">
        <v>20</v>
      </c>
      <c r="K2445" s="143"/>
      <c r="L2445" s="22">
        <v>16</v>
      </c>
      <c r="M2445" s="22" t="s">
        <v>12488</v>
      </c>
      <c r="N2445" s="20" t="s">
        <v>9352</v>
      </c>
      <c r="O2445" s="16" t="s">
        <v>12608</v>
      </c>
      <c r="P2445" s="143">
        <v>748</v>
      </c>
      <c r="Q2445" s="121" t="s">
        <v>14285</v>
      </c>
      <c r="R2445" s="16" t="s">
        <v>8904</v>
      </c>
      <c r="S2445" s="10" t="s">
        <v>1163</v>
      </c>
      <c r="T2445" s="28" t="s">
        <v>11453</v>
      </c>
      <c r="U2445" s="20" t="s">
        <v>5359</v>
      </c>
      <c r="V2445" s="16" t="s">
        <v>946</v>
      </c>
      <c r="W2445" s="11" t="s">
        <v>14399</v>
      </c>
      <c r="X2445" s="174">
        <v>1944.73</v>
      </c>
      <c r="Y2445" s="174">
        <v>2534.29</v>
      </c>
    </row>
    <row r="2446" spans="1:25" ht="15" customHeight="1" x14ac:dyDescent="0.25">
      <c r="A2446" s="20" t="s">
        <v>948</v>
      </c>
      <c r="B2446" s="14" t="s">
        <v>949</v>
      </c>
      <c r="C2446" s="71" t="str">
        <f t="shared" si="52"/>
        <v>Product Info</v>
      </c>
      <c r="D2446" s="37" t="s">
        <v>3413</v>
      </c>
      <c r="E2446" s="143">
        <v>1</v>
      </c>
      <c r="F2446" s="12" t="s">
        <v>2170</v>
      </c>
      <c r="G2446" s="38">
        <v>3063.8</v>
      </c>
      <c r="H2446" s="38">
        <v>2604.3200000000002</v>
      </c>
      <c r="I2446" s="38">
        <v>2144.66</v>
      </c>
      <c r="J2446" s="39"/>
      <c r="K2446" s="143"/>
      <c r="L2446" s="22">
        <v>17</v>
      </c>
      <c r="M2446" s="22" t="s">
        <v>12488</v>
      </c>
      <c r="N2446" s="20" t="s">
        <v>9412</v>
      </c>
      <c r="O2446" s="16" t="s">
        <v>12608</v>
      </c>
      <c r="P2446" s="143">
        <v>748</v>
      </c>
      <c r="Q2446" s="121" t="s">
        <v>14285</v>
      </c>
      <c r="R2446" s="16" t="s">
        <v>8904</v>
      </c>
      <c r="S2446" s="10" t="s">
        <v>1163</v>
      </c>
      <c r="T2446" s="28" t="s">
        <v>11454</v>
      </c>
      <c r="U2446" s="20" t="s">
        <v>5359</v>
      </c>
      <c r="V2446" s="16" t="s">
        <v>948</v>
      </c>
      <c r="W2446" s="11" t="s">
        <v>14399</v>
      </c>
      <c r="X2446" s="174">
        <v>1998.47</v>
      </c>
      <c r="Y2446" s="174">
        <v>2604.3200000000002</v>
      </c>
    </row>
    <row r="2447" spans="1:25" ht="15" customHeight="1" x14ac:dyDescent="0.25">
      <c r="A2447" s="20" t="s">
        <v>950</v>
      </c>
      <c r="B2447" s="14" t="s">
        <v>2303</v>
      </c>
      <c r="C2447" s="71" t="str">
        <f t="shared" si="52"/>
        <v>Product Info</v>
      </c>
      <c r="D2447" s="37" t="s">
        <v>3414</v>
      </c>
      <c r="E2447" s="143">
        <v>1</v>
      </c>
      <c r="F2447" s="12" t="s">
        <v>2170</v>
      </c>
      <c r="G2447" s="38">
        <v>3125.07</v>
      </c>
      <c r="H2447" s="38">
        <v>2656.41</v>
      </c>
      <c r="I2447" s="38">
        <v>2187.5500000000002</v>
      </c>
      <c r="J2447" s="39">
        <v>20</v>
      </c>
      <c r="K2447" s="143"/>
      <c r="L2447" s="22">
        <v>0</v>
      </c>
      <c r="M2447" s="22">
        <v>0</v>
      </c>
      <c r="N2447" s="20" t="s">
        <v>14489</v>
      </c>
      <c r="O2447" s="16">
        <v>0</v>
      </c>
      <c r="P2447" s="143">
        <v>748</v>
      </c>
      <c r="Q2447" s="121" t="s">
        <v>14285</v>
      </c>
      <c r="R2447" s="16" t="s">
        <v>8904</v>
      </c>
      <c r="S2447" s="10" t="s">
        <v>1163</v>
      </c>
      <c r="T2447" s="28" t="s">
        <v>11455</v>
      </c>
      <c r="U2447" s="20" t="s">
        <v>5359</v>
      </c>
      <c r="V2447" s="16" t="s">
        <v>950</v>
      </c>
      <c r="W2447" s="11" t="s">
        <v>14399</v>
      </c>
      <c r="X2447" s="174">
        <v>2038.44</v>
      </c>
      <c r="Y2447" s="174">
        <v>2656.41</v>
      </c>
    </row>
    <row r="2448" spans="1:25" ht="15" customHeight="1" x14ac:dyDescent="0.25">
      <c r="A2448" s="20" t="s">
        <v>2304</v>
      </c>
      <c r="B2448" s="14" t="s">
        <v>2305</v>
      </c>
      <c r="C2448" s="71" t="str">
        <f t="shared" si="52"/>
        <v>Product Info</v>
      </c>
      <c r="D2448" s="37" t="s">
        <v>6662</v>
      </c>
      <c r="E2448" s="143">
        <v>18</v>
      </c>
      <c r="F2448" s="12" t="s">
        <v>4992</v>
      </c>
      <c r="G2448" s="38">
        <v>33.11</v>
      </c>
      <c r="H2448" s="38">
        <f t="shared" ref="H2448:H2486" si="54">I2448</f>
        <v>23.18</v>
      </c>
      <c r="I2448" s="38">
        <v>23.18</v>
      </c>
      <c r="J2448" s="39"/>
      <c r="K2448" s="143"/>
      <c r="L2448" s="22">
        <v>0.86666699999999997</v>
      </c>
      <c r="M2448" s="22" t="s">
        <v>4992</v>
      </c>
      <c r="N2448" s="20" t="s">
        <v>14489</v>
      </c>
      <c r="O2448" s="16" t="s">
        <v>12608</v>
      </c>
      <c r="P2448" s="143">
        <v>749</v>
      </c>
      <c r="Q2448" s="122" t="s">
        <v>9227</v>
      </c>
      <c r="R2448" s="16" t="s">
        <v>9235</v>
      </c>
      <c r="S2448" s="10" t="s">
        <v>194</v>
      </c>
      <c r="T2448" s="28" t="s">
        <v>11456</v>
      </c>
      <c r="U2448" s="20" t="s">
        <v>5359</v>
      </c>
      <c r="V2448" s="16" t="s">
        <v>2304</v>
      </c>
      <c r="W2448" s="11" t="s">
        <v>14433</v>
      </c>
      <c r="X2448" s="174">
        <v>17.91</v>
      </c>
      <c r="Y2448" s="174">
        <v>23.18</v>
      </c>
    </row>
    <row r="2449" spans="1:25" ht="15" customHeight="1" x14ac:dyDescent="0.25">
      <c r="A2449" s="20" t="s">
        <v>4469</v>
      </c>
      <c r="B2449" s="14" t="s">
        <v>1283</v>
      </c>
      <c r="C2449" s="71" t="str">
        <f t="shared" si="52"/>
        <v>Product Info</v>
      </c>
      <c r="D2449" s="37" t="s">
        <v>8921</v>
      </c>
      <c r="E2449" s="143">
        <v>18</v>
      </c>
      <c r="F2449" s="12" t="s">
        <v>2170</v>
      </c>
      <c r="G2449" s="38">
        <v>19.29</v>
      </c>
      <c r="H2449" s="38">
        <f t="shared" si="54"/>
        <v>13.5</v>
      </c>
      <c r="I2449" s="38">
        <v>13.5</v>
      </c>
      <c r="J2449" s="39"/>
      <c r="K2449" s="12" t="s">
        <v>8905</v>
      </c>
      <c r="L2449" s="22">
        <v>0.38</v>
      </c>
      <c r="M2449" s="22" t="s">
        <v>12488</v>
      </c>
      <c r="N2449" s="20" t="s">
        <v>8792</v>
      </c>
      <c r="O2449" s="16" t="s">
        <v>12608</v>
      </c>
      <c r="P2449" s="143">
        <v>749</v>
      </c>
      <c r="Q2449" s="122" t="s">
        <v>14461</v>
      </c>
      <c r="R2449" s="16" t="s">
        <v>9235</v>
      </c>
      <c r="S2449" s="10" t="s">
        <v>194</v>
      </c>
      <c r="T2449" s="28" t="s">
        <v>11457</v>
      </c>
      <c r="U2449" s="20" t="s">
        <v>5359</v>
      </c>
      <c r="V2449" s="16" t="s">
        <v>4469</v>
      </c>
      <c r="W2449" s="11" t="s">
        <v>14433</v>
      </c>
      <c r="X2449" s="174">
        <v>10.43</v>
      </c>
      <c r="Y2449" s="174">
        <v>13.5</v>
      </c>
    </row>
    <row r="2450" spans="1:25" ht="15" customHeight="1" x14ac:dyDescent="0.25">
      <c r="A2450" s="20" t="s">
        <v>4470</v>
      </c>
      <c r="B2450" s="14" t="s">
        <v>4471</v>
      </c>
      <c r="C2450" s="71" t="str">
        <f t="shared" si="52"/>
        <v>Product Info</v>
      </c>
      <c r="D2450" s="37" t="s">
        <v>5445</v>
      </c>
      <c r="E2450" s="143">
        <v>72</v>
      </c>
      <c r="F2450" s="12" t="s">
        <v>2170</v>
      </c>
      <c r="G2450" s="38">
        <v>18.829999999999998</v>
      </c>
      <c r="H2450" s="38">
        <f t="shared" si="54"/>
        <v>13.18</v>
      </c>
      <c r="I2450" s="38">
        <v>13.18</v>
      </c>
      <c r="J2450" s="39"/>
      <c r="K2450" s="143"/>
      <c r="L2450" s="22">
        <v>0.14199999999999999</v>
      </c>
      <c r="M2450" s="22" t="s">
        <v>14394</v>
      </c>
      <c r="N2450" s="20" t="s">
        <v>9413</v>
      </c>
      <c r="O2450" s="16" t="s">
        <v>12608</v>
      </c>
      <c r="P2450" s="143">
        <v>749</v>
      </c>
      <c r="Q2450" s="122" t="s">
        <v>9227</v>
      </c>
      <c r="R2450" s="16" t="s">
        <v>9235</v>
      </c>
      <c r="S2450" s="10" t="s">
        <v>194</v>
      </c>
      <c r="T2450" s="28" t="s">
        <v>11458</v>
      </c>
      <c r="U2450" s="20" t="s">
        <v>5359</v>
      </c>
      <c r="V2450" s="16" t="s">
        <v>4470</v>
      </c>
      <c r="W2450" s="11" t="s">
        <v>14433</v>
      </c>
      <c r="X2450" s="174">
        <v>10.18</v>
      </c>
      <c r="Y2450" s="174">
        <v>13.18</v>
      </c>
    </row>
    <row r="2451" spans="1:25" ht="15" customHeight="1" x14ac:dyDescent="0.25">
      <c r="A2451" s="20" t="s">
        <v>5188</v>
      </c>
      <c r="B2451" s="14" t="s">
        <v>5189</v>
      </c>
      <c r="C2451" s="71" t="str">
        <f t="shared" si="52"/>
        <v>Product Info</v>
      </c>
      <c r="D2451" s="37" t="s">
        <v>847</v>
      </c>
      <c r="E2451" s="143">
        <v>3</v>
      </c>
      <c r="F2451" s="12" t="s">
        <v>4992</v>
      </c>
      <c r="G2451" s="38">
        <v>149.19999999999999</v>
      </c>
      <c r="H2451" s="38">
        <f t="shared" si="54"/>
        <v>104.44</v>
      </c>
      <c r="I2451" s="38">
        <v>104.44</v>
      </c>
      <c r="J2451" s="39">
        <v>10</v>
      </c>
      <c r="K2451" s="143"/>
      <c r="L2451" s="22">
        <v>0</v>
      </c>
      <c r="M2451" s="22" t="s">
        <v>14396</v>
      </c>
      <c r="N2451" s="20" t="s">
        <v>14489</v>
      </c>
      <c r="O2451" s="16" t="s">
        <v>13914</v>
      </c>
      <c r="P2451" s="143">
        <v>749</v>
      </c>
      <c r="Q2451" s="121" t="s">
        <v>14285</v>
      </c>
      <c r="R2451" s="16" t="s">
        <v>8904</v>
      </c>
      <c r="S2451" s="10" t="s">
        <v>194</v>
      </c>
      <c r="T2451" s="28" t="s">
        <v>11459</v>
      </c>
      <c r="U2451" s="20" t="s">
        <v>5359</v>
      </c>
      <c r="V2451" s="16" t="s">
        <v>5188</v>
      </c>
      <c r="W2451" s="11" t="s">
        <v>14433</v>
      </c>
      <c r="X2451" s="174">
        <v>78.400000000000006</v>
      </c>
      <c r="Y2451" s="174">
        <v>104.44</v>
      </c>
    </row>
    <row r="2452" spans="1:25" ht="15" customHeight="1" x14ac:dyDescent="0.25">
      <c r="A2452" s="20" t="s">
        <v>5190</v>
      </c>
      <c r="B2452" s="14" t="s">
        <v>5191</v>
      </c>
      <c r="C2452" s="71" t="str">
        <f t="shared" si="52"/>
        <v>Product Info</v>
      </c>
      <c r="D2452" s="37" t="s">
        <v>4950</v>
      </c>
      <c r="E2452" s="143">
        <v>3</v>
      </c>
      <c r="F2452" s="12" t="s">
        <v>4992</v>
      </c>
      <c r="G2452" s="38">
        <v>160.36000000000001</v>
      </c>
      <c r="H2452" s="38">
        <f t="shared" si="54"/>
        <v>112.25</v>
      </c>
      <c r="I2452" s="38">
        <v>112.25</v>
      </c>
      <c r="J2452" s="39">
        <v>10</v>
      </c>
      <c r="K2452" s="143"/>
      <c r="L2452" s="22">
        <v>0</v>
      </c>
      <c r="M2452" s="22">
        <v>0</v>
      </c>
      <c r="N2452" s="20" t="s">
        <v>14489</v>
      </c>
      <c r="O2452" s="16">
        <v>0</v>
      </c>
      <c r="P2452" s="143">
        <v>749</v>
      </c>
      <c r="Q2452" s="121" t="s">
        <v>14285</v>
      </c>
      <c r="R2452" s="16" t="s">
        <v>8904</v>
      </c>
      <c r="S2452" s="10" t="s">
        <v>194</v>
      </c>
      <c r="T2452" s="28" t="s">
        <v>11460</v>
      </c>
      <c r="U2452" s="20" t="s">
        <v>5359</v>
      </c>
      <c r="V2452" s="16" t="s">
        <v>5190</v>
      </c>
      <c r="W2452" s="11" t="s">
        <v>14433</v>
      </c>
      <c r="X2452" s="174">
        <v>84.26</v>
      </c>
      <c r="Y2452" s="174">
        <v>112.25</v>
      </c>
    </row>
    <row r="2453" spans="1:25" ht="15" customHeight="1" x14ac:dyDescent="0.25">
      <c r="A2453" s="20" t="s">
        <v>5192</v>
      </c>
      <c r="B2453" s="14" t="s">
        <v>5459</v>
      </c>
      <c r="C2453" s="71" t="str">
        <f t="shared" si="52"/>
        <v>Product Info</v>
      </c>
      <c r="D2453" s="37" t="s">
        <v>4951</v>
      </c>
      <c r="E2453" s="143">
        <v>3</v>
      </c>
      <c r="F2453" s="12" t="s">
        <v>4992</v>
      </c>
      <c r="G2453" s="38">
        <v>134.79</v>
      </c>
      <c r="H2453" s="38">
        <f t="shared" si="54"/>
        <v>94.35</v>
      </c>
      <c r="I2453" s="38">
        <v>94.35</v>
      </c>
      <c r="J2453" s="39">
        <v>10</v>
      </c>
      <c r="K2453" s="143"/>
      <c r="L2453" s="22">
        <v>0</v>
      </c>
      <c r="M2453" s="22">
        <v>0</v>
      </c>
      <c r="N2453" s="20" t="s">
        <v>14489</v>
      </c>
      <c r="O2453" s="16">
        <v>0</v>
      </c>
      <c r="P2453" s="143">
        <v>749</v>
      </c>
      <c r="Q2453" s="121" t="s">
        <v>14285</v>
      </c>
      <c r="R2453" s="16" t="s">
        <v>8904</v>
      </c>
      <c r="S2453" s="10" t="s">
        <v>194</v>
      </c>
      <c r="T2453" s="28" t="s">
        <v>11461</v>
      </c>
      <c r="U2453" s="20" t="s">
        <v>5359</v>
      </c>
      <c r="V2453" s="16" t="s">
        <v>5192</v>
      </c>
      <c r="W2453" s="11" t="s">
        <v>14433</v>
      </c>
      <c r="X2453" s="174">
        <v>70.819999999999993</v>
      </c>
      <c r="Y2453" s="174">
        <v>94.35</v>
      </c>
    </row>
    <row r="2454" spans="1:25" ht="15" customHeight="1" x14ac:dyDescent="0.25">
      <c r="A2454" s="20" t="s">
        <v>5460</v>
      </c>
      <c r="B2454" s="14" t="s">
        <v>5461</v>
      </c>
      <c r="C2454" s="71" t="str">
        <f t="shared" si="52"/>
        <v>Product Info</v>
      </c>
      <c r="D2454" s="37" t="s">
        <v>4952</v>
      </c>
      <c r="E2454" s="143">
        <v>3</v>
      </c>
      <c r="F2454" s="12" t="s">
        <v>4992</v>
      </c>
      <c r="G2454" s="38">
        <v>141.1</v>
      </c>
      <c r="H2454" s="38">
        <f t="shared" si="54"/>
        <v>98.77</v>
      </c>
      <c r="I2454" s="38">
        <v>98.77</v>
      </c>
      <c r="J2454" s="39">
        <v>10</v>
      </c>
      <c r="K2454" s="143"/>
      <c r="L2454" s="22">
        <v>0</v>
      </c>
      <c r="M2454" s="22">
        <v>0</v>
      </c>
      <c r="N2454" s="20" t="s">
        <v>14489</v>
      </c>
      <c r="O2454" s="16">
        <v>0</v>
      </c>
      <c r="P2454" s="143">
        <v>749</v>
      </c>
      <c r="Q2454" s="121" t="s">
        <v>14285</v>
      </c>
      <c r="R2454" s="16" t="s">
        <v>8904</v>
      </c>
      <c r="S2454" s="10" t="s">
        <v>194</v>
      </c>
      <c r="T2454" s="28" t="s">
        <v>11462</v>
      </c>
      <c r="U2454" s="20" t="s">
        <v>5359</v>
      </c>
      <c r="V2454" s="16" t="s">
        <v>5460</v>
      </c>
      <c r="W2454" s="11" t="s">
        <v>14433</v>
      </c>
      <c r="X2454" s="174">
        <v>74.14</v>
      </c>
      <c r="Y2454" s="174">
        <v>98.77</v>
      </c>
    </row>
    <row r="2455" spans="1:25" ht="15" customHeight="1" x14ac:dyDescent="0.25">
      <c r="A2455" s="20" t="s">
        <v>5463</v>
      </c>
      <c r="B2455" s="14" t="s">
        <v>5464</v>
      </c>
      <c r="C2455" s="71" t="str">
        <f t="shared" si="52"/>
        <v>Product Info</v>
      </c>
      <c r="D2455" s="37" t="s">
        <v>4953</v>
      </c>
      <c r="E2455" s="143">
        <v>3</v>
      </c>
      <c r="F2455" s="12" t="s">
        <v>4992</v>
      </c>
      <c r="G2455" s="38">
        <v>139.43</v>
      </c>
      <c r="H2455" s="38">
        <f t="shared" si="54"/>
        <v>97.6</v>
      </c>
      <c r="I2455" s="38">
        <v>97.6</v>
      </c>
      <c r="J2455" s="39">
        <v>10</v>
      </c>
      <c r="K2455" s="143"/>
      <c r="L2455" s="22">
        <v>0</v>
      </c>
      <c r="M2455" s="22">
        <v>0</v>
      </c>
      <c r="N2455" s="20" t="s">
        <v>14489</v>
      </c>
      <c r="O2455" s="16">
        <v>0</v>
      </c>
      <c r="P2455" s="143">
        <v>749</v>
      </c>
      <c r="Q2455" s="121" t="s">
        <v>14285</v>
      </c>
      <c r="R2455" s="16" t="s">
        <v>8904</v>
      </c>
      <c r="S2455" s="10" t="s">
        <v>194</v>
      </c>
      <c r="T2455" s="28" t="s">
        <v>11464</v>
      </c>
      <c r="U2455" s="20" t="s">
        <v>5359</v>
      </c>
      <c r="V2455" s="16" t="s">
        <v>5463</v>
      </c>
      <c r="W2455" s="11" t="s">
        <v>14433</v>
      </c>
      <c r="X2455" s="174">
        <v>73.260000000000005</v>
      </c>
      <c r="Y2455" s="174">
        <v>97.6</v>
      </c>
    </row>
    <row r="2456" spans="1:25" ht="15" customHeight="1" x14ac:dyDescent="0.25">
      <c r="A2456" s="20" t="s">
        <v>5465</v>
      </c>
      <c r="B2456" s="14" t="s">
        <v>5466</v>
      </c>
      <c r="C2456" s="71" t="str">
        <f t="shared" si="52"/>
        <v>Product Info</v>
      </c>
      <c r="D2456" s="37" t="s">
        <v>4954</v>
      </c>
      <c r="E2456" s="143">
        <v>3</v>
      </c>
      <c r="F2456" s="12" t="s">
        <v>4992</v>
      </c>
      <c r="G2456" s="38">
        <v>115.23</v>
      </c>
      <c r="H2456" s="38">
        <f t="shared" si="54"/>
        <v>80.66</v>
      </c>
      <c r="I2456" s="38">
        <v>80.66</v>
      </c>
      <c r="J2456" s="39">
        <v>10</v>
      </c>
      <c r="K2456" s="143"/>
      <c r="L2456" s="22">
        <v>0</v>
      </c>
      <c r="M2456" s="22">
        <v>0</v>
      </c>
      <c r="N2456" s="20" t="s">
        <v>14489</v>
      </c>
      <c r="O2456" s="16">
        <v>0</v>
      </c>
      <c r="P2456" s="143">
        <v>749</v>
      </c>
      <c r="Q2456" s="122" t="s">
        <v>12421</v>
      </c>
      <c r="R2456" s="16" t="s">
        <v>8904</v>
      </c>
      <c r="S2456" s="10" t="s">
        <v>194</v>
      </c>
      <c r="T2456" s="28" t="s">
        <v>11465</v>
      </c>
      <c r="U2456" s="20" t="s">
        <v>5359</v>
      </c>
      <c r="V2456" s="16" t="s">
        <v>5465</v>
      </c>
      <c r="W2456" s="11" t="s">
        <v>14433</v>
      </c>
      <c r="X2456" s="174">
        <v>60.54</v>
      </c>
      <c r="Y2456" s="174">
        <v>80.66</v>
      </c>
    </row>
    <row r="2457" spans="1:25" ht="15" customHeight="1" x14ac:dyDescent="0.25">
      <c r="A2457" s="20" t="s">
        <v>5467</v>
      </c>
      <c r="B2457" s="14" t="s">
        <v>5468</v>
      </c>
      <c r="C2457" s="71" t="str">
        <f t="shared" si="52"/>
        <v>Product Info</v>
      </c>
      <c r="D2457" s="37" t="s">
        <v>4329</v>
      </c>
      <c r="E2457" s="143">
        <v>3</v>
      </c>
      <c r="F2457" s="12" t="s">
        <v>4992</v>
      </c>
      <c r="G2457" s="38">
        <v>119.5</v>
      </c>
      <c r="H2457" s="38">
        <f t="shared" si="54"/>
        <v>83.65</v>
      </c>
      <c r="I2457" s="38">
        <v>83.65</v>
      </c>
      <c r="J2457" s="39">
        <v>10</v>
      </c>
      <c r="K2457" s="143"/>
      <c r="L2457" s="22">
        <v>0</v>
      </c>
      <c r="M2457" s="22" t="s">
        <v>12488</v>
      </c>
      <c r="N2457" s="20" t="s">
        <v>14489</v>
      </c>
      <c r="O2457" s="16" t="s">
        <v>12608</v>
      </c>
      <c r="P2457" s="143">
        <v>749</v>
      </c>
      <c r="Q2457" s="122" t="s">
        <v>12421</v>
      </c>
      <c r="R2457" s="16" t="s">
        <v>8904</v>
      </c>
      <c r="S2457" s="10" t="s">
        <v>194</v>
      </c>
      <c r="T2457" s="28" t="s">
        <v>11466</v>
      </c>
      <c r="U2457" s="20" t="s">
        <v>5359</v>
      </c>
      <c r="V2457" s="16" t="s">
        <v>5467</v>
      </c>
      <c r="W2457" s="11" t="s">
        <v>14433</v>
      </c>
      <c r="X2457" s="174">
        <v>62.79</v>
      </c>
      <c r="Y2457" s="174">
        <v>83.65</v>
      </c>
    </row>
    <row r="2458" spans="1:25" ht="15" customHeight="1" x14ac:dyDescent="0.25">
      <c r="A2458" s="20" t="s">
        <v>5469</v>
      </c>
      <c r="B2458" s="14" t="s">
        <v>5470</v>
      </c>
      <c r="C2458" s="71" t="str">
        <f t="shared" si="52"/>
        <v>Product Info</v>
      </c>
      <c r="D2458" s="37" t="s">
        <v>4330</v>
      </c>
      <c r="E2458" s="143">
        <v>3</v>
      </c>
      <c r="F2458" s="12" t="s">
        <v>4992</v>
      </c>
      <c r="G2458" s="38">
        <v>120.9</v>
      </c>
      <c r="H2458" s="38">
        <f t="shared" si="54"/>
        <v>84.63</v>
      </c>
      <c r="I2458" s="38">
        <v>84.63</v>
      </c>
      <c r="J2458" s="39">
        <v>10</v>
      </c>
      <c r="K2458" s="143"/>
      <c r="L2458" s="22">
        <v>0</v>
      </c>
      <c r="M2458" s="22" t="s">
        <v>12488</v>
      </c>
      <c r="N2458" s="20" t="s">
        <v>14489</v>
      </c>
      <c r="O2458" s="16" t="s">
        <v>12608</v>
      </c>
      <c r="P2458" s="143">
        <v>749</v>
      </c>
      <c r="Q2458" s="121" t="s">
        <v>14285</v>
      </c>
      <c r="R2458" s="16" t="s">
        <v>8904</v>
      </c>
      <c r="S2458" s="10" t="s">
        <v>194</v>
      </c>
      <c r="T2458" s="28" t="s">
        <v>11467</v>
      </c>
      <c r="U2458" s="20" t="s">
        <v>5359</v>
      </c>
      <c r="V2458" s="16" t="s">
        <v>5469</v>
      </c>
      <c r="W2458" s="11" t="s">
        <v>14433</v>
      </c>
      <c r="X2458" s="174">
        <v>63.53</v>
      </c>
      <c r="Y2458" s="174">
        <v>84.63</v>
      </c>
    </row>
    <row r="2459" spans="1:25" ht="15" customHeight="1" x14ac:dyDescent="0.25">
      <c r="A2459" s="20" t="s">
        <v>4472</v>
      </c>
      <c r="B2459" s="14" t="s">
        <v>4473</v>
      </c>
      <c r="C2459" s="71" t="str">
        <f t="shared" si="52"/>
        <v>Product Info</v>
      </c>
      <c r="D2459" s="37" t="s">
        <v>5446</v>
      </c>
      <c r="E2459" s="143">
        <v>6</v>
      </c>
      <c r="F2459" s="12" t="s">
        <v>4992</v>
      </c>
      <c r="G2459" s="38">
        <v>54.44</v>
      </c>
      <c r="H2459" s="38">
        <f t="shared" si="54"/>
        <v>38.11</v>
      </c>
      <c r="I2459" s="38">
        <v>38.11</v>
      </c>
      <c r="J2459" s="39"/>
      <c r="K2459" s="143"/>
      <c r="L2459" s="22">
        <v>1.5833330000000001</v>
      </c>
      <c r="M2459" s="22" t="s">
        <v>4992</v>
      </c>
      <c r="N2459" s="20" t="s">
        <v>14489</v>
      </c>
      <c r="O2459" s="16" t="s">
        <v>12608</v>
      </c>
      <c r="P2459" s="143">
        <v>749</v>
      </c>
      <c r="Q2459" s="121" t="s">
        <v>14285</v>
      </c>
      <c r="R2459" s="16" t="s">
        <v>9235</v>
      </c>
      <c r="S2459" s="10" t="s">
        <v>194</v>
      </c>
      <c r="T2459" s="28" t="s">
        <v>11468</v>
      </c>
      <c r="U2459" s="20" t="s">
        <v>5359</v>
      </c>
      <c r="V2459" s="16" t="s">
        <v>4472</v>
      </c>
      <c r="W2459" s="11" t="s">
        <v>14433</v>
      </c>
      <c r="X2459" s="174">
        <v>29.45</v>
      </c>
      <c r="Y2459" s="174">
        <v>38.11</v>
      </c>
    </row>
    <row r="2460" spans="1:25" ht="15" customHeight="1" x14ac:dyDescent="0.25">
      <c r="A2460" s="20" t="s">
        <v>4474</v>
      </c>
      <c r="B2460" s="14" t="s">
        <v>4475</v>
      </c>
      <c r="C2460" s="71" t="str">
        <f t="shared" si="52"/>
        <v>Product Info</v>
      </c>
      <c r="D2460" s="37" t="s">
        <v>5447</v>
      </c>
      <c r="E2460" s="143">
        <v>6</v>
      </c>
      <c r="F2460" s="12" t="s">
        <v>4992</v>
      </c>
      <c r="G2460" s="38">
        <v>53.47</v>
      </c>
      <c r="H2460" s="38">
        <f t="shared" si="54"/>
        <v>37.43</v>
      </c>
      <c r="I2460" s="38">
        <v>37.43</v>
      </c>
      <c r="J2460" s="39"/>
      <c r="K2460" s="143"/>
      <c r="L2460" s="22">
        <v>9.8000000000000007</v>
      </c>
      <c r="M2460" s="22" t="s">
        <v>12488</v>
      </c>
      <c r="N2460" s="20" t="s">
        <v>8773</v>
      </c>
      <c r="O2460" s="16" t="s">
        <v>13914</v>
      </c>
      <c r="P2460" s="143">
        <v>749</v>
      </c>
      <c r="Q2460" s="122" t="s">
        <v>9227</v>
      </c>
      <c r="R2460" s="16" t="s">
        <v>9235</v>
      </c>
      <c r="S2460" s="10" t="s">
        <v>194</v>
      </c>
      <c r="T2460" s="28" t="s">
        <v>11469</v>
      </c>
      <c r="U2460" s="20" t="s">
        <v>5359</v>
      </c>
      <c r="V2460" s="16" t="s">
        <v>4474</v>
      </c>
      <c r="W2460" s="11" t="s">
        <v>14433</v>
      </c>
      <c r="X2460" s="174">
        <v>28.93</v>
      </c>
      <c r="Y2460" s="174">
        <v>37.43</v>
      </c>
    </row>
    <row r="2461" spans="1:25" ht="15" customHeight="1" x14ac:dyDescent="0.25">
      <c r="A2461" s="20" t="s">
        <v>4476</v>
      </c>
      <c r="B2461" s="14" t="s">
        <v>4477</v>
      </c>
      <c r="C2461" s="71" t="str">
        <f t="shared" si="52"/>
        <v>Product Info</v>
      </c>
      <c r="D2461" s="37" t="s">
        <v>5448</v>
      </c>
      <c r="E2461" s="143">
        <v>6</v>
      </c>
      <c r="F2461" s="12" t="s">
        <v>4992</v>
      </c>
      <c r="G2461" s="38">
        <v>65.44</v>
      </c>
      <c r="H2461" s="38">
        <f t="shared" si="54"/>
        <v>45.81</v>
      </c>
      <c r="I2461" s="38">
        <v>45.81</v>
      </c>
      <c r="J2461" s="39"/>
      <c r="K2461" s="143"/>
      <c r="L2461" s="22">
        <v>15.26</v>
      </c>
      <c r="M2461" s="22" t="s">
        <v>12488</v>
      </c>
      <c r="N2461" s="20" t="s">
        <v>9311</v>
      </c>
      <c r="O2461" s="16" t="s">
        <v>12608</v>
      </c>
      <c r="P2461" s="143">
        <v>749</v>
      </c>
      <c r="Q2461" s="121" t="s">
        <v>14285</v>
      </c>
      <c r="R2461" s="16" t="s">
        <v>9235</v>
      </c>
      <c r="S2461" s="10" t="s">
        <v>194</v>
      </c>
      <c r="T2461" s="28" t="s">
        <v>11470</v>
      </c>
      <c r="U2461" s="20" t="s">
        <v>5359</v>
      </c>
      <c r="V2461" s="16" t="s">
        <v>4476</v>
      </c>
      <c r="W2461" s="11" t="s">
        <v>14433</v>
      </c>
      <c r="X2461" s="174">
        <v>35.4</v>
      </c>
      <c r="Y2461" s="174">
        <v>45.81</v>
      </c>
    </row>
    <row r="2462" spans="1:25" ht="15" customHeight="1" x14ac:dyDescent="0.25">
      <c r="A2462" s="20" t="s">
        <v>4478</v>
      </c>
      <c r="B2462" s="14" t="s">
        <v>4479</v>
      </c>
      <c r="C2462" s="71" t="str">
        <f t="shared" si="52"/>
        <v>Product Info</v>
      </c>
      <c r="D2462" s="37" t="s">
        <v>5449</v>
      </c>
      <c r="E2462" s="143">
        <v>6</v>
      </c>
      <c r="F2462" s="12" t="s">
        <v>4992</v>
      </c>
      <c r="G2462" s="38">
        <v>64.459999999999994</v>
      </c>
      <c r="H2462" s="38">
        <f t="shared" si="54"/>
        <v>45.12</v>
      </c>
      <c r="I2462" s="38">
        <v>45.12</v>
      </c>
      <c r="J2462" s="39"/>
      <c r="K2462" s="143"/>
      <c r="L2462" s="22">
        <v>15.26</v>
      </c>
      <c r="M2462" s="22" t="s">
        <v>12488</v>
      </c>
      <c r="N2462" s="20" t="s">
        <v>9311</v>
      </c>
      <c r="O2462" s="16" t="s">
        <v>12608</v>
      </c>
      <c r="P2462" s="143">
        <v>749</v>
      </c>
      <c r="Q2462" s="122" t="s">
        <v>9227</v>
      </c>
      <c r="R2462" s="16" t="s">
        <v>9235</v>
      </c>
      <c r="S2462" s="10" t="s">
        <v>194</v>
      </c>
      <c r="T2462" s="28" t="s">
        <v>11471</v>
      </c>
      <c r="U2462" s="20" t="s">
        <v>5359</v>
      </c>
      <c r="V2462" s="16" t="s">
        <v>4478</v>
      </c>
      <c r="W2462" s="11" t="s">
        <v>14433</v>
      </c>
      <c r="X2462" s="174">
        <v>34.869999999999997</v>
      </c>
      <c r="Y2462" s="174">
        <v>45.12</v>
      </c>
    </row>
    <row r="2463" spans="1:25" ht="15" customHeight="1" x14ac:dyDescent="0.25">
      <c r="A2463" s="20" t="s">
        <v>4480</v>
      </c>
      <c r="B2463" s="14" t="s">
        <v>4481</v>
      </c>
      <c r="C2463" s="71" t="str">
        <f t="shared" si="52"/>
        <v>Product Info</v>
      </c>
      <c r="D2463" s="37" t="s">
        <v>5450</v>
      </c>
      <c r="E2463" s="143">
        <v>6</v>
      </c>
      <c r="F2463" s="12" t="s">
        <v>4992</v>
      </c>
      <c r="G2463" s="38">
        <v>37.54</v>
      </c>
      <c r="H2463" s="38">
        <f t="shared" si="54"/>
        <v>26.28</v>
      </c>
      <c r="I2463" s="38">
        <v>26.28</v>
      </c>
      <c r="J2463" s="39"/>
      <c r="K2463" s="12" t="s">
        <v>8905</v>
      </c>
      <c r="L2463" s="22">
        <v>6.16</v>
      </c>
      <c r="M2463" s="22" t="s">
        <v>12488</v>
      </c>
      <c r="N2463" s="20" t="s">
        <v>9306</v>
      </c>
      <c r="O2463" s="16" t="s">
        <v>12608</v>
      </c>
      <c r="P2463" s="143">
        <v>749</v>
      </c>
      <c r="Q2463" s="122" t="s">
        <v>14461</v>
      </c>
      <c r="R2463" s="16" t="s">
        <v>9235</v>
      </c>
      <c r="S2463" s="10" t="s">
        <v>194</v>
      </c>
      <c r="T2463" s="28" t="s">
        <v>11472</v>
      </c>
      <c r="U2463" s="20" t="s">
        <v>5359</v>
      </c>
      <c r="V2463" s="16" t="s">
        <v>4480</v>
      </c>
      <c r="W2463" s="11" t="s">
        <v>14433</v>
      </c>
      <c r="X2463" s="174">
        <v>20.3</v>
      </c>
      <c r="Y2463" s="174">
        <v>26.28</v>
      </c>
    </row>
    <row r="2464" spans="1:25" ht="15" customHeight="1" x14ac:dyDescent="0.25">
      <c r="A2464" s="20" t="s">
        <v>4482</v>
      </c>
      <c r="B2464" s="14" t="s">
        <v>4483</v>
      </c>
      <c r="C2464" s="71" t="str">
        <f t="shared" si="52"/>
        <v>Product Info</v>
      </c>
      <c r="D2464" s="37" t="s">
        <v>5451</v>
      </c>
      <c r="E2464" s="143">
        <v>6</v>
      </c>
      <c r="F2464" s="12" t="s">
        <v>4992</v>
      </c>
      <c r="G2464" s="38">
        <v>37.19</v>
      </c>
      <c r="H2464" s="38">
        <f t="shared" si="54"/>
        <v>26.03</v>
      </c>
      <c r="I2464" s="38">
        <v>26.03</v>
      </c>
      <c r="J2464" s="39"/>
      <c r="K2464" s="143"/>
      <c r="L2464" s="22">
        <v>6.16</v>
      </c>
      <c r="M2464" s="22" t="s">
        <v>12488</v>
      </c>
      <c r="N2464" s="20" t="s">
        <v>8792</v>
      </c>
      <c r="O2464" s="16" t="s">
        <v>12608</v>
      </c>
      <c r="P2464" s="143">
        <v>749</v>
      </c>
      <c r="Q2464" s="122" t="s">
        <v>9227</v>
      </c>
      <c r="R2464" s="16" t="s">
        <v>9235</v>
      </c>
      <c r="S2464" s="10" t="s">
        <v>194</v>
      </c>
      <c r="T2464" s="28" t="s">
        <v>11473</v>
      </c>
      <c r="U2464" s="20" t="s">
        <v>5359</v>
      </c>
      <c r="V2464" s="16" t="s">
        <v>4482</v>
      </c>
      <c r="W2464" s="11" t="s">
        <v>14433</v>
      </c>
      <c r="X2464" s="174">
        <v>20.11</v>
      </c>
      <c r="Y2464" s="174">
        <v>26.03</v>
      </c>
    </row>
    <row r="2465" spans="1:25" ht="15" customHeight="1" x14ac:dyDescent="0.25">
      <c r="A2465" s="20" t="s">
        <v>4484</v>
      </c>
      <c r="B2465" s="14" t="s">
        <v>4485</v>
      </c>
      <c r="C2465" s="71" t="str">
        <f t="shared" si="52"/>
        <v>Product Info</v>
      </c>
      <c r="D2465" s="37" t="s">
        <v>5452</v>
      </c>
      <c r="E2465" s="143">
        <v>6</v>
      </c>
      <c r="F2465" s="12" t="s">
        <v>4992</v>
      </c>
      <c r="G2465" s="38">
        <v>44.4</v>
      </c>
      <c r="H2465" s="38">
        <f t="shared" si="54"/>
        <v>31.08</v>
      </c>
      <c r="I2465" s="38">
        <v>31.08</v>
      </c>
      <c r="J2465" s="39"/>
      <c r="K2465" s="12" t="s">
        <v>8905</v>
      </c>
      <c r="L2465" s="22">
        <v>7.98</v>
      </c>
      <c r="M2465" s="22" t="s">
        <v>12488</v>
      </c>
      <c r="N2465" s="20" t="s">
        <v>9407</v>
      </c>
      <c r="O2465" s="16" t="s">
        <v>12608</v>
      </c>
      <c r="P2465" s="143">
        <v>749</v>
      </c>
      <c r="Q2465" s="122" t="s">
        <v>14461</v>
      </c>
      <c r="R2465" s="16" t="s">
        <v>9235</v>
      </c>
      <c r="S2465" s="10" t="s">
        <v>194</v>
      </c>
      <c r="T2465" s="28" t="s">
        <v>11474</v>
      </c>
      <c r="U2465" s="20" t="s">
        <v>5359</v>
      </c>
      <c r="V2465" s="16" t="s">
        <v>4484</v>
      </c>
      <c r="W2465" s="11" t="s">
        <v>14433</v>
      </c>
      <c r="X2465" s="174">
        <v>24.02</v>
      </c>
      <c r="Y2465" s="174">
        <v>31.08</v>
      </c>
    </row>
    <row r="2466" spans="1:25" ht="15" customHeight="1" x14ac:dyDescent="0.25">
      <c r="A2466" s="20" t="s">
        <v>4486</v>
      </c>
      <c r="B2466" s="14" t="s">
        <v>4487</v>
      </c>
      <c r="C2466" s="71" t="str">
        <f t="shared" si="52"/>
        <v>Product Info</v>
      </c>
      <c r="D2466" s="37" t="s">
        <v>5453</v>
      </c>
      <c r="E2466" s="143">
        <v>6</v>
      </c>
      <c r="F2466" s="12" t="s">
        <v>4992</v>
      </c>
      <c r="G2466" s="38">
        <v>44.66</v>
      </c>
      <c r="H2466" s="38">
        <f t="shared" si="54"/>
        <v>31.26</v>
      </c>
      <c r="I2466" s="38">
        <v>31.26</v>
      </c>
      <c r="J2466" s="39"/>
      <c r="K2466" s="143"/>
      <c r="L2466" s="22">
        <v>7.98</v>
      </c>
      <c r="M2466" s="22" t="s">
        <v>12488</v>
      </c>
      <c r="N2466" s="20" t="s">
        <v>14489</v>
      </c>
      <c r="O2466" s="16" t="s">
        <v>4992</v>
      </c>
      <c r="P2466" s="143">
        <v>749</v>
      </c>
      <c r="Q2466" s="122" t="s">
        <v>9227</v>
      </c>
      <c r="R2466" s="16" t="s">
        <v>9235</v>
      </c>
      <c r="S2466" s="10" t="s">
        <v>194</v>
      </c>
      <c r="T2466" s="28" t="s">
        <v>11475</v>
      </c>
      <c r="U2466" s="20" t="s">
        <v>5359</v>
      </c>
      <c r="V2466" s="16" t="s">
        <v>4486</v>
      </c>
      <c r="W2466" s="11" t="s">
        <v>14433</v>
      </c>
      <c r="X2466" s="174">
        <v>24.16</v>
      </c>
      <c r="Y2466" s="174">
        <v>31.26</v>
      </c>
    </row>
    <row r="2467" spans="1:25" ht="15" customHeight="1" x14ac:dyDescent="0.25">
      <c r="A2467" s="20" t="s">
        <v>4488</v>
      </c>
      <c r="B2467" s="14" t="s">
        <v>4489</v>
      </c>
      <c r="C2467" s="71" t="str">
        <f t="shared" si="52"/>
        <v>Product Info</v>
      </c>
      <c r="D2467" s="37" t="s">
        <v>5454</v>
      </c>
      <c r="E2467" s="143">
        <v>6</v>
      </c>
      <c r="F2467" s="12" t="s">
        <v>4992</v>
      </c>
      <c r="G2467" s="38">
        <v>52</v>
      </c>
      <c r="H2467" s="38">
        <f t="shared" si="54"/>
        <v>36.4</v>
      </c>
      <c r="I2467" s="38">
        <v>36.4</v>
      </c>
      <c r="J2467" s="39"/>
      <c r="K2467" s="143"/>
      <c r="L2467" s="22">
        <v>9.8000000000000007</v>
      </c>
      <c r="M2467" s="22" t="s">
        <v>12488</v>
      </c>
      <c r="N2467" s="20" t="s">
        <v>9306</v>
      </c>
      <c r="O2467" s="16" t="s">
        <v>12608</v>
      </c>
      <c r="P2467" s="143">
        <v>749</v>
      </c>
      <c r="Q2467" s="122" t="s">
        <v>12421</v>
      </c>
      <c r="R2467" s="16" t="s">
        <v>9235</v>
      </c>
      <c r="S2467" s="10" t="s">
        <v>194</v>
      </c>
      <c r="T2467" s="28" t="s">
        <v>11476</v>
      </c>
      <c r="U2467" s="20" t="s">
        <v>5359</v>
      </c>
      <c r="V2467" s="16" t="s">
        <v>4488</v>
      </c>
      <c r="W2467" s="11" t="s">
        <v>14433</v>
      </c>
      <c r="X2467" s="174">
        <v>28.13</v>
      </c>
      <c r="Y2467" s="174">
        <v>36.4</v>
      </c>
    </row>
    <row r="2468" spans="1:25" ht="15" customHeight="1" x14ac:dyDescent="0.25">
      <c r="A2468" s="20" t="s">
        <v>3911</v>
      </c>
      <c r="B2468" s="14" t="s">
        <v>3912</v>
      </c>
      <c r="C2468" s="71" t="str">
        <f t="shared" si="52"/>
        <v>Product Info</v>
      </c>
      <c r="D2468" s="37" t="s">
        <v>5455</v>
      </c>
      <c r="E2468" s="143">
        <v>6</v>
      </c>
      <c r="F2468" s="12" t="s">
        <v>4992</v>
      </c>
      <c r="G2468" s="38">
        <v>52.16</v>
      </c>
      <c r="H2468" s="38">
        <f t="shared" si="54"/>
        <v>36.51</v>
      </c>
      <c r="I2468" s="38">
        <v>36.51</v>
      </c>
      <c r="J2468" s="39"/>
      <c r="K2468" s="143"/>
      <c r="L2468" s="22">
        <v>9.8000000000000007</v>
      </c>
      <c r="M2468" s="22" t="s">
        <v>12488</v>
      </c>
      <c r="N2468" s="20" t="s">
        <v>14489</v>
      </c>
      <c r="O2468" s="16" t="s">
        <v>4992</v>
      </c>
      <c r="P2468" s="143">
        <v>749</v>
      </c>
      <c r="Q2468" s="122" t="s">
        <v>12421</v>
      </c>
      <c r="R2468" s="16" t="s">
        <v>9235</v>
      </c>
      <c r="S2468" s="10" t="s">
        <v>194</v>
      </c>
      <c r="T2468" s="28" t="s">
        <v>11477</v>
      </c>
      <c r="U2468" s="20" t="s">
        <v>5359</v>
      </c>
      <c r="V2468" s="16" t="s">
        <v>3911</v>
      </c>
      <c r="W2468" s="11" t="s">
        <v>14433</v>
      </c>
      <c r="X2468" s="174">
        <v>28.21</v>
      </c>
      <c r="Y2468" s="174">
        <v>36.51</v>
      </c>
    </row>
    <row r="2469" spans="1:25" ht="15" customHeight="1" x14ac:dyDescent="0.25">
      <c r="A2469" s="20" t="s">
        <v>3913</v>
      </c>
      <c r="B2469" s="14" t="s">
        <v>3914</v>
      </c>
      <c r="C2469" s="71" t="str">
        <f t="shared" si="52"/>
        <v>Product Info</v>
      </c>
      <c r="D2469" s="37" t="s">
        <v>5456</v>
      </c>
      <c r="E2469" s="143">
        <v>6</v>
      </c>
      <c r="F2469" s="12" t="s">
        <v>4992</v>
      </c>
      <c r="G2469" s="38">
        <v>54.87</v>
      </c>
      <c r="H2469" s="38">
        <f t="shared" si="54"/>
        <v>38.409999999999997</v>
      </c>
      <c r="I2469" s="38">
        <v>38.409999999999997</v>
      </c>
      <c r="J2469" s="39"/>
      <c r="K2469" s="143"/>
      <c r="L2469" s="22">
        <v>1.9</v>
      </c>
      <c r="M2469" s="22" t="s">
        <v>4992</v>
      </c>
      <c r="N2469" s="20" t="s">
        <v>14489</v>
      </c>
      <c r="O2469" s="16" t="s">
        <v>12608</v>
      </c>
      <c r="P2469" s="143">
        <v>749</v>
      </c>
      <c r="Q2469" s="122" t="s">
        <v>14461</v>
      </c>
      <c r="R2469" s="16" t="s">
        <v>9235</v>
      </c>
      <c r="S2469" s="10" t="s">
        <v>194</v>
      </c>
      <c r="T2469" s="28" t="s">
        <v>11478</v>
      </c>
      <c r="U2469" s="20" t="s">
        <v>5359</v>
      </c>
      <c r="V2469" s="16" t="s">
        <v>3913</v>
      </c>
      <c r="W2469" s="11" t="s">
        <v>14433</v>
      </c>
      <c r="X2469" s="174">
        <v>29.68</v>
      </c>
      <c r="Y2469" s="174">
        <v>38.409999999999997</v>
      </c>
    </row>
    <row r="2470" spans="1:25" ht="15" customHeight="1" x14ac:dyDescent="0.25">
      <c r="A2470" s="20" t="s">
        <v>3915</v>
      </c>
      <c r="B2470" s="14" t="s">
        <v>3916</v>
      </c>
      <c r="C2470" s="71" t="str">
        <f t="shared" si="52"/>
        <v>Product Info</v>
      </c>
      <c r="D2470" s="37" t="s">
        <v>5457</v>
      </c>
      <c r="E2470" s="143">
        <v>6</v>
      </c>
      <c r="F2470" s="12" t="s">
        <v>4992</v>
      </c>
      <c r="G2470" s="38">
        <v>56.59</v>
      </c>
      <c r="H2470" s="38">
        <f t="shared" si="54"/>
        <v>39.61</v>
      </c>
      <c r="I2470" s="38">
        <v>39.61</v>
      </c>
      <c r="J2470" s="39"/>
      <c r="K2470" s="143"/>
      <c r="L2470" s="22">
        <v>11.62</v>
      </c>
      <c r="M2470" s="22" t="s">
        <v>12488</v>
      </c>
      <c r="N2470" s="20" t="s">
        <v>14489</v>
      </c>
      <c r="O2470" s="16" t="s">
        <v>4992</v>
      </c>
      <c r="P2470" s="143">
        <v>749</v>
      </c>
      <c r="Q2470" s="122" t="s">
        <v>9227</v>
      </c>
      <c r="R2470" s="16" t="s">
        <v>9235</v>
      </c>
      <c r="S2470" s="10" t="s">
        <v>194</v>
      </c>
      <c r="T2470" s="28" t="s">
        <v>11479</v>
      </c>
      <c r="U2470" s="20" t="s">
        <v>5359</v>
      </c>
      <c r="V2470" s="16" t="s">
        <v>3915</v>
      </c>
      <c r="W2470" s="11" t="s">
        <v>14433</v>
      </c>
      <c r="X2470" s="174">
        <v>30.61</v>
      </c>
      <c r="Y2470" s="174">
        <v>39.61</v>
      </c>
    </row>
    <row r="2471" spans="1:25" ht="15" customHeight="1" x14ac:dyDescent="0.25">
      <c r="A2471" s="20" t="s">
        <v>3917</v>
      </c>
      <c r="B2471" s="14" t="s">
        <v>3918</v>
      </c>
      <c r="C2471" s="71" t="str">
        <f t="shared" si="52"/>
        <v>Product Info</v>
      </c>
      <c r="D2471" s="37" t="s">
        <v>5458</v>
      </c>
      <c r="E2471" s="143">
        <v>6</v>
      </c>
      <c r="F2471" s="12" t="s">
        <v>4992</v>
      </c>
      <c r="G2471" s="38">
        <v>62.87</v>
      </c>
      <c r="H2471" s="38">
        <f t="shared" si="54"/>
        <v>44.01</v>
      </c>
      <c r="I2471" s="38">
        <v>44.01</v>
      </c>
      <c r="J2471" s="39"/>
      <c r="K2471" s="143"/>
      <c r="L2471" s="22">
        <v>15.26</v>
      </c>
      <c r="M2471" s="22" t="s">
        <v>12488</v>
      </c>
      <c r="N2471" s="20" t="s">
        <v>9311</v>
      </c>
      <c r="O2471" s="16" t="s">
        <v>12608</v>
      </c>
      <c r="P2471" s="143">
        <v>749</v>
      </c>
      <c r="Q2471" s="122" t="s">
        <v>12421</v>
      </c>
      <c r="R2471" s="16" t="s">
        <v>9235</v>
      </c>
      <c r="S2471" s="10" t="s">
        <v>194</v>
      </c>
      <c r="T2471" s="28" t="s">
        <v>11480</v>
      </c>
      <c r="U2471" s="20" t="s">
        <v>5359</v>
      </c>
      <c r="V2471" s="16" t="s">
        <v>3917</v>
      </c>
      <c r="W2471" s="11" t="s">
        <v>14433</v>
      </c>
      <c r="X2471" s="174">
        <v>34.01</v>
      </c>
      <c r="Y2471" s="174">
        <v>44.01</v>
      </c>
    </row>
    <row r="2472" spans="1:25" ht="15" customHeight="1" x14ac:dyDescent="0.25">
      <c r="A2472" s="20" t="s">
        <v>3919</v>
      </c>
      <c r="B2472" s="14" t="s">
        <v>1988</v>
      </c>
      <c r="C2472" s="71" t="str">
        <f t="shared" si="52"/>
        <v>Product Info</v>
      </c>
      <c r="D2472" s="37" t="s">
        <v>6519</v>
      </c>
      <c r="E2472" s="143">
        <v>6</v>
      </c>
      <c r="F2472" s="12" t="s">
        <v>4992</v>
      </c>
      <c r="G2472" s="38">
        <v>60.77</v>
      </c>
      <c r="H2472" s="38">
        <f t="shared" si="54"/>
        <v>42.54</v>
      </c>
      <c r="I2472" s="38">
        <v>42.54</v>
      </c>
      <c r="J2472" s="39"/>
      <c r="K2472" s="143"/>
      <c r="L2472" s="22">
        <v>15.26</v>
      </c>
      <c r="M2472" s="22" t="s">
        <v>12488</v>
      </c>
      <c r="N2472" s="20" t="s">
        <v>14489</v>
      </c>
      <c r="O2472" s="16" t="s">
        <v>4992</v>
      </c>
      <c r="P2472" s="143">
        <v>749</v>
      </c>
      <c r="Q2472" s="121" t="s">
        <v>14285</v>
      </c>
      <c r="R2472" s="16" t="s">
        <v>9235</v>
      </c>
      <c r="S2472" s="10" t="s">
        <v>194</v>
      </c>
      <c r="T2472" s="28" t="s">
        <v>11481</v>
      </c>
      <c r="U2472" s="20" t="s">
        <v>5359</v>
      </c>
      <c r="V2472" s="16" t="s">
        <v>3919</v>
      </c>
      <c r="W2472" s="11" t="s">
        <v>14433</v>
      </c>
      <c r="X2472" s="174">
        <v>32.869999999999997</v>
      </c>
      <c r="Y2472" s="174">
        <v>42.54</v>
      </c>
    </row>
    <row r="2473" spans="1:25" ht="15" customHeight="1" x14ac:dyDescent="0.25">
      <c r="A2473" s="20" t="s">
        <v>2459</v>
      </c>
      <c r="B2473" s="14" t="s">
        <v>2460</v>
      </c>
      <c r="C2473" s="71" t="str">
        <f t="shared" si="52"/>
        <v>Product Info</v>
      </c>
      <c r="D2473" s="37" t="s">
        <v>7880</v>
      </c>
      <c r="E2473" s="143">
        <v>6</v>
      </c>
      <c r="F2473" s="12" t="s">
        <v>4992</v>
      </c>
      <c r="G2473" s="38">
        <v>41.66</v>
      </c>
      <c r="H2473" s="38">
        <f t="shared" si="54"/>
        <v>29.16</v>
      </c>
      <c r="I2473" s="38">
        <v>29.16</v>
      </c>
      <c r="J2473" s="39"/>
      <c r="K2473" s="143"/>
      <c r="L2473" s="22">
        <v>6.16</v>
      </c>
      <c r="M2473" s="22" t="s">
        <v>12488</v>
      </c>
      <c r="N2473" s="20" t="s">
        <v>8792</v>
      </c>
      <c r="O2473" s="16" t="s">
        <v>12608</v>
      </c>
      <c r="P2473" s="143">
        <v>749</v>
      </c>
      <c r="Q2473" s="122" t="s">
        <v>12421</v>
      </c>
      <c r="R2473" s="16" t="s">
        <v>9235</v>
      </c>
      <c r="S2473" s="10" t="s">
        <v>194</v>
      </c>
      <c r="T2473" s="28" t="s">
        <v>11482</v>
      </c>
      <c r="U2473" s="20" t="s">
        <v>5359</v>
      </c>
      <c r="V2473" s="16" t="s">
        <v>2459</v>
      </c>
      <c r="W2473" s="11" t="s">
        <v>14433</v>
      </c>
      <c r="X2473" s="174">
        <v>22.54</v>
      </c>
      <c r="Y2473" s="174">
        <v>29.16</v>
      </c>
    </row>
    <row r="2474" spans="1:25" ht="15" customHeight="1" x14ac:dyDescent="0.25">
      <c r="A2474" s="20" t="s">
        <v>2461</v>
      </c>
      <c r="B2474" s="14" t="s">
        <v>2462</v>
      </c>
      <c r="C2474" s="71" t="str">
        <f t="shared" si="52"/>
        <v>Product Info</v>
      </c>
      <c r="D2474" s="37" t="s">
        <v>7881</v>
      </c>
      <c r="E2474" s="143">
        <v>6</v>
      </c>
      <c r="F2474" s="12" t="s">
        <v>4992</v>
      </c>
      <c r="G2474" s="38">
        <v>39.200000000000003</v>
      </c>
      <c r="H2474" s="38">
        <f t="shared" si="54"/>
        <v>27.44</v>
      </c>
      <c r="I2474" s="38">
        <v>27.44</v>
      </c>
      <c r="J2474" s="39"/>
      <c r="K2474" s="143"/>
      <c r="L2474" s="22">
        <v>6.16</v>
      </c>
      <c r="M2474" s="22" t="s">
        <v>12488</v>
      </c>
      <c r="N2474" s="20" t="s">
        <v>14489</v>
      </c>
      <c r="O2474" s="16">
        <v>0</v>
      </c>
      <c r="P2474" s="143">
        <v>749</v>
      </c>
      <c r="Q2474" s="121" t="s">
        <v>14285</v>
      </c>
      <c r="R2474" s="16" t="s">
        <v>9235</v>
      </c>
      <c r="S2474" s="10" t="s">
        <v>194</v>
      </c>
      <c r="T2474" s="28" t="s">
        <v>11483</v>
      </c>
      <c r="U2474" s="20" t="s">
        <v>5359</v>
      </c>
      <c r="V2474" s="16" t="s">
        <v>2461</v>
      </c>
      <c r="W2474" s="11" t="s">
        <v>14433</v>
      </c>
      <c r="X2474" s="174">
        <v>21.2</v>
      </c>
      <c r="Y2474" s="174">
        <v>27.44</v>
      </c>
    </row>
    <row r="2475" spans="1:25" ht="15" customHeight="1" x14ac:dyDescent="0.25">
      <c r="A2475" s="20" t="s">
        <v>2463</v>
      </c>
      <c r="B2475" s="14" t="s">
        <v>2464</v>
      </c>
      <c r="C2475" s="71" t="str">
        <f t="shared" si="52"/>
        <v>Product Info</v>
      </c>
      <c r="D2475" s="37" t="s">
        <v>7882</v>
      </c>
      <c r="E2475" s="143">
        <v>6</v>
      </c>
      <c r="F2475" s="12" t="s">
        <v>4992</v>
      </c>
      <c r="G2475" s="38">
        <v>49.7</v>
      </c>
      <c r="H2475" s="38">
        <f t="shared" si="54"/>
        <v>34.79</v>
      </c>
      <c r="I2475" s="38">
        <v>34.79</v>
      </c>
      <c r="J2475" s="39"/>
      <c r="K2475" s="143"/>
      <c r="L2475" s="22">
        <v>7.98</v>
      </c>
      <c r="M2475" s="22" t="s">
        <v>12488</v>
      </c>
      <c r="N2475" s="20" t="s">
        <v>8792</v>
      </c>
      <c r="O2475" s="16" t="s">
        <v>13914</v>
      </c>
      <c r="P2475" s="143">
        <v>749</v>
      </c>
      <c r="Q2475" s="122" t="s">
        <v>12421</v>
      </c>
      <c r="R2475" s="16" t="s">
        <v>9235</v>
      </c>
      <c r="S2475" s="10" t="s">
        <v>194</v>
      </c>
      <c r="T2475" s="28" t="s">
        <v>11484</v>
      </c>
      <c r="U2475" s="20" t="s">
        <v>5359</v>
      </c>
      <c r="V2475" s="16" t="s">
        <v>2463</v>
      </c>
      <c r="W2475" s="11" t="s">
        <v>14433</v>
      </c>
      <c r="X2475" s="174">
        <v>26.89</v>
      </c>
      <c r="Y2475" s="174">
        <v>34.79</v>
      </c>
    </row>
    <row r="2476" spans="1:25" ht="15" customHeight="1" x14ac:dyDescent="0.25">
      <c r="A2476" s="20" t="s">
        <v>2465</v>
      </c>
      <c r="B2476" s="14" t="s">
        <v>2466</v>
      </c>
      <c r="C2476" s="71" t="str">
        <f t="shared" si="52"/>
        <v>Product Info</v>
      </c>
      <c r="D2476" s="37" t="s">
        <v>7883</v>
      </c>
      <c r="E2476" s="143">
        <v>6</v>
      </c>
      <c r="F2476" s="12" t="s">
        <v>4992</v>
      </c>
      <c r="G2476" s="38">
        <v>49.7</v>
      </c>
      <c r="H2476" s="38">
        <f t="shared" si="54"/>
        <v>34.79</v>
      </c>
      <c r="I2476" s="38">
        <v>34.79</v>
      </c>
      <c r="J2476" s="39"/>
      <c r="K2476" s="143"/>
      <c r="L2476" s="22">
        <v>7.98</v>
      </c>
      <c r="M2476" s="22" t="s">
        <v>12488</v>
      </c>
      <c r="N2476" s="20" t="s">
        <v>8792</v>
      </c>
      <c r="O2476" s="16" t="s">
        <v>13914</v>
      </c>
      <c r="P2476" s="143">
        <v>749</v>
      </c>
      <c r="Q2476" s="122" t="s">
        <v>9227</v>
      </c>
      <c r="R2476" s="16" t="s">
        <v>9235</v>
      </c>
      <c r="S2476" s="10" t="s">
        <v>194</v>
      </c>
      <c r="T2476" s="28" t="s">
        <v>11485</v>
      </c>
      <c r="U2476" s="20" t="s">
        <v>5359</v>
      </c>
      <c r="V2476" s="16" t="s">
        <v>2465</v>
      </c>
      <c r="W2476" s="11" t="s">
        <v>14433</v>
      </c>
      <c r="X2476" s="174">
        <v>26.89</v>
      </c>
      <c r="Y2476" s="174">
        <v>34.79</v>
      </c>
    </row>
    <row r="2477" spans="1:25" ht="15" customHeight="1" x14ac:dyDescent="0.25">
      <c r="A2477" s="20" t="s">
        <v>2467</v>
      </c>
      <c r="B2477" s="14" t="s">
        <v>2468</v>
      </c>
      <c r="C2477" s="71" t="str">
        <f t="shared" si="52"/>
        <v>Product Info</v>
      </c>
      <c r="D2477" s="37" t="s">
        <v>7884</v>
      </c>
      <c r="E2477" s="143">
        <v>6</v>
      </c>
      <c r="F2477" s="12" t="s">
        <v>4992</v>
      </c>
      <c r="G2477" s="38">
        <v>53.73</v>
      </c>
      <c r="H2477" s="38">
        <f t="shared" si="54"/>
        <v>37.61</v>
      </c>
      <c r="I2477" s="38">
        <v>37.61</v>
      </c>
      <c r="J2477" s="39"/>
      <c r="K2477" s="143"/>
      <c r="L2477" s="22">
        <v>9.8000000000000007</v>
      </c>
      <c r="M2477" s="22" t="s">
        <v>12488</v>
      </c>
      <c r="N2477" s="20" t="s">
        <v>14489</v>
      </c>
      <c r="O2477" s="16" t="s">
        <v>13914</v>
      </c>
      <c r="P2477" s="143">
        <v>749</v>
      </c>
      <c r="Q2477" s="122" t="s">
        <v>12421</v>
      </c>
      <c r="R2477" s="16" t="s">
        <v>9235</v>
      </c>
      <c r="S2477" s="10" t="s">
        <v>194</v>
      </c>
      <c r="T2477" s="28" t="s">
        <v>11486</v>
      </c>
      <c r="U2477" s="20" t="s">
        <v>5359</v>
      </c>
      <c r="V2477" s="16" t="s">
        <v>2467</v>
      </c>
      <c r="W2477" s="11" t="s">
        <v>14433</v>
      </c>
      <c r="X2477" s="174">
        <v>29.06</v>
      </c>
      <c r="Y2477" s="174">
        <v>37.61</v>
      </c>
    </row>
    <row r="2478" spans="1:25" ht="15" customHeight="1" x14ac:dyDescent="0.25">
      <c r="A2478" s="20" t="s">
        <v>9159</v>
      </c>
      <c r="B2478" s="14" t="s">
        <v>9160</v>
      </c>
      <c r="C2478" s="71" t="str">
        <f t="shared" si="52"/>
        <v>Product Info</v>
      </c>
      <c r="D2478" s="37" t="s">
        <v>9161</v>
      </c>
      <c r="E2478" s="143">
        <v>6</v>
      </c>
      <c r="F2478" s="12" t="s">
        <v>4992</v>
      </c>
      <c r="G2478" s="38">
        <v>53.73</v>
      </c>
      <c r="H2478" s="38">
        <f t="shared" si="54"/>
        <v>37.61</v>
      </c>
      <c r="I2478" s="38">
        <v>37.61</v>
      </c>
      <c r="J2478" s="39"/>
      <c r="K2478" s="143"/>
      <c r="L2478" s="22">
        <v>9.8000000000000007</v>
      </c>
      <c r="M2478" s="22" t="s">
        <v>12488</v>
      </c>
      <c r="N2478" s="20" t="s">
        <v>8792</v>
      </c>
      <c r="O2478" s="16" t="s">
        <v>13914</v>
      </c>
      <c r="P2478" s="143">
        <v>749</v>
      </c>
      <c r="Q2478" s="122" t="s">
        <v>12421</v>
      </c>
      <c r="R2478" s="16" t="s">
        <v>9235</v>
      </c>
      <c r="S2478" s="10" t="s">
        <v>194</v>
      </c>
      <c r="T2478" s="28" t="s">
        <v>12684</v>
      </c>
      <c r="U2478" s="20" t="s">
        <v>5359</v>
      </c>
      <c r="V2478" s="16" t="s">
        <v>9159</v>
      </c>
      <c r="W2478" s="11" t="s">
        <v>14433</v>
      </c>
      <c r="X2478" s="174">
        <v>29.06</v>
      </c>
      <c r="Y2478" s="174">
        <v>37.61</v>
      </c>
    </row>
    <row r="2479" spans="1:25" ht="15" customHeight="1" x14ac:dyDescent="0.25">
      <c r="A2479" s="20" t="s">
        <v>2469</v>
      </c>
      <c r="B2479" s="14" t="s">
        <v>2470</v>
      </c>
      <c r="C2479" s="71" t="str">
        <f t="shared" si="52"/>
        <v>Product Info</v>
      </c>
      <c r="D2479" s="37" t="s">
        <v>7885</v>
      </c>
      <c r="E2479" s="143">
        <v>6</v>
      </c>
      <c r="F2479" s="12" t="s">
        <v>4992</v>
      </c>
      <c r="G2479" s="38">
        <v>62.44</v>
      </c>
      <c r="H2479" s="38">
        <f t="shared" si="54"/>
        <v>43.71</v>
      </c>
      <c r="I2479" s="38">
        <v>43.71</v>
      </c>
      <c r="J2479" s="39"/>
      <c r="K2479" s="143"/>
      <c r="L2479" s="22">
        <v>1.833334</v>
      </c>
      <c r="M2479" s="22" t="s">
        <v>4992</v>
      </c>
      <c r="N2479" s="20" t="s">
        <v>14489</v>
      </c>
      <c r="O2479" s="16">
        <v>0</v>
      </c>
      <c r="P2479" s="143">
        <v>749</v>
      </c>
      <c r="Q2479" s="121" t="s">
        <v>14285</v>
      </c>
      <c r="R2479" s="16" t="s">
        <v>9235</v>
      </c>
      <c r="S2479" s="10" t="s">
        <v>194</v>
      </c>
      <c r="T2479" s="28" t="s">
        <v>11487</v>
      </c>
      <c r="U2479" s="20" t="s">
        <v>5359</v>
      </c>
      <c r="V2479" s="16" t="s">
        <v>2469</v>
      </c>
      <c r="W2479" s="11" t="s">
        <v>14433</v>
      </c>
      <c r="X2479" s="174">
        <v>33.78</v>
      </c>
      <c r="Y2479" s="174">
        <v>43.71</v>
      </c>
    </row>
    <row r="2480" spans="1:25" ht="15" customHeight="1" x14ac:dyDescent="0.25">
      <c r="A2480" s="20" t="s">
        <v>2471</v>
      </c>
      <c r="B2480" s="14" t="s">
        <v>2472</v>
      </c>
      <c r="C2480" s="71" t="str">
        <f t="shared" si="52"/>
        <v>Product Info</v>
      </c>
      <c r="D2480" s="37" t="s">
        <v>7886</v>
      </c>
      <c r="E2480" s="143">
        <v>6</v>
      </c>
      <c r="F2480" s="12" t="s">
        <v>4992</v>
      </c>
      <c r="G2480" s="38">
        <v>58.61</v>
      </c>
      <c r="H2480" s="38">
        <f t="shared" si="54"/>
        <v>41.03</v>
      </c>
      <c r="I2480" s="38">
        <v>41.03</v>
      </c>
      <c r="J2480" s="39"/>
      <c r="K2480" s="143"/>
      <c r="L2480" s="22">
        <v>11.62</v>
      </c>
      <c r="M2480" s="22" t="s">
        <v>12488</v>
      </c>
      <c r="N2480" s="20" t="s">
        <v>8792</v>
      </c>
      <c r="O2480" s="16" t="s">
        <v>12608</v>
      </c>
      <c r="P2480" s="143">
        <v>749</v>
      </c>
      <c r="Q2480" s="122" t="s">
        <v>9227</v>
      </c>
      <c r="R2480" s="16" t="s">
        <v>9235</v>
      </c>
      <c r="S2480" s="10" t="s">
        <v>194</v>
      </c>
      <c r="T2480" s="28" t="s">
        <v>11488</v>
      </c>
      <c r="U2480" s="20" t="s">
        <v>5359</v>
      </c>
      <c r="V2480" s="16" t="s">
        <v>2471</v>
      </c>
      <c r="W2480" s="11" t="s">
        <v>14433</v>
      </c>
      <c r="X2480" s="174">
        <v>31.71</v>
      </c>
      <c r="Y2480" s="174">
        <v>41.03</v>
      </c>
    </row>
    <row r="2481" spans="1:25" ht="15" customHeight="1" x14ac:dyDescent="0.25">
      <c r="A2481" s="20" t="s">
        <v>2473</v>
      </c>
      <c r="B2481" s="14" t="s">
        <v>2474</v>
      </c>
      <c r="C2481" s="71" t="str">
        <f t="shared" si="52"/>
        <v>Product Info</v>
      </c>
      <c r="D2481" s="37" t="s">
        <v>7887</v>
      </c>
      <c r="E2481" s="143">
        <v>6</v>
      </c>
      <c r="F2481" s="12" t="s">
        <v>4992</v>
      </c>
      <c r="G2481" s="38">
        <v>69.900000000000006</v>
      </c>
      <c r="H2481" s="38">
        <f t="shared" si="54"/>
        <v>48.93</v>
      </c>
      <c r="I2481" s="38">
        <v>48.93</v>
      </c>
      <c r="J2481" s="39"/>
      <c r="K2481" s="143"/>
      <c r="L2481" s="22">
        <v>15.26</v>
      </c>
      <c r="M2481" s="22" t="s">
        <v>12488</v>
      </c>
      <c r="N2481" s="20" t="s">
        <v>14489</v>
      </c>
      <c r="O2481" s="16" t="s">
        <v>13914</v>
      </c>
      <c r="P2481" s="143">
        <v>749</v>
      </c>
      <c r="Q2481" s="121" t="s">
        <v>14285</v>
      </c>
      <c r="R2481" s="16" t="s">
        <v>9235</v>
      </c>
      <c r="S2481" s="10" t="s">
        <v>194</v>
      </c>
      <c r="T2481" s="28" t="s">
        <v>11489</v>
      </c>
      <c r="U2481" s="20" t="s">
        <v>5359</v>
      </c>
      <c r="V2481" s="16" t="s">
        <v>2473</v>
      </c>
      <c r="W2481" s="11" t="s">
        <v>14433</v>
      </c>
      <c r="X2481" s="174">
        <v>37.81</v>
      </c>
      <c r="Y2481" s="174">
        <v>48.93</v>
      </c>
    </row>
    <row r="2482" spans="1:25" ht="15" customHeight="1" x14ac:dyDescent="0.25">
      <c r="A2482" s="20" t="s">
        <v>2475</v>
      </c>
      <c r="B2482" s="14" t="s">
        <v>2476</v>
      </c>
      <c r="C2482" s="71" t="str">
        <f t="shared" si="52"/>
        <v>Product Info</v>
      </c>
      <c r="D2482" s="37" t="s">
        <v>7888</v>
      </c>
      <c r="E2482" s="143">
        <v>6</v>
      </c>
      <c r="F2482" s="12" t="s">
        <v>4992</v>
      </c>
      <c r="G2482" s="38">
        <v>69.900000000000006</v>
      </c>
      <c r="H2482" s="38">
        <f t="shared" si="54"/>
        <v>48.93</v>
      </c>
      <c r="I2482" s="38">
        <v>48.93</v>
      </c>
      <c r="J2482" s="39"/>
      <c r="K2482" s="143"/>
      <c r="L2482" s="22">
        <v>15.26</v>
      </c>
      <c r="M2482" s="22" t="s">
        <v>12488</v>
      </c>
      <c r="N2482" s="20" t="s">
        <v>14489</v>
      </c>
      <c r="O2482" s="16">
        <v>0</v>
      </c>
      <c r="P2482" s="143">
        <v>749</v>
      </c>
      <c r="Q2482" s="121" t="s">
        <v>14285</v>
      </c>
      <c r="R2482" s="16" t="s">
        <v>9235</v>
      </c>
      <c r="S2482" s="10" t="s">
        <v>194</v>
      </c>
      <c r="T2482" s="28" t="s">
        <v>11490</v>
      </c>
      <c r="U2482" s="20" t="s">
        <v>5359</v>
      </c>
      <c r="V2482" s="16" t="s">
        <v>2475</v>
      </c>
      <c r="W2482" s="11" t="s">
        <v>14433</v>
      </c>
      <c r="X2482" s="174">
        <v>37.81</v>
      </c>
      <c r="Y2482" s="174">
        <v>48.93</v>
      </c>
    </row>
    <row r="2483" spans="1:25" ht="15" customHeight="1" x14ac:dyDescent="0.25">
      <c r="A2483" s="20" t="s">
        <v>1989</v>
      </c>
      <c r="B2483" s="14" t="s">
        <v>1990</v>
      </c>
      <c r="C2483" s="71" t="str">
        <f t="shared" si="52"/>
        <v>Product Info</v>
      </c>
      <c r="D2483" s="37" t="s">
        <v>6520</v>
      </c>
      <c r="E2483" s="143">
        <v>18</v>
      </c>
      <c r="F2483" s="12" t="s">
        <v>2170</v>
      </c>
      <c r="G2483" s="38">
        <v>21.57</v>
      </c>
      <c r="H2483" s="38">
        <f t="shared" si="54"/>
        <v>15.1</v>
      </c>
      <c r="I2483" s="38">
        <v>15.1</v>
      </c>
      <c r="J2483" s="39"/>
      <c r="K2483" s="12" t="s">
        <v>8905</v>
      </c>
      <c r="L2483" s="22">
        <v>3.1</v>
      </c>
      <c r="M2483" s="22" t="s">
        <v>12488</v>
      </c>
      <c r="N2483" s="20" t="s">
        <v>14489</v>
      </c>
      <c r="O2483" s="16" t="s">
        <v>12608</v>
      </c>
      <c r="P2483" s="143">
        <v>749</v>
      </c>
      <c r="Q2483" s="122" t="s">
        <v>14461</v>
      </c>
      <c r="R2483" s="16" t="s">
        <v>9235</v>
      </c>
      <c r="S2483" s="10" t="s">
        <v>194</v>
      </c>
      <c r="T2483" s="28" t="s">
        <v>11491</v>
      </c>
      <c r="U2483" s="20" t="s">
        <v>5359</v>
      </c>
      <c r="V2483" s="16" t="s">
        <v>1989</v>
      </c>
      <c r="W2483" s="11" t="s">
        <v>14433</v>
      </c>
      <c r="X2483" s="174">
        <v>11.66</v>
      </c>
      <c r="Y2483" s="174">
        <v>15.1</v>
      </c>
    </row>
    <row r="2484" spans="1:25" ht="15" customHeight="1" x14ac:dyDescent="0.25">
      <c r="A2484" s="20" t="s">
        <v>1991</v>
      </c>
      <c r="B2484" s="14" t="s">
        <v>1992</v>
      </c>
      <c r="C2484" s="71" t="str">
        <f t="shared" si="52"/>
        <v>Product Info</v>
      </c>
      <c r="D2484" s="37" t="s">
        <v>5251</v>
      </c>
      <c r="E2484" s="143">
        <v>72</v>
      </c>
      <c r="F2484" s="12" t="s">
        <v>2170</v>
      </c>
      <c r="G2484" s="38">
        <v>21.04</v>
      </c>
      <c r="H2484" s="38">
        <f t="shared" si="54"/>
        <v>14.73</v>
      </c>
      <c r="I2484" s="38">
        <v>14.73</v>
      </c>
      <c r="J2484" s="39"/>
      <c r="K2484" s="12" t="s">
        <v>8905</v>
      </c>
      <c r="L2484" s="22">
        <v>11.8</v>
      </c>
      <c r="M2484" s="22" t="s">
        <v>12488</v>
      </c>
      <c r="N2484" s="20" t="s">
        <v>14489</v>
      </c>
      <c r="O2484" s="16" t="s">
        <v>12608</v>
      </c>
      <c r="P2484" s="143">
        <v>749</v>
      </c>
      <c r="Q2484" s="122" t="s">
        <v>14461</v>
      </c>
      <c r="R2484" s="16" t="s">
        <v>9235</v>
      </c>
      <c r="S2484" s="10" t="s">
        <v>194</v>
      </c>
      <c r="T2484" s="28" t="s">
        <v>11492</v>
      </c>
      <c r="U2484" s="20" t="s">
        <v>5359</v>
      </c>
      <c r="V2484" s="16" t="s">
        <v>1991</v>
      </c>
      <c r="W2484" s="11" t="s">
        <v>14433</v>
      </c>
      <c r="X2484" s="174">
        <v>11.38</v>
      </c>
      <c r="Y2484" s="174">
        <v>14.73</v>
      </c>
    </row>
    <row r="2485" spans="1:25" ht="15" customHeight="1" x14ac:dyDescent="0.25">
      <c r="A2485" s="20" t="s">
        <v>1993</v>
      </c>
      <c r="B2485" s="14" t="s">
        <v>1994</v>
      </c>
      <c r="C2485" s="71" t="str">
        <f t="shared" si="52"/>
        <v>Product Info</v>
      </c>
      <c r="D2485" s="37" t="s">
        <v>5252</v>
      </c>
      <c r="E2485" s="143">
        <v>18</v>
      </c>
      <c r="F2485" s="12" t="s">
        <v>2170</v>
      </c>
      <c r="G2485" s="38">
        <v>25.71</v>
      </c>
      <c r="H2485" s="38">
        <f t="shared" si="54"/>
        <v>18</v>
      </c>
      <c r="I2485" s="38">
        <v>18</v>
      </c>
      <c r="J2485" s="39"/>
      <c r="K2485" s="12" t="s">
        <v>8905</v>
      </c>
      <c r="L2485" s="22">
        <v>6.1</v>
      </c>
      <c r="M2485" s="22" t="s">
        <v>12488</v>
      </c>
      <c r="N2485" s="20" t="s">
        <v>14489</v>
      </c>
      <c r="O2485" s="16" t="s">
        <v>12608</v>
      </c>
      <c r="P2485" s="143">
        <v>749</v>
      </c>
      <c r="Q2485" s="122" t="s">
        <v>14461</v>
      </c>
      <c r="R2485" s="16" t="s">
        <v>9235</v>
      </c>
      <c r="S2485" s="10" t="s">
        <v>194</v>
      </c>
      <c r="T2485" s="28" t="s">
        <v>11493</v>
      </c>
      <c r="U2485" s="20" t="s">
        <v>5359</v>
      </c>
      <c r="V2485" s="16" t="s">
        <v>1993</v>
      </c>
      <c r="W2485" s="11" t="s">
        <v>14433</v>
      </c>
      <c r="X2485" s="174">
        <v>13.91</v>
      </c>
      <c r="Y2485" s="174">
        <v>18</v>
      </c>
    </row>
    <row r="2486" spans="1:25" ht="15" customHeight="1" x14ac:dyDescent="0.25">
      <c r="A2486" s="20" t="s">
        <v>1995</v>
      </c>
      <c r="B2486" s="14" t="s">
        <v>1996</v>
      </c>
      <c r="C2486" s="71" t="str">
        <f t="shared" si="52"/>
        <v>Product Info</v>
      </c>
      <c r="D2486" s="37" t="s">
        <v>5253</v>
      </c>
      <c r="E2486" s="143">
        <v>72</v>
      </c>
      <c r="F2486" s="12" t="s">
        <v>2170</v>
      </c>
      <c r="G2486" s="38">
        <v>24.97</v>
      </c>
      <c r="H2486" s="38">
        <f t="shared" si="54"/>
        <v>17.48</v>
      </c>
      <c r="I2486" s="38">
        <v>17.48</v>
      </c>
      <c r="J2486" s="39"/>
      <c r="K2486" s="143"/>
      <c r="L2486" s="22">
        <v>23.9</v>
      </c>
      <c r="M2486" s="22" t="s">
        <v>12488</v>
      </c>
      <c r="N2486" s="20" t="s">
        <v>14489</v>
      </c>
      <c r="O2486" s="16" t="s">
        <v>12608</v>
      </c>
      <c r="P2486" s="143">
        <v>749</v>
      </c>
      <c r="Q2486" s="122" t="s">
        <v>12421</v>
      </c>
      <c r="R2486" s="16" t="s">
        <v>9235</v>
      </c>
      <c r="S2486" s="10" t="s">
        <v>194</v>
      </c>
      <c r="T2486" s="28" t="s">
        <v>11494</v>
      </c>
      <c r="U2486" s="20" t="s">
        <v>5359</v>
      </c>
      <c r="V2486" s="16" t="s">
        <v>1995</v>
      </c>
      <c r="W2486" s="11" t="s">
        <v>14433</v>
      </c>
      <c r="X2486" s="174">
        <v>13.51</v>
      </c>
      <c r="Y2486" s="174">
        <v>17.48</v>
      </c>
    </row>
    <row r="2487" spans="1:25" ht="15" customHeight="1" x14ac:dyDescent="0.25">
      <c r="A2487" s="20" t="s">
        <v>6549</v>
      </c>
      <c r="B2487" s="14" t="s">
        <v>6550</v>
      </c>
      <c r="C2487" s="71" t="str">
        <f t="shared" si="52"/>
        <v>Product Info</v>
      </c>
      <c r="D2487" s="37" t="s">
        <v>7356</v>
      </c>
      <c r="E2487" s="143">
        <v>100</v>
      </c>
      <c r="F2487" s="12" t="s">
        <v>2170</v>
      </c>
      <c r="G2487" s="38">
        <v>3.61</v>
      </c>
      <c r="H2487" s="38">
        <v>3.07</v>
      </c>
      <c r="I2487" s="38">
        <v>2.5299999999999998</v>
      </c>
      <c r="J2487" s="39"/>
      <c r="K2487" s="143"/>
      <c r="L2487" s="22">
        <v>4.1000000000000003E-3</v>
      </c>
      <c r="M2487" s="22" t="s">
        <v>12488</v>
      </c>
      <c r="N2487" s="20" t="s">
        <v>9415</v>
      </c>
      <c r="O2487" s="16" t="s">
        <v>12608</v>
      </c>
      <c r="P2487" s="143">
        <v>761</v>
      </c>
      <c r="Q2487" s="121" t="s">
        <v>14285</v>
      </c>
      <c r="R2487" s="16" t="s">
        <v>8904</v>
      </c>
      <c r="S2487" s="10" t="s">
        <v>1163</v>
      </c>
      <c r="T2487" s="28" t="s">
        <v>11495</v>
      </c>
      <c r="U2487" s="20" t="s">
        <v>5359</v>
      </c>
      <c r="V2487" s="16" t="s">
        <v>6549</v>
      </c>
      <c r="W2487" s="11" t="s">
        <v>14283</v>
      </c>
      <c r="X2487" s="174">
        <v>2.36</v>
      </c>
      <c r="Y2487" s="174">
        <v>3.07</v>
      </c>
    </row>
    <row r="2488" spans="1:25" ht="15" customHeight="1" x14ac:dyDescent="0.25">
      <c r="A2488" s="20" t="s">
        <v>6551</v>
      </c>
      <c r="B2488" s="14" t="s">
        <v>6552</v>
      </c>
      <c r="C2488" s="71" t="str">
        <f t="shared" si="52"/>
        <v>Product Info</v>
      </c>
      <c r="D2488" s="37" t="s">
        <v>7361</v>
      </c>
      <c r="E2488" s="143">
        <v>100</v>
      </c>
      <c r="F2488" s="12" t="s">
        <v>2170</v>
      </c>
      <c r="G2488" s="38">
        <v>4.09</v>
      </c>
      <c r="H2488" s="38">
        <v>3.47</v>
      </c>
      <c r="I2488" s="38">
        <v>2.86</v>
      </c>
      <c r="J2488" s="39"/>
      <c r="K2488" s="143"/>
      <c r="L2488" s="22">
        <v>0.02</v>
      </c>
      <c r="M2488" s="22" t="s">
        <v>12488</v>
      </c>
      <c r="N2488" s="20" t="s">
        <v>9416</v>
      </c>
      <c r="O2488" s="16" t="s">
        <v>12608</v>
      </c>
      <c r="P2488" s="143">
        <v>761</v>
      </c>
      <c r="Q2488" s="121" t="s">
        <v>14285</v>
      </c>
      <c r="R2488" s="16" t="s">
        <v>8904</v>
      </c>
      <c r="S2488" s="10" t="s">
        <v>1163</v>
      </c>
      <c r="T2488" s="28" t="s">
        <v>11496</v>
      </c>
      <c r="U2488" s="20" t="s">
        <v>5359</v>
      </c>
      <c r="V2488" s="16" t="s">
        <v>6551</v>
      </c>
      <c r="W2488" s="11" t="s">
        <v>14283</v>
      </c>
      <c r="X2488" s="174">
        <v>2.67</v>
      </c>
      <c r="Y2488" s="174">
        <v>3.47</v>
      </c>
    </row>
    <row r="2489" spans="1:25" ht="15" customHeight="1" x14ac:dyDescent="0.25">
      <c r="A2489" s="20" t="s">
        <v>6553</v>
      </c>
      <c r="B2489" s="14" t="s">
        <v>6554</v>
      </c>
      <c r="C2489" s="71" t="str">
        <f t="shared" si="52"/>
        <v>Product Info</v>
      </c>
      <c r="D2489" s="37" t="s">
        <v>3415</v>
      </c>
      <c r="E2489" s="143">
        <v>3</v>
      </c>
      <c r="F2489" s="12" t="s">
        <v>2170</v>
      </c>
      <c r="G2489" s="38">
        <v>111.46</v>
      </c>
      <c r="H2489" s="38">
        <v>94.74</v>
      </c>
      <c r="I2489" s="38">
        <v>78.02</v>
      </c>
      <c r="J2489" s="39">
        <v>51</v>
      </c>
      <c r="K2489" s="143"/>
      <c r="L2489" s="22">
        <v>4</v>
      </c>
      <c r="M2489" s="22" t="s">
        <v>12488</v>
      </c>
      <c r="N2489" s="20" t="s">
        <v>14274</v>
      </c>
      <c r="O2489" s="16" t="s">
        <v>12608</v>
      </c>
      <c r="P2489" s="143">
        <v>760</v>
      </c>
      <c r="Q2489" s="122" t="s">
        <v>9227</v>
      </c>
      <c r="R2489" s="16" t="s">
        <v>8904</v>
      </c>
      <c r="S2489" s="10" t="s">
        <v>1163</v>
      </c>
      <c r="T2489" s="28" t="s">
        <v>11497</v>
      </c>
      <c r="U2489" s="20" t="s">
        <v>5359</v>
      </c>
      <c r="V2489" s="16" t="s">
        <v>6553</v>
      </c>
      <c r="W2489" s="20" t="s">
        <v>14432</v>
      </c>
      <c r="X2489" s="174">
        <v>71.989999999999995</v>
      </c>
      <c r="Y2489" s="174">
        <v>94.74</v>
      </c>
    </row>
    <row r="2490" spans="1:25" ht="15" customHeight="1" x14ac:dyDescent="0.25">
      <c r="A2490" s="20" t="s">
        <v>6555</v>
      </c>
      <c r="B2490" s="14" t="s">
        <v>6522</v>
      </c>
      <c r="C2490" s="71" t="str">
        <f t="shared" si="52"/>
        <v>Product Info</v>
      </c>
      <c r="D2490" s="37" t="s">
        <v>3416</v>
      </c>
      <c r="E2490" s="143">
        <v>3</v>
      </c>
      <c r="F2490" s="12" t="s">
        <v>2170</v>
      </c>
      <c r="G2490" s="38">
        <v>213.29</v>
      </c>
      <c r="H2490" s="38">
        <v>181.3</v>
      </c>
      <c r="I2490" s="38">
        <v>149.30000000000001</v>
      </c>
      <c r="J2490" s="39">
        <v>50</v>
      </c>
      <c r="K2490" s="143"/>
      <c r="L2490" s="22">
        <v>0.66</v>
      </c>
      <c r="M2490" s="22" t="s">
        <v>12488</v>
      </c>
      <c r="N2490" s="20" t="s">
        <v>9417</v>
      </c>
      <c r="O2490" s="16" t="s">
        <v>12608</v>
      </c>
      <c r="P2490" s="143">
        <v>760</v>
      </c>
      <c r="Q2490" s="121" t="s">
        <v>14285</v>
      </c>
      <c r="R2490" s="16" t="s">
        <v>8904</v>
      </c>
      <c r="S2490" s="10" t="s">
        <v>1163</v>
      </c>
      <c r="T2490" s="28" t="s">
        <v>11498</v>
      </c>
      <c r="U2490" s="20" t="s">
        <v>5359</v>
      </c>
      <c r="V2490" s="16" t="s">
        <v>6555</v>
      </c>
      <c r="W2490" s="20" t="s">
        <v>14432</v>
      </c>
      <c r="X2490" s="174">
        <v>137.76</v>
      </c>
      <c r="Y2490" s="174">
        <v>181.3</v>
      </c>
    </row>
    <row r="2491" spans="1:25" ht="15" customHeight="1" x14ac:dyDescent="0.25">
      <c r="A2491" s="20" t="s">
        <v>6523</v>
      </c>
      <c r="B2491" s="14" t="s">
        <v>6524</v>
      </c>
      <c r="C2491" s="71" t="str">
        <f t="shared" si="52"/>
        <v>Product Info</v>
      </c>
      <c r="D2491" s="37" t="s">
        <v>3417</v>
      </c>
      <c r="E2491" s="143">
        <v>3</v>
      </c>
      <c r="F2491" s="12" t="s">
        <v>2170</v>
      </c>
      <c r="G2491" s="38">
        <v>303.19</v>
      </c>
      <c r="H2491" s="38">
        <v>257.72000000000003</v>
      </c>
      <c r="I2491" s="38">
        <v>212.23</v>
      </c>
      <c r="J2491" s="39">
        <v>50</v>
      </c>
      <c r="K2491" s="143"/>
      <c r="L2491" s="22">
        <v>4</v>
      </c>
      <c r="M2491" s="22" t="s">
        <v>12488</v>
      </c>
      <c r="N2491" s="20" t="s">
        <v>9226</v>
      </c>
      <c r="O2491" s="16" t="s">
        <v>12608</v>
      </c>
      <c r="P2491" s="143">
        <v>760</v>
      </c>
      <c r="Q2491" s="121" t="s">
        <v>14285</v>
      </c>
      <c r="R2491" s="16" t="s">
        <v>8904</v>
      </c>
      <c r="S2491" s="10" t="s">
        <v>1163</v>
      </c>
      <c r="T2491" s="28" t="s">
        <v>11499</v>
      </c>
      <c r="U2491" s="20" t="s">
        <v>5359</v>
      </c>
      <c r="V2491" s="16" t="s">
        <v>6523</v>
      </c>
      <c r="W2491" s="20" t="s">
        <v>14432</v>
      </c>
      <c r="X2491" s="174">
        <v>195.83</v>
      </c>
      <c r="Y2491" s="174">
        <v>257.72000000000003</v>
      </c>
    </row>
    <row r="2492" spans="1:25" ht="15" customHeight="1" x14ac:dyDescent="0.25">
      <c r="A2492" s="20" t="s">
        <v>6525</v>
      </c>
      <c r="B2492" s="14" t="s">
        <v>6526</v>
      </c>
      <c r="C2492" s="71" t="str">
        <f t="shared" si="52"/>
        <v>Product Info</v>
      </c>
      <c r="D2492" s="37" t="s">
        <v>3418</v>
      </c>
      <c r="E2492" s="143">
        <v>3</v>
      </c>
      <c r="F2492" s="12" t="s">
        <v>2170</v>
      </c>
      <c r="G2492" s="38">
        <v>361.21</v>
      </c>
      <c r="H2492" s="38">
        <v>307.04000000000002</v>
      </c>
      <c r="I2492" s="38">
        <v>252.85</v>
      </c>
      <c r="J2492" s="39">
        <v>50</v>
      </c>
      <c r="K2492" s="143"/>
      <c r="L2492" s="22">
        <v>4</v>
      </c>
      <c r="M2492" s="22" t="s">
        <v>12488</v>
      </c>
      <c r="N2492" s="20" t="s">
        <v>9348</v>
      </c>
      <c r="O2492" s="16" t="s">
        <v>12608</v>
      </c>
      <c r="P2492" s="143">
        <v>760</v>
      </c>
      <c r="Q2492" s="121" t="s">
        <v>14285</v>
      </c>
      <c r="R2492" s="16" t="s">
        <v>8904</v>
      </c>
      <c r="S2492" s="10" t="s">
        <v>1163</v>
      </c>
      <c r="T2492" s="28" t="s">
        <v>11500</v>
      </c>
      <c r="U2492" s="20" t="s">
        <v>5359</v>
      </c>
      <c r="V2492" s="16" t="s">
        <v>6525</v>
      </c>
      <c r="W2492" s="20" t="s">
        <v>14432</v>
      </c>
      <c r="X2492" s="174">
        <v>233.31</v>
      </c>
      <c r="Y2492" s="174">
        <v>307.04000000000002</v>
      </c>
    </row>
    <row r="2493" spans="1:25" ht="15" customHeight="1" x14ac:dyDescent="0.25">
      <c r="A2493" s="20" t="s">
        <v>6527</v>
      </c>
      <c r="B2493" s="14" t="s">
        <v>6528</v>
      </c>
      <c r="C2493" s="71" t="str">
        <f t="shared" si="52"/>
        <v>Product Info</v>
      </c>
      <c r="D2493" s="37" t="s">
        <v>6053</v>
      </c>
      <c r="E2493" s="143">
        <v>3</v>
      </c>
      <c r="F2493" s="12" t="s">
        <v>2170</v>
      </c>
      <c r="G2493" s="38">
        <v>122.94</v>
      </c>
      <c r="H2493" s="38">
        <v>104.51</v>
      </c>
      <c r="I2493" s="38">
        <v>86.06</v>
      </c>
      <c r="J2493" s="39">
        <v>50</v>
      </c>
      <c r="K2493" s="143"/>
      <c r="L2493" s="22">
        <v>5</v>
      </c>
      <c r="M2493" s="22" t="s">
        <v>12488</v>
      </c>
      <c r="N2493" s="20" t="s">
        <v>9389</v>
      </c>
      <c r="O2493" s="16" t="s">
        <v>12608</v>
      </c>
      <c r="P2493" s="143">
        <v>760</v>
      </c>
      <c r="Q2493" s="122" t="s">
        <v>9227</v>
      </c>
      <c r="R2493" s="16" t="s">
        <v>8904</v>
      </c>
      <c r="S2493" s="10" t="s">
        <v>1163</v>
      </c>
      <c r="T2493" s="28" t="s">
        <v>11501</v>
      </c>
      <c r="U2493" s="20" t="s">
        <v>5359</v>
      </c>
      <c r="V2493" s="16" t="s">
        <v>6527</v>
      </c>
      <c r="W2493" s="20" t="s">
        <v>14432</v>
      </c>
      <c r="X2493" s="174">
        <v>79.41</v>
      </c>
      <c r="Y2493" s="174">
        <v>104.51</v>
      </c>
    </row>
    <row r="2494" spans="1:25" ht="15" customHeight="1" x14ac:dyDescent="0.25">
      <c r="A2494" s="20" t="s">
        <v>6529</v>
      </c>
      <c r="B2494" s="14" t="s">
        <v>6530</v>
      </c>
      <c r="C2494" s="71" t="str">
        <f t="shared" si="52"/>
        <v>Product Info</v>
      </c>
      <c r="D2494" s="37" t="s">
        <v>6054</v>
      </c>
      <c r="E2494" s="143">
        <v>3</v>
      </c>
      <c r="F2494" s="12" t="s">
        <v>2170</v>
      </c>
      <c r="G2494" s="38">
        <v>241.77</v>
      </c>
      <c r="H2494" s="38">
        <v>205.51</v>
      </c>
      <c r="I2494" s="38">
        <v>169.24</v>
      </c>
      <c r="J2494" s="39">
        <v>50</v>
      </c>
      <c r="K2494" s="143"/>
      <c r="L2494" s="22">
        <v>5.5</v>
      </c>
      <c r="M2494" s="22" t="s">
        <v>12488</v>
      </c>
      <c r="N2494" s="20" t="s">
        <v>9348</v>
      </c>
      <c r="O2494" s="16" t="s">
        <v>12608</v>
      </c>
      <c r="P2494" s="143">
        <v>760</v>
      </c>
      <c r="Q2494" s="121" t="s">
        <v>14285</v>
      </c>
      <c r="R2494" s="16" t="s">
        <v>8904</v>
      </c>
      <c r="S2494" s="10" t="s">
        <v>1163</v>
      </c>
      <c r="T2494" s="28" t="s">
        <v>11502</v>
      </c>
      <c r="U2494" s="20" t="s">
        <v>5359</v>
      </c>
      <c r="V2494" s="16" t="s">
        <v>6529</v>
      </c>
      <c r="W2494" s="20" t="s">
        <v>14432</v>
      </c>
      <c r="X2494" s="174">
        <v>156.16</v>
      </c>
      <c r="Y2494" s="174">
        <v>205.51</v>
      </c>
    </row>
    <row r="2495" spans="1:25" ht="15" customHeight="1" x14ac:dyDescent="0.25">
      <c r="A2495" s="20" t="s">
        <v>9162</v>
      </c>
      <c r="B2495" s="14" t="s">
        <v>9163</v>
      </c>
      <c r="C2495" s="71" t="str">
        <f t="shared" si="52"/>
        <v>Product Info</v>
      </c>
      <c r="D2495" s="37" t="s">
        <v>9164</v>
      </c>
      <c r="E2495" s="143">
        <v>3</v>
      </c>
      <c r="F2495" s="12" t="s">
        <v>2170</v>
      </c>
      <c r="G2495" s="38">
        <v>349.84</v>
      </c>
      <c r="H2495" s="38">
        <v>297.38</v>
      </c>
      <c r="I2495" s="38">
        <v>244.89</v>
      </c>
      <c r="J2495" s="39"/>
      <c r="K2495" s="143"/>
      <c r="L2495" s="22">
        <v>5.5</v>
      </c>
      <c r="M2495" s="22" t="s">
        <v>12488</v>
      </c>
      <c r="N2495" s="20" t="s">
        <v>9226</v>
      </c>
      <c r="O2495" s="16" t="s">
        <v>12608</v>
      </c>
      <c r="P2495" s="143">
        <v>760</v>
      </c>
      <c r="Q2495" s="121" t="s">
        <v>14285</v>
      </c>
      <c r="R2495" s="16" t="s">
        <v>8904</v>
      </c>
      <c r="S2495" s="10" t="s">
        <v>1163</v>
      </c>
      <c r="T2495" s="28" t="s">
        <v>12685</v>
      </c>
      <c r="U2495" s="20" t="s">
        <v>5359</v>
      </c>
      <c r="V2495" s="16" t="s">
        <v>9162</v>
      </c>
      <c r="W2495" s="20" t="s">
        <v>14432</v>
      </c>
      <c r="X2495" s="174">
        <v>225.96</v>
      </c>
      <c r="Y2495" s="174">
        <v>297.38</v>
      </c>
    </row>
    <row r="2496" spans="1:25" ht="15" customHeight="1" x14ac:dyDescent="0.25">
      <c r="A2496" s="20" t="s">
        <v>6531</v>
      </c>
      <c r="B2496" s="14" t="s">
        <v>6532</v>
      </c>
      <c r="C2496" s="71" t="str">
        <f t="shared" si="52"/>
        <v>Product Info</v>
      </c>
      <c r="D2496" s="37" t="s">
        <v>6055</v>
      </c>
      <c r="E2496" s="143">
        <v>3</v>
      </c>
      <c r="F2496" s="12" t="s">
        <v>2170</v>
      </c>
      <c r="G2496" s="38">
        <v>433.77</v>
      </c>
      <c r="H2496" s="38">
        <v>368.72</v>
      </c>
      <c r="I2496" s="38">
        <v>303.64</v>
      </c>
      <c r="J2496" s="39">
        <v>50</v>
      </c>
      <c r="K2496" s="143"/>
      <c r="L2496" s="22">
        <v>5.5</v>
      </c>
      <c r="M2496" s="22" t="s">
        <v>12488</v>
      </c>
      <c r="N2496" s="20" t="s">
        <v>9241</v>
      </c>
      <c r="O2496" s="16" t="s">
        <v>12608</v>
      </c>
      <c r="P2496" s="143">
        <v>760</v>
      </c>
      <c r="Q2496" s="121" t="s">
        <v>14285</v>
      </c>
      <c r="R2496" s="16" t="s">
        <v>8904</v>
      </c>
      <c r="S2496" s="10" t="s">
        <v>1163</v>
      </c>
      <c r="T2496" s="28" t="s">
        <v>11503</v>
      </c>
      <c r="U2496" s="20" t="s">
        <v>5359</v>
      </c>
      <c r="V2496" s="16" t="s">
        <v>6531</v>
      </c>
      <c r="W2496" s="20" t="s">
        <v>14432</v>
      </c>
      <c r="X2496" s="174">
        <v>280.18</v>
      </c>
      <c r="Y2496" s="174">
        <v>368.72</v>
      </c>
    </row>
    <row r="2497" spans="1:25" ht="15" customHeight="1" x14ac:dyDescent="0.25">
      <c r="A2497" s="20" t="s">
        <v>6533</v>
      </c>
      <c r="B2497" s="14" t="s">
        <v>6534</v>
      </c>
      <c r="C2497" s="71" t="str">
        <f t="shared" si="52"/>
        <v>Product Info</v>
      </c>
      <c r="D2497" s="37" t="s">
        <v>6056</v>
      </c>
      <c r="E2497" s="143">
        <v>3</v>
      </c>
      <c r="F2497" s="12" t="s">
        <v>2170</v>
      </c>
      <c r="G2497" s="38">
        <v>39.770000000000003</v>
      </c>
      <c r="H2497" s="38">
        <v>33.81</v>
      </c>
      <c r="I2497" s="38">
        <v>27.84</v>
      </c>
      <c r="J2497" s="39"/>
      <c r="K2497" s="143"/>
      <c r="L2497" s="22">
        <v>2.5</v>
      </c>
      <c r="M2497" s="22" t="s">
        <v>12488</v>
      </c>
      <c r="N2497" s="20" t="s">
        <v>9418</v>
      </c>
      <c r="O2497" s="16" t="s">
        <v>12608</v>
      </c>
      <c r="P2497" s="143">
        <v>761</v>
      </c>
      <c r="Q2497" s="122" t="s">
        <v>9227</v>
      </c>
      <c r="R2497" s="16" t="s">
        <v>8904</v>
      </c>
      <c r="S2497" s="10" t="s">
        <v>1163</v>
      </c>
      <c r="T2497" s="28" t="s">
        <v>11504</v>
      </c>
      <c r="U2497" s="20" t="s">
        <v>5359</v>
      </c>
      <c r="V2497" s="16" t="s">
        <v>6533</v>
      </c>
      <c r="W2497" s="11" t="s">
        <v>14283</v>
      </c>
      <c r="X2497" s="174">
        <v>25.95</v>
      </c>
      <c r="Y2497" s="174">
        <v>33.81</v>
      </c>
    </row>
    <row r="2498" spans="1:25" ht="15" customHeight="1" x14ac:dyDescent="0.25">
      <c r="A2498" s="20" t="s">
        <v>5324</v>
      </c>
      <c r="B2498" s="14" t="s">
        <v>5325</v>
      </c>
      <c r="C2498" s="71" t="str">
        <f t="shared" si="52"/>
        <v>Product Info</v>
      </c>
      <c r="D2498" s="37" t="s">
        <v>8922</v>
      </c>
      <c r="E2498" s="143">
        <v>3</v>
      </c>
      <c r="F2498" s="12" t="s">
        <v>2170</v>
      </c>
      <c r="G2498" s="38">
        <v>35.04</v>
      </c>
      <c r="H2498" s="38">
        <v>29.79</v>
      </c>
      <c r="I2498" s="38">
        <v>24.53</v>
      </c>
      <c r="J2498" s="39"/>
      <c r="K2498" s="12" t="s">
        <v>8905</v>
      </c>
      <c r="L2498" s="22">
        <v>5</v>
      </c>
      <c r="M2498" s="22" t="s">
        <v>12488</v>
      </c>
      <c r="N2498" s="20" t="s">
        <v>9418</v>
      </c>
      <c r="O2498" s="16" t="s">
        <v>12608</v>
      </c>
      <c r="P2498" s="143">
        <v>761</v>
      </c>
      <c r="Q2498" s="122" t="s">
        <v>12421</v>
      </c>
      <c r="R2498" s="16" t="s">
        <v>8904</v>
      </c>
      <c r="S2498" s="10" t="s">
        <v>1163</v>
      </c>
      <c r="T2498" s="28" t="s">
        <v>11505</v>
      </c>
      <c r="U2498" s="20" t="s">
        <v>5359</v>
      </c>
      <c r="V2498" s="16" t="s">
        <v>5324</v>
      </c>
      <c r="W2498" s="11" t="s">
        <v>14283</v>
      </c>
      <c r="X2498" s="174">
        <v>22.87</v>
      </c>
      <c r="Y2498" s="174">
        <v>29.79</v>
      </c>
    </row>
    <row r="2499" spans="1:25" ht="15" customHeight="1" x14ac:dyDescent="0.25">
      <c r="A2499" s="20" t="s">
        <v>5326</v>
      </c>
      <c r="B2499" s="14" t="s">
        <v>5327</v>
      </c>
      <c r="C2499" s="71" t="str">
        <f t="shared" si="52"/>
        <v>Product Info</v>
      </c>
      <c r="D2499" s="37" t="s">
        <v>8923</v>
      </c>
      <c r="E2499" s="143">
        <v>3</v>
      </c>
      <c r="F2499" s="12" t="s">
        <v>2170</v>
      </c>
      <c r="G2499" s="38">
        <v>29.97</v>
      </c>
      <c r="H2499" s="38">
        <v>25.48</v>
      </c>
      <c r="I2499" s="38">
        <v>20.98</v>
      </c>
      <c r="J2499" s="39"/>
      <c r="K2499" s="143"/>
      <c r="L2499" s="22">
        <v>5</v>
      </c>
      <c r="M2499" s="22" t="s">
        <v>12488</v>
      </c>
      <c r="N2499" s="20" t="s">
        <v>9418</v>
      </c>
      <c r="O2499" s="16" t="s">
        <v>12608</v>
      </c>
      <c r="P2499" s="143">
        <v>761</v>
      </c>
      <c r="Q2499" s="121" t="s">
        <v>14285</v>
      </c>
      <c r="R2499" s="16" t="s">
        <v>8904</v>
      </c>
      <c r="S2499" s="10" t="s">
        <v>1163</v>
      </c>
      <c r="T2499" s="28" t="s">
        <v>11506</v>
      </c>
      <c r="U2499" s="20" t="s">
        <v>5359</v>
      </c>
      <c r="V2499" s="16" t="s">
        <v>5326</v>
      </c>
      <c r="W2499" s="11" t="s">
        <v>14283</v>
      </c>
      <c r="X2499" s="174">
        <v>19.559999999999999</v>
      </c>
      <c r="Y2499" s="174">
        <v>25.48</v>
      </c>
    </row>
    <row r="2500" spans="1:25" ht="15" customHeight="1" x14ac:dyDescent="0.25">
      <c r="A2500" s="20" t="s">
        <v>3142</v>
      </c>
      <c r="B2500" s="14" t="s">
        <v>3143</v>
      </c>
      <c r="C2500" s="71" t="str">
        <f t="shared" si="52"/>
        <v>Product Info</v>
      </c>
      <c r="D2500" s="37" t="s">
        <v>2450</v>
      </c>
      <c r="E2500" s="143">
        <v>8</v>
      </c>
      <c r="F2500" s="12" t="s">
        <v>2170</v>
      </c>
      <c r="G2500" s="38">
        <v>82.3</v>
      </c>
      <c r="H2500" s="38">
        <v>69.959999999999994</v>
      </c>
      <c r="I2500" s="38">
        <v>57.61</v>
      </c>
      <c r="J2500" s="39"/>
      <c r="K2500" s="12" t="s">
        <v>8905</v>
      </c>
      <c r="L2500" s="22">
        <v>0</v>
      </c>
      <c r="M2500" s="22" t="s">
        <v>12488</v>
      </c>
      <c r="N2500" s="20" t="s">
        <v>14489</v>
      </c>
      <c r="O2500" s="16" t="s">
        <v>12608</v>
      </c>
      <c r="P2500" s="143">
        <v>760</v>
      </c>
      <c r="Q2500" s="122" t="s">
        <v>9227</v>
      </c>
      <c r="R2500" s="16" t="s">
        <v>8904</v>
      </c>
      <c r="S2500" s="10" t="s">
        <v>1163</v>
      </c>
      <c r="T2500" s="28" t="s">
        <v>11507</v>
      </c>
      <c r="U2500" s="20" t="s">
        <v>5359</v>
      </c>
      <c r="V2500" s="16" t="s">
        <v>3142</v>
      </c>
      <c r="W2500" s="20" t="s">
        <v>14432</v>
      </c>
      <c r="X2500" s="174">
        <v>53.16</v>
      </c>
      <c r="Y2500" s="174">
        <v>69.959999999999994</v>
      </c>
    </row>
    <row r="2501" spans="1:25" ht="15" customHeight="1" x14ac:dyDescent="0.25">
      <c r="A2501" s="20" t="s">
        <v>3144</v>
      </c>
      <c r="B2501" s="14" t="s">
        <v>3145</v>
      </c>
      <c r="C2501" s="71" t="str">
        <f t="shared" si="52"/>
        <v>Product Info</v>
      </c>
      <c r="D2501" s="37" t="s">
        <v>2890</v>
      </c>
      <c r="E2501" s="143">
        <v>4</v>
      </c>
      <c r="F2501" s="12" t="s">
        <v>2170</v>
      </c>
      <c r="G2501" s="38">
        <v>138.86000000000001</v>
      </c>
      <c r="H2501" s="38">
        <v>118.03</v>
      </c>
      <c r="I2501" s="38">
        <v>97.2</v>
      </c>
      <c r="J2501" s="39"/>
      <c r="K2501" s="12" t="s">
        <v>8905</v>
      </c>
      <c r="L2501" s="22">
        <v>0.4</v>
      </c>
      <c r="M2501" s="22" t="s">
        <v>12488</v>
      </c>
      <c r="N2501" s="20" t="s">
        <v>9419</v>
      </c>
      <c r="O2501" s="16" t="s">
        <v>12608</v>
      </c>
      <c r="P2501" s="143">
        <v>760</v>
      </c>
      <c r="Q2501" s="122" t="s">
        <v>9227</v>
      </c>
      <c r="R2501" s="16" t="s">
        <v>8904</v>
      </c>
      <c r="S2501" s="10" t="s">
        <v>1163</v>
      </c>
      <c r="T2501" s="28" t="s">
        <v>11508</v>
      </c>
      <c r="U2501" s="20" t="s">
        <v>5359</v>
      </c>
      <c r="V2501" s="16" t="s">
        <v>3144</v>
      </c>
      <c r="W2501" s="20" t="s">
        <v>14432</v>
      </c>
      <c r="X2501" s="174">
        <v>89.68</v>
      </c>
      <c r="Y2501" s="174">
        <v>118.03</v>
      </c>
    </row>
    <row r="2502" spans="1:25" ht="15" customHeight="1" x14ac:dyDescent="0.25">
      <c r="A2502" s="20" t="s">
        <v>3146</v>
      </c>
      <c r="B2502" s="14" t="s">
        <v>3147</v>
      </c>
      <c r="C2502" s="71" t="str">
        <f t="shared" ref="C2502:C2565" si="55">HYPERLINK(T2502,U2502)</f>
        <v>Product Info</v>
      </c>
      <c r="D2502" s="37" t="s">
        <v>2891</v>
      </c>
      <c r="E2502" s="143">
        <v>2</v>
      </c>
      <c r="F2502" s="12" t="s">
        <v>2170</v>
      </c>
      <c r="G2502" s="38">
        <v>231.26</v>
      </c>
      <c r="H2502" s="38">
        <v>196.58</v>
      </c>
      <c r="I2502" s="38">
        <v>161.88</v>
      </c>
      <c r="J2502" s="39"/>
      <c r="K2502" s="12" t="s">
        <v>8905</v>
      </c>
      <c r="L2502" s="22">
        <v>0</v>
      </c>
      <c r="M2502" s="22" t="s">
        <v>12488</v>
      </c>
      <c r="N2502" s="20" t="s">
        <v>14489</v>
      </c>
      <c r="O2502" s="16" t="s">
        <v>12608</v>
      </c>
      <c r="P2502" s="143">
        <v>760</v>
      </c>
      <c r="Q2502" s="122" t="s">
        <v>9227</v>
      </c>
      <c r="R2502" s="16" t="s">
        <v>8904</v>
      </c>
      <c r="S2502" s="10" t="s">
        <v>1163</v>
      </c>
      <c r="T2502" s="28" t="s">
        <v>11509</v>
      </c>
      <c r="U2502" s="20" t="s">
        <v>5359</v>
      </c>
      <c r="V2502" s="16" t="s">
        <v>3146</v>
      </c>
      <c r="W2502" s="20" t="s">
        <v>14432</v>
      </c>
      <c r="X2502" s="174">
        <v>149.38</v>
      </c>
      <c r="Y2502" s="174">
        <v>196.58</v>
      </c>
    </row>
    <row r="2503" spans="1:25" ht="15" customHeight="1" x14ac:dyDescent="0.25">
      <c r="A2503" s="20" t="s">
        <v>2478</v>
      </c>
      <c r="B2503" s="14" t="s">
        <v>2479</v>
      </c>
      <c r="C2503" s="71" t="str">
        <f t="shared" si="55"/>
        <v>Product Info</v>
      </c>
      <c r="D2503" s="37" t="s">
        <v>3381</v>
      </c>
      <c r="E2503" s="143">
        <v>1</v>
      </c>
      <c r="F2503" s="12" t="s">
        <v>2170</v>
      </c>
      <c r="G2503" s="38">
        <v>292.5</v>
      </c>
      <c r="H2503" s="38">
        <v>248.63</v>
      </c>
      <c r="I2503" s="38">
        <v>204.75</v>
      </c>
      <c r="J2503" s="39">
        <v>25</v>
      </c>
      <c r="K2503" s="143"/>
      <c r="L2503" s="22">
        <v>10</v>
      </c>
      <c r="M2503" s="22" t="s">
        <v>12488</v>
      </c>
      <c r="N2503" s="20" t="s">
        <v>9420</v>
      </c>
      <c r="O2503" s="16" t="s">
        <v>12608</v>
      </c>
      <c r="P2503" s="143">
        <v>753</v>
      </c>
      <c r="Q2503" s="121" t="s">
        <v>14285</v>
      </c>
      <c r="R2503" s="16" t="s">
        <v>8904</v>
      </c>
      <c r="S2503" s="10" t="s">
        <v>1163</v>
      </c>
      <c r="T2503" s="28" t="s">
        <v>11510</v>
      </c>
      <c r="U2503" s="20" t="s">
        <v>5359</v>
      </c>
      <c r="V2503" s="16" t="s">
        <v>2478</v>
      </c>
      <c r="W2503" s="11" t="s">
        <v>14283</v>
      </c>
      <c r="X2503" s="174">
        <v>185.28</v>
      </c>
      <c r="Y2503" s="174">
        <v>248.63</v>
      </c>
    </row>
    <row r="2504" spans="1:25" ht="15" customHeight="1" x14ac:dyDescent="0.25">
      <c r="A2504" s="20" t="s">
        <v>2480</v>
      </c>
      <c r="B2504" s="14" t="s">
        <v>2481</v>
      </c>
      <c r="C2504" s="71" t="str">
        <f t="shared" si="55"/>
        <v>Product Info</v>
      </c>
      <c r="D2504" s="37" t="s">
        <v>4809</v>
      </c>
      <c r="E2504" s="143">
        <v>1</v>
      </c>
      <c r="F2504" s="12" t="s">
        <v>2170</v>
      </c>
      <c r="G2504" s="38">
        <v>294.3</v>
      </c>
      <c r="H2504" s="38">
        <v>250.16</v>
      </c>
      <c r="I2504" s="38">
        <v>206.01</v>
      </c>
      <c r="J2504" s="39">
        <v>25</v>
      </c>
      <c r="K2504" s="143"/>
      <c r="L2504" s="22">
        <v>10</v>
      </c>
      <c r="M2504" s="22" t="s">
        <v>12488</v>
      </c>
      <c r="N2504" s="20" t="s">
        <v>9420</v>
      </c>
      <c r="O2504" s="16" t="s">
        <v>12608</v>
      </c>
      <c r="P2504" s="143">
        <v>753</v>
      </c>
      <c r="Q2504" s="121" t="s">
        <v>14285</v>
      </c>
      <c r="R2504" s="16" t="s">
        <v>8904</v>
      </c>
      <c r="S2504" s="10" t="s">
        <v>1163</v>
      </c>
      <c r="T2504" s="28" t="s">
        <v>11511</v>
      </c>
      <c r="U2504" s="20" t="s">
        <v>5359</v>
      </c>
      <c r="V2504" s="16" t="s">
        <v>2480</v>
      </c>
      <c r="W2504" s="11" t="s">
        <v>14283</v>
      </c>
      <c r="X2504" s="174">
        <v>186.41</v>
      </c>
      <c r="Y2504" s="174">
        <v>250.16</v>
      </c>
    </row>
    <row r="2505" spans="1:25" ht="15" customHeight="1" x14ac:dyDescent="0.25">
      <c r="A2505" s="20" t="s">
        <v>2482</v>
      </c>
      <c r="B2505" s="14" t="s">
        <v>2483</v>
      </c>
      <c r="C2505" s="71" t="str">
        <f t="shared" si="55"/>
        <v>Product Info</v>
      </c>
      <c r="D2505" s="37" t="s">
        <v>4810</v>
      </c>
      <c r="E2505" s="143">
        <v>1</v>
      </c>
      <c r="F2505" s="12" t="s">
        <v>2170</v>
      </c>
      <c r="G2505" s="38">
        <v>317.97000000000003</v>
      </c>
      <c r="H2505" s="38">
        <v>270.29000000000002</v>
      </c>
      <c r="I2505" s="38">
        <v>222.58</v>
      </c>
      <c r="J2505" s="39">
        <v>25</v>
      </c>
      <c r="K2505" s="143"/>
      <c r="L2505" s="22">
        <v>10</v>
      </c>
      <c r="M2505" s="22" t="s">
        <v>12488</v>
      </c>
      <c r="N2505" s="20" t="s">
        <v>9420</v>
      </c>
      <c r="O2505" s="16" t="s">
        <v>12608</v>
      </c>
      <c r="P2505" s="143">
        <v>753</v>
      </c>
      <c r="Q2505" s="121" t="s">
        <v>14285</v>
      </c>
      <c r="R2505" s="16" t="s">
        <v>8904</v>
      </c>
      <c r="S2505" s="10" t="s">
        <v>1163</v>
      </c>
      <c r="T2505" s="28" t="s">
        <v>11512</v>
      </c>
      <c r="U2505" s="20" t="s">
        <v>5359</v>
      </c>
      <c r="V2505" s="16" t="s">
        <v>2482</v>
      </c>
      <c r="W2505" s="11" t="s">
        <v>14283</v>
      </c>
      <c r="X2505" s="174">
        <v>201.42</v>
      </c>
      <c r="Y2505" s="174">
        <v>270.29000000000002</v>
      </c>
    </row>
    <row r="2506" spans="1:25" ht="15" customHeight="1" x14ac:dyDescent="0.25">
      <c r="A2506" s="20" t="s">
        <v>2484</v>
      </c>
      <c r="B2506" s="14" t="s">
        <v>2485</v>
      </c>
      <c r="C2506" s="71" t="str">
        <f t="shared" si="55"/>
        <v>Product Info</v>
      </c>
      <c r="D2506" s="37" t="s">
        <v>4811</v>
      </c>
      <c r="E2506" s="143">
        <v>1</v>
      </c>
      <c r="F2506" s="12" t="s">
        <v>2170</v>
      </c>
      <c r="G2506" s="38">
        <v>312.60000000000002</v>
      </c>
      <c r="H2506" s="38">
        <v>265.72000000000003</v>
      </c>
      <c r="I2506" s="38">
        <v>218.82</v>
      </c>
      <c r="J2506" s="39">
        <v>25</v>
      </c>
      <c r="K2506" s="143"/>
      <c r="L2506" s="22">
        <v>10</v>
      </c>
      <c r="M2506" s="22" t="s">
        <v>12488</v>
      </c>
      <c r="N2506" s="20" t="s">
        <v>9420</v>
      </c>
      <c r="O2506" s="16" t="s">
        <v>12608</v>
      </c>
      <c r="P2506" s="143">
        <v>753</v>
      </c>
      <c r="Q2506" s="121" t="s">
        <v>14285</v>
      </c>
      <c r="R2506" s="16" t="s">
        <v>8904</v>
      </c>
      <c r="S2506" s="10" t="s">
        <v>1163</v>
      </c>
      <c r="T2506" s="28" t="s">
        <v>11513</v>
      </c>
      <c r="U2506" s="20" t="s">
        <v>5359</v>
      </c>
      <c r="V2506" s="16" t="s">
        <v>2484</v>
      </c>
      <c r="W2506" s="11" t="s">
        <v>14283</v>
      </c>
      <c r="X2506" s="174">
        <v>198.01</v>
      </c>
      <c r="Y2506" s="174">
        <v>265.72000000000003</v>
      </c>
    </row>
    <row r="2507" spans="1:25" ht="15" customHeight="1" x14ac:dyDescent="0.25">
      <c r="A2507" s="20" t="s">
        <v>2486</v>
      </c>
      <c r="B2507" s="14" t="s">
        <v>2487</v>
      </c>
      <c r="C2507" s="71" t="str">
        <f t="shared" si="55"/>
        <v>Product Info</v>
      </c>
      <c r="D2507" s="37" t="s">
        <v>4812</v>
      </c>
      <c r="E2507" s="143">
        <v>1</v>
      </c>
      <c r="F2507" s="12" t="s">
        <v>2170</v>
      </c>
      <c r="G2507" s="38">
        <v>262.39</v>
      </c>
      <c r="H2507" s="38">
        <v>223.04</v>
      </c>
      <c r="I2507" s="38">
        <v>183.67</v>
      </c>
      <c r="J2507" s="39">
        <v>24</v>
      </c>
      <c r="K2507" s="143"/>
      <c r="L2507" s="22">
        <v>4.5</v>
      </c>
      <c r="M2507" s="22" t="s">
        <v>12488</v>
      </c>
      <c r="N2507" s="20" t="s">
        <v>9420</v>
      </c>
      <c r="O2507" s="16" t="s">
        <v>12608</v>
      </c>
      <c r="P2507" s="143">
        <v>753</v>
      </c>
      <c r="Q2507" s="122" t="s">
        <v>14461</v>
      </c>
      <c r="R2507" s="16" t="s">
        <v>8904</v>
      </c>
      <c r="S2507" s="10" t="s">
        <v>1163</v>
      </c>
      <c r="T2507" s="28" t="s">
        <v>11514</v>
      </c>
      <c r="U2507" s="20" t="s">
        <v>5359</v>
      </c>
      <c r="V2507" s="16" t="s">
        <v>2486</v>
      </c>
      <c r="W2507" s="11" t="s">
        <v>14283</v>
      </c>
      <c r="X2507" s="174">
        <v>166.2</v>
      </c>
      <c r="Y2507" s="174">
        <v>223.04</v>
      </c>
    </row>
    <row r="2508" spans="1:25" ht="15" customHeight="1" x14ac:dyDescent="0.25">
      <c r="A2508" s="20" t="s">
        <v>2488</v>
      </c>
      <c r="B2508" s="14" t="s">
        <v>2489</v>
      </c>
      <c r="C2508" s="71" t="str">
        <f t="shared" si="55"/>
        <v>Product Info</v>
      </c>
      <c r="D2508" s="37" t="s">
        <v>4813</v>
      </c>
      <c r="E2508" s="143">
        <v>1</v>
      </c>
      <c r="F2508" s="12" t="s">
        <v>2170</v>
      </c>
      <c r="G2508" s="38">
        <v>333.13</v>
      </c>
      <c r="H2508" s="38">
        <v>283.17</v>
      </c>
      <c r="I2508" s="38">
        <v>233.19</v>
      </c>
      <c r="J2508" s="39">
        <v>24</v>
      </c>
      <c r="K2508" s="143"/>
      <c r="L2508" s="22">
        <v>4.5</v>
      </c>
      <c r="M2508" s="22" t="s">
        <v>12488</v>
      </c>
      <c r="N2508" s="20" t="s">
        <v>9420</v>
      </c>
      <c r="O2508" s="16" t="s">
        <v>12608</v>
      </c>
      <c r="P2508" s="143">
        <v>753</v>
      </c>
      <c r="Q2508" s="122" t="s">
        <v>14461</v>
      </c>
      <c r="R2508" s="16" t="s">
        <v>8904</v>
      </c>
      <c r="S2508" s="10" t="s">
        <v>1163</v>
      </c>
      <c r="T2508" s="28" t="s">
        <v>11515</v>
      </c>
      <c r="U2508" s="20" t="s">
        <v>5359</v>
      </c>
      <c r="V2508" s="16" t="s">
        <v>2488</v>
      </c>
      <c r="W2508" s="11" t="s">
        <v>14283</v>
      </c>
      <c r="X2508" s="174">
        <v>211.02</v>
      </c>
      <c r="Y2508" s="174">
        <v>283.17</v>
      </c>
    </row>
    <row r="2509" spans="1:25" ht="15" customHeight="1" x14ac:dyDescent="0.25">
      <c r="A2509" s="20" t="s">
        <v>2490</v>
      </c>
      <c r="B2509" s="14" t="s">
        <v>2491</v>
      </c>
      <c r="C2509" s="71" t="str">
        <f t="shared" si="55"/>
        <v>Product Info</v>
      </c>
      <c r="D2509" s="37" t="s">
        <v>4814</v>
      </c>
      <c r="E2509" s="143">
        <v>1</v>
      </c>
      <c r="F2509" s="12" t="s">
        <v>2170</v>
      </c>
      <c r="G2509" s="38">
        <v>352.96</v>
      </c>
      <c r="H2509" s="38">
        <v>300.02</v>
      </c>
      <c r="I2509" s="38">
        <v>247.07</v>
      </c>
      <c r="J2509" s="39">
        <v>24</v>
      </c>
      <c r="K2509" s="143"/>
      <c r="L2509" s="22">
        <v>5</v>
      </c>
      <c r="M2509" s="22" t="s">
        <v>12488</v>
      </c>
      <c r="N2509" s="20" t="s">
        <v>9389</v>
      </c>
      <c r="O2509" s="16" t="s">
        <v>12608</v>
      </c>
      <c r="P2509" s="143">
        <v>753</v>
      </c>
      <c r="Q2509" s="122" t="s">
        <v>14461</v>
      </c>
      <c r="R2509" s="16" t="s">
        <v>8904</v>
      </c>
      <c r="S2509" s="10" t="s">
        <v>1163</v>
      </c>
      <c r="T2509" s="28" t="s">
        <v>11516</v>
      </c>
      <c r="U2509" s="20" t="s">
        <v>5359</v>
      </c>
      <c r="V2509" s="16" t="s">
        <v>2490</v>
      </c>
      <c r="W2509" s="11" t="s">
        <v>14283</v>
      </c>
      <c r="X2509" s="174">
        <v>223.56</v>
      </c>
      <c r="Y2509" s="174">
        <v>300.02</v>
      </c>
    </row>
    <row r="2510" spans="1:25" ht="15" customHeight="1" x14ac:dyDescent="0.25">
      <c r="A2510" s="20" t="s">
        <v>2492</v>
      </c>
      <c r="B2510" s="14" t="s">
        <v>2493</v>
      </c>
      <c r="C2510" s="71" t="str">
        <f t="shared" si="55"/>
        <v>Product Info</v>
      </c>
      <c r="D2510" s="37" t="s">
        <v>4815</v>
      </c>
      <c r="E2510" s="143">
        <v>1</v>
      </c>
      <c r="F2510" s="12" t="s">
        <v>2170</v>
      </c>
      <c r="G2510" s="38">
        <v>571.55999999999995</v>
      </c>
      <c r="H2510" s="38">
        <v>485.84</v>
      </c>
      <c r="I2510" s="38">
        <v>400.09</v>
      </c>
      <c r="J2510" s="39">
        <v>24</v>
      </c>
      <c r="K2510" s="143"/>
      <c r="L2510" s="22">
        <v>6</v>
      </c>
      <c r="M2510" s="22" t="s">
        <v>12488</v>
      </c>
      <c r="N2510" s="20" t="s">
        <v>9244</v>
      </c>
      <c r="O2510" s="16" t="s">
        <v>12608</v>
      </c>
      <c r="P2510" s="143">
        <v>753</v>
      </c>
      <c r="Q2510" s="121" t="s">
        <v>14285</v>
      </c>
      <c r="R2510" s="16" t="s">
        <v>8904</v>
      </c>
      <c r="S2510" s="10" t="s">
        <v>1163</v>
      </c>
      <c r="T2510" s="28" t="s">
        <v>11517</v>
      </c>
      <c r="U2510" s="20" t="s">
        <v>5359</v>
      </c>
      <c r="V2510" s="16" t="s">
        <v>2492</v>
      </c>
      <c r="W2510" s="11" t="s">
        <v>14283</v>
      </c>
      <c r="X2510" s="174">
        <v>362.04</v>
      </c>
      <c r="Y2510" s="174">
        <v>485.84</v>
      </c>
    </row>
    <row r="2511" spans="1:25" ht="15" customHeight="1" x14ac:dyDescent="0.25">
      <c r="A2511" s="20" t="s">
        <v>2494</v>
      </c>
      <c r="B2511" s="14" t="s">
        <v>2495</v>
      </c>
      <c r="C2511" s="71" t="str">
        <f t="shared" si="55"/>
        <v>Product Info</v>
      </c>
      <c r="D2511" s="37" t="s">
        <v>4816</v>
      </c>
      <c r="E2511" s="143">
        <v>1</v>
      </c>
      <c r="F2511" s="12" t="s">
        <v>2170</v>
      </c>
      <c r="G2511" s="38">
        <v>411.83</v>
      </c>
      <c r="H2511" s="38">
        <v>350.07</v>
      </c>
      <c r="I2511" s="38">
        <v>288.27999999999997</v>
      </c>
      <c r="J2511" s="39">
        <v>24</v>
      </c>
      <c r="K2511" s="143"/>
      <c r="L2511" s="22">
        <v>4</v>
      </c>
      <c r="M2511" s="22" t="s">
        <v>12488</v>
      </c>
      <c r="N2511" s="20" t="s">
        <v>9348</v>
      </c>
      <c r="O2511" s="16" t="s">
        <v>12608</v>
      </c>
      <c r="P2511" s="143">
        <v>753</v>
      </c>
      <c r="Q2511" s="121" t="s">
        <v>14285</v>
      </c>
      <c r="R2511" s="16" t="s">
        <v>8904</v>
      </c>
      <c r="S2511" s="10" t="s">
        <v>1163</v>
      </c>
      <c r="T2511" s="28" t="s">
        <v>11518</v>
      </c>
      <c r="U2511" s="20" t="s">
        <v>5359</v>
      </c>
      <c r="V2511" s="16" t="s">
        <v>2494</v>
      </c>
      <c r="W2511" s="11" t="s">
        <v>14283</v>
      </c>
      <c r="X2511" s="174">
        <v>260.86</v>
      </c>
      <c r="Y2511" s="174">
        <v>350.07</v>
      </c>
    </row>
    <row r="2512" spans="1:25" ht="15" customHeight="1" x14ac:dyDescent="0.25">
      <c r="A2512" s="20" t="s">
        <v>2496</v>
      </c>
      <c r="B2512" s="14" t="s">
        <v>2497</v>
      </c>
      <c r="C2512" s="71" t="str">
        <f t="shared" si="55"/>
        <v>Product Info</v>
      </c>
      <c r="D2512" s="37" t="s">
        <v>4817</v>
      </c>
      <c r="E2512" s="143">
        <v>1</v>
      </c>
      <c r="F2512" s="12" t="s">
        <v>2170</v>
      </c>
      <c r="G2512" s="38">
        <v>472.96</v>
      </c>
      <c r="H2512" s="38">
        <v>402.03</v>
      </c>
      <c r="I2512" s="38">
        <v>331.07</v>
      </c>
      <c r="J2512" s="39">
        <v>24</v>
      </c>
      <c r="K2512" s="143"/>
      <c r="L2512" s="22">
        <v>6</v>
      </c>
      <c r="M2512" s="22" t="s">
        <v>12488</v>
      </c>
      <c r="N2512" s="20" t="s">
        <v>9348</v>
      </c>
      <c r="O2512" s="16" t="s">
        <v>12608</v>
      </c>
      <c r="P2512" s="143">
        <v>753</v>
      </c>
      <c r="Q2512" s="121" t="s">
        <v>14285</v>
      </c>
      <c r="R2512" s="16" t="s">
        <v>8904</v>
      </c>
      <c r="S2512" s="10" t="s">
        <v>1163</v>
      </c>
      <c r="T2512" s="28" t="s">
        <v>11519</v>
      </c>
      <c r="U2512" s="20" t="s">
        <v>5359</v>
      </c>
      <c r="V2512" s="16" t="s">
        <v>2496</v>
      </c>
      <c r="W2512" s="11" t="s">
        <v>14283</v>
      </c>
      <c r="X2512" s="174">
        <v>299.58999999999997</v>
      </c>
      <c r="Y2512" s="174">
        <v>402.03</v>
      </c>
    </row>
    <row r="2513" spans="1:25" ht="15" customHeight="1" x14ac:dyDescent="0.25">
      <c r="A2513" s="20" t="s">
        <v>2498</v>
      </c>
      <c r="B2513" s="14" t="s">
        <v>2499</v>
      </c>
      <c r="C2513" s="71" t="str">
        <f t="shared" si="55"/>
        <v>Product Info</v>
      </c>
      <c r="D2513" s="37" t="s">
        <v>4818</v>
      </c>
      <c r="E2513" s="143">
        <v>1</v>
      </c>
      <c r="F2513" s="12" t="s">
        <v>2170</v>
      </c>
      <c r="G2513" s="38">
        <v>524.83000000000004</v>
      </c>
      <c r="H2513" s="38">
        <v>446.12</v>
      </c>
      <c r="I2513" s="38">
        <v>367.38</v>
      </c>
      <c r="J2513" s="39">
        <v>24</v>
      </c>
      <c r="K2513" s="143"/>
      <c r="L2513" s="22">
        <v>7</v>
      </c>
      <c r="M2513" s="22" t="s">
        <v>12488</v>
      </c>
      <c r="N2513" s="20" t="s">
        <v>9348</v>
      </c>
      <c r="O2513" s="16" t="s">
        <v>12608</v>
      </c>
      <c r="P2513" s="143">
        <v>753</v>
      </c>
      <c r="Q2513" s="121" t="s">
        <v>14285</v>
      </c>
      <c r="R2513" s="16" t="s">
        <v>8904</v>
      </c>
      <c r="S2513" s="10" t="s">
        <v>1163</v>
      </c>
      <c r="T2513" s="28" t="s">
        <v>11520</v>
      </c>
      <c r="U2513" s="20" t="s">
        <v>5359</v>
      </c>
      <c r="V2513" s="16" t="s">
        <v>2498</v>
      </c>
      <c r="W2513" s="11" t="s">
        <v>14283</v>
      </c>
      <c r="X2513" s="174">
        <v>332.44</v>
      </c>
      <c r="Y2513" s="174">
        <v>446.12</v>
      </c>
    </row>
    <row r="2514" spans="1:25" ht="15" customHeight="1" x14ac:dyDescent="0.25">
      <c r="A2514" s="20" t="s">
        <v>2500</v>
      </c>
      <c r="B2514" s="14" t="s">
        <v>4915</v>
      </c>
      <c r="C2514" s="71" t="str">
        <f t="shared" si="55"/>
        <v>Product Info</v>
      </c>
      <c r="D2514" s="37" t="s">
        <v>4819</v>
      </c>
      <c r="E2514" s="143">
        <v>1</v>
      </c>
      <c r="F2514" s="12" t="s">
        <v>2170</v>
      </c>
      <c r="G2514" s="38">
        <v>1135.8399999999999</v>
      </c>
      <c r="H2514" s="38">
        <v>965.5</v>
      </c>
      <c r="I2514" s="38">
        <v>795.09</v>
      </c>
      <c r="J2514" s="39">
        <v>24</v>
      </c>
      <c r="K2514" s="143"/>
      <c r="L2514" s="22">
        <v>7.5</v>
      </c>
      <c r="M2514" s="22" t="s">
        <v>12488</v>
      </c>
      <c r="N2514" s="20" t="s">
        <v>9420</v>
      </c>
      <c r="O2514" s="16" t="s">
        <v>12608</v>
      </c>
      <c r="P2514" s="143">
        <v>753</v>
      </c>
      <c r="Q2514" s="122" t="s">
        <v>9227</v>
      </c>
      <c r="R2514" s="16" t="s">
        <v>8904</v>
      </c>
      <c r="S2514" s="10" t="s">
        <v>1163</v>
      </c>
      <c r="T2514" s="28" t="s">
        <v>11521</v>
      </c>
      <c r="U2514" s="20" t="s">
        <v>5359</v>
      </c>
      <c r="V2514" s="16" t="s">
        <v>2500</v>
      </c>
      <c r="W2514" s="11" t="s">
        <v>14283</v>
      </c>
      <c r="X2514" s="174">
        <v>719.47</v>
      </c>
      <c r="Y2514" s="174">
        <v>965.5</v>
      </c>
    </row>
    <row r="2515" spans="1:25" ht="15" customHeight="1" x14ac:dyDescent="0.25">
      <c r="A2515" s="20" t="s">
        <v>4916</v>
      </c>
      <c r="B2515" s="14" t="s">
        <v>4917</v>
      </c>
      <c r="C2515" s="71" t="str">
        <f t="shared" si="55"/>
        <v>Product Info</v>
      </c>
      <c r="D2515" s="37" t="s">
        <v>4820</v>
      </c>
      <c r="E2515" s="143">
        <v>1</v>
      </c>
      <c r="F2515" s="12" t="s">
        <v>2170</v>
      </c>
      <c r="G2515" s="38">
        <v>1225</v>
      </c>
      <c r="H2515" s="38">
        <v>1041.29</v>
      </c>
      <c r="I2515" s="38">
        <v>857.5</v>
      </c>
      <c r="J2515" s="39">
        <v>24</v>
      </c>
      <c r="K2515" s="143"/>
      <c r="L2515" s="22">
        <v>9</v>
      </c>
      <c r="M2515" s="22" t="s">
        <v>12488</v>
      </c>
      <c r="N2515" s="20" t="s">
        <v>9389</v>
      </c>
      <c r="O2515" s="16" t="s">
        <v>12608</v>
      </c>
      <c r="P2515" s="143">
        <v>753</v>
      </c>
      <c r="Q2515" s="122" t="s">
        <v>12421</v>
      </c>
      <c r="R2515" s="16" t="s">
        <v>8904</v>
      </c>
      <c r="S2515" s="10" t="s">
        <v>1163</v>
      </c>
      <c r="T2515" s="28" t="s">
        <v>11522</v>
      </c>
      <c r="U2515" s="20" t="s">
        <v>5359</v>
      </c>
      <c r="V2515" s="16" t="s">
        <v>4916</v>
      </c>
      <c r="W2515" s="11" t="s">
        <v>14283</v>
      </c>
      <c r="X2515" s="174">
        <v>775.94</v>
      </c>
      <c r="Y2515" s="174">
        <v>1041.29</v>
      </c>
    </row>
    <row r="2516" spans="1:25" ht="15" customHeight="1" x14ac:dyDescent="0.25">
      <c r="A2516" s="20" t="s">
        <v>4918</v>
      </c>
      <c r="B2516" s="14" t="s">
        <v>4190</v>
      </c>
      <c r="C2516" s="71" t="str">
        <f t="shared" si="55"/>
        <v>Product Info</v>
      </c>
      <c r="D2516" s="37" t="s">
        <v>4821</v>
      </c>
      <c r="E2516" s="143">
        <v>1</v>
      </c>
      <c r="F2516" s="12" t="s">
        <v>2170</v>
      </c>
      <c r="G2516" s="38">
        <v>1501.93</v>
      </c>
      <c r="H2516" s="38">
        <v>1276.68</v>
      </c>
      <c r="I2516" s="38">
        <v>1051.3499999999999</v>
      </c>
      <c r="J2516" s="39">
        <v>24</v>
      </c>
      <c r="K2516" s="143"/>
      <c r="L2516" s="22">
        <v>10.225</v>
      </c>
      <c r="M2516" s="22" t="s">
        <v>12488</v>
      </c>
      <c r="N2516" s="20" t="s">
        <v>9421</v>
      </c>
      <c r="O2516" s="16" t="s">
        <v>12608</v>
      </c>
      <c r="P2516" s="143">
        <v>753</v>
      </c>
      <c r="Q2516" s="122" t="s">
        <v>12421</v>
      </c>
      <c r="R2516" s="16" t="s">
        <v>8904</v>
      </c>
      <c r="S2516" s="10" t="s">
        <v>1163</v>
      </c>
      <c r="T2516" s="28" t="s">
        <v>11523</v>
      </c>
      <c r="U2516" s="20" t="s">
        <v>5359</v>
      </c>
      <c r="V2516" s="16" t="s">
        <v>4918</v>
      </c>
      <c r="W2516" s="11" t="s">
        <v>14283</v>
      </c>
      <c r="X2516" s="174">
        <v>951.36</v>
      </c>
      <c r="Y2516" s="174">
        <v>1276.68</v>
      </c>
    </row>
    <row r="2517" spans="1:25" ht="15" customHeight="1" x14ac:dyDescent="0.25">
      <c r="A2517" s="20" t="s">
        <v>4191</v>
      </c>
      <c r="B2517" s="14" t="s">
        <v>4192</v>
      </c>
      <c r="C2517" s="71" t="str">
        <f t="shared" si="55"/>
        <v>Product Info</v>
      </c>
      <c r="D2517" s="37" t="s">
        <v>4822</v>
      </c>
      <c r="E2517" s="143">
        <v>1</v>
      </c>
      <c r="F2517" s="12" t="s">
        <v>2170</v>
      </c>
      <c r="G2517" s="38">
        <v>1778.56</v>
      </c>
      <c r="H2517" s="38">
        <v>1511.83</v>
      </c>
      <c r="I2517" s="38">
        <v>1244.99</v>
      </c>
      <c r="J2517" s="39">
        <v>24</v>
      </c>
      <c r="K2517" s="143"/>
      <c r="L2517" s="22">
        <v>11</v>
      </c>
      <c r="M2517" s="22" t="s">
        <v>12488</v>
      </c>
      <c r="N2517" s="20" t="s">
        <v>9351</v>
      </c>
      <c r="O2517" s="16" t="s">
        <v>12608</v>
      </c>
      <c r="P2517" s="143">
        <v>753</v>
      </c>
      <c r="Q2517" s="121" t="s">
        <v>14285</v>
      </c>
      <c r="R2517" s="16" t="s">
        <v>8904</v>
      </c>
      <c r="S2517" s="10" t="s">
        <v>1163</v>
      </c>
      <c r="T2517" s="28" t="s">
        <v>11524</v>
      </c>
      <c r="U2517" s="20" t="s">
        <v>5359</v>
      </c>
      <c r="V2517" s="16" t="s">
        <v>4191</v>
      </c>
      <c r="W2517" s="11" t="s">
        <v>14283</v>
      </c>
      <c r="X2517" s="174">
        <v>1126.58</v>
      </c>
      <c r="Y2517" s="174">
        <v>1511.83</v>
      </c>
    </row>
    <row r="2518" spans="1:25" ht="15" customHeight="1" x14ac:dyDescent="0.25">
      <c r="A2518" s="20" t="s">
        <v>4193</v>
      </c>
      <c r="B2518" s="14" t="s">
        <v>4194</v>
      </c>
      <c r="C2518" s="71" t="str">
        <f t="shared" si="55"/>
        <v>Product Info</v>
      </c>
      <c r="D2518" s="37" t="s">
        <v>4823</v>
      </c>
      <c r="E2518" s="143">
        <v>1</v>
      </c>
      <c r="F2518" s="12" t="s">
        <v>2170</v>
      </c>
      <c r="G2518" s="38">
        <v>1596.03</v>
      </c>
      <c r="H2518" s="38">
        <v>1356.67</v>
      </c>
      <c r="I2518" s="38">
        <v>1117.22</v>
      </c>
      <c r="J2518" s="39">
        <v>24</v>
      </c>
      <c r="K2518" s="143"/>
      <c r="L2518" s="22">
        <v>15</v>
      </c>
      <c r="M2518" s="22" t="s">
        <v>12488</v>
      </c>
      <c r="N2518" s="20" t="s">
        <v>9360</v>
      </c>
      <c r="O2518" s="16" t="s">
        <v>12608</v>
      </c>
      <c r="P2518" s="143">
        <v>753</v>
      </c>
      <c r="Q2518" s="121" t="s">
        <v>14285</v>
      </c>
      <c r="R2518" s="16" t="s">
        <v>8904</v>
      </c>
      <c r="S2518" s="10" t="s">
        <v>1163</v>
      </c>
      <c r="T2518" s="28" t="s">
        <v>11525</v>
      </c>
      <c r="U2518" s="20" t="s">
        <v>5359</v>
      </c>
      <c r="V2518" s="16" t="s">
        <v>4193</v>
      </c>
      <c r="W2518" s="11" t="s">
        <v>14283</v>
      </c>
      <c r="X2518" s="174">
        <v>1010.97</v>
      </c>
      <c r="Y2518" s="174">
        <v>1356.67</v>
      </c>
    </row>
    <row r="2519" spans="1:25" ht="15" customHeight="1" x14ac:dyDescent="0.25">
      <c r="A2519" s="20" t="s">
        <v>3634</v>
      </c>
      <c r="B2519" s="14" t="s">
        <v>3635</v>
      </c>
      <c r="C2519" s="71" t="str">
        <f t="shared" si="55"/>
        <v>Product Info</v>
      </c>
      <c r="D2519" s="37" t="s">
        <v>5511</v>
      </c>
      <c r="E2519" s="143">
        <v>1</v>
      </c>
      <c r="F2519" s="12" t="s">
        <v>4992</v>
      </c>
      <c r="G2519" s="38">
        <v>8218.84</v>
      </c>
      <c r="H2519" s="38">
        <v>6986.27</v>
      </c>
      <c r="I2519" s="38">
        <v>5753.19</v>
      </c>
      <c r="J2519" s="39"/>
      <c r="K2519" s="143"/>
      <c r="L2519" s="22">
        <v>0</v>
      </c>
      <c r="M2519" s="22">
        <v>0</v>
      </c>
      <c r="N2519" s="20" t="s">
        <v>14489</v>
      </c>
      <c r="O2519" s="16">
        <v>0</v>
      </c>
      <c r="P2519" s="143">
        <v>748</v>
      </c>
      <c r="Q2519" s="121" t="s">
        <v>14285</v>
      </c>
      <c r="R2519" s="16" t="s">
        <v>8904</v>
      </c>
      <c r="S2519" s="10" t="s">
        <v>1163</v>
      </c>
      <c r="T2519" s="28" t="s">
        <v>11526</v>
      </c>
      <c r="U2519" s="20" t="s">
        <v>5359</v>
      </c>
      <c r="V2519" s="16" t="s">
        <v>3634</v>
      </c>
      <c r="W2519" s="11" t="s">
        <v>14399</v>
      </c>
      <c r="X2519" s="174">
        <v>5361.02</v>
      </c>
      <c r="Y2519" s="174">
        <v>6986.27</v>
      </c>
    </row>
    <row r="2520" spans="1:25" ht="15" customHeight="1" x14ac:dyDescent="0.25">
      <c r="A2520" s="20" t="s">
        <v>8182</v>
      </c>
      <c r="B2520" s="14" t="s">
        <v>8183</v>
      </c>
      <c r="C2520" s="71" t="str">
        <f t="shared" si="55"/>
        <v>Product Info</v>
      </c>
      <c r="D2520" s="37" t="s">
        <v>8755</v>
      </c>
      <c r="E2520" s="143">
        <v>1</v>
      </c>
      <c r="F2520" s="12" t="s">
        <v>4992</v>
      </c>
      <c r="G2520" s="38">
        <v>604.79</v>
      </c>
      <c r="H2520" s="38">
        <v>514.09</v>
      </c>
      <c r="I2520" s="38">
        <v>423.35</v>
      </c>
      <c r="J2520" s="39"/>
      <c r="K2520" s="143"/>
      <c r="L2520" s="22">
        <v>0</v>
      </c>
      <c r="M2520" s="22">
        <v>0</v>
      </c>
      <c r="N2520" s="20" t="s">
        <v>14489</v>
      </c>
      <c r="O2520" s="16">
        <v>0</v>
      </c>
      <c r="P2520" s="143">
        <v>748</v>
      </c>
      <c r="Q2520" s="121" t="s">
        <v>14285</v>
      </c>
      <c r="R2520" s="16" t="s">
        <v>8904</v>
      </c>
      <c r="S2520" s="10" t="s">
        <v>1163</v>
      </c>
      <c r="T2520" s="28" t="s">
        <v>11527</v>
      </c>
      <c r="U2520" s="20" t="s">
        <v>5359</v>
      </c>
      <c r="V2520" s="16" t="s">
        <v>8182</v>
      </c>
      <c r="W2520" s="11" t="s">
        <v>14399</v>
      </c>
      <c r="X2520" s="174">
        <v>394.49</v>
      </c>
      <c r="Y2520" s="174">
        <v>514.09</v>
      </c>
    </row>
    <row r="2521" spans="1:25" ht="15" customHeight="1" x14ac:dyDescent="0.25">
      <c r="A2521" s="20" t="s">
        <v>8184</v>
      </c>
      <c r="B2521" s="14" t="s">
        <v>8185</v>
      </c>
      <c r="C2521" s="71" t="str">
        <f t="shared" si="55"/>
        <v>Product Info</v>
      </c>
      <c r="D2521" s="37" t="s">
        <v>8756</v>
      </c>
      <c r="E2521" s="143">
        <v>1</v>
      </c>
      <c r="F2521" s="12" t="s">
        <v>4992</v>
      </c>
      <c r="G2521" s="38">
        <v>124.04</v>
      </c>
      <c r="H2521" s="38">
        <v>105.44</v>
      </c>
      <c r="I2521" s="38">
        <v>86.83</v>
      </c>
      <c r="J2521" s="39"/>
      <c r="K2521" s="143"/>
      <c r="L2521" s="22">
        <v>0</v>
      </c>
      <c r="M2521" s="22">
        <v>0</v>
      </c>
      <c r="N2521" s="20" t="s">
        <v>14489</v>
      </c>
      <c r="O2521" s="16">
        <v>0</v>
      </c>
      <c r="P2521" s="143">
        <v>748</v>
      </c>
      <c r="Q2521" s="121" t="s">
        <v>14285</v>
      </c>
      <c r="R2521" s="16" t="s">
        <v>8904</v>
      </c>
      <c r="S2521" s="10" t="s">
        <v>1163</v>
      </c>
      <c r="T2521" s="28" t="s">
        <v>11528</v>
      </c>
      <c r="U2521" s="20" t="s">
        <v>5359</v>
      </c>
      <c r="V2521" s="16" t="s">
        <v>8184</v>
      </c>
      <c r="W2521" s="11" t="s">
        <v>14399</v>
      </c>
      <c r="X2521" s="174">
        <v>80.92</v>
      </c>
      <c r="Y2521" s="174">
        <v>105.44</v>
      </c>
    </row>
    <row r="2522" spans="1:25" ht="15" customHeight="1" x14ac:dyDescent="0.25">
      <c r="A2522" s="20" t="s">
        <v>3636</v>
      </c>
      <c r="B2522" s="14" t="s">
        <v>3637</v>
      </c>
      <c r="C2522" s="71" t="str">
        <f t="shared" si="55"/>
        <v>Product Info</v>
      </c>
      <c r="D2522" s="37" t="s">
        <v>4824</v>
      </c>
      <c r="E2522" s="143">
        <v>1</v>
      </c>
      <c r="F2522" s="12" t="s">
        <v>4992</v>
      </c>
      <c r="G2522" s="38">
        <v>2636.23</v>
      </c>
      <c r="H2522" s="38">
        <v>2240.87</v>
      </c>
      <c r="I2522" s="38">
        <v>1845.36</v>
      </c>
      <c r="J2522" s="39"/>
      <c r="K2522" s="143"/>
      <c r="L2522" s="22">
        <v>4.5999999999999996</v>
      </c>
      <c r="M2522" s="22" t="s">
        <v>12487</v>
      </c>
      <c r="N2522" s="20" t="s">
        <v>8843</v>
      </c>
      <c r="O2522" s="16" t="s">
        <v>12608</v>
      </c>
      <c r="P2522" s="143">
        <v>748</v>
      </c>
      <c r="Q2522" s="121" t="s">
        <v>14285</v>
      </c>
      <c r="R2522" s="16" t="s">
        <v>8904</v>
      </c>
      <c r="S2522" s="10" t="s">
        <v>1163</v>
      </c>
      <c r="T2522" s="28" t="s">
        <v>11529</v>
      </c>
      <c r="U2522" s="20" t="s">
        <v>5359</v>
      </c>
      <c r="V2522" s="16" t="s">
        <v>3636</v>
      </c>
      <c r="W2522" s="11" t="s">
        <v>14399</v>
      </c>
      <c r="X2522" s="174">
        <v>1719.57</v>
      </c>
      <c r="Y2522" s="174">
        <v>2240.87</v>
      </c>
    </row>
    <row r="2523" spans="1:25" ht="15" customHeight="1" x14ac:dyDescent="0.25">
      <c r="A2523" s="20" t="s">
        <v>8962</v>
      </c>
      <c r="B2523" s="14" t="s">
        <v>8963</v>
      </c>
      <c r="C2523" s="71" t="str">
        <f t="shared" si="55"/>
        <v>Product Info</v>
      </c>
      <c r="D2523" s="37" t="s">
        <v>8964</v>
      </c>
      <c r="E2523" s="143">
        <v>1</v>
      </c>
      <c r="F2523" s="12" t="s">
        <v>4992</v>
      </c>
      <c r="G2523" s="38">
        <v>5953.7</v>
      </c>
      <c r="H2523" s="38">
        <v>5060.83</v>
      </c>
      <c r="I2523" s="38">
        <v>4167.59</v>
      </c>
      <c r="J2523" s="39"/>
      <c r="K2523" s="143"/>
      <c r="L2523" s="22">
        <v>0</v>
      </c>
      <c r="M2523" s="22">
        <v>0</v>
      </c>
      <c r="N2523" s="20" t="s">
        <v>14489</v>
      </c>
      <c r="O2523" s="16" t="s">
        <v>13914</v>
      </c>
      <c r="P2523" s="143">
        <v>748</v>
      </c>
      <c r="Q2523" s="121" t="s">
        <v>14285</v>
      </c>
      <c r="R2523" s="16" t="s">
        <v>8904</v>
      </c>
      <c r="S2523" s="10" t="s">
        <v>1163</v>
      </c>
      <c r="T2523" s="28" t="s">
        <v>13135</v>
      </c>
      <c r="U2523" s="20" t="s">
        <v>5359</v>
      </c>
      <c r="V2523" s="16" t="s">
        <v>8962</v>
      </c>
      <c r="W2523" s="11" t="s">
        <v>14399</v>
      </c>
      <c r="X2523" s="174">
        <v>4167.59</v>
      </c>
      <c r="Y2523" s="174">
        <v>5060.83</v>
      </c>
    </row>
    <row r="2524" spans="1:25" ht="15" customHeight="1" x14ac:dyDescent="0.25">
      <c r="A2524" s="20" t="s">
        <v>3638</v>
      </c>
      <c r="B2524" s="14" t="s">
        <v>3639</v>
      </c>
      <c r="C2524" s="71" t="str">
        <f t="shared" si="55"/>
        <v>Product Info</v>
      </c>
      <c r="D2524" s="37" t="s">
        <v>4825</v>
      </c>
      <c r="E2524" s="143">
        <v>1</v>
      </c>
      <c r="F2524" s="12" t="s">
        <v>4992</v>
      </c>
      <c r="G2524" s="38">
        <v>4031.89</v>
      </c>
      <c r="H2524" s="38">
        <v>3427.23</v>
      </c>
      <c r="I2524" s="38">
        <v>2822.32</v>
      </c>
      <c r="J2524" s="39"/>
      <c r="K2524" s="143"/>
      <c r="L2524" s="22">
        <v>6.4</v>
      </c>
      <c r="M2524" s="22" t="s">
        <v>12487</v>
      </c>
      <c r="N2524" s="20" t="s">
        <v>14489</v>
      </c>
      <c r="O2524" s="16" t="s">
        <v>12608</v>
      </c>
      <c r="P2524" s="143">
        <v>748</v>
      </c>
      <c r="Q2524" s="121" t="s">
        <v>14285</v>
      </c>
      <c r="R2524" s="16" t="s">
        <v>8904</v>
      </c>
      <c r="S2524" s="10" t="s">
        <v>1163</v>
      </c>
      <c r="T2524" s="28" t="s">
        <v>11530</v>
      </c>
      <c r="U2524" s="20" t="s">
        <v>5359</v>
      </c>
      <c r="V2524" s="16" t="s">
        <v>3638</v>
      </c>
      <c r="W2524" s="11" t="s">
        <v>14399</v>
      </c>
      <c r="X2524" s="174">
        <v>2629.94</v>
      </c>
      <c r="Y2524" s="174">
        <v>3427.23</v>
      </c>
    </row>
    <row r="2525" spans="1:25" ht="15" customHeight="1" x14ac:dyDescent="0.25">
      <c r="A2525" s="20" t="s">
        <v>3640</v>
      </c>
      <c r="B2525" s="14" t="s">
        <v>3641</v>
      </c>
      <c r="C2525" s="71" t="str">
        <f t="shared" si="55"/>
        <v>Product Info</v>
      </c>
      <c r="D2525" s="37" t="s">
        <v>4826</v>
      </c>
      <c r="E2525" s="143">
        <v>3</v>
      </c>
      <c r="F2525" s="12" t="s">
        <v>2170</v>
      </c>
      <c r="G2525" s="38">
        <v>115.44</v>
      </c>
      <c r="H2525" s="38">
        <v>98.13</v>
      </c>
      <c r="I2525" s="38">
        <v>80.81</v>
      </c>
      <c r="J2525" s="39"/>
      <c r="K2525" s="143"/>
      <c r="L2525" s="22">
        <v>1.86</v>
      </c>
      <c r="M2525" s="22" t="s">
        <v>12488</v>
      </c>
      <c r="N2525" s="20" t="s">
        <v>9422</v>
      </c>
      <c r="O2525" s="16" t="s">
        <v>12608</v>
      </c>
      <c r="P2525" s="143">
        <v>760</v>
      </c>
      <c r="Q2525" s="122" t="s">
        <v>12421</v>
      </c>
      <c r="R2525" s="16" t="s">
        <v>8904</v>
      </c>
      <c r="S2525" s="10" t="s">
        <v>1163</v>
      </c>
      <c r="T2525" s="28" t="s">
        <v>11531</v>
      </c>
      <c r="U2525" s="20" t="s">
        <v>5359</v>
      </c>
      <c r="V2525" s="16" t="s">
        <v>3640</v>
      </c>
      <c r="W2525" s="20" t="s">
        <v>14432</v>
      </c>
      <c r="X2525" s="174">
        <v>74.569999999999993</v>
      </c>
      <c r="Y2525" s="174">
        <v>98.13</v>
      </c>
    </row>
    <row r="2526" spans="1:25" ht="15" customHeight="1" x14ac:dyDescent="0.25">
      <c r="A2526" s="20" t="s">
        <v>4180</v>
      </c>
      <c r="B2526" s="14" t="s">
        <v>4181</v>
      </c>
      <c r="C2526" s="71" t="str">
        <f t="shared" si="55"/>
        <v>Product Info</v>
      </c>
      <c r="D2526" s="37" t="s">
        <v>4827</v>
      </c>
      <c r="E2526" s="143">
        <v>1</v>
      </c>
      <c r="F2526" s="12" t="s">
        <v>2170</v>
      </c>
      <c r="G2526" s="38">
        <v>2104.39</v>
      </c>
      <c r="H2526" s="38">
        <v>1788.79</v>
      </c>
      <c r="I2526" s="38">
        <v>1473.07</v>
      </c>
      <c r="J2526" s="39"/>
      <c r="K2526" s="143"/>
      <c r="L2526" s="22">
        <v>35</v>
      </c>
      <c r="M2526" s="22" t="s">
        <v>12488</v>
      </c>
      <c r="N2526" s="20" t="s">
        <v>9423</v>
      </c>
      <c r="O2526" s="16" t="s">
        <v>12608</v>
      </c>
      <c r="P2526" s="143">
        <v>760</v>
      </c>
      <c r="Q2526" s="122" t="s">
        <v>9227</v>
      </c>
      <c r="R2526" s="16" t="s">
        <v>8904</v>
      </c>
      <c r="S2526" s="10" t="s">
        <v>1163</v>
      </c>
      <c r="T2526" s="28" t="s">
        <v>11532</v>
      </c>
      <c r="U2526" s="20" t="s">
        <v>5359</v>
      </c>
      <c r="V2526" s="16" t="s">
        <v>4180</v>
      </c>
      <c r="W2526" s="20" t="s">
        <v>14432</v>
      </c>
      <c r="X2526" s="174">
        <v>1359.24</v>
      </c>
      <c r="Y2526" s="174">
        <v>1788.79</v>
      </c>
    </row>
    <row r="2527" spans="1:25" ht="15" customHeight="1" x14ac:dyDescent="0.25">
      <c r="A2527" s="20" t="s">
        <v>4182</v>
      </c>
      <c r="B2527" s="14" t="s">
        <v>4183</v>
      </c>
      <c r="C2527" s="71" t="str">
        <f t="shared" si="55"/>
        <v>Product Info</v>
      </c>
      <c r="D2527" s="37" t="s">
        <v>4828</v>
      </c>
      <c r="E2527" s="143">
        <v>12</v>
      </c>
      <c r="F2527" s="12" t="s">
        <v>2170</v>
      </c>
      <c r="G2527" s="38">
        <v>15.8</v>
      </c>
      <c r="H2527" s="38">
        <v>13.43</v>
      </c>
      <c r="I2527" s="38">
        <v>11.06</v>
      </c>
      <c r="J2527" s="39"/>
      <c r="K2527" s="143"/>
      <c r="L2527" s="22">
        <v>2.0499999999999998</v>
      </c>
      <c r="M2527" s="22" t="s">
        <v>12488</v>
      </c>
      <c r="N2527" s="20" t="s">
        <v>9424</v>
      </c>
      <c r="O2527" s="16" t="s">
        <v>12608</v>
      </c>
      <c r="P2527" s="143">
        <v>760</v>
      </c>
      <c r="Q2527" s="121" t="s">
        <v>14285</v>
      </c>
      <c r="R2527" s="16" t="s">
        <v>8904</v>
      </c>
      <c r="S2527" s="10" t="s">
        <v>1163</v>
      </c>
      <c r="T2527" s="28" t="s">
        <v>11533</v>
      </c>
      <c r="U2527" s="20" t="s">
        <v>5359</v>
      </c>
      <c r="V2527" s="16" t="s">
        <v>4182</v>
      </c>
      <c r="W2527" s="20" t="s">
        <v>14432</v>
      </c>
      <c r="X2527" s="174">
        <v>10.199999999999999</v>
      </c>
      <c r="Y2527" s="174">
        <v>13.43</v>
      </c>
    </row>
    <row r="2528" spans="1:25" ht="15" customHeight="1" x14ac:dyDescent="0.25">
      <c r="A2528" s="20" t="s">
        <v>4184</v>
      </c>
      <c r="B2528" s="14" t="s">
        <v>4185</v>
      </c>
      <c r="C2528" s="71" t="str">
        <f t="shared" si="55"/>
        <v>Product Info</v>
      </c>
      <c r="D2528" s="37" t="s">
        <v>3718</v>
      </c>
      <c r="E2528" s="143">
        <v>25</v>
      </c>
      <c r="F2528" s="12" t="s">
        <v>2170</v>
      </c>
      <c r="G2528" s="38">
        <v>6.71</v>
      </c>
      <c r="H2528" s="38">
        <v>5.71</v>
      </c>
      <c r="I2528" s="38">
        <v>4.7</v>
      </c>
      <c r="J2528" s="39"/>
      <c r="K2528" s="143"/>
      <c r="L2528" s="22">
        <v>0.14879999999999999</v>
      </c>
      <c r="M2528" s="22" t="s">
        <v>12488</v>
      </c>
      <c r="N2528" s="20" t="s">
        <v>9358</v>
      </c>
      <c r="O2528" s="16" t="s">
        <v>12608</v>
      </c>
      <c r="P2528" s="143">
        <v>760</v>
      </c>
      <c r="Q2528" s="121" t="s">
        <v>14285</v>
      </c>
      <c r="R2528" s="16" t="s">
        <v>8904</v>
      </c>
      <c r="S2528" s="10" t="s">
        <v>1163</v>
      </c>
      <c r="T2528" s="28" t="s">
        <v>11534</v>
      </c>
      <c r="U2528" s="20" t="s">
        <v>5359</v>
      </c>
      <c r="V2528" s="16" t="s">
        <v>4184</v>
      </c>
      <c r="W2528" s="20" t="s">
        <v>14432</v>
      </c>
      <c r="X2528" s="174">
        <v>4.34</v>
      </c>
      <c r="Y2528" s="174">
        <v>5.71</v>
      </c>
    </row>
    <row r="2529" spans="1:25" ht="15" customHeight="1" x14ac:dyDescent="0.25">
      <c r="A2529" s="20" t="s">
        <v>4186</v>
      </c>
      <c r="B2529" s="14" t="s">
        <v>4187</v>
      </c>
      <c r="C2529" s="71" t="str">
        <f t="shared" si="55"/>
        <v>Product Info</v>
      </c>
      <c r="D2529" s="37" t="s">
        <v>3719</v>
      </c>
      <c r="E2529" s="143">
        <v>12</v>
      </c>
      <c r="F2529" s="12" t="s">
        <v>2170</v>
      </c>
      <c r="G2529" s="38">
        <v>45.07</v>
      </c>
      <c r="H2529" s="38">
        <v>38.31</v>
      </c>
      <c r="I2529" s="38">
        <v>31.55</v>
      </c>
      <c r="J2529" s="39"/>
      <c r="K2529" s="143"/>
      <c r="L2529" s="22">
        <v>10</v>
      </c>
      <c r="M2529" s="22" t="s">
        <v>12488</v>
      </c>
      <c r="N2529" s="20" t="s">
        <v>9425</v>
      </c>
      <c r="O2529" s="16" t="s">
        <v>12608</v>
      </c>
      <c r="P2529" s="143">
        <v>760</v>
      </c>
      <c r="Q2529" s="121" t="s">
        <v>14285</v>
      </c>
      <c r="R2529" s="16" t="s">
        <v>8904</v>
      </c>
      <c r="S2529" s="10" t="s">
        <v>1163</v>
      </c>
      <c r="T2529" s="28" t="s">
        <v>11535</v>
      </c>
      <c r="U2529" s="20" t="s">
        <v>5359</v>
      </c>
      <c r="V2529" s="16" t="s">
        <v>4186</v>
      </c>
      <c r="W2529" s="20" t="s">
        <v>14432</v>
      </c>
      <c r="X2529" s="174">
        <v>29.11</v>
      </c>
      <c r="Y2529" s="174">
        <v>38.31</v>
      </c>
    </row>
    <row r="2530" spans="1:25" ht="15" customHeight="1" x14ac:dyDescent="0.25">
      <c r="A2530" s="20" t="s">
        <v>4188</v>
      </c>
      <c r="B2530" s="14" t="s">
        <v>4189</v>
      </c>
      <c r="C2530" s="71" t="str">
        <f t="shared" si="55"/>
        <v>Product Info</v>
      </c>
      <c r="D2530" s="37" t="s">
        <v>3720</v>
      </c>
      <c r="E2530" s="143">
        <v>1</v>
      </c>
      <c r="F2530" s="12" t="s">
        <v>2170</v>
      </c>
      <c r="G2530" s="38">
        <v>305.19</v>
      </c>
      <c r="H2530" s="38">
        <v>259.42</v>
      </c>
      <c r="I2530" s="38">
        <v>213.63</v>
      </c>
      <c r="J2530" s="39">
        <v>25</v>
      </c>
      <c r="K2530" s="143"/>
      <c r="L2530" s="22">
        <v>4</v>
      </c>
      <c r="M2530" s="22" t="s">
        <v>12488</v>
      </c>
      <c r="N2530" s="20" t="s">
        <v>9345</v>
      </c>
      <c r="O2530" s="16" t="s">
        <v>12608</v>
      </c>
      <c r="P2530" s="143">
        <v>752</v>
      </c>
      <c r="Q2530" s="121" t="s">
        <v>14285</v>
      </c>
      <c r="R2530" s="16" t="s">
        <v>8904</v>
      </c>
      <c r="S2530" s="10" t="s">
        <v>1163</v>
      </c>
      <c r="T2530" s="28" t="s">
        <v>11536</v>
      </c>
      <c r="U2530" s="20" t="s">
        <v>5359</v>
      </c>
      <c r="V2530" s="16" t="s">
        <v>4188</v>
      </c>
      <c r="W2530" s="11" t="s">
        <v>14283</v>
      </c>
      <c r="X2530" s="174">
        <v>193.32</v>
      </c>
      <c r="Y2530" s="174">
        <v>259.42</v>
      </c>
    </row>
    <row r="2531" spans="1:25" ht="15" customHeight="1" x14ac:dyDescent="0.25">
      <c r="A2531" s="20" t="s">
        <v>3511</v>
      </c>
      <c r="B2531" s="14" t="s">
        <v>3512</v>
      </c>
      <c r="C2531" s="71" t="str">
        <f t="shared" si="55"/>
        <v>Product Info</v>
      </c>
      <c r="D2531" s="37" t="s">
        <v>3721</v>
      </c>
      <c r="E2531" s="143">
        <v>1</v>
      </c>
      <c r="F2531" s="12" t="s">
        <v>2170</v>
      </c>
      <c r="G2531" s="38">
        <v>332.69</v>
      </c>
      <c r="H2531" s="38">
        <v>282.79000000000002</v>
      </c>
      <c r="I2531" s="38">
        <v>232.88</v>
      </c>
      <c r="J2531" s="39">
        <v>25</v>
      </c>
      <c r="K2531" s="12" t="s">
        <v>8905</v>
      </c>
      <c r="L2531" s="22">
        <v>4</v>
      </c>
      <c r="M2531" s="22" t="s">
        <v>12488</v>
      </c>
      <c r="N2531" s="20" t="s">
        <v>9426</v>
      </c>
      <c r="O2531" s="16" t="s">
        <v>13914</v>
      </c>
      <c r="P2531" s="143">
        <v>752</v>
      </c>
      <c r="Q2531" s="122" t="s">
        <v>14461</v>
      </c>
      <c r="R2531" s="16" t="s">
        <v>8904</v>
      </c>
      <c r="S2531" s="10" t="s">
        <v>1163</v>
      </c>
      <c r="T2531" s="28" t="s">
        <v>11537</v>
      </c>
      <c r="U2531" s="20" t="s">
        <v>5359</v>
      </c>
      <c r="V2531" s="16" t="s">
        <v>3511</v>
      </c>
      <c r="W2531" s="11" t="s">
        <v>14283</v>
      </c>
      <c r="X2531" s="174">
        <v>210.73</v>
      </c>
      <c r="Y2531" s="174">
        <v>282.79000000000002</v>
      </c>
    </row>
    <row r="2532" spans="1:25" ht="15" customHeight="1" x14ac:dyDescent="0.25">
      <c r="A2532" s="20" t="s">
        <v>3513</v>
      </c>
      <c r="B2532" s="14" t="s">
        <v>3514</v>
      </c>
      <c r="C2532" s="71" t="str">
        <f t="shared" si="55"/>
        <v>Product Info</v>
      </c>
      <c r="D2532" s="37" t="s">
        <v>3722</v>
      </c>
      <c r="E2532" s="143">
        <v>1</v>
      </c>
      <c r="F2532" s="12" t="s">
        <v>2170</v>
      </c>
      <c r="G2532" s="38">
        <v>480.46</v>
      </c>
      <c r="H2532" s="38">
        <v>408.4</v>
      </c>
      <c r="I2532" s="38">
        <v>336.32</v>
      </c>
      <c r="J2532" s="39">
        <v>25</v>
      </c>
      <c r="K2532" s="143"/>
      <c r="L2532" s="22">
        <v>7</v>
      </c>
      <c r="M2532" s="22" t="s">
        <v>12488</v>
      </c>
      <c r="N2532" s="20" t="s">
        <v>9321</v>
      </c>
      <c r="O2532" s="16" t="s">
        <v>12608</v>
      </c>
      <c r="P2532" s="143">
        <v>752</v>
      </c>
      <c r="Q2532" s="121" t="s">
        <v>14285</v>
      </c>
      <c r="R2532" s="16" t="s">
        <v>8904</v>
      </c>
      <c r="S2532" s="10" t="s">
        <v>1163</v>
      </c>
      <c r="T2532" s="28" t="s">
        <v>11538</v>
      </c>
      <c r="U2532" s="20" t="s">
        <v>5359</v>
      </c>
      <c r="V2532" s="16" t="s">
        <v>3513</v>
      </c>
      <c r="W2532" s="11" t="s">
        <v>14283</v>
      </c>
      <c r="X2532" s="174">
        <v>304.33</v>
      </c>
      <c r="Y2532" s="174">
        <v>408.4</v>
      </c>
    </row>
    <row r="2533" spans="1:25" ht="15" customHeight="1" x14ac:dyDescent="0.25">
      <c r="A2533" s="20" t="s">
        <v>6749</v>
      </c>
      <c r="B2533" s="14" t="s">
        <v>6750</v>
      </c>
      <c r="C2533" s="71" t="str">
        <f t="shared" si="55"/>
        <v>Product Info</v>
      </c>
      <c r="D2533" s="37" t="s">
        <v>6912</v>
      </c>
      <c r="E2533" s="143">
        <v>1</v>
      </c>
      <c r="F2533" s="12" t="s">
        <v>2170</v>
      </c>
      <c r="G2533" s="38">
        <v>421.66</v>
      </c>
      <c r="H2533" s="38">
        <v>358.42</v>
      </c>
      <c r="I2533" s="38">
        <v>295.16000000000003</v>
      </c>
      <c r="J2533" s="39">
        <v>25</v>
      </c>
      <c r="K2533" s="143"/>
      <c r="L2533" s="22">
        <v>5.8</v>
      </c>
      <c r="M2533" s="22" t="s">
        <v>12488</v>
      </c>
      <c r="N2533" s="20" t="s">
        <v>9345</v>
      </c>
      <c r="O2533" s="16" t="s">
        <v>12608</v>
      </c>
      <c r="P2533" s="143">
        <v>752</v>
      </c>
      <c r="Q2533" s="121" t="s">
        <v>14285</v>
      </c>
      <c r="R2533" s="16" t="s">
        <v>8904</v>
      </c>
      <c r="S2533" s="10" t="s">
        <v>1163</v>
      </c>
      <c r="T2533" s="28" t="s">
        <v>11539</v>
      </c>
      <c r="U2533" s="20" t="s">
        <v>5359</v>
      </c>
      <c r="V2533" s="16" t="s">
        <v>6749</v>
      </c>
      <c r="W2533" s="11" t="s">
        <v>14283</v>
      </c>
      <c r="X2533" s="174">
        <v>267.08</v>
      </c>
      <c r="Y2533" s="174">
        <v>358.42</v>
      </c>
    </row>
    <row r="2534" spans="1:25" ht="15" customHeight="1" x14ac:dyDescent="0.25">
      <c r="A2534" s="20" t="s">
        <v>6751</v>
      </c>
      <c r="B2534" s="14" t="s">
        <v>6752</v>
      </c>
      <c r="C2534" s="71" t="str">
        <f t="shared" si="55"/>
        <v>Product Info</v>
      </c>
      <c r="D2534" s="37" t="s">
        <v>8924</v>
      </c>
      <c r="E2534" s="143">
        <v>1</v>
      </c>
      <c r="F2534" s="12" t="s">
        <v>2170</v>
      </c>
      <c r="G2534" s="38">
        <v>272.56</v>
      </c>
      <c r="H2534" s="38">
        <v>231.68</v>
      </c>
      <c r="I2534" s="38">
        <v>190.79</v>
      </c>
      <c r="J2534" s="39">
        <v>25</v>
      </c>
      <c r="K2534" s="12" t="s">
        <v>8905</v>
      </c>
      <c r="L2534" s="22">
        <v>3.15</v>
      </c>
      <c r="M2534" s="22" t="s">
        <v>12488</v>
      </c>
      <c r="N2534" s="20" t="s">
        <v>9427</v>
      </c>
      <c r="O2534" s="16" t="s">
        <v>13914</v>
      </c>
      <c r="P2534" s="143">
        <v>752</v>
      </c>
      <c r="Q2534" s="122" t="s">
        <v>14461</v>
      </c>
      <c r="R2534" s="16" t="s">
        <v>8904</v>
      </c>
      <c r="S2534" s="10" t="s">
        <v>1163</v>
      </c>
      <c r="T2534" s="28" t="s">
        <v>11540</v>
      </c>
      <c r="U2534" s="20" t="s">
        <v>5359</v>
      </c>
      <c r="V2534" s="16" t="s">
        <v>6751</v>
      </c>
      <c r="W2534" s="11" t="s">
        <v>14283</v>
      </c>
      <c r="X2534" s="174">
        <v>171.71</v>
      </c>
      <c r="Y2534" s="174">
        <v>231.68</v>
      </c>
    </row>
    <row r="2535" spans="1:25" ht="15" customHeight="1" x14ac:dyDescent="0.25">
      <c r="A2535" s="20" t="s">
        <v>6753</v>
      </c>
      <c r="B2535" s="14" t="s">
        <v>6754</v>
      </c>
      <c r="C2535" s="71" t="str">
        <f t="shared" si="55"/>
        <v>Product Info</v>
      </c>
      <c r="D2535" s="37" t="s">
        <v>6913</v>
      </c>
      <c r="E2535" s="143">
        <v>1</v>
      </c>
      <c r="F2535" s="12" t="s">
        <v>2170</v>
      </c>
      <c r="G2535" s="38">
        <v>238.27</v>
      </c>
      <c r="H2535" s="38">
        <v>202.54</v>
      </c>
      <c r="I2535" s="38">
        <v>166.79</v>
      </c>
      <c r="J2535" s="39">
        <v>25</v>
      </c>
      <c r="K2535" s="143"/>
      <c r="L2535" s="22">
        <v>4</v>
      </c>
      <c r="M2535" s="22" t="s">
        <v>12488</v>
      </c>
      <c r="N2535" s="20" t="s">
        <v>9428</v>
      </c>
      <c r="O2535" s="16" t="s">
        <v>12608</v>
      </c>
      <c r="P2535" s="143">
        <v>752</v>
      </c>
      <c r="Q2535" s="122" t="s">
        <v>14461</v>
      </c>
      <c r="R2535" s="16" t="s">
        <v>8904</v>
      </c>
      <c r="S2535" s="10" t="s">
        <v>1163</v>
      </c>
      <c r="T2535" s="28" t="s">
        <v>11541</v>
      </c>
      <c r="U2535" s="20" t="s">
        <v>5359</v>
      </c>
      <c r="V2535" s="16" t="s">
        <v>6753</v>
      </c>
      <c r="W2535" s="11" t="s">
        <v>14283</v>
      </c>
      <c r="X2535" s="174">
        <v>150.91999999999999</v>
      </c>
      <c r="Y2535" s="174">
        <v>202.54</v>
      </c>
    </row>
    <row r="2536" spans="1:25" ht="15" customHeight="1" x14ac:dyDescent="0.25">
      <c r="A2536" s="20" t="s">
        <v>6755</v>
      </c>
      <c r="B2536" s="14" t="s">
        <v>6756</v>
      </c>
      <c r="C2536" s="71" t="str">
        <f t="shared" si="55"/>
        <v>Product Info</v>
      </c>
      <c r="D2536" s="37" t="s">
        <v>8925</v>
      </c>
      <c r="E2536" s="143">
        <v>1</v>
      </c>
      <c r="F2536" s="12" t="s">
        <v>2170</v>
      </c>
      <c r="G2536" s="38">
        <v>375.56</v>
      </c>
      <c r="H2536" s="38">
        <v>319.23</v>
      </c>
      <c r="I2536" s="38">
        <v>262.89</v>
      </c>
      <c r="J2536" s="39">
        <v>25</v>
      </c>
      <c r="K2536" s="12" t="s">
        <v>8905</v>
      </c>
      <c r="L2536" s="22">
        <v>3.4550000000000001</v>
      </c>
      <c r="M2536" s="22" t="s">
        <v>12488</v>
      </c>
      <c r="N2536" s="20" t="s">
        <v>9429</v>
      </c>
      <c r="O2536" s="16" t="s">
        <v>12608</v>
      </c>
      <c r="P2536" s="143">
        <v>752</v>
      </c>
      <c r="Q2536" s="122" t="s">
        <v>14461</v>
      </c>
      <c r="R2536" s="16" t="s">
        <v>8904</v>
      </c>
      <c r="S2536" s="10" t="s">
        <v>1163</v>
      </c>
      <c r="T2536" s="28" t="s">
        <v>11542</v>
      </c>
      <c r="U2536" s="20" t="s">
        <v>5359</v>
      </c>
      <c r="V2536" s="16" t="s">
        <v>6755</v>
      </c>
      <c r="W2536" s="11" t="s">
        <v>14283</v>
      </c>
      <c r="X2536" s="174">
        <v>237.89</v>
      </c>
      <c r="Y2536" s="174">
        <v>319.23</v>
      </c>
    </row>
    <row r="2537" spans="1:25" ht="15" customHeight="1" x14ac:dyDescent="0.25">
      <c r="A2537" s="20" t="s">
        <v>6757</v>
      </c>
      <c r="B2537" s="14" t="s">
        <v>6758</v>
      </c>
      <c r="C2537" s="71" t="str">
        <f t="shared" si="55"/>
        <v>Product Info</v>
      </c>
      <c r="D2537" s="37" t="s">
        <v>6914</v>
      </c>
      <c r="E2537" s="143">
        <v>1</v>
      </c>
      <c r="F2537" s="12" t="s">
        <v>2170</v>
      </c>
      <c r="G2537" s="38">
        <v>397.96</v>
      </c>
      <c r="H2537" s="38">
        <v>338.28</v>
      </c>
      <c r="I2537" s="38">
        <v>278.57</v>
      </c>
      <c r="J2537" s="39">
        <v>25</v>
      </c>
      <c r="K2537" s="143"/>
      <c r="L2537" s="22">
        <v>4</v>
      </c>
      <c r="M2537" s="22" t="s">
        <v>12488</v>
      </c>
      <c r="N2537" s="20" t="s">
        <v>9428</v>
      </c>
      <c r="O2537" s="16" t="s">
        <v>12608</v>
      </c>
      <c r="P2537" s="143">
        <v>752</v>
      </c>
      <c r="Q2537" s="122" t="s">
        <v>12421</v>
      </c>
      <c r="R2537" s="16" t="s">
        <v>8904</v>
      </c>
      <c r="S2537" s="10" t="s">
        <v>1163</v>
      </c>
      <c r="T2537" s="28" t="s">
        <v>11543</v>
      </c>
      <c r="U2537" s="20" t="s">
        <v>5359</v>
      </c>
      <c r="V2537" s="16" t="s">
        <v>6757</v>
      </c>
      <c r="W2537" s="11" t="s">
        <v>14283</v>
      </c>
      <c r="X2537" s="174">
        <v>252.08</v>
      </c>
      <c r="Y2537" s="174">
        <v>338.28</v>
      </c>
    </row>
    <row r="2538" spans="1:25" ht="15" customHeight="1" x14ac:dyDescent="0.25">
      <c r="A2538" s="20" t="s">
        <v>6759</v>
      </c>
      <c r="B2538" s="14" t="s">
        <v>6760</v>
      </c>
      <c r="C2538" s="71" t="str">
        <f t="shared" si="55"/>
        <v>Product Info</v>
      </c>
      <c r="D2538" s="37" t="s">
        <v>8926</v>
      </c>
      <c r="E2538" s="143">
        <v>1</v>
      </c>
      <c r="F2538" s="12" t="s">
        <v>2170</v>
      </c>
      <c r="G2538" s="38">
        <v>452.21</v>
      </c>
      <c r="H2538" s="38">
        <v>384.4</v>
      </c>
      <c r="I2538" s="38">
        <v>316.55</v>
      </c>
      <c r="J2538" s="39">
        <v>25</v>
      </c>
      <c r="K2538" s="12" t="s">
        <v>8905</v>
      </c>
      <c r="L2538" s="22">
        <v>4.5199999999999996</v>
      </c>
      <c r="M2538" s="22" t="s">
        <v>12488</v>
      </c>
      <c r="N2538" s="20" t="s">
        <v>9430</v>
      </c>
      <c r="O2538" s="16" t="s">
        <v>13914</v>
      </c>
      <c r="P2538" s="143">
        <v>752</v>
      </c>
      <c r="Q2538" s="122" t="s">
        <v>14461</v>
      </c>
      <c r="R2538" s="16" t="s">
        <v>8904</v>
      </c>
      <c r="S2538" s="10" t="s">
        <v>1163</v>
      </c>
      <c r="T2538" s="28" t="s">
        <v>11544</v>
      </c>
      <c r="U2538" s="20" t="s">
        <v>5359</v>
      </c>
      <c r="V2538" s="16" t="s">
        <v>6759</v>
      </c>
      <c r="W2538" s="11" t="s">
        <v>14283</v>
      </c>
      <c r="X2538" s="174">
        <v>286.44</v>
      </c>
      <c r="Y2538" s="174">
        <v>384.4</v>
      </c>
    </row>
    <row r="2539" spans="1:25" ht="15" customHeight="1" x14ac:dyDescent="0.25">
      <c r="A2539" s="20" t="s">
        <v>6761</v>
      </c>
      <c r="B2539" s="14" t="s">
        <v>6762</v>
      </c>
      <c r="C2539" s="71" t="str">
        <f t="shared" si="55"/>
        <v>Product Info</v>
      </c>
      <c r="D2539" s="37" t="s">
        <v>6915</v>
      </c>
      <c r="E2539" s="143">
        <v>1</v>
      </c>
      <c r="F2539" s="12" t="s">
        <v>2170</v>
      </c>
      <c r="G2539" s="38">
        <v>446.74</v>
      </c>
      <c r="H2539" s="38">
        <v>379.74</v>
      </c>
      <c r="I2539" s="38">
        <v>312.72000000000003</v>
      </c>
      <c r="J2539" s="39">
        <v>25</v>
      </c>
      <c r="K2539" s="143"/>
      <c r="L2539" s="22">
        <v>5</v>
      </c>
      <c r="M2539" s="22" t="s">
        <v>12488</v>
      </c>
      <c r="N2539" s="20" t="s">
        <v>9344</v>
      </c>
      <c r="O2539" s="16" t="s">
        <v>12608</v>
      </c>
      <c r="P2539" s="143">
        <v>752</v>
      </c>
      <c r="Q2539" s="122" t="s">
        <v>14461</v>
      </c>
      <c r="R2539" s="16" t="s">
        <v>8904</v>
      </c>
      <c r="S2539" s="10" t="s">
        <v>1163</v>
      </c>
      <c r="T2539" s="28" t="s">
        <v>11545</v>
      </c>
      <c r="U2539" s="20" t="s">
        <v>5359</v>
      </c>
      <c r="V2539" s="16" t="s">
        <v>6761</v>
      </c>
      <c r="W2539" s="11" t="s">
        <v>14283</v>
      </c>
      <c r="X2539" s="174">
        <v>282.98</v>
      </c>
      <c r="Y2539" s="174">
        <v>379.74</v>
      </c>
    </row>
    <row r="2540" spans="1:25" ht="15" customHeight="1" x14ac:dyDescent="0.25">
      <c r="A2540" s="20" t="s">
        <v>12615</v>
      </c>
      <c r="B2540" s="16" t="s">
        <v>12616</v>
      </c>
      <c r="C2540" s="71" t="str">
        <f t="shared" si="55"/>
        <v>Product Info</v>
      </c>
      <c r="D2540" s="37" t="s">
        <v>12914</v>
      </c>
      <c r="E2540" s="143">
        <v>1</v>
      </c>
      <c r="F2540" s="12" t="s">
        <v>2170</v>
      </c>
      <c r="G2540" s="38">
        <v>569.55999999999995</v>
      </c>
      <c r="H2540" s="38">
        <v>484.14</v>
      </c>
      <c r="I2540" s="38">
        <v>398.69</v>
      </c>
      <c r="J2540" s="39">
        <v>25</v>
      </c>
      <c r="K2540" s="143"/>
      <c r="L2540" s="22">
        <v>5.5</v>
      </c>
      <c r="M2540" s="22" t="s">
        <v>12488</v>
      </c>
      <c r="N2540" s="20" t="s">
        <v>9316</v>
      </c>
      <c r="O2540" s="16" t="s">
        <v>12608</v>
      </c>
      <c r="P2540" s="143">
        <v>752</v>
      </c>
      <c r="Q2540" s="122" t="s">
        <v>12421</v>
      </c>
      <c r="R2540" s="16" t="s">
        <v>8904</v>
      </c>
      <c r="S2540" s="10" t="s">
        <v>1163</v>
      </c>
      <c r="T2540" s="28" t="s">
        <v>12925</v>
      </c>
      <c r="U2540" s="20" t="s">
        <v>5359</v>
      </c>
      <c r="V2540" s="16" t="s">
        <v>12615</v>
      </c>
      <c r="W2540" s="11" t="s">
        <v>14283</v>
      </c>
      <c r="X2540" s="174">
        <v>360.78</v>
      </c>
      <c r="Y2540" s="174">
        <v>484.14</v>
      </c>
    </row>
    <row r="2541" spans="1:25" ht="15" customHeight="1" x14ac:dyDescent="0.25">
      <c r="A2541" s="20" t="s">
        <v>6763</v>
      </c>
      <c r="B2541" s="14" t="s">
        <v>6764</v>
      </c>
      <c r="C2541" s="71" t="str">
        <f t="shared" si="55"/>
        <v>Product Info</v>
      </c>
      <c r="D2541" s="37" t="s">
        <v>6916</v>
      </c>
      <c r="E2541" s="143">
        <v>1</v>
      </c>
      <c r="F2541" s="12" t="s">
        <v>2170</v>
      </c>
      <c r="G2541" s="38">
        <v>525.4</v>
      </c>
      <c r="H2541" s="38">
        <v>446.61</v>
      </c>
      <c r="I2541" s="38">
        <v>367.78</v>
      </c>
      <c r="J2541" s="39">
        <v>25</v>
      </c>
      <c r="K2541" s="143"/>
      <c r="L2541" s="22">
        <v>7</v>
      </c>
      <c r="M2541" s="22" t="s">
        <v>12488</v>
      </c>
      <c r="N2541" s="20" t="s">
        <v>9329</v>
      </c>
      <c r="O2541" s="16" t="s">
        <v>12608</v>
      </c>
      <c r="P2541" s="143">
        <v>752</v>
      </c>
      <c r="Q2541" s="122" t="s">
        <v>12421</v>
      </c>
      <c r="R2541" s="16" t="s">
        <v>8904</v>
      </c>
      <c r="S2541" s="10" t="s">
        <v>1163</v>
      </c>
      <c r="T2541" s="28" t="s">
        <v>11546</v>
      </c>
      <c r="U2541" s="20" t="s">
        <v>5359</v>
      </c>
      <c r="V2541" s="16" t="s">
        <v>6763</v>
      </c>
      <c r="W2541" s="11" t="s">
        <v>14283</v>
      </c>
      <c r="X2541" s="174">
        <v>332.8</v>
      </c>
      <c r="Y2541" s="174">
        <v>446.61</v>
      </c>
    </row>
    <row r="2542" spans="1:25" ht="15" customHeight="1" x14ac:dyDescent="0.25">
      <c r="A2542" s="20" t="s">
        <v>6765</v>
      </c>
      <c r="B2542" s="14" t="s">
        <v>6766</v>
      </c>
      <c r="C2542" s="71" t="str">
        <f t="shared" si="55"/>
        <v>Product Info</v>
      </c>
      <c r="D2542" s="37" t="s">
        <v>6917</v>
      </c>
      <c r="E2542" s="143">
        <v>1</v>
      </c>
      <c r="F2542" s="12" t="s">
        <v>2170</v>
      </c>
      <c r="G2542" s="38">
        <v>927.19</v>
      </c>
      <c r="H2542" s="38">
        <v>788.14</v>
      </c>
      <c r="I2542" s="38">
        <v>649.03</v>
      </c>
      <c r="J2542" s="39">
        <v>25</v>
      </c>
      <c r="K2542" s="143"/>
      <c r="L2542" s="22">
        <v>6.5</v>
      </c>
      <c r="M2542" s="22" t="s">
        <v>12488</v>
      </c>
      <c r="N2542" s="20" t="s">
        <v>9431</v>
      </c>
      <c r="O2542" s="16" t="s">
        <v>12608</v>
      </c>
      <c r="P2542" s="143">
        <v>752</v>
      </c>
      <c r="Q2542" s="122" t="s">
        <v>12421</v>
      </c>
      <c r="R2542" s="16" t="s">
        <v>8904</v>
      </c>
      <c r="S2542" s="10" t="s">
        <v>1163</v>
      </c>
      <c r="T2542" s="28" t="s">
        <v>11547</v>
      </c>
      <c r="U2542" s="20" t="s">
        <v>5359</v>
      </c>
      <c r="V2542" s="16" t="s">
        <v>6765</v>
      </c>
      <c r="W2542" s="11" t="s">
        <v>14283</v>
      </c>
      <c r="X2542" s="174">
        <v>587.30999999999995</v>
      </c>
      <c r="Y2542" s="174">
        <v>788.14</v>
      </c>
    </row>
    <row r="2543" spans="1:25" ht="15" customHeight="1" x14ac:dyDescent="0.25">
      <c r="A2543" s="20" t="s">
        <v>6767</v>
      </c>
      <c r="B2543" s="14" t="s">
        <v>6768</v>
      </c>
      <c r="C2543" s="71" t="str">
        <f t="shared" si="55"/>
        <v>Product Info</v>
      </c>
      <c r="D2543" s="37" t="s">
        <v>6918</v>
      </c>
      <c r="E2543" s="143">
        <v>1</v>
      </c>
      <c r="F2543" s="12" t="s">
        <v>2170</v>
      </c>
      <c r="G2543" s="38">
        <v>969.21</v>
      </c>
      <c r="H2543" s="38">
        <v>823.86</v>
      </c>
      <c r="I2543" s="38">
        <v>678.45</v>
      </c>
      <c r="J2543" s="39">
        <v>25</v>
      </c>
      <c r="K2543" s="143"/>
      <c r="L2543" s="22">
        <v>7</v>
      </c>
      <c r="M2543" s="22" t="s">
        <v>12488</v>
      </c>
      <c r="N2543" s="20" t="s">
        <v>9350</v>
      </c>
      <c r="O2543" s="16" t="s">
        <v>12608</v>
      </c>
      <c r="P2543" s="143">
        <v>752</v>
      </c>
      <c r="Q2543" s="122" t="s">
        <v>12421</v>
      </c>
      <c r="R2543" s="16" t="s">
        <v>8904</v>
      </c>
      <c r="S2543" s="10" t="s">
        <v>1163</v>
      </c>
      <c r="T2543" s="28" t="s">
        <v>11548</v>
      </c>
      <c r="U2543" s="20" t="s">
        <v>5359</v>
      </c>
      <c r="V2543" s="16" t="s">
        <v>6767</v>
      </c>
      <c r="W2543" s="11" t="s">
        <v>14283</v>
      </c>
      <c r="X2543" s="174">
        <v>613.91999999999996</v>
      </c>
      <c r="Y2543" s="174">
        <v>823.86</v>
      </c>
    </row>
    <row r="2544" spans="1:25" ht="15" customHeight="1" x14ac:dyDescent="0.25">
      <c r="A2544" s="20" t="s">
        <v>4775</v>
      </c>
      <c r="B2544" s="14" t="s">
        <v>4776</v>
      </c>
      <c r="C2544" s="71" t="str">
        <f t="shared" si="55"/>
        <v>Product Info</v>
      </c>
      <c r="D2544" s="37" t="s">
        <v>2816</v>
      </c>
      <c r="E2544" s="143">
        <v>1</v>
      </c>
      <c r="F2544" s="12" t="s">
        <v>2170</v>
      </c>
      <c r="G2544" s="38">
        <v>455.64</v>
      </c>
      <c r="H2544" s="38">
        <v>387.31</v>
      </c>
      <c r="I2544" s="38">
        <v>318.95</v>
      </c>
      <c r="J2544" s="39">
        <v>25</v>
      </c>
      <c r="K2544" s="143"/>
      <c r="L2544" s="22">
        <v>4.4349999999999996</v>
      </c>
      <c r="M2544" s="22" t="s">
        <v>12488</v>
      </c>
      <c r="N2544" s="20" t="s">
        <v>9426</v>
      </c>
      <c r="O2544" s="16" t="s">
        <v>13914</v>
      </c>
      <c r="P2544" s="143">
        <v>752</v>
      </c>
      <c r="Q2544" s="122" t="s">
        <v>14461</v>
      </c>
      <c r="R2544" s="16" t="s">
        <v>8904</v>
      </c>
      <c r="S2544" s="10" t="s">
        <v>1163</v>
      </c>
      <c r="T2544" s="28" t="s">
        <v>11549</v>
      </c>
      <c r="U2544" s="20" t="s">
        <v>5359</v>
      </c>
      <c r="V2544" s="16" t="s">
        <v>4775</v>
      </c>
      <c r="W2544" s="11" t="s">
        <v>14283</v>
      </c>
      <c r="X2544" s="174">
        <v>288.61</v>
      </c>
      <c r="Y2544" s="174">
        <v>387.31</v>
      </c>
    </row>
    <row r="2545" spans="1:25" ht="15" customHeight="1" x14ac:dyDescent="0.25">
      <c r="A2545" s="20" t="s">
        <v>4242</v>
      </c>
      <c r="B2545" s="14" t="s">
        <v>4243</v>
      </c>
      <c r="C2545" s="71" t="str">
        <f t="shared" si="55"/>
        <v>Product Info</v>
      </c>
      <c r="D2545" s="37" t="s">
        <v>6919</v>
      </c>
      <c r="E2545" s="143">
        <v>1</v>
      </c>
      <c r="F2545" s="12" t="s">
        <v>2170</v>
      </c>
      <c r="G2545" s="38">
        <v>564.99</v>
      </c>
      <c r="H2545" s="38">
        <v>480.26</v>
      </c>
      <c r="I2545" s="38">
        <v>395.49</v>
      </c>
      <c r="J2545" s="39">
        <v>25</v>
      </c>
      <c r="K2545" s="143"/>
      <c r="L2545" s="22">
        <v>4.7</v>
      </c>
      <c r="M2545" s="22" t="s">
        <v>12488</v>
      </c>
      <c r="N2545" s="20" t="s">
        <v>9345</v>
      </c>
      <c r="O2545" s="16" t="s">
        <v>12608</v>
      </c>
      <c r="P2545" s="143">
        <v>752</v>
      </c>
      <c r="Q2545" s="122" t="s">
        <v>14461</v>
      </c>
      <c r="R2545" s="16" t="s">
        <v>8904</v>
      </c>
      <c r="S2545" s="10" t="s">
        <v>1163</v>
      </c>
      <c r="T2545" s="28" t="s">
        <v>11550</v>
      </c>
      <c r="U2545" s="20" t="s">
        <v>5359</v>
      </c>
      <c r="V2545" s="16" t="s">
        <v>4242</v>
      </c>
      <c r="W2545" s="11" t="s">
        <v>14283</v>
      </c>
      <c r="X2545" s="174">
        <v>357.88</v>
      </c>
      <c r="Y2545" s="174">
        <v>480.26</v>
      </c>
    </row>
    <row r="2546" spans="1:25" ht="15" customHeight="1" x14ac:dyDescent="0.25">
      <c r="A2546" s="20" t="s">
        <v>2719</v>
      </c>
      <c r="B2546" s="14" t="s">
        <v>2720</v>
      </c>
      <c r="C2546" s="71" t="str">
        <f t="shared" si="55"/>
        <v>Product Info</v>
      </c>
      <c r="D2546" s="37" t="s">
        <v>6920</v>
      </c>
      <c r="E2546" s="143">
        <v>1</v>
      </c>
      <c r="F2546" s="12" t="s">
        <v>2170</v>
      </c>
      <c r="G2546" s="38">
        <v>634.71</v>
      </c>
      <c r="H2546" s="38">
        <v>539.53</v>
      </c>
      <c r="I2546" s="38">
        <v>444.3</v>
      </c>
      <c r="J2546" s="39">
        <v>25</v>
      </c>
      <c r="K2546" s="143"/>
      <c r="L2546" s="22">
        <v>6.4249999999999998</v>
      </c>
      <c r="M2546" s="22" t="s">
        <v>12488</v>
      </c>
      <c r="N2546" s="20" t="s">
        <v>9432</v>
      </c>
      <c r="O2546" s="16" t="s">
        <v>12608</v>
      </c>
      <c r="P2546" s="143">
        <v>752</v>
      </c>
      <c r="Q2546" s="122" t="s">
        <v>14461</v>
      </c>
      <c r="R2546" s="16" t="s">
        <v>8904</v>
      </c>
      <c r="S2546" s="10" t="s">
        <v>1163</v>
      </c>
      <c r="T2546" s="28" t="s">
        <v>11551</v>
      </c>
      <c r="U2546" s="20" t="s">
        <v>5359</v>
      </c>
      <c r="V2546" s="16" t="s">
        <v>2719</v>
      </c>
      <c r="W2546" s="11" t="s">
        <v>14283</v>
      </c>
      <c r="X2546" s="174">
        <v>402.05</v>
      </c>
      <c r="Y2546" s="174">
        <v>539.53</v>
      </c>
    </row>
    <row r="2547" spans="1:25" ht="15" customHeight="1" x14ac:dyDescent="0.25">
      <c r="A2547" s="20" t="s">
        <v>2721</v>
      </c>
      <c r="B2547" s="14" t="s">
        <v>2722</v>
      </c>
      <c r="C2547" s="71" t="str">
        <f t="shared" si="55"/>
        <v>Product Info</v>
      </c>
      <c r="D2547" s="37" t="s">
        <v>6774</v>
      </c>
      <c r="E2547" s="143">
        <v>1</v>
      </c>
      <c r="F2547" s="12" t="s">
        <v>2170</v>
      </c>
      <c r="G2547" s="38">
        <v>761.94</v>
      </c>
      <c r="H2547" s="38">
        <v>647.66999999999996</v>
      </c>
      <c r="I2547" s="38">
        <v>533.36</v>
      </c>
      <c r="J2547" s="39">
        <v>25</v>
      </c>
      <c r="K2547" s="143"/>
      <c r="L2547" s="22">
        <v>7.94</v>
      </c>
      <c r="M2547" s="22" t="s">
        <v>12488</v>
      </c>
      <c r="N2547" s="20" t="s">
        <v>9433</v>
      </c>
      <c r="O2547" s="16" t="s">
        <v>12608</v>
      </c>
      <c r="P2547" s="143">
        <v>752</v>
      </c>
      <c r="Q2547" s="122" t="s">
        <v>12421</v>
      </c>
      <c r="R2547" s="16" t="s">
        <v>8904</v>
      </c>
      <c r="S2547" s="10" t="s">
        <v>1163</v>
      </c>
      <c r="T2547" s="28" t="s">
        <v>14473</v>
      </c>
      <c r="U2547" s="20" t="s">
        <v>5359</v>
      </c>
      <c r="V2547" s="16" t="s">
        <v>2721</v>
      </c>
      <c r="W2547" s="11" t="s">
        <v>14283</v>
      </c>
      <c r="X2547" s="174">
        <v>482.64</v>
      </c>
      <c r="Y2547" s="174">
        <v>647.66999999999996</v>
      </c>
    </row>
    <row r="2548" spans="1:25" ht="15" customHeight="1" x14ac:dyDescent="0.25">
      <c r="A2548" s="20" t="s">
        <v>2723</v>
      </c>
      <c r="B2548" s="14" t="s">
        <v>848</v>
      </c>
      <c r="C2548" s="71" t="str">
        <f t="shared" si="55"/>
        <v>Product Info</v>
      </c>
      <c r="D2548" s="37" t="s">
        <v>6775</v>
      </c>
      <c r="E2548" s="143">
        <v>1</v>
      </c>
      <c r="F2548" s="12" t="s">
        <v>2170</v>
      </c>
      <c r="G2548" s="38">
        <v>1064.67</v>
      </c>
      <c r="H2548" s="38">
        <v>904.97</v>
      </c>
      <c r="I2548" s="38">
        <v>745.27</v>
      </c>
      <c r="J2548" s="39">
        <v>25</v>
      </c>
      <c r="K2548" s="143"/>
      <c r="L2548" s="22">
        <v>1</v>
      </c>
      <c r="M2548" s="22">
        <v>0</v>
      </c>
      <c r="N2548" s="20" t="s">
        <v>14489</v>
      </c>
      <c r="O2548" s="16">
        <v>0</v>
      </c>
      <c r="P2548" s="143">
        <v>752</v>
      </c>
      <c r="Q2548" s="121" t="s">
        <v>14285</v>
      </c>
      <c r="R2548" s="16" t="s">
        <v>8904</v>
      </c>
      <c r="S2548" s="10" t="s">
        <v>1163</v>
      </c>
      <c r="T2548" s="28" t="s">
        <v>11552</v>
      </c>
      <c r="U2548" s="20" t="s">
        <v>5359</v>
      </c>
      <c r="V2548" s="16" t="s">
        <v>2723</v>
      </c>
      <c r="W2548" s="11" t="s">
        <v>14283</v>
      </c>
      <c r="X2548" s="174">
        <v>670.74</v>
      </c>
      <c r="Y2548" s="174">
        <v>904.97</v>
      </c>
    </row>
    <row r="2549" spans="1:25" ht="15" customHeight="1" x14ac:dyDescent="0.25">
      <c r="A2549" s="20" t="s">
        <v>2724</v>
      </c>
      <c r="B2549" s="14" t="s">
        <v>2725</v>
      </c>
      <c r="C2549" s="71" t="str">
        <f t="shared" si="55"/>
        <v>Product Info</v>
      </c>
      <c r="D2549" s="37" t="s">
        <v>2843</v>
      </c>
      <c r="E2549" s="143">
        <v>1</v>
      </c>
      <c r="F2549" s="12" t="s">
        <v>2170</v>
      </c>
      <c r="G2549" s="38">
        <v>269.29000000000002</v>
      </c>
      <c r="H2549" s="38">
        <v>228.9</v>
      </c>
      <c r="I2549" s="38">
        <v>188.5</v>
      </c>
      <c r="J2549" s="39">
        <v>25</v>
      </c>
      <c r="K2549" s="143"/>
      <c r="L2549" s="22">
        <v>5.5</v>
      </c>
      <c r="M2549" s="22" t="s">
        <v>12488</v>
      </c>
      <c r="N2549" s="20" t="s">
        <v>9345</v>
      </c>
      <c r="O2549" s="16" t="s">
        <v>12608</v>
      </c>
      <c r="P2549" s="143">
        <v>752</v>
      </c>
      <c r="Q2549" s="122" t="s">
        <v>12421</v>
      </c>
      <c r="R2549" s="16" t="s">
        <v>8904</v>
      </c>
      <c r="S2549" s="10" t="s">
        <v>1163</v>
      </c>
      <c r="T2549" s="28" t="s">
        <v>11553</v>
      </c>
      <c r="U2549" s="20" t="s">
        <v>5359</v>
      </c>
      <c r="V2549" s="16" t="s">
        <v>2724</v>
      </c>
      <c r="W2549" s="11" t="s">
        <v>14283</v>
      </c>
      <c r="X2549" s="174">
        <v>170.57</v>
      </c>
      <c r="Y2549" s="174">
        <v>228.9</v>
      </c>
    </row>
    <row r="2550" spans="1:25" ht="15" customHeight="1" x14ac:dyDescent="0.25">
      <c r="A2550" s="20" t="s">
        <v>2726</v>
      </c>
      <c r="B2550" s="14" t="s">
        <v>2727</v>
      </c>
      <c r="C2550" s="71" t="str">
        <f t="shared" si="55"/>
        <v>Product Info</v>
      </c>
      <c r="D2550" s="37" t="s">
        <v>2844</v>
      </c>
      <c r="E2550" s="143">
        <v>1</v>
      </c>
      <c r="F2550" s="12" t="s">
        <v>2170</v>
      </c>
      <c r="G2550" s="38">
        <v>338.54</v>
      </c>
      <c r="H2550" s="38">
        <v>287.77</v>
      </c>
      <c r="I2550" s="38">
        <v>236.98</v>
      </c>
      <c r="J2550" s="39">
        <v>25</v>
      </c>
      <c r="K2550" s="143"/>
      <c r="L2550" s="22">
        <v>7.3</v>
      </c>
      <c r="M2550" s="22" t="s">
        <v>12488</v>
      </c>
      <c r="N2550" s="20" t="s">
        <v>9316</v>
      </c>
      <c r="O2550" s="16" t="s">
        <v>12608</v>
      </c>
      <c r="P2550" s="143">
        <v>752</v>
      </c>
      <c r="Q2550" s="121" t="s">
        <v>14285</v>
      </c>
      <c r="R2550" s="16" t="s">
        <v>8904</v>
      </c>
      <c r="S2550" s="10" t="s">
        <v>1163</v>
      </c>
      <c r="T2550" s="28" t="s">
        <v>11554</v>
      </c>
      <c r="U2550" s="20" t="s">
        <v>5359</v>
      </c>
      <c r="V2550" s="16" t="s">
        <v>2726</v>
      </c>
      <c r="W2550" s="11" t="s">
        <v>14283</v>
      </c>
      <c r="X2550" s="174">
        <v>214.44</v>
      </c>
      <c r="Y2550" s="174">
        <v>287.77</v>
      </c>
    </row>
    <row r="2551" spans="1:25" ht="15" customHeight="1" x14ac:dyDescent="0.25">
      <c r="A2551" s="20" t="s">
        <v>2728</v>
      </c>
      <c r="B2551" s="14" t="s">
        <v>2729</v>
      </c>
      <c r="C2551" s="71" t="str">
        <f t="shared" si="55"/>
        <v>Product Info</v>
      </c>
      <c r="D2551" s="37" t="s">
        <v>2845</v>
      </c>
      <c r="E2551" s="143">
        <v>1</v>
      </c>
      <c r="F2551" s="12" t="s">
        <v>2170</v>
      </c>
      <c r="G2551" s="38">
        <v>464.03</v>
      </c>
      <c r="H2551" s="38">
        <v>394.44</v>
      </c>
      <c r="I2551" s="38">
        <v>324.82</v>
      </c>
      <c r="J2551" s="39">
        <v>25</v>
      </c>
      <c r="K2551" s="143"/>
      <c r="L2551" s="22">
        <v>8.6999999999999993</v>
      </c>
      <c r="M2551" s="22" t="s">
        <v>12488</v>
      </c>
      <c r="N2551" s="20" t="s">
        <v>9316</v>
      </c>
      <c r="O2551" s="16" t="s">
        <v>12608</v>
      </c>
      <c r="P2551" s="143">
        <v>752</v>
      </c>
      <c r="Q2551" s="122" t="s">
        <v>12421</v>
      </c>
      <c r="R2551" s="16" t="s">
        <v>8904</v>
      </c>
      <c r="S2551" s="10" t="s">
        <v>1163</v>
      </c>
      <c r="T2551" s="28" t="s">
        <v>11555</v>
      </c>
      <c r="U2551" s="20" t="s">
        <v>5359</v>
      </c>
      <c r="V2551" s="16" t="s">
        <v>2728</v>
      </c>
      <c r="W2551" s="11" t="s">
        <v>14283</v>
      </c>
      <c r="X2551" s="174">
        <v>293.92</v>
      </c>
      <c r="Y2551" s="174">
        <v>394.44</v>
      </c>
    </row>
    <row r="2552" spans="1:25" ht="15" customHeight="1" x14ac:dyDescent="0.25">
      <c r="A2552" s="20" t="s">
        <v>2730</v>
      </c>
      <c r="B2552" s="14" t="s">
        <v>2731</v>
      </c>
      <c r="C2552" s="71" t="str">
        <f t="shared" si="55"/>
        <v>Product Info</v>
      </c>
      <c r="D2552" s="37" t="s">
        <v>2846</v>
      </c>
      <c r="E2552" s="143">
        <v>1</v>
      </c>
      <c r="F2552" s="12" t="s">
        <v>2170</v>
      </c>
      <c r="G2552" s="38">
        <v>447.61</v>
      </c>
      <c r="H2552" s="38">
        <v>380.49</v>
      </c>
      <c r="I2552" s="38">
        <v>313.33</v>
      </c>
      <c r="J2552" s="39">
        <v>25</v>
      </c>
      <c r="K2552" s="12"/>
      <c r="L2552" s="22">
        <v>4.5</v>
      </c>
      <c r="M2552" s="22" t="s">
        <v>12488</v>
      </c>
      <c r="N2552" s="20" t="s">
        <v>9345</v>
      </c>
      <c r="O2552" s="16" t="s">
        <v>12608</v>
      </c>
      <c r="P2552" s="143">
        <v>752</v>
      </c>
      <c r="Q2552" s="122" t="s">
        <v>14461</v>
      </c>
      <c r="R2552" s="16" t="s">
        <v>8904</v>
      </c>
      <c r="S2552" s="10" t="s">
        <v>1163</v>
      </c>
      <c r="T2552" s="28" t="s">
        <v>11556</v>
      </c>
      <c r="U2552" s="20" t="s">
        <v>5359</v>
      </c>
      <c r="V2552" s="16" t="s">
        <v>2730</v>
      </c>
      <c r="W2552" s="11" t="s">
        <v>14283</v>
      </c>
      <c r="X2552" s="174">
        <v>283.52999999999997</v>
      </c>
      <c r="Y2552" s="174">
        <v>380.49</v>
      </c>
    </row>
    <row r="2553" spans="1:25" ht="15" customHeight="1" x14ac:dyDescent="0.25">
      <c r="A2553" s="20" t="s">
        <v>2732</v>
      </c>
      <c r="B2553" s="14" t="s">
        <v>2733</v>
      </c>
      <c r="C2553" s="71" t="str">
        <f t="shared" si="55"/>
        <v>Product Info</v>
      </c>
      <c r="D2553" s="37" t="s">
        <v>2847</v>
      </c>
      <c r="E2553" s="143">
        <v>0</v>
      </c>
      <c r="F2553" s="12" t="s">
        <v>2170</v>
      </c>
      <c r="G2553" s="38">
        <v>607.96</v>
      </c>
      <c r="H2553" s="38">
        <v>516.78</v>
      </c>
      <c r="I2553" s="38">
        <v>425.57</v>
      </c>
      <c r="J2553" s="39"/>
      <c r="K2553" s="143"/>
      <c r="L2553" s="22">
        <v>7.45</v>
      </c>
      <c r="M2553" s="22" t="s">
        <v>12488</v>
      </c>
      <c r="N2553" s="20" t="s">
        <v>9345</v>
      </c>
      <c r="O2553" s="16" t="s">
        <v>12608</v>
      </c>
      <c r="P2553" s="143">
        <v>752</v>
      </c>
      <c r="Q2553" s="121" t="s">
        <v>14285</v>
      </c>
      <c r="R2553" s="16" t="s">
        <v>8904</v>
      </c>
      <c r="S2553" s="10" t="s">
        <v>1163</v>
      </c>
      <c r="T2553" s="28" t="s">
        <v>11557</v>
      </c>
      <c r="U2553" s="20" t="s">
        <v>5359</v>
      </c>
      <c r="V2553" s="16" t="s">
        <v>2732</v>
      </c>
      <c r="W2553" s="11" t="s">
        <v>14283</v>
      </c>
      <c r="X2553" s="174">
        <v>385.09</v>
      </c>
      <c r="Y2553" s="174">
        <v>516.78</v>
      </c>
    </row>
    <row r="2554" spans="1:25" ht="15" customHeight="1" x14ac:dyDescent="0.25">
      <c r="A2554" s="20" t="s">
        <v>2734</v>
      </c>
      <c r="B2554" s="14" t="s">
        <v>3501</v>
      </c>
      <c r="C2554" s="71" t="str">
        <f t="shared" si="55"/>
        <v>Product Info</v>
      </c>
      <c r="D2554" s="37" t="s">
        <v>2848</v>
      </c>
      <c r="E2554" s="143">
        <v>1</v>
      </c>
      <c r="F2554" s="12" t="s">
        <v>2170</v>
      </c>
      <c r="G2554" s="38">
        <v>772.76</v>
      </c>
      <c r="H2554" s="38">
        <v>656.87</v>
      </c>
      <c r="I2554" s="38">
        <v>540.92999999999995</v>
      </c>
      <c r="J2554" s="39">
        <v>25</v>
      </c>
      <c r="K2554" s="143"/>
      <c r="L2554" s="22">
        <v>9</v>
      </c>
      <c r="M2554" s="22" t="s">
        <v>12488</v>
      </c>
      <c r="N2554" s="20" t="s">
        <v>9316</v>
      </c>
      <c r="O2554" s="16" t="s">
        <v>12608</v>
      </c>
      <c r="P2554" s="143">
        <v>752</v>
      </c>
      <c r="Q2554" s="121" t="s">
        <v>14285</v>
      </c>
      <c r="R2554" s="16" t="s">
        <v>8904</v>
      </c>
      <c r="S2554" s="10" t="s">
        <v>1163</v>
      </c>
      <c r="T2554" s="28" t="s">
        <v>11558</v>
      </c>
      <c r="U2554" s="20" t="s">
        <v>5359</v>
      </c>
      <c r="V2554" s="16" t="s">
        <v>2734</v>
      </c>
      <c r="W2554" s="11" t="s">
        <v>14283</v>
      </c>
      <c r="X2554" s="174">
        <v>489.48</v>
      </c>
      <c r="Y2554" s="174">
        <v>656.87</v>
      </c>
    </row>
    <row r="2555" spans="1:25" ht="15" customHeight="1" x14ac:dyDescent="0.25">
      <c r="A2555" s="20" t="s">
        <v>3502</v>
      </c>
      <c r="B2555" s="14" t="s">
        <v>3503</v>
      </c>
      <c r="C2555" s="71" t="str">
        <f t="shared" si="55"/>
        <v>Product Info</v>
      </c>
      <c r="D2555" s="37" t="s">
        <v>2849</v>
      </c>
      <c r="E2555" s="143">
        <v>1</v>
      </c>
      <c r="F2555" s="12" t="s">
        <v>2170</v>
      </c>
      <c r="G2555" s="38">
        <v>541.9</v>
      </c>
      <c r="H2555" s="38">
        <v>460.63</v>
      </c>
      <c r="I2555" s="38">
        <v>379.33</v>
      </c>
      <c r="J2555" s="39">
        <v>25</v>
      </c>
      <c r="K2555" s="143"/>
      <c r="L2555" s="22">
        <v>8.5</v>
      </c>
      <c r="M2555" s="22" t="s">
        <v>12488</v>
      </c>
      <c r="N2555" s="20" t="s">
        <v>9345</v>
      </c>
      <c r="O2555" s="16" t="s">
        <v>12608</v>
      </c>
      <c r="P2555" s="143">
        <v>752</v>
      </c>
      <c r="Q2555" s="121" t="s">
        <v>14285</v>
      </c>
      <c r="R2555" s="16" t="s">
        <v>8904</v>
      </c>
      <c r="S2555" s="10" t="s">
        <v>1163</v>
      </c>
      <c r="T2555" s="28" t="s">
        <v>11559</v>
      </c>
      <c r="U2555" s="20" t="s">
        <v>5359</v>
      </c>
      <c r="V2555" s="16" t="s">
        <v>3502</v>
      </c>
      <c r="W2555" s="11" t="s">
        <v>14283</v>
      </c>
      <c r="X2555" s="174">
        <v>343.25</v>
      </c>
      <c r="Y2555" s="174">
        <v>460.63</v>
      </c>
    </row>
    <row r="2556" spans="1:25" ht="15" customHeight="1" x14ac:dyDescent="0.25">
      <c r="A2556" s="20" t="s">
        <v>3504</v>
      </c>
      <c r="B2556" s="14" t="s">
        <v>3505</v>
      </c>
      <c r="C2556" s="71" t="str">
        <f t="shared" si="55"/>
        <v>Product Info</v>
      </c>
      <c r="D2556" s="37" t="s">
        <v>2850</v>
      </c>
      <c r="E2556" s="143">
        <v>1</v>
      </c>
      <c r="F2556" s="12" t="s">
        <v>2170</v>
      </c>
      <c r="G2556" s="38">
        <v>696.09</v>
      </c>
      <c r="H2556" s="38">
        <v>591.69000000000005</v>
      </c>
      <c r="I2556" s="38">
        <v>487.26</v>
      </c>
      <c r="J2556" s="39">
        <v>25</v>
      </c>
      <c r="K2556" s="143"/>
      <c r="L2556" s="22">
        <v>6.25</v>
      </c>
      <c r="M2556" s="22" t="s">
        <v>12488</v>
      </c>
      <c r="N2556" s="20" t="s">
        <v>9345</v>
      </c>
      <c r="O2556" s="16" t="s">
        <v>12608</v>
      </c>
      <c r="P2556" s="143">
        <v>752</v>
      </c>
      <c r="Q2556" s="122" t="s">
        <v>14461</v>
      </c>
      <c r="R2556" s="16" t="s">
        <v>8904</v>
      </c>
      <c r="S2556" s="10" t="s">
        <v>1163</v>
      </c>
      <c r="T2556" s="28" t="s">
        <v>11560</v>
      </c>
      <c r="U2556" s="20" t="s">
        <v>5359</v>
      </c>
      <c r="V2556" s="16" t="s">
        <v>3504</v>
      </c>
      <c r="W2556" s="11" t="s">
        <v>14283</v>
      </c>
      <c r="X2556" s="174">
        <v>440.92</v>
      </c>
      <c r="Y2556" s="174">
        <v>591.69000000000005</v>
      </c>
    </row>
    <row r="2557" spans="1:25" ht="15" customHeight="1" x14ac:dyDescent="0.25">
      <c r="A2557" s="20" t="s">
        <v>3506</v>
      </c>
      <c r="B2557" s="14" t="s">
        <v>3507</v>
      </c>
      <c r="C2557" s="71" t="str">
        <f t="shared" si="55"/>
        <v>Product Info</v>
      </c>
      <c r="D2557" s="37" t="s">
        <v>2851</v>
      </c>
      <c r="E2557" s="143">
        <v>1</v>
      </c>
      <c r="F2557" s="12" t="s">
        <v>2170</v>
      </c>
      <c r="G2557" s="38">
        <v>829.93</v>
      </c>
      <c r="H2557" s="38">
        <v>705.46</v>
      </c>
      <c r="I2557" s="38">
        <v>580.95000000000005</v>
      </c>
      <c r="J2557" s="39">
        <v>25</v>
      </c>
      <c r="K2557" s="143"/>
      <c r="L2557" s="22">
        <v>7.8</v>
      </c>
      <c r="M2557" s="22" t="s">
        <v>12488</v>
      </c>
      <c r="N2557" s="20" t="s">
        <v>9345</v>
      </c>
      <c r="O2557" s="16" t="s">
        <v>12608</v>
      </c>
      <c r="P2557" s="143">
        <v>752</v>
      </c>
      <c r="Q2557" s="122" t="s">
        <v>12421</v>
      </c>
      <c r="R2557" s="16" t="s">
        <v>8904</v>
      </c>
      <c r="S2557" s="10" t="s">
        <v>1163</v>
      </c>
      <c r="T2557" s="28" t="s">
        <v>11561</v>
      </c>
      <c r="U2557" s="20" t="s">
        <v>5359</v>
      </c>
      <c r="V2557" s="16" t="s">
        <v>3506</v>
      </c>
      <c r="W2557" s="11" t="s">
        <v>14283</v>
      </c>
      <c r="X2557" s="174">
        <v>525.70000000000005</v>
      </c>
      <c r="Y2557" s="174">
        <v>705.46</v>
      </c>
    </row>
    <row r="2558" spans="1:25" ht="15" customHeight="1" x14ac:dyDescent="0.25">
      <c r="A2558" s="20" t="s">
        <v>3508</v>
      </c>
      <c r="B2558" s="14" t="s">
        <v>3509</v>
      </c>
      <c r="C2558" s="71" t="str">
        <f t="shared" si="55"/>
        <v>Product Info</v>
      </c>
      <c r="D2558" s="37" t="s">
        <v>2852</v>
      </c>
      <c r="E2558" s="143">
        <v>1</v>
      </c>
      <c r="F2558" s="12" t="s">
        <v>2170</v>
      </c>
      <c r="G2558" s="38">
        <v>1041.1300000000001</v>
      </c>
      <c r="H2558" s="38">
        <v>884.99</v>
      </c>
      <c r="I2558" s="38">
        <v>728.79</v>
      </c>
      <c r="J2558" s="39">
        <v>25</v>
      </c>
      <c r="K2558" s="143"/>
      <c r="L2558" s="22">
        <v>8.25</v>
      </c>
      <c r="M2558" s="22" t="s">
        <v>12488</v>
      </c>
      <c r="N2558" s="20" t="s">
        <v>9345</v>
      </c>
      <c r="O2558" s="16" t="s">
        <v>12608</v>
      </c>
      <c r="P2558" s="143">
        <v>752</v>
      </c>
      <c r="Q2558" s="121" t="s">
        <v>14285</v>
      </c>
      <c r="R2558" s="16" t="s">
        <v>8904</v>
      </c>
      <c r="S2558" s="10" t="s">
        <v>1163</v>
      </c>
      <c r="T2558" s="28" t="s">
        <v>11562</v>
      </c>
      <c r="U2558" s="20" t="s">
        <v>5359</v>
      </c>
      <c r="V2558" s="16" t="s">
        <v>3508</v>
      </c>
      <c r="W2558" s="11" t="s">
        <v>14283</v>
      </c>
      <c r="X2558" s="174">
        <v>659.47</v>
      </c>
      <c r="Y2558" s="174">
        <v>884.99</v>
      </c>
    </row>
    <row r="2559" spans="1:25" ht="15" customHeight="1" x14ac:dyDescent="0.25">
      <c r="A2559" s="20" t="s">
        <v>3510</v>
      </c>
      <c r="B2559" s="14" t="s">
        <v>7723</v>
      </c>
      <c r="C2559" s="71" t="str">
        <f t="shared" si="55"/>
        <v>Product Info</v>
      </c>
      <c r="D2559" s="37" t="s">
        <v>2853</v>
      </c>
      <c r="E2559" s="143">
        <v>1</v>
      </c>
      <c r="F2559" s="12" t="s">
        <v>2170</v>
      </c>
      <c r="G2559" s="38">
        <v>134.16999999999999</v>
      </c>
      <c r="H2559" s="38">
        <v>114.05</v>
      </c>
      <c r="I2559" s="38">
        <v>93.92</v>
      </c>
      <c r="J2559" s="39">
        <v>25</v>
      </c>
      <c r="K2559" s="143"/>
      <c r="L2559" s="22">
        <v>5</v>
      </c>
      <c r="M2559" s="22" t="s">
        <v>12488</v>
      </c>
      <c r="N2559" s="20" t="s">
        <v>9345</v>
      </c>
      <c r="O2559" s="16" t="s">
        <v>12608</v>
      </c>
      <c r="P2559" s="143">
        <v>752</v>
      </c>
      <c r="Q2559" s="121" t="s">
        <v>14285</v>
      </c>
      <c r="R2559" s="16" t="s">
        <v>8904</v>
      </c>
      <c r="S2559" s="10" t="s">
        <v>1163</v>
      </c>
      <c r="T2559" s="28" t="s">
        <v>11563</v>
      </c>
      <c r="U2559" s="20" t="s">
        <v>5359</v>
      </c>
      <c r="V2559" s="16" t="s">
        <v>3510</v>
      </c>
      <c r="W2559" s="11" t="s">
        <v>14283</v>
      </c>
      <c r="X2559" s="174">
        <v>84.98</v>
      </c>
      <c r="Y2559" s="174">
        <v>114.05</v>
      </c>
    </row>
    <row r="2560" spans="1:25" ht="15" customHeight="1" x14ac:dyDescent="0.25">
      <c r="A2560" s="20" t="s">
        <v>7069</v>
      </c>
      <c r="B2560" s="14" t="s">
        <v>7070</v>
      </c>
      <c r="C2560" s="71" t="str">
        <f t="shared" si="55"/>
        <v>Product Info</v>
      </c>
      <c r="D2560" s="37" t="s">
        <v>2854</v>
      </c>
      <c r="E2560" s="143">
        <v>1</v>
      </c>
      <c r="F2560" s="12" t="s">
        <v>2170</v>
      </c>
      <c r="G2560" s="38">
        <v>245.31</v>
      </c>
      <c r="H2560" s="38">
        <v>208.52</v>
      </c>
      <c r="I2560" s="38">
        <v>171.72</v>
      </c>
      <c r="J2560" s="39">
        <v>25</v>
      </c>
      <c r="K2560" s="143"/>
      <c r="L2560" s="22">
        <v>5.4</v>
      </c>
      <c r="M2560" s="22" t="s">
        <v>12488</v>
      </c>
      <c r="N2560" s="20" t="s">
        <v>9316</v>
      </c>
      <c r="O2560" s="16" t="s">
        <v>12608</v>
      </c>
      <c r="P2560" s="143">
        <v>752</v>
      </c>
      <c r="Q2560" s="121" t="s">
        <v>14285</v>
      </c>
      <c r="R2560" s="16" t="s">
        <v>8904</v>
      </c>
      <c r="S2560" s="10" t="s">
        <v>1163</v>
      </c>
      <c r="T2560" s="28" t="s">
        <v>11564</v>
      </c>
      <c r="U2560" s="20" t="s">
        <v>5359</v>
      </c>
      <c r="V2560" s="16" t="s">
        <v>7069</v>
      </c>
      <c r="W2560" s="11" t="s">
        <v>14283</v>
      </c>
      <c r="X2560" s="174">
        <v>145.5</v>
      </c>
      <c r="Y2560" s="174">
        <v>208.52</v>
      </c>
    </row>
    <row r="2561" spans="1:25" ht="15" customHeight="1" x14ac:dyDescent="0.25">
      <c r="A2561" s="20" t="s">
        <v>7071</v>
      </c>
      <c r="B2561" s="14" t="s">
        <v>7072</v>
      </c>
      <c r="C2561" s="71" t="str">
        <f t="shared" si="55"/>
        <v>Product Info</v>
      </c>
      <c r="D2561" s="37" t="s">
        <v>2855</v>
      </c>
      <c r="E2561" s="143">
        <v>1</v>
      </c>
      <c r="F2561" s="12" t="s">
        <v>2170</v>
      </c>
      <c r="G2561" s="38">
        <v>391.19</v>
      </c>
      <c r="H2561" s="38">
        <v>332.52</v>
      </c>
      <c r="I2561" s="38">
        <v>273.83</v>
      </c>
      <c r="J2561" s="39">
        <v>25</v>
      </c>
      <c r="K2561" s="143"/>
      <c r="L2561" s="22">
        <v>10.8</v>
      </c>
      <c r="M2561" s="22" t="s">
        <v>12488</v>
      </c>
      <c r="N2561" s="20" t="s">
        <v>9434</v>
      </c>
      <c r="O2561" s="16" t="s">
        <v>12608</v>
      </c>
      <c r="P2561" s="143">
        <v>752</v>
      </c>
      <c r="Q2561" s="122" t="s">
        <v>12421</v>
      </c>
      <c r="R2561" s="16" t="s">
        <v>8904</v>
      </c>
      <c r="S2561" s="10" t="s">
        <v>1163</v>
      </c>
      <c r="T2561" s="28" t="s">
        <v>11565</v>
      </c>
      <c r="U2561" s="20" t="s">
        <v>5359</v>
      </c>
      <c r="V2561" s="16" t="s">
        <v>7071</v>
      </c>
      <c r="W2561" s="11" t="s">
        <v>14283</v>
      </c>
      <c r="X2561" s="174">
        <v>232.02</v>
      </c>
      <c r="Y2561" s="174">
        <v>332.52</v>
      </c>
    </row>
    <row r="2562" spans="1:25" ht="15" customHeight="1" x14ac:dyDescent="0.25">
      <c r="A2562" s="20" t="s">
        <v>6910</v>
      </c>
      <c r="B2562" s="14" t="s">
        <v>6911</v>
      </c>
      <c r="C2562" s="71" t="str">
        <f t="shared" si="55"/>
        <v>Product Info</v>
      </c>
      <c r="D2562" s="37" t="s">
        <v>2856</v>
      </c>
      <c r="E2562" s="143">
        <v>1</v>
      </c>
      <c r="F2562" s="12" t="s">
        <v>2170</v>
      </c>
      <c r="G2562" s="38">
        <v>447.53</v>
      </c>
      <c r="H2562" s="38">
        <v>380.41</v>
      </c>
      <c r="I2562" s="38">
        <v>313.27</v>
      </c>
      <c r="J2562" s="39">
        <v>25</v>
      </c>
      <c r="K2562" s="12"/>
      <c r="L2562" s="22">
        <v>12.3</v>
      </c>
      <c r="M2562" s="22" t="s">
        <v>12488</v>
      </c>
      <c r="N2562" s="20" t="s">
        <v>9435</v>
      </c>
      <c r="O2562" s="16" t="s">
        <v>12608</v>
      </c>
      <c r="P2562" s="143">
        <v>752</v>
      </c>
      <c r="Q2562" s="122" t="s">
        <v>14461</v>
      </c>
      <c r="R2562" s="16" t="s">
        <v>8904</v>
      </c>
      <c r="S2562" s="10" t="s">
        <v>1163</v>
      </c>
      <c r="T2562" s="28" t="s">
        <v>11566</v>
      </c>
      <c r="U2562" s="20" t="s">
        <v>5359</v>
      </c>
      <c r="V2562" s="16" t="s">
        <v>6910</v>
      </c>
      <c r="W2562" s="11" t="s">
        <v>14283</v>
      </c>
      <c r="X2562" s="174">
        <v>280.75</v>
      </c>
      <c r="Y2562" s="174">
        <v>380.41</v>
      </c>
    </row>
    <row r="2563" spans="1:25" ht="15" customHeight="1" x14ac:dyDescent="0.25">
      <c r="A2563" s="20" t="s">
        <v>3727</v>
      </c>
      <c r="B2563" s="14" t="s">
        <v>3728</v>
      </c>
      <c r="C2563" s="71" t="str">
        <f t="shared" si="55"/>
        <v>Product Info</v>
      </c>
      <c r="D2563" s="37" t="s">
        <v>2857</v>
      </c>
      <c r="E2563" s="143">
        <v>1</v>
      </c>
      <c r="F2563" s="12" t="s">
        <v>2170</v>
      </c>
      <c r="G2563" s="38">
        <v>1092.23</v>
      </c>
      <c r="H2563" s="38">
        <v>928.43</v>
      </c>
      <c r="I2563" s="38">
        <v>764.56</v>
      </c>
      <c r="J2563" s="39">
        <v>25</v>
      </c>
      <c r="K2563" s="143"/>
      <c r="L2563" s="22">
        <v>10.695</v>
      </c>
      <c r="M2563" s="22" t="s">
        <v>12488</v>
      </c>
      <c r="N2563" s="20" t="s">
        <v>9436</v>
      </c>
      <c r="O2563" s="16" t="s">
        <v>12608</v>
      </c>
      <c r="P2563" s="143">
        <v>752</v>
      </c>
      <c r="Q2563" s="122" t="s">
        <v>9227</v>
      </c>
      <c r="R2563" s="16" t="s">
        <v>8904</v>
      </c>
      <c r="S2563" s="10" t="s">
        <v>1163</v>
      </c>
      <c r="T2563" s="28" t="s">
        <v>11567</v>
      </c>
      <c r="U2563" s="20" t="s">
        <v>5359</v>
      </c>
      <c r="V2563" s="16" t="s">
        <v>3727</v>
      </c>
      <c r="W2563" s="11" t="s">
        <v>14283</v>
      </c>
      <c r="X2563" s="174">
        <v>691.84</v>
      </c>
      <c r="Y2563" s="174">
        <v>928.43</v>
      </c>
    </row>
    <row r="2564" spans="1:25" ht="15" customHeight="1" x14ac:dyDescent="0.25">
      <c r="A2564" s="20" t="s">
        <v>3729</v>
      </c>
      <c r="B2564" s="14" t="s">
        <v>3730</v>
      </c>
      <c r="C2564" s="71" t="str">
        <f t="shared" si="55"/>
        <v>Product Info</v>
      </c>
      <c r="D2564" s="37" t="s">
        <v>2858</v>
      </c>
      <c r="E2564" s="143">
        <v>1</v>
      </c>
      <c r="F2564" s="12" t="s">
        <v>2170</v>
      </c>
      <c r="G2564" s="38">
        <v>1522.96</v>
      </c>
      <c r="H2564" s="38">
        <v>1294.56</v>
      </c>
      <c r="I2564" s="38">
        <v>1066.07</v>
      </c>
      <c r="J2564" s="39">
        <v>25</v>
      </c>
      <c r="K2564" s="143"/>
      <c r="L2564" s="22">
        <v>14.5</v>
      </c>
      <c r="M2564" s="22" t="s">
        <v>12488</v>
      </c>
      <c r="N2564" s="20" t="s">
        <v>9437</v>
      </c>
      <c r="O2564" s="16" t="s">
        <v>12608</v>
      </c>
      <c r="P2564" s="143">
        <v>752</v>
      </c>
      <c r="Q2564" s="121" t="s">
        <v>14285</v>
      </c>
      <c r="R2564" s="16" t="s">
        <v>8904</v>
      </c>
      <c r="S2564" s="10" t="s">
        <v>1163</v>
      </c>
      <c r="T2564" s="28" t="s">
        <v>11568</v>
      </c>
      <c r="U2564" s="20" t="s">
        <v>5359</v>
      </c>
      <c r="V2564" s="16" t="s">
        <v>3729</v>
      </c>
      <c r="W2564" s="11" t="s">
        <v>14283</v>
      </c>
      <c r="X2564" s="174">
        <v>964.68</v>
      </c>
      <c r="Y2564" s="174">
        <v>1294.56</v>
      </c>
    </row>
    <row r="2565" spans="1:25" ht="15" customHeight="1" x14ac:dyDescent="0.25">
      <c r="A2565" s="20" t="s">
        <v>3731</v>
      </c>
      <c r="B2565" s="14" t="s">
        <v>3732</v>
      </c>
      <c r="C2565" s="71" t="str">
        <f t="shared" si="55"/>
        <v>Product Info</v>
      </c>
      <c r="D2565" s="37" t="s">
        <v>2859</v>
      </c>
      <c r="E2565" s="143">
        <v>1</v>
      </c>
      <c r="F2565" s="12" t="s">
        <v>2170</v>
      </c>
      <c r="G2565" s="38">
        <v>1761</v>
      </c>
      <c r="H2565" s="38">
        <v>1496.9</v>
      </c>
      <c r="I2565" s="38">
        <v>1232.7</v>
      </c>
      <c r="J2565" s="39">
        <v>25</v>
      </c>
      <c r="K2565" s="143"/>
      <c r="L2565" s="22">
        <v>16.5</v>
      </c>
      <c r="M2565" s="22" t="s">
        <v>12488</v>
      </c>
      <c r="N2565" s="20" t="s">
        <v>9437</v>
      </c>
      <c r="O2565" s="16" t="s">
        <v>12608</v>
      </c>
      <c r="P2565" s="143">
        <v>752</v>
      </c>
      <c r="Q2565" s="121" t="s">
        <v>14285</v>
      </c>
      <c r="R2565" s="16" t="s">
        <v>8904</v>
      </c>
      <c r="S2565" s="10" t="s">
        <v>1163</v>
      </c>
      <c r="T2565" s="28" t="s">
        <v>11569</v>
      </c>
      <c r="U2565" s="20" t="s">
        <v>5359</v>
      </c>
      <c r="V2565" s="16" t="s">
        <v>3731</v>
      </c>
      <c r="W2565" s="11" t="s">
        <v>14283</v>
      </c>
      <c r="X2565" s="174">
        <v>1115.46</v>
      </c>
      <c r="Y2565" s="174">
        <v>1496.9</v>
      </c>
    </row>
    <row r="2566" spans="1:25" ht="15" customHeight="1" x14ac:dyDescent="0.25">
      <c r="A2566" s="20" t="s">
        <v>3733</v>
      </c>
      <c r="B2566" s="14" t="s">
        <v>3734</v>
      </c>
      <c r="C2566" s="71" t="str">
        <f t="shared" ref="C2566:C2629" si="56">HYPERLINK(T2566,U2566)</f>
        <v>Product Info</v>
      </c>
      <c r="D2566" s="37" t="s">
        <v>2860</v>
      </c>
      <c r="E2566" s="143">
        <v>1</v>
      </c>
      <c r="F2566" s="12" t="s">
        <v>2170</v>
      </c>
      <c r="G2566" s="38">
        <v>2152.61</v>
      </c>
      <c r="H2566" s="38">
        <v>1829.79</v>
      </c>
      <c r="I2566" s="38">
        <v>1506.83</v>
      </c>
      <c r="J2566" s="39">
        <v>25</v>
      </c>
      <c r="K2566" s="143"/>
      <c r="L2566" s="22">
        <v>19.5</v>
      </c>
      <c r="M2566" s="22" t="s">
        <v>12488</v>
      </c>
      <c r="N2566" s="20" t="s">
        <v>9437</v>
      </c>
      <c r="O2566" s="16" t="s">
        <v>12608</v>
      </c>
      <c r="P2566" s="143">
        <v>752</v>
      </c>
      <c r="Q2566" s="121" t="s">
        <v>14285</v>
      </c>
      <c r="R2566" s="16" t="s">
        <v>8904</v>
      </c>
      <c r="S2566" s="10" t="s">
        <v>1163</v>
      </c>
      <c r="T2566" s="28" t="s">
        <v>11570</v>
      </c>
      <c r="U2566" s="20" t="s">
        <v>5359</v>
      </c>
      <c r="V2566" s="16" t="s">
        <v>3733</v>
      </c>
      <c r="W2566" s="11" t="s">
        <v>14283</v>
      </c>
      <c r="X2566" s="174">
        <v>1363.52</v>
      </c>
      <c r="Y2566" s="174">
        <v>1829.79</v>
      </c>
    </row>
    <row r="2567" spans="1:25" ht="15" customHeight="1" x14ac:dyDescent="0.25">
      <c r="A2567" s="20" t="s">
        <v>3735</v>
      </c>
      <c r="B2567" s="14" t="s">
        <v>3736</v>
      </c>
      <c r="C2567" s="71" t="str">
        <f t="shared" si="56"/>
        <v>Product Info</v>
      </c>
      <c r="D2567" s="37" t="s">
        <v>2861</v>
      </c>
      <c r="E2567" s="143">
        <v>1</v>
      </c>
      <c r="F2567" s="12" t="s">
        <v>2170</v>
      </c>
      <c r="G2567" s="38">
        <v>1746.1</v>
      </c>
      <c r="H2567" s="38">
        <v>1484.24</v>
      </c>
      <c r="I2567" s="38">
        <v>1222.27</v>
      </c>
      <c r="J2567" s="39">
        <v>25</v>
      </c>
      <c r="K2567" s="143"/>
      <c r="L2567" s="22">
        <v>24</v>
      </c>
      <c r="M2567" s="22" t="s">
        <v>12488</v>
      </c>
      <c r="N2567" s="20" t="s">
        <v>9347</v>
      </c>
      <c r="O2567" s="16" t="s">
        <v>12608</v>
      </c>
      <c r="P2567" s="143">
        <v>752</v>
      </c>
      <c r="Q2567" s="121" t="s">
        <v>14285</v>
      </c>
      <c r="R2567" s="16" t="s">
        <v>8904</v>
      </c>
      <c r="S2567" s="10" t="s">
        <v>1163</v>
      </c>
      <c r="T2567" s="28" t="s">
        <v>11571</v>
      </c>
      <c r="U2567" s="20" t="s">
        <v>5359</v>
      </c>
      <c r="V2567" s="16" t="s">
        <v>3735</v>
      </c>
      <c r="W2567" s="11" t="s">
        <v>14283</v>
      </c>
      <c r="X2567" s="174">
        <v>1106.03</v>
      </c>
      <c r="Y2567" s="174">
        <v>1484.24</v>
      </c>
    </row>
    <row r="2568" spans="1:25" ht="15" customHeight="1" x14ac:dyDescent="0.25">
      <c r="A2568" s="20" t="s">
        <v>3737</v>
      </c>
      <c r="B2568" s="14" t="s">
        <v>3738</v>
      </c>
      <c r="C2568" s="71" t="str">
        <f t="shared" si="56"/>
        <v>Product Info</v>
      </c>
      <c r="D2568" s="37" t="s">
        <v>2862</v>
      </c>
      <c r="E2568" s="143">
        <v>1</v>
      </c>
      <c r="F2568" s="12" t="s">
        <v>2170</v>
      </c>
      <c r="G2568" s="38">
        <v>2128.66</v>
      </c>
      <c r="H2568" s="38">
        <v>1809.42</v>
      </c>
      <c r="I2568" s="38">
        <v>1490.06</v>
      </c>
      <c r="J2568" s="39">
        <v>25</v>
      </c>
      <c r="K2568" s="143"/>
      <c r="L2568" s="22">
        <v>24</v>
      </c>
      <c r="M2568" s="22" t="s">
        <v>12488</v>
      </c>
      <c r="N2568" s="20" t="s">
        <v>9354</v>
      </c>
      <c r="O2568" s="16" t="s">
        <v>12608</v>
      </c>
      <c r="P2568" s="143">
        <v>752</v>
      </c>
      <c r="Q2568" s="121" t="s">
        <v>14285</v>
      </c>
      <c r="R2568" s="16" t="s">
        <v>8904</v>
      </c>
      <c r="S2568" s="10" t="s">
        <v>1163</v>
      </c>
      <c r="T2568" s="28" t="s">
        <v>11572</v>
      </c>
      <c r="U2568" s="20" t="s">
        <v>5359</v>
      </c>
      <c r="V2568" s="16" t="s">
        <v>3737</v>
      </c>
      <c r="W2568" s="11" t="s">
        <v>14283</v>
      </c>
      <c r="X2568" s="174">
        <v>1348.34</v>
      </c>
      <c r="Y2568" s="174">
        <v>1809.42</v>
      </c>
    </row>
    <row r="2569" spans="1:25" ht="15" customHeight="1" x14ac:dyDescent="0.25">
      <c r="A2569" s="20" t="s">
        <v>3739</v>
      </c>
      <c r="B2569" s="14" t="s">
        <v>3740</v>
      </c>
      <c r="C2569" s="71" t="str">
        <f t="shared" si="56"/>
        <v>Product Info</v>
      </c>
      <c r="D2569" s="37" t="s">
        <v>2863</v>
      </c>
      <c r="E2569" s="143">
        <v>1</v>
      </c>
      <c r="F2569" s="12" t="s">
        <v>2170</v>
      </c>
      <c r="G2569" s="38">
        <v>2360.54</v>
      </c>
      <c r="H2569" s="38">
        <v>2006.53</v>
      </c>
      <c r="I2569" s="38">
        <v>1652.38</v>
      </c>
      <c r="J2569" s="39">
        <v>25</v>
      </c>
      <c r="K2569" s="143"/>
      <c r="L2569" s="22">
        <v>24</v>
      </c>
      <c r="M2569" s="22" t="s">
        <v>12488</v>
      </c>
      <c r="N2569" s="20" t="s">
        <v>9347</v>
      </c>
      <c r="O2569" s="16" t="s">
        <v>12608</v>
      </c>
      <c r="P2569" s="143">
        <v>752</v>
      </c>
      <c r="Q2569" s="121" t="s">
        <v>14285</v>
      </c>
      <c r="R2569" s="16" t="s">
        <v>8904</v>
      </c>
      <c r="S2569" s="10" t="s">
        <v>1163</v>
      </c>
      <c r="T2569" s="28" t="s">
        <v>11573</v>
      </c>
      <c r="U2569" s="20" t="s">
        <v>5359</v>
      </c>
      <c r="V2569" s="16" t="s">
        <v>3739</v>
      </c>
      <c r="W2569" s="11" t="s">
        <v>14283</v>
      </c>
      <c r="X2569" s="174">
        <v>1495.22</v>
      </c>
      <c r="Y2569" s="174">
        <v>2006.53</v>
      </c>
    </row>
    <row r="2570" spans="1:25" ht="15" customHeight="1" x14ac:dyDescent="0.25">
      <c r="A2570" s="20" t="s">
        <v>3741</v>
      </c>
      <c r="B2570" s="14" t="s">
        <v>3742</v>
      </c>
      <c r="C2570" s="71" t="str">
        <f t="shared" si="56"/>
        <v>Product Info</v>
      </c>
      <c r="D2570" s="37" t="s">
        <v>2864</v>
      </c>
      <c r="E2570" s="143">
        <v>1</v>
      </c>
      <c r="F2570" s="12" t="s">
        <v>2170</v>
      </c>
      <c r="G2570" s="38">
        <v>2165.89</v>
      </c>
      <c r="H2570" s="38">
        <v>1841.07</v>
      </c>
      <c r="I2570" s="38">
        <v>1516.12</v>
      </c>
      <c r="J2570" s="39">
        <v>25</v>
      </c>
      <c r="K2570" s="143"/>
      <c r="L2570" s="22">
        <v>18.5</v>
      </c>
      <c r="M2570" s="22" t="s">
        <v>12488</v>
      </c>
      <c r="N2570" s="20" t="s">
        <v>9437</v>
      </c>
      <c r="O2570" s="16" t="s">
        <v>12608</v>
      </c>
      <c r="P2570" s="143">
        <v>752</v>
      </c>
      <c r="Q2570" s="121" t="s">
        <v>14285</v>
      </c>
      <c r="R2570" s="16" t="s">
        <v>8904</v>
      </c>
      <c r="S2570" s="10" t="s">
        <v>1163</v>
      </c>
      <c r="T2570" s="28" t="s">
        <v>11574</v>
      </c>
      <c r="U2570" s="20" t="s">
        <v>5359</v>
      </c>
      <c r="V2570" s="16" t="s">
        <v>3741</v>
      </c>
      <c r="W2570" s="11" t="s">
        <v>14283</v>
      </c>
      <c r="X2570" s="174">
        <v>1371.93</v>
      </c>
      <c r="Y2570" s="174">
        <v>1841.07</v>
      </c>
    </row>
    <row r="2571" spans="1:25" ht="15" customHeight="1" x14ac:dyDescent="0.25">
      <c r="A2571" s="20" t="s">
        <v>12613</v>
      </c>
      <c r="B2571" s="16" t="s">
        <v>12614</v>
      </c>
      <c r="C2571" s="71" t="str">
        <f t="shared" si="56"/>
        <v>Product Info</v>
      </c>
      <c r="D2571" s="37" t="s">
        <v>12913</v>
      </c>
      <c r="E2571" s="143">
        <v>1</v>
      </c>
      <c r="F2571" s="12" t="s">
        <v>2170</v>
      </c>
      <c r="G2571" s="38">
        <v>1712.61</v>
      </c>
      <c r="H2571" s="38">
        <v>1455.77</v>
      </c>
      <c r="I2571" s="38">
        <v>1198.83</v>
      </c>
      <c r="J2571" s="39"/>
      <c r="K2571" s="143"/>
      <c r="L2571" s="22">
        <v>18</v>
      </c>
      <c r="M2571" s="22" t="s">
        <v>12488</v>
      </c>
      <c r="N2571" s="20" t="s">
        <v>9347</v>
      </c>
      <c r="O2571" s="16" t="s">
        <v>12608</v>
      </c>
      <c r="P2571" s="143">
        <v>752</v>
      </c>
      <c r="Q2571" s="121" t="s">
        <v>14285</v>
      </c>
      <c r="R2571" s="16" t="s">
        <v>8904</v>
      </c>
      <c r="S2571" s="10" t="s">
        <v>1163</v>
      </c>
      <c r="T2571" s="31" t="s">
        <v>14476</v>
      </c>
      <c r="U2571" s="20" t="s">
        <v>5359</v>
      </c>
      <c r="V2571" s="16" t="s">
        <v>12613</v>
      </c>
      <c r="W2571" s="11" t="s">
        <v>14283</v>
      </c>
      <c r="X2571" s="174">
        <v>1084.81</v>
      </c>
      <c r="Y2571" s="174">
        <v>1455.77</v>
      </c>
    </row>
    <row r="2572" spans="1:25" ht="15" customHeight="1" x14ac:dyDescent="0.25">
      <c r="A2572" s="20" t="s">
        <v>6921</v>
      </c>
      <c r="B2572" s="14" t="s">
        <v>6922</v>
      </c>
      <c r="C2572" s="71" t="str">
        <f t="shared" si="56"/>
        <v>Product Info</v>
      </c>
      <c r="D2572" s="37" t="s">
        <v>1110</v>
      </c>
      <c r="E2572" s="143">
        <v>1</v>
      </c>
      <c r="F2572" s="12" t="s">
        <v>2170</v>
      </c>
      <c r="G2572" s="38">
        <v>2469.84</v>
      </c>
      <c r="H2572" s="38">
        <v>2099.44</v>
      </c>
      <c r="I2572" s="38">
        <v>1728.89</v>
      </c>
      <c r="J2572" s="39">
        <v>25</v>
      </c>
      <c r="K2572" s="143"/>
      <c r="L2572" s="22">
        <v>20</v>
      </c>
      <c r="M2572" s="22" t="s">
        <v>12488</v>
      </c>
      <c r="N2572" s="20" t="s">
        <v>9435</v>
      </c>
      <c r="O2572" s="16" t="s">
        <v>12608</v>
      </c>
      <c r="P2572" s="143">
        <v>752</v>
      </c>
      <c r="Q2572" s="121" t="s">
        <v>14285</v>
      </c>
      <c r="R2572" s="16" t="s">
        <v>8904</v>
      </c>
      <c r="S2572" s="10" t="s">
        <v>1163</v>
      </c>
      <c r="T2572" s="28" t="s">
        <v>11575</v>
      </c>
      <c r="U2572" s="20" t="s">
        <v>5359</v>
      </c>
      <c r="V2572" s="16" t="s">
        <v>6921</v>
      </c>
      <c r="W2572" s="11" t="s">
        <v>14283</v>
      </c>
      <c r="X2572" s="174">
        <v>1564.45</v>
      </c>
      <c r="Y2572" s="174">
        <v>2099.44</v>
      </c>
    </row>
    <row r="2573" spans="1:25" ht="15" customHeight="1" x14ac:dyDescent="0.25">
      <c r="A2573" s="20" t="s">
        <v>12623</v>
      </c>
      <c r="B2573" s="16" t="s">
        <v>12624</v>
      </c>
      <c r="C2573" s="71" t="str">
        <f t="shared" si="56"/>
        <v>Product Info</v>
      </c>
      <c r="D2573" s="37" t="s">
        <v>12916</v>
      </c>
      <c r="E2573" s="143">
        <v>1</v>
      </c>
      <c r="F2573" s="12" t="s">
        <v>2170</v>
      </c>
      <c r="G2573" s="38">
        <v>2032.7</v>
      </c>
      <c r="H2573" s="38">
        <v>1727.86</v>
      </c>
      <c r="I2573" s="38">
        <v>1422.89</v>
      </c>
      <c r="J2573" s="39"/>
      <c r="K2573" s="143"/>
      <c r="L2573" s="22">
        <v>20</v>
      </c>
      <c r="M2573" s="22" t="s">
        <v>12488</v>
      </c>
      <c r="N2573" s="20" t="s">
        <v>9347</v>
      </c>
      <c r="O2573" s="16" t="s">
        <v>12608</v>
      </c>
      <c r="P2573" s="143">
        <v>752</v>
      </c>
      <c r="Q2573" s="121" t="s">
        <v>14285</v>
      </c>
      <c r="R2573" s="16" t="s">
        <v>8904</v>
      </c>
      <c r="S2573" s="10" t="s">
        <v>1163</v>
      </c>
      <c r="T2573" s="28" t="s">
        <v>12984</v>
      </c>
      <c r="U2573" s="20" t="s">
        <v>5359</v>
      </c>
      <c r="V2573" s="16" t="s">
        <v>12623</v>
      </c>
      <c r="W2573" s="11" t="s">
        <v>14283</v>
      </c>
      <c r="X2573" s="174">
        <v>1287.56</v>
      </c>
      <c r="Y2573" s="174">
        <v>1727.86</v>
      </c>
    </row>
    <row r="2574" spans="1:25" ht="15" customHeight="1" x14ac:dyDescent="0.25">
      <c r="A2574" s="20" t="s">
        <v>6923</v>
      </c>
      <c r="B2574" s="14" t="s">
        <v>6924</v>
      </c>
      <c r="C2574" s="71" t="str">
        <f t="shared" si="56"/>
        <v>Product Info</v>
      </c>
      <c r="D2574" s="37" t="s">
        <v>1111</v>
      </c>
      <c r="E2574" s="143">
        <v>1</v>
      </c>
      <c r="F2574" s="12" t="s">
        <v>2170</v>
      </c>
      <c r="G2574" s="38">
        <v>2731.99</v>
      </c>
      <c r="H2574" s="38">
        <v>2322.27</v>
      </c>
      <c r="I2574" s="38">
        <v>1912.39</v>
      </c>
      <c r="J2574" s="39">
        <v>25</v>
      </c>
      <c r="K2574" s="143"/>
      <c r="L2574" s="22">
        <v>25</v>
      </c>
      <c r="M2574" s="22" t="s">
        <v>12488</v>
      </c>
      <c r="N2574" s="20" t="s">
        <v>9438</v>
      </c>
      <c r="O2574" s="16" t="s">
        <v>12608</v>
      </c>
      <c r="P2574" s="143">
        <v>752</v>
      </c>
      <c r="Q2574" s="121" t="s">
        <v>14285</v>
      </c>
      <c r="R2574" s="16" t="s">
        <v>8904</v>
      </c>
      <c r="S2574" s="10" t="s">
        <v>1163</v>
      </c>
      <c r="T2574" s="28" t="s">
        <v>11576</v>
      </c>
      <c r="U2574" s="20" t="s">
        <v>5359</v>
      </c>
      <c r="V2574" s="16" t="s">
        <v>6923</v>
      </c>
      <c r="W2574" s="11" t="s">
        <v>14283</v>
      </c>
      <c r="X2574" s="174">
        <v>1730.51</v>
      </c>
      <c r="Y2574" s="174">
        <v>2322.27</v>
      </c>
    </row>
    <row r="2575" spans="1:25" ht="15" customHeight="1" x14ac:dyDescent="0.25">
      <c r="A2575" s="20" t="s">
        <v>6925</v>
      </c>
      <c r="B2575" s="14" t="s">
        <v>7724</v>
      </c>
      <c r="C2575" s="71" t="str">
        <f t="shared" si="56"/>
        <v>Product Info</v>
      </c>
      <c r="D2575" s="37" t="s">
        <v>7900</v>
      </c>
      <c r="E2575" s="143">
        <v>1</v>
      </c>
      <c r="F2575" s="12" t="s">
        <v>2170</v>
      </c>
      <c r="G2575" s="38">
        <v>1943.86</v>
      </c>
      <c r="H2575" s="38">
        <v>1652.34</v>
      </c>
      <c r="I2575" s="38">
        <v>1360.7</v>
      </c>
      <c r="J2575" s="39">
        <v>25</v>
      </c>
      <c r="K2575" s="143"/>
      <c r="L2575" s="22">
        <v>13</v>
      </c>
      <c r="M2575" s="22" t="s">
        <v>12488</v>
      </c>
      <c r="N2575" s="20" t="s">
        <v>9437</v>
      </c>
      <c r="O2575" s="16" t="s">
        <v>12608</v>
      </c>
      <c r="P2575" s="143">
        <v>752</v>
      </c>
      <c r="Q2575" s="121" t="s">
        <v>14285</v>
      </c>
      <c r="R2575" s="16" t="s">
        <v>8904</v>
      </c>
      <c r="S2575" s="10" t="s">
        <v>1163</v>
      </c>
      <c r="T2575" s="28" t="s">
        <v>11577</v>
      </c>
      <c r="U2575" s="20" t="s">
        <v>5359</v>
      </c>
      <c r="V2575" s="16" t="s">
        <v>6925</v>
      </c>
      <c r="W2575" s="11" t="s">
        <v>14283</v>
      </c>
      <c r="X2575" s="174">
        <v>1231.29</v>
      </c>
      <c r="Y2575" s="174">
        <v>1652.34</v>
      </c>
    </row>
    <row r="2576" spans="1:25" ht="15" customHeight="1" x14ac:dyDescent="0.25">
      <c r="A2576" s="20" t="s">
        <v>6638</v>
      </c>
      <c r="B2576" s="14" t="s">
        <v>6639</v>
      </c>
      <c r="C2576" s="71" t="str">
        <f t="shared" si="56"/>
        <v>Product Info</v>
      </c>
      <c r="D2576" s="37" t="s">
        <v>7901</v>
      </c>
      <c r="E2576" s="143">
        <v>1</v>
      </c>
      <c r="F2576" s="12" t="s">
        <v>2170</v>
      </c>
      <c r="G2576" s="38">
        <v>2265.06</v>
      </c>
      <c r="H2576" s="38">
        <v>1925.37</v>
      </c>
      <c r="I2576" s="38">
        <v>1585.54</v>
      </c>
      <c r="J2576" s="39">
        <v>25</v>
      </c>
      <c r="K2576" s="143"/>
      <c r="L2576" s="22">
        <v>14.5</v>
      </c>
      <c r="M2576" s="22" t="s">
        <v>12488</v>
      </c>
      <c r="N2576" s="20" t="s">
        <v>9389</v>
      </c>
      <c r="O2576" s="16" t="s">
        <v>12608</v>
      </c>
      <c r="P2576" s="143">
        <v>752</v>
      </c>
      <c r="Q2576" s="121" t="s">
        <v>14285</v>
      </c>
      <c r="R2576" s="16" t="s">
        <v>8904</v>
      </c>
      <c r="S2576" s="10" t="s">
        <v>1163</v>
      </c>
      <c r="T2576" s="28" t="s">
        <v>11578</v>
      </c>
      <c r="U2576" s="20" t="s">
        <v>5359</v>
      </c>
      <c r="V2576" s="16" t="s">
        <v>6638</v>
      </c>
      <c r="W2576" s="11" t="s">
        <v>14283</v>
      </c>
      <c r="X2576" s="174">
        <v>1434.74</v>
      </c>
      <c r="Y2576" s="174">
        <v>1925.37</v>
      </c>
    </row>
    <row r="2577" spans="1:25" ht="15" customHeight="1" x14ac:dyDescent="0.25">
      <c r="A2577" s="20" t="s">
        <v>12518</v>
      </c>
      <c r="B2577" s="10" t="s">
        <v>12519</v>
      </c>
      <c r="C2577" s="71" t="str">
        <f t="shared" si="56"/>
        <v>Product Info</v>
      </c>
      <c r="D2577" s="37" t="s">
        <v>12915</v>
      </c>
      <c r="E2577" s="143">
        <v>1</v>
      </c>
      <c r="F2577" s="12" t="s">
        <v>2170</v>
      </c>
      <c r="G2577" s="38">
        <v>2549.64</v>
      </c>
      <c r="H2577" s="38">
        <v>2167.27</v>
      </c>
      <c r="I2577" s="38">
        <v>1784.75</v>
      </c>
      <c r="J2577" s="39">
        <v>25</v>
      </c>
      <c r="K2577" s="143"/>
      <c r="L2577" s="22">
        <v>16</v>
      </c>
      <c r="M2577" s="22" t="s">
        <v>12488</v>
      </c>
      <c r="N2577" s="20" t="s">
        <v>9437</v>
      </c>
      <c r="O2577" s="16" t="s">
        <v>12608</v>
      </c>
      <c r="P2577" s="143">
        <v>752</v>
      </c>
      <c r="Q2577" s="121" t="s">
        <v>14285</v>
      </c>
      <c r="R2577" s="16" t="s">
        <v>8904</v>
      </c>
      <c r="S2577" s="10" t="s">
        <v>1163</v>
      </c>
      <c r="T2577" s="28" t="s">
        <v>12926</v>
      </c>
      <c r="U2577" s="20" t="s">
        <v>5359</v>
      </c>
      <c r="V2577" s="16" t="s">
        <v>12518</v>
      </c>
      <c r="W2577" s="11" t="s">
        <v>14283</v>
      </c>
      <c r="X2577" s="174">
        <v>1615.01</v>
      </c>
      <c r="Y2577" s="174">
        <v>2167.27</v>
      </c>
    </row>
    <row r="2578" spans="1:25" ht="15" customHeight="1" x14ac:dyDescent="0.25">
      <c r="A2578" s="20" t="s">
        <v>6640</v>
      </c>
      <c r="B2578" s="14" t="s">
        <v>6641</v>
      </c>
      <c r="C2578" s="71" t="str">
        <f t="shared" si="56"/>
        <v>Product Info</v>
      </c>
      <c r="D2578" s="37" t="s">
        <v>2865</v>
      </c>
      <c r="E2578" s="143">
        <v>1</v>
      </c>
      <c r="F2578" s="12" t="s">
        <v>2170</v>
      </c>
      <c r="G2578" s="38">
        <v>2526.94</v>
      </c>
      <c r="H2578" s="38">
        <v>2147.98</v>
      </c>
      <c r="I2578" s="38">
        <v>1768.86</v>
      </c>
      <c r="J2578" s="39">
        <v>25</v>
      </c>
      <c r="K2578" s="143"/>
      <c r="L2578" s="22">
        <v>18</v>
      </c>
      <c r="M2578" s="22" t="s">
        <v>12488</v>
      </c>
      <c r="N2578" s="20" t="s">
        <v>9437</v>
      </c>
      <c r="O2578" s="16" t="s">
        <v>12608</v>
      </c>
      <c r="P2578" s="143">
        <v>752</v>
      </c>
      <c r="Q2578" s="121" t="s">
        <v>14285</v>
      </c>
      <c r="R2578" s="16" t="s">
        <v>8904</v>
      </c>
      <c r="S2578" s="10" t="s">
        <v>1163</v>
      </c>
      <c r="T2578" s="28" t="s">
        <v>11579</v>
      </c>
      <c r="U2578" s="20" t="s">
        <v>5359</v>
      </c>
      <c r="V2578" s="16" t="s">
        <v>6640</v>
      </c>
      <c r="W2578" s="11" t="s">
        <v>14283</v>
      </c>
      <c r="X2578" s="174">
        <v>1600.63</v>
      </c>
      <c r="Y2578" s="174">
        <v>2147.98</v>
      </c>
    </row>
    <row r="2579" spans="1:25" ht="15" customHeight="1" x14ac:dyDescent="0.25">
      <c r="A2579" s="20" t="s">
        <v>6642</v>
      </c>
      <c r="B2579" s="14" t="s">
        <v>6643</v>
      </c>
      <c r="C2579" s="71" t="str">
        <f t="shared" si="56"/>
        <v>Product Info</v>
      </c>
      <c r="D2579" s="37" t="s">
        <v>2866</v>
      </c>
      <c r="E2579" s="143">
        <v>1</v>
      </c>
      <c r="F2579" s="12" t="s">
        <v>2170</v>
      </c>
      <c r="G2579" s="38">
        <v>408.06</v>
      </c>
      <c r="H2579" s="38">
        <v>346.86</v>
      </c>
      <c r="I2579" s="38">
        <v>285.64</v>
      </c>
      <c r="J2579" s="39">
        <v>25</v>
      </c>
      <c r="K2579" s="143"/>
      <c r="L2579" s="22">
        <v>3</v>
      </c>
      <c r="M2579" s="22" t="s">
        <v>12488</v>
      </c>
      <c r="N2579" s="20" t="s">
        <v>9428</v>
      </c>
      <c r="O2579" s="16" t="s">
        <v>12608</v>
      </c>
      <c r="P2579" s="143">
        <v>752</v>
      </c>
      <c r="Q2579" s="121" t="s">
        <v>14285</v>
      </c>
      <c r="R2579" s="16" t="s">
        <v>8904</v>
      </c>
      <c r="S2579" s="10" t="s">
        <v>1163</v>
      </c>
      <c r="T2579" s="28" t="s">
        <v>11580</v>
      </c>
      <c r="U2579" s="20" t="s">
        <v>5359</v>
      </c>
      <c r="V2579" s="16" t="s">
        <v>6642</v>
      </c>
      <c r="W2579" s="11" t="s">
        <v>14283</v>
      </c>
      <c r="X2579" s="174">
        <v>258.47000000000003</v>
      </c>
      <c r="Y2579" s="174">
        <v>346.86</v>
      </c>
    </row>
    <row r="2580" spans="1:25" ht="15" customHeight="1" x14ac:dyDescent="0.25">
      <c r="A2580" s="20" t="s">
        <v>6904</v>
      </c>
      <c r="B2580" s="14" t="s">
        <v>6905</v>
      </c>
      <c r="C2580" s="71" t="str">
        <f t="shared" si="56"/>
        <v>Product Info</v>
      </c>
      <c r="D2580" s="37" t="s">
        <v>2867</v>
      </c>
      <c r="E2580" s="143">
        <v>1</v>
      </c>
      <c r="F2580" s="12" t="s">
        <v>2170</v>
      </c>
      <c r="G2580" s="38">
        <v>484.59</v>
      </c>
      <c r="H2580" s="38">
        <v>411.91</v>
      </c>
      <c r="I2580" s="38">
        <v>339.21</v>
      </c>
      <c r="J2580" s="39">
        <v>25</v>
      </c>
      <c r="K2580" s="143"/>
      <c r="L2580" s="22">
        <v>5.5</v>
      </c>
      <c r="M2580" s="22" t="s">
        <v>12488</v>
      </c>
      <c r="N2580" s="20" t="s">
        <v>9345</v>
      </c>
      <c r="O2580" s="16" t="s">
        <v>12608</v>
      </c>
      <c r="P2580" s="143">
        <v>752</v>
      </c>
      <c r="Q2580" s="121" t="s">
        <v>14285</v>
      </c>
      <c r="R2580" s="16" t="s">
        <v>8904</v>
      </c>
      <c r="S2580" s="10" t="s">
        <v>1163</v>
      </c>
      <c r="T2580" s="28" t="s">
        <v>11581</v>
      </c>
      <c r="U2580" s="20" t="s">
        <v>5359</v>
      </c>
      <c r="V2580" s="16" t="s">
        <v>6904</v>
      </c>
      <c r="W2580" s="11" t="s">
        <v>14283</v>
      </c>
      <c r="X2580" s="174">
        <v>306.95</v>
      </c>
      <c r="Y2580" s="174">
        <v>411.91</v>
      </c>
    </row>
    <row r="2581" spans="1:25" ht="15" customHeight="1" x14ac:dyDescent="0.25">
      <c r="A2581" s="20" t="s">
        <v>6906</v>
      </c>
      <c r="B2581" s="14" t="s">
        <v>6907</v>
      </c>
      <c r="C2581" s="71" t="str">
        <f t="shared" si="56"/>
        <v>Product Info</v>
      </c>
      <c r="D2581" s="37" t="s">
        <v>2868</v>
      </c>
      <c r="E2581" s="143">
        <v>1</v>
      </c>
      <c r="F2581" s="12" t="s">
        <v>2170</v>
      </c>
      <c r="G2581" s="38">
        <v>645.66999999999996</v>
      </c>
      <c r="H2581" s="38">
        <v>548.84</v>
      </c>
      <c r="I2581" s="38">
        <v>451.97</v>
      </c>
      <c r="J2581" s="39">
        <v>25</v>
      </c>
      <c r="K2581" s="143"/>
      <c r="L2581" s="22">
        <v>7.5</v>
      </c>
      <c r="M2581" s="22" t="s">
        <v>12488</v>
      </c>
      <c r="N2581" s="20" t="s">
        <v>9316</v>
      </c>
      <c r="O2581" s="16" t="s">
        <v>12608</v>
      </c>
      <c r="P2581" s="143">
        <v>752</v>
      </c>
      <c r="Q2581" s="121" t="s">
        <v>14285</v>
      </c>
      <c r="R2581" s="16" t="s">
        <v>8904</v>
      </c>
      <c r="S2581" s="10" t="s">
        <v>1163</v>
      </c>
      <c r="T2581" s="28" t="s">
        <v>11582</v>
      </c>
      <c r="U2581" s="20" t="s">
        <v>5359</v>
      </c>
      <c r="V2581" s="16" t="s">
        <v>6906</v>
      </c>
      <c r="W2581" s="11" t="s">
        <v>14283</v>
      </c>
      <c r="X2581" s="174">
        <v>408.99</v>
      </c>
      <c r="Y2581" s="174">
        <v>548.84</v>
      </c>
    </row>
    <row r="2582" spans="1:25" ht="15" customHeight="1" x14ac:dyDescent="0.25">
      <c r="A2582" s="20" t="s">
        <v>6908</v>
      </c>
      <c r="B2582" s="14" t="s">
        <v>6909</v>
      </c>
      <c r="C2582" s="71" t="str">
        <f t="shared" si="56"/>
        <v>Product Info</v>
      </c>
      <c r="D2582" s="37" t="s">
        <v>2869</v>
      </c>
      <c r="E2582" s="143">
        <v>1</v>
      </c>
      <c r="F2582" s="12" t="s">
        <v>2170</v>
      </c>
      <c r="G2582" s="38">
        <v>491.23</v>
      </c>
      <c r="H2582" s="38">
        <v>417.56</v>
      </c>
      <c r="I2582" s="38">
        <v>343.86</v>
      </c>
      <c r="J2582" s="39">
        <v>25</v>
      </c>
      <c r="K2582" s="143"/>
      <c r="L2582" s="22">
        <v>8.1</v>
      </c>
      <c r="M2582" s="22" t="s">
        <v>12488</v>
      </c>
      <c r="N2582" s="20" t="s">
        <v>9316</v>
      </c>
      <c r="O2582" s="16" t="s">
        <v>12608</v>
      </c>
      <c r="P2582" s="143">
        <v>752</v>
      </c>
      <c r="Q2582" s="122" t="s">
        <v>12421</v>
      </c>
      <c r="R2582" s="16" t="s">
        <v>8904</v>
      </c>
      <c r="S2582" s="10" t="s">
        <v>1163</v>
      </c>
      <c r="T2582" s="28" t="s">
        <v>11583</v>
      </c>
      <c r="U2582" s="20" t="s">
        <v>5359</v>
      </c>
      <c r="V2582" s="16" t="s">
        <v>6908</v>
      </c>
      <c r="W2582" s="11" t="s">
        <v>14283</v>
      </c>
      <c r="X2582" s="174">
        <v>311.16000000000003</v>
      </c>
      <c r="Y2582" s="174">
        <v>417.56</v>
      </c>
    </row>
    <row r="2583" spans="1:25" ht="15" customHeight="1" x14ac:dyDescent="0.25">
      <c r="A2583" s="20" t="s">
        <v>7962</v>
      </c>
      <c r="B2583" s="14" t="s">
        <v>7963</v>
      </c>
      <c r="C2583" s="71" t="str">
        <f t="shared" si="56"/>
        <v>Product Info</v>
      </c>
      <c r="D2583" s="37" t="s">
        <v>2870</v>
      </c>
      <c r="E2583" s="143">
        <v>1</v>
      </c>
      <c r="F2583" s="12" t="s">
        <v>2170</v>
      </c>
      <c r="G2583" s="38">
        <v>767.26</v>
      </c>
      <c r="H2583" s="38">
        <v>652.19000000000005</v>
      </c>
      <c r="I2583" s="38">
        <v>537.08000000000004</v>
      </c>
      <c r="J2583" s="39">
        <v>25</v>
      </c>
      <c r="K2583" s="143"/>
      <c r="L2583" s="22">
        <v>10</v>
      </c>
      <c r="M2583" s="22" t="s">
        <v>12488</v>
      </c>
      <c r="N2583" s="20" t="s">
        <v>9316</v>
      </c>
      <c r="O2583" s="16" t="s">
        <v>12608</v>
      </c>
      <c r="P2583" s="143">
        <v>752</v>
      </c>
      <c r="Q2583" s="122" t="s">
        <v>12421</v>
      </c>
      <c r="R2583" s="16" t="s">
        <v>8904</v>
      </c>
      <c r="S2583" s="10" t="s">
        <v>1163</v>
      </c>
      <c r="T2583" s="28" t="s">
        <v>11584</v>
      </c>
      <c r="U2583" s="20" t="s">
        <v>5359</v>
      </c>
      <c r="V2583" s="16" t="s">
        <v>7962</v>
      </c>
      <c r="W2583" s="11" t="s">
        <v>14283</v>
      </c>
      <c r="X2583" s="174">
        <v>486</v>
      </c>
      <c r="Y2583" s="174">
        <v>652.19000000000005</v>
      </c>
    </row>
    <row r="2584" spans="1:25" ht="15" customHeight="1" x14ac:dyDescent="0.25">
      <c r="A2584" s="20" t="s">
        <v>7964</v>
      </c>
      <c r="B2584" s="14" t="s">
        <v>7965</v>
      </c>
      <c r="C2584" s="71" t="str">
        <f t="shared" si="56"/>
        <v>Product Info</v>
      </c>
      <c r="D2584" s="37" t="s">
        <v>2871</v>
      </c>
      <c r="E2584" s="143">
        <v>1</v>
      </c>
      <c r="F2584" s="12" t="s">
        <v>2170</v>
      </c>
      <c r="G2584" s="38">
        <v>1020</v>
      </c>
      <c r="H2584" s="38">
        <v>867.03</v>
      </c>
      <c r="I2584" s="38">
        <v>714</v>
      </c>
      <c r="J2584" s="39">
        <v>25</v>
      </c>
      <c r="K2584" s="143"/>
      <c r="L2584" s="22">
        <v>11.9</v>
      </c>
      <c r="M2584" s="22" t="s">
        <v>12488</v>
      </c>
      <c r="N2584" s="20" t="s">
        <v>9324</v>
      </c>
      <c r="O2584" s="16" t="s">
        <v>12608</v>
      </c>
      <c r="P2584" s="143">
        <v>752</v>
      </c>
      <c r="Q2584" s="122" t="s">
        <v>12421</v>
      </c>
      <c r="R2584" s="16" t="s">
        <v>8904</v>
      </c>
      <c r="S2584" s="10" t="s">
        <v>1163</v>
      </c>
      <c r="T2584" s="28" t="s">
        <v>11585</v>
      </c>
      <c r="U2584" s="20" t="s">
        <v>5359</v>
      </c>
      <c r="V2584" s="16" t="s">
        <v>7964</v>
      </c>
      <c r="W2584" s="11" t="s">
        <v>14283</v>
      </c>
      <c r="X2584" s="174">
        <v>646.09</v>
      </c>
      <c r="Y2584" s="174">
        <v>867.03</v>
      </c>
    </row>
    <row r="2585" spans="1:25" ht="15" customHeight="1" x14ac:dyDescent="0.25">
      <c r="A2585" s="20" t="s">
        <v>7966</v>
      </c>
      <c r="B2585" s="14" t="s">
        <v>7967</v>
      </c>
      <c r="C2585" s="71" t="str">
        <f t="shared" si="56"/>
        <v>Product Info</v>
      </c>
      <c r="D2585" s="37" t="s">
        <v>2872</v>
      </c>
      <c r="E2585" s="143">
        <v>1</v>
      </c>
      <c r="F2585" s="12" t="s">
        <v>2170</v>
      </c>
      <c r="G2585" s="38">
        <v>771.57</v>
      </c>
      <c r="H2585" s="38">
        <v>655.86</v>
      </c>
      <c r="I2585" s="38">
        <v>540.1</v>
      </c>
      <c r="J2585" s="39">
        <v>25</v>
      </c>
      <c r="K2585" s="12" t="s">
        <v>8905</v>
      </c>
      <c r="L2585" s="22">
        <v>8.08</v>
      </c>
      <c r="M2585" s="22" t="s">
        <v>12488</v>
      </c>
      <c r="N2585" s="20" t="s">
        <v>9439</v>
      </c>
      <c r="O2585" s="16" t="s">
        <v>12608</v>
      </c>
      <c r="P2585" s="143">
        <v>752</v>
      </c>
      <c r="Q2585" s="122" t="s">
        <v>14461</v>
      </c>
      <c r="R2585" s="16" t="s">
        <v>8904</v>
      </c>
      <c r="S2585" s="10" t="s">
        <v>1163</v>
      </c>
      <c r="T2585" s="28" t="s">
        <v>11586</v>
      </c>
      <c r="U2585" s="20" t="s">
        <v>5359</v>
      </c>
      <c r="V2585" s="16" t="s">
        <v>7966</v>
      </c>
      <c r="W2585" s="11" t="s">
        <v>14283</v>
      </c>
      <c r="X2585" s="174">
        <v>488.74</v>
      </c>
      <c r="Y2585" s="174">
        <v>655.86</v>
      </c>
    </row>
    <row r="2586" spans="1:25" ht="15" customHeight="1" x14ac:dyDescent="0.25">
      <c r="A2586" s="20" t="s">
        <v>7968</v>
      </c>
      <c r="B2586" s="14" t="s">
        <v>7969</v>
      </c>
      <c r="C2586" s="71" t="str">
        <f t="shared" si="56"/>
        <v>Product Info</v>
      </c>
      <c r="D2586" s="37" t="s">
        <v>6299</v>
      </c>
      <c r="E2586" s="143">
        <v>1</v>
      </c>
      <c r="F2586" s="12" t="s">
        <v>2170</v>
      </c>
      <c r="G2586" s="38">
        <v>1050.6400000000001</v>
      </c>
      <c r="H2586" s="38">
        <v>893.08</v>
      </c>
      <c r="I2586" s="38">
        <v>735.45</v>
      </c>
      <c r="J2586" s="39">
        <v>25</v>
      </c>
      <c r="K2586" s="12" t="s">
        <v>8905</v>
      </c>
      <c r="L2586" s="22">
        <v>9.6950000000000003</v>
      </c>
      <c r="M2586" s="22" t="s">
        <v>12488</v>
      </c>
      <c r="N2586" s="20" t="s">
        <v>9317</v>
      </c>
      <c r="O2586" s="16" t="s">
        <v>12608</v>
      </c>
      <c r="P2586" s="143">
        <v>752</v>
      </c>
      <c r="Q2586" s="122" t="s">
        <v>14461</v>
      </c>
      <c r="R2586" s="16" t="s">
        <v>8904</v>
      </c>
      <c r="S2586" s="10" t="s">
        <v>1163</v>
      </c>
      <c r="T2586" s="28" t="s">
        <v>11587</v>
      </c>
      <c r="U2586" s="20" t="s">
        <v>5359</v>
      </c>
      <c r="V2586" s="16" t="s">
        <v>7968</v>
      </c>
      <c r="W2586" s="11" t="s">
        <v>14283</v>
      </c>
      <c r="X2586" s="174">
        <v>665.5</v>
      </c>
      <c r="Y2586" s="174">
        <v>893.08</v>
      </c>
    </row>
    <row r="2587" spans="1:25" ht="15" customHeight="1" x14ac:dyDescent="0.25">
      <c r="A2587" s="20" t="s">
        <v>7970</v>
      </c>
      <c r="B2587" s="14" t="s">
        <v>7971</v>
      </c>
      <c r="C2587" s="71" t="str">
        <f t="shared" si="56"/>
        <v>Product Info</v>
      </c>
      <c r="D2587" s="37" t="s">
        <v>2873</v>
      </c>
      <c r="E2587" s="143">
        <v>1</v>
      </c>
      <c r="F2587" s="12" t="s">
        <v>2170</v>
      </c>
      <c r="G2587" s="38">
        <v>1284.8699999999999</v>
      </c>
      <c r="H2587" s="38">
        <v>1092.18</v>
      </c>
      <c r="I2587" s="38">
        <v>899.41</v>
      </c>
      <c r="J2587" s="39">
        <v>25</v>
      </c>
      <c r="K2587" s="12" t="s">
        <v>8905</v>
      </c>
      <c r="L2587" s="22">
        <v>23</v>
      </c>
      <c r="M2587" s="22" t="s">
        <v>12488</v>
      </c>
      <c r="N2587" s="20" t="s">
        <v>9316</v>
      </c>
      <c r="O2587" s="16" t="s">
        <v>12608</v>
      </c>
      <c r="P2587" s="143">
        <v>752</v>
      </c>
      <c r="Q2587" s="122" t="s">
        <v>14461</v>
      </c>
      <c r="R2587" s="16" t="s">
        <v>8904</v>
      </c>
      <c r="S2587" s="10" t="s">
        <v>1163</v>
      </c>
      <c r="T2587" s="28" t="s">
        <v>11588</v>
      </c>
      <c r="U2587" s="20" t="s">
        <v>5359</v>
      </c>
      <c r="V2587" s="16" t="s">
        <v>7970</v>
      </c>
      <c r="W2587" s="11" t="s">
        <v>14283</v>
      </c>
      <c r="X2587" s="174">
        <v>813.87</v>
      </c>
      <c r="Y2587" s="174">
        <v>1092.18</v>
      </c>
    </row>
    <row r="2588" spans="1:25" ht="15" customHeight="1" x14ac:dyDescent="0.25">
      <c r="A2588" s="20" t="s">
        <v>7972</v>
      </c>
      <c r="B2588" s="14" t="s">
        <v>7973</v>
      </c>
      <c r="C2588" s="71" t="str">
        <f t="shared" si="56"/>
        <v>Product Info</v>
      </c>
      <c r="D2588" s="37" t="s">
        <v>7134</v>
      </c>
      <c r="E2588" s="143">
        <v>1</v>
      </c>
      <c r="F2588" s="12" t="s">
        <v>2170</v>
      </c>
      <c r="G2588" s="38">
        <v>1743.21</v>
      </c>
      <c r="H2588" s="38">
        <v>1481.79</v>
      </c>
      <c r="I2588" s="38">
        <v>1220.25</v>
      </c>
      <c r="J2588" s="39">
        <v>25</v>
      </c>
      <c r="K2588" s="143"/>
      <c r="L2588" s="22">
        <v>0</v>
      </c>
      <c r="M2588" s="22">
        <v>0</v>
      </c>
      <c r="N2588" s="20" t="s">
        <v>14489</v>
      </c>
      <c r="O2588" s="16">
        <v>0</v>
      </c>
      <c r="P2588" s="143">
        <v>752</v>
      </c>
      <c r="Q2588" s="121" t="s">
        <v>14285</v>
      </c>
      <c r="R2588" s="16" t="s">
        <v>8904</v>
      </c>
      <c r="S2588" s="10" t="s">
        <v>1163</v>
      </c>
      <c r="T2588" s="28" t="s">
        <v>11589</v>
      </c>
      <c r="U2588" s="20" t="s">
        <v>5359</v>
      </c>
      <c r="V2588" s="16" t="s">
        <v>7972</v>
      </c>
      <c r="W2588" s="11" t="s">
        <v>14283</v>
      </c>
      <c r="X2588" s="174">
        <v>1104.19</v>
      </c>
      <c r="Y2588" s="174">
        <v>1481.79</v>
      </c>
    </row>
    <row r="2589" spans="1:25" ht="15" customHeight="1" x14ac:dyDescent="0.25">
      <c r="A2589" s="20" t="s">
        <v>7974</v>
      </c>
      <c r="B2589" s="14" t="s">
        <v>7975</v>
      </c>
      <c r="C2589" s="71" t="str">
        <f t="shared" si="56"/>
        <v>Product Info</v>
      </c>
      <c r="D2589" s="37" t="s">
        <v>2874</v>
      </c>
      <c r="E2589" s="143">
        <v>1</v>
      </c>
      <c r="F2589" s="12" t="s">
        <v>2170</v>
      </c>
      <c r="G2589" s="38">
        <v>585.16999999999996</v>
      </c>
      <c r="H2589" s="38">
        <v>497.41</v>
      </c>
      <c r="I2589" s="38">
        <v>409.62</v>
      </c>
      <c r="J2589" s="39">
        <v>25</v>
      </c>
      <c r="K2589" s="143"/>
      <c r="L2589" s="22">
        <v>6</v>
      </c>
      <c r="M2589" s="22" t="s">
        <v>12488</v>
      </c>
      <c r="N2589" s="20" t="s">
        <v>9345</v>
      </c>
      <c r="O2589" s="16" t="s">
        <v>12608</v>
      </c>
      <c r="P2589" s="143">
        <v>752</v>
      </c>
      <c r="Q2589" s="121" t="s">
        <v>14285</v>
      </c>
      <c r="R2589" s="16" t="s">
        <v>8904</v>
      </c>
      <c r="S2589" s="10" t="s">
        <v>1163</v>
      </c>
      <c r="T2589" s="28" t="s">
        <v>11590</v>
      </c>
      <c r="U2589" s="20" t="s">
        <v>5359</v>
      </c>
      <c r="V2589" s="16" t="s">
        <v>7974</v>
      </c>
      <c r="W2589" s="11" t="s">
        <v>14283</v>
      </c>
      <c r="X2589" s="174">
        <v>370.67</v>
      </c>
      <c r="Y2589" s="174">
        <v>497.41</v>
      </c>
    </row>
    <row r="2590" spans="1:25" ht="15" customHeight="1" x14ac:dyDescent="0.25">
      <c r="A2590" s="20" t="s">
        <v>7976</v>
      </c>
      <c r="B2590" s="14" t="s">
        <v>7977</v>
      </c>
      <c r="C2590" s="71" t="str">
        <f t="shared" si="56"/>
        <v>Product Info</v>
      </c>
      <c r="D2590" s="37" t="s">
        <v>1112</v>
      </c>
      <c r="E2590" s="143">
        <v>1</v>
      </c>
      <c r="F2590" s="12" t="s">
        <v>2170</v>
      </c>
      <c r="G2590" s="38">
        <v>1260.29</v>
      </c>
      <c r="H2590" s="38">
        <v>1071.28</v>
      </c>
      <c r="I2590" s="38">
        <v>882.2</v>
      </c>
      <c r="J2590" s="39">
        <v>25</v>
      </c>
      <c r="K2590" s="143"/>
      <c r="L2590" s="22">
        <v>10</v>
      </c>
      <c r="M2590" s="22" t="s">
        <v>12488</v>
      </c>
      <c r="N2590" s="20" t="s">
        <v>9316</v>
      </c>
      <c r="O2590" s="16" t="s">
        <v>12608</v>
      </c>
      <c r="P2590" s="143">
        <v>752</v>
      </c>
      <c r="Q2590" s="121" t="s">
        <v>14285</v>
      </c>
      <c r="R2590" s="16" t="s">
        <v>8904</v>
      </c>
      <c r="S2590" s="10" t="s">
        <v>1163</v>
      </c>
      <c r="T2590" s="28" t="s">
        <v>11591</v>
      </c>
      <c r="U2590" s="20" t="s">
        <v>5359</v>
      </c>
      <c r="V2590" s="16" t="s">
        <v>7976</v>
      </c>
      <c r="W2590" s="11" t="s">
        <v>14283</v>
      </c>
      <c r="X2590" s="174">
        <v>798.29</v>
      </c>
      <c r="Y2590" s="174">
        <v>1071.28</v>
      </c>
    </row>
    <row r="2591" spans="1:25" ht="15" customHeight="1" x14ac:dyDescent="0.25">
      <c r="A2591" s="20" t="s">
        <v>7978</v>
      </c>
      <c r="B2591" s="14" t="s">
        <v>7979</v>
      </c>
      <c r="C2591" s="71" t="str">
        <f t="shared" si="56"/>
        <v>Product Info</v>
      </c>
      <c r="D2591" s="37" t="s">
        <v>1113</v>
      </c>
      <c r="E2591" s="143">
        <v>1</v>
      </c>
      <c r="F2591" s="12" t="s">
        <v>2170</v>
      </c>
      <c r="G2591" s="38">
        <v>1060.9000000000001</v>
      </c>
      <c r="H2591" s="38">
        <v>901.8</v>
      </c>
      <c r="I2591" s="38">
        <v>742.63</v>
      </c>
      <c r="J2591" s="39">
        <v>25</v>
      </c>
      <c r="K2591" s="143"/>
      <c r="L2591" s="22">
        <v>9</v>
      </c>
      <c r="M2591" s="22" t="s">
        <v>12488</v>
      </c>
      <c r="N2591" s="20" t="s">
        <v>9345</v>
      </c>
      <c r="O2591" s="16" t="s">
        <v>12608</v>
      </c>
      <c r="P2591" s="143">
        <v>752</v>
      </c>
      <c r="Q2591" s="122" t="s">
        <v>12421</v>
      </c>
      <c r="R2591" s="16" t="s">
        <v>8904</v>
      </c>
      <c r="S2591" s="10" t="s">
        <v>1163</v>
      </c>
      <c r="T2591" s="28" t="s">
        <v>11592</v>
      </c>
      <c r="U2591" s="20" t="s">
        <v>5359</v>
      </c>
      <c r="V2591" s="16" t="s">
        <v>7978</v>
      </c>
      <c r="W2591" s="11" t="s">
        <v>14283</v>
      </c>
      <c r="X2591" s="174">
        <v>672</v>
      </c>
      <c r="Y2591" s="174">
        <v>901.8</v>
      </c>
    </row>
    <row r="2592" spans="1:25" ht="15" customHeight="1" x14ac:dyDescent="0.25">
      <c r="A2592" s="20" t="s">
        <v>7980</v>
      </c>
      <c r="B2592" s="14" t="s">
        <v>7981</v>
      </c>
      <c r="C2592" s="71" t="str">
        <f t="shared" si="56"/>
        <v>Product Info</v>
      </c>
      <c r="D2592" s="37" t="s">
        <v>1114</v>
      </c>
      <c r="E2592" s="143">
        <v>1</v>
      </c>
      <c r="F2592" s="12" t="s">
        <v>2170</v>
      </c>
      <c r="G2592" s="38">
        <v>1393.21</v>
      </c>
      <c r="H2592" s="38">
        <v>1184.27</v>
      </c>
      <c r="I2592" s="38">
        <v>975.25</v>
      </c>
      <c r="J2592" s="39">
        <v>25</v>
      </c>
      <c r="K2592" s="143"/>
      <c r="L2592" s="22">
        <v>10</v>
      </c>
      <c r="M2592" s="22" t="s">
        <v>12488</v>
      </c>
      <c r="N2592" s="20" t="s">
        <v>9316</v>
      </c>
      <c r="O2592" s="16" t="s">
        <v>12608</v>
      </c>
      <c r="P2592" s="143">
        <v>752</v>
      </c>
      <c r="Q2592" s="122" t="s">
        <v>9227</v>
      </c>
      <c r="R2592" s="16" t="s">
        <v>8904</v>
      </c>
      <c r="S2592" s="10" t="s">
        <v>1163</v>
      </c>
      <c r="T2592" s="28" t="s">
        <v>11593</v>
      </c>
      <c r="U2592" s="20" t="s">
        <v>5359</v>
      </c>
      <c r="V2592" s="16" t="s">
        <v>7980</v>
      </c>
      <c r="W2592" s="11" t="s">
        <v>14283</v>
      </c>
      <c r="X2592" s="174">
        <v>882.49</v>
      </c>
      <c r="Y2592" s="174">
        <v>1184.27</v>
      </c>
    </row>
    <row r="2593" spans="1:25" ht="15" customHeight="1" x14ac:dyDescent="0.25">
      <c r="A2593" s="20" t="s">
        <v>7982</v>
      </c>
      <c r="B2593" s="14" t="s">
        <v>7983</v>
      </c>
      <c r="C2593" s="71" t="str">
        <f t="shared" si="56"/>
        <v>Product Info</v>
      </c>
      <c r="D2593" s="37" t="s">
        <v>1115</v>
      </c>
      <c r="E2593" s="143">
        <v>1</v>
      </c>
      <c r="F2593" s="12" t="s">
        <v>2170</v>
      </c>
      <c r="G2593" s="38">
        <v>1902.9</v>
      </c>
      <c r="H2593" s="38">
        <v>1617.52</v>
      </c>
      <c r="I2593" s="38">
        <v>1332.03</v>
      </c>
      <c r="J2593" s="39">
        <v>25</v>
      </c>
      <c r="K2593" s="143"/>
      <c r="L2593" s="22">
        <v>12</v>
      </c>
      <c r="M2593" s="22" t="s">
        <v>12488</v>
      </c>
      <c r="N2593" s="20" t="s">
        <v>9316</v>
      </c>
      <c r="O2593" s="16" t="s">
        <v>12608</v>
      </c>
      <c r="P2593" s="143">
        <v>752</v>
      </c>
      <c r="Q2593" s="121" t="s">
        <v>14285</v>
      </c>
      <c r="R2593" s="16" t="s">
        <v>8904</v>
      </c>
      <c r="S2593" s="10" t="s">
        <v>1163</v>
      </c>
      <c r="T2593" s="28" t="s">
        <v>11594</v>
      </c>
      <c r="U2593" s="20" t="s">
        <v>5359</v>
      </c>
      <c r="V2593" s="16" t="s">
        <v>7982</v>
      </c>
      <c r="W2593" s="11" t="s">
        <v>14283</v>
      </c>
      <c r="X2593" s="174">
        <v>1205.3399999999999</v>
      </c>
      <c r="Y2593" s="174">
        <v>1617.52</v>
      </c>
    </row>
    <row r="2594" spans="1:25" ht="15" customHeight="1" x14ac:dyDescent="0.25">
      <c r="A2594" s="20" t="s">
        <v>7984</v>
      </c>
      <c r="B2594" s="14" t="s">
        <v>7985</v>
      </c>
      <c r="C2594" s="71" t="str">
        <f t="shared" si="56"/>
        <v>Product Info</v>
      </c>
      <c r="D2594" s="37" t="s">
        <v>1116</v>
      </c>
      <c r="E2594" s="143">
        <v>1</v>
      </c>
      <c r="F2594" s="12" t="s">
        <v>2170</v>
      </c>
      <c r="G2594" s="38">
        <v>640.99</v>
      </c>
      <c r="H2594" s="38">
        <v>544.86</v>
      </c>
      <c r="I2594" s="38">
        <v>448.69</v>
      </c>
      <c r="J2594" s="39">
        <v>25</v>
      </c>
      <c r="K2594" s="143"/>
      <c r="L2594" s="22">
        <v>4.7</v>
      </c>
      <c r="M2594" s="22" t="s">
        <v>12488</v>
      </c>
      <c r="N2594" s="20" t="s">
        <v>9440</v>
      </c>
      <c r="O2594" s="16" t="s">
        <v>12608</v>
      </c>
      <c r="P2594" s="143">
        <v>752</v>
      </c>
      <c r="Q2594" s="122" t="s">
        <v>12421</v>
      </c>
      <c r="R2594" s="16" t="s">
        <v>8904</v>
      </c>
      <c r="S2594" s="10" t="s">
        <v>1163</v>
      </c>
      <c r="T2594" s="28" t="s">
        <v>11595</v>
      </c>
      <c r="U2594" s="20" t="s">
        <v>5359</v>
      </c>
      <c r="V2594" s="16" t="s">
        <v>7984</v>
      </c>
      <c r="W2594" s="11" t="s">
        <v>14283</v>
      </c>
      <c r="X2594" s="174">
        <v>406.01</v>
      </c>
      <c r="Y2594" s="174">
        <v>544.86</v>
      </c>
    </row>
    <row r="2595" spans="1:25" ht="15" customHeight="1" x14ac:dyDescent="0.25">
      <c r="A2595" s="20" t="s">
        <v>7986</v>
      </c>
      <c r="B2595" s="14" t="s">
        <v>7987</v>
      </c>
      <c r="C2595" s="71" t="str">
        <f t="shared" si="56"/>
        <v>Product Info</v>
      </c>
      <c r="D2595" s="37" t="s">
        <v>1117</v>
      </c>
      <c r="E2595" s="143">
        <v>1</v>
      </c>
      <c r="F2595" s="12" t="s">
        <v>2170</v>
      </c>
      <c r="G2595" s="38">
        <v>737.27</v>
      </c>
      <c r="H2595" s="38">
        <v>626.70000000000005</v>
      </c>
      <c r="I2595" s="38">
        <v>516.09</v>
      </c>
      <c r="J2595" s="39">
        <v>25</v>
      </c>
      <c r="K2595" s="143"/>
      <c r="L2595" s="22">
        <v>5.5</v>
      </c>
      <c r="M2595" s="22" t="s">
        <v>12488</v>
      </c>
      <c r="N2595" s="20" t="s">
        <v>9330</v>
      </c>
      <c r="O2595" s="16" t="s">
        <v>12608</v>
      </c>
      <c r="P2595" s="143">
        <v>752</v>
      </c>
      <c r="Q2595" s="122" t="s">
        <v>12421</v>
      </c>
      <c r="R2595" s="16" t="s">
        <v>8904</v>
      </c>
      <c r="S2595" s="10" t="s">
        <v>1163</v>
      </c>
      <c r="T2595" s="28" t="s">
        <v>11596</v>
      </c>
      <c r="U2595" s="20" t="s">
        <v>5359</v>
      </c>
      <c r="V2595" s="16" t="s">
        <v>7986</v>
      </c>
      <c r="W2595" s="11" t="s">
        <v>14283</v>
      </c>
      <c r="X2595" s="174">
        <v>467.01</v>
      </c>
      <c r="Y2595" s="174">
        <v>626.70000000000005</v>
      </c>
    </row>
    <row r="2596" spans="1:25" ht="15" customHeight="1" x14ac:dyDescent="0.25">
      <c r="A2596" s="20" t="s">
        <v>7988</v>
      </c>
      <c r="B2596" s="14" t="s">
        <v>7989</v>
      </c>
      <c r="C2596" s="71" t="str">
        <f t="shared" si="56"/>
        <v>Product Info</v>
      </c>
      <c r="D2596" s="37" t="s">
        <v>1118</v>
      </c>
      <c r="E2596" s="143">
        <v>1</v>
      </c>
      <c r="F2596" s="12" t="s">
        <v>2170</v>
      </c>
      <c r="G2596" s="38">
        <v>801.11</v>
      </c>
      <c r="H2596" s="38">
        <v>680.97</v>
      </c>
      <c r="I2596" s="38">
        <v>560.78</v>
      </c>
      <c r="J2596" s="39">
        <v>25</v>
      </c>
      <c r="K2596" s="143"/>
      <c r="L2596" s="22">
        <v>6.75</v>
      </c>
      <c r="M2596" s="22" t="s">
        <v>12488</v>
      </c>
      <c r="N2596" s="20" t="s">
        <v>9441</v>
      </c>
      <c r="O2596" s="16" t="s">
        <v>12608</v>
      </c>
      <c r="P2596" s="143">
        <v>752</v>
      </c>
      <c r="Q2596" s="122" t="s">
        <v>12421</v>
      </c>
      <c r="R2596" s="16" t="s">
        <v>8904</v>
      </c>
      <c r="S2596" s="10" t="s">
        <v>1163</v>
      </c>
      <c r="T2596" s="28" t="s">
        <v>11597</v>
      </c>
      <c r="U2596" s="20" t="s">
        <v>5359</v>
      </c>
      <c r="V2596" s="16" t="s">
        <v>7988</v>
      </c>
      <c r="W2596" s="11" t="s">
        <v>14283</v>
      </c>
      <c r="X2596" s="174">
        <v>507.45</v>
      </c>
      <c r="Y2596" s="174">
        <v>680.97</v>
      </c>
    </row>
    <row r="2597" spans="1:25" ht="15" customHeight="1" x14ac:dyDescent="0.25">
      <c r="A2597" s="20" t="s">
        <v>7990</v>
      </c>
      <c r="B2597" s="14" t="s">
        <v>7991</v>
      </c>
      <c r="C2597" s="71" t="str">
        <f t="shared" si="56"/>
        <v>Product Info</v>
      </c>
      <c r="D2597" s="37" t="s">
        <v>1119</v>
      </c>
      <c r="E2597" s="143">
        <v>1</v>
      </c>
      <c r="F2597" s="12" t="s">
        <v>2170</v>
      </c>
      <c r="G2597" s="38">
        <v>966.99</v>
      </c>
      <c r="H2597" s="38">
        <v>821.97</v>
      </c>
      <c r="I2597" s="38">
        <v>676.89</v>
      </c>
      <c r="J2597" s="39">
        <v>25</v>
      </c>
      <c r="K2597" s="143"/>
      <c r="L2597" s="22">
        <v>14</v>
      </c>
      <c r="M2597" s="22" t="s">
        <v>12488</v>
      </c>
      <c r="N2597" s="20" t="s">
        <v>9442</v>
      </c>
      <c r="O2597" s="16" t="s">
        <v>12608</v>
      </c>
      <c r="P2597" s="143">
        <v>752</v>
      </c>
      <c r="Q2597" s="121" t="s">
        <v>14285</v>
      </c>
      <c r="R2597" s="16" t="s">
        <v>8904</v>
      </c>
      <c r="S2597" s="10" t="s">
        <v>1163</v>
      </c>
      <c r="T2597" s="28" t="s">
        <v>11598</v>
      </c>
      <c r="U2597" s="20" t="s">
        <v>5359</v>
      </c>
      <c r="V2597" s="16" t="s">
        <v>7990</v>
      </c>
      <c r="W2597" s="11" t="s">
        <v>14283</v>
      </c>
      <c r="X2597" s="174">
        <v>612.51</v>
      </c>
      <c r="Y2597" s="174">
        <v>821.97</v>
      </c>
    </row>
    <row r="2598" spans="1:25" ht="15" customHeight="1" x14ac:dyDescent="0.25">
      <c r="A2598" s="20" t="s">
        <v>5382</v>
      </c>
      <c r="B2598" s="14" t="s">
        <v>5383</v>
      </c>
      <c r="C2598" s="71" t="str">
        <f t="shared" si="56"/>
        <v>Product Info</v>
      </c>
      <c r="D2598" s="37" t="s">
        <v>1120</v>
      </c>
      <c r="E2598" s="143">
        <v>3</v>
      </c>
      <c r="F2598" s="12" t="s">
        <v>2170</v>
      </c>
      <c r="G2598" s="38">
        <v>104.2</v>
      </c>
      <c r="H2598" s="38">
        <v>88.57</v>
      </c>
      <c r="I2598" s="38">
        <v>72.94</v>
      </c>
      <c r="J2598" s="39">
        <v>25</v>
      </c>
      <c r="K2598" s="143"/>
      <c r="L2598" s="22">
        <v>2.5</v>
      </c>
      <c r="M2598" s="22" t="s">
        <v>12488</v>
      </c>
      <c r="N2598" s="20" t="s">
        <v>9443</v>
      </c>
      <c r="O2598" s="16" t="s">
        <v>12608</v>
      </c>
      <c r="P2598" s="143">
        <v>752</v>
      </c>
      <c r="Q2598" s="122" t="s">
        <v>12421</v>
      </c>
      <c r="R2598" s="16" t="s">
        <v>8904</v>
      </c>
      <c r="S2598" s="10" t="s">
        <v>1163</v>
      </c>
      <c r="T2598" s="28" t="s">
        <v>11599</v>
      </c>
      <c r="U2598" s="20" t="s">
        <v>5359</v>
      </c>
      <c r="V2598" s="16" t="s">
        <v>5382</v>
      </c>
      <c r="W2598" s="11" t="s">
        <v>14283</v>
      </c>
      <c r="X2598" s="174">
        <v>66.010000000000005</v>
      </c>
      <c r="Y2598" s="174">
        <v>88.57</v>
      </c>
    </row>
    <row r="2599" spans="1:25" ht="15" customHeight="1" x14ac:dyDescent="0.25">
      <c r="A2599" s="20" t="s">
        <v>5384</v>
      </c>
      <c r="B2599" s="14" t="s">
        <v>5385</v>
      </c>
      <c r="C2599" s="71" t="str">
        <f t="shared" si="56"/>
        <v>Product Info</v>
      </c>
      <c r="D2599" s="37" t="s">
        <v>1121</v>
      </c>
      <c r="E2599" s="143">
        <v>3</v>
      </c>
      <c r="F2599" s="12" t="s">
        <v>2170</v>
      </c>
      <c r="G2599" s="38">
        <v>118.49</v>
      </c>
      <c r="H2599" s="38">
        <v>100.72</v>
      </c>
      <c r="I2599" s="38">
        <v>82.94</v>
      </c>
      <c r="J2599" s="39">
        <v>25</v>
      </c>
      <c r="K2599" s="12"/>
      <c r="L2599" s="22">
        <v>3</v>
      </c>
      <c r="M2599" s="22" t="s">
        <v>12488</v>
      </c>
      <c r="N2599" s="20" t="s">
        <v>9420</v>
      </c>
      <c r="O2599" s="16" t="s">
        <v>12608</v>
      </c>
      <c r="P2599" s="143">
        <v>752</v>
      </c>
      <c r="Q2599" s="122" t="s">
        <v>12421</v>
      </c>
      <c r="R2599" s="16" t="s">
        <v>8904</v>
      </c>
      <c r="S2599" s="10" t="s">
        <v>1163</v>
      </c>
      <c r="T2599" s="28" t="s">
        <v>11600</v>
      </c>
      <c r="U2599" s="20" t="s">
        <v>5359</v>
      </c>
      <c r="V2599" s="16" t="s">
        <v>5384</v>
      </c>
      <c r="W2599" s="11" t="s">
        <v>14283</v>
      </c>
      <c r="X2599" s="174">
        <v>75.040000000000006</v>
      </c>
      <c r="Y2599" s="174">
        <v>100.72</v>
      </c>
    </row>
    <row r="2600" spans="1:25" ht="15" customHeight="1" x14ac:dyDescent="0.25">
      <c r="A2600" s="20" t="s">
        <v>5386</v>
      </c>
      <c r="B2600" s="14" t="s">
        <v>5387</v>
      </c>
      <c r="C2600" s="71" t="str">
        <f t="shared" si="56"/>
        <v>Product Info</v>
      </c>
      <c r="D2600" s="37" t="s">
        <v>1122</v>
      </c>
      <c r="E2600" s="143">
        <v>3</v>
      </c>
      <c r="F2600" s="12" t="s">
        <v>2170</v>
      </c>
      <c r="G2600" s="38">
        <v>160.96</v>
      </c>
      <c r="H2600" s="38">
        <v>136.82</v>
      </c>
      <c r="I2600" s="38">
        <v>112.67</v>
      </c>
      <c r="J2600" s="39">
        <v>25</v>
      </c>
      <c r="K2600" s="12" t="s">
        <v>8905</v>
      </c>
      <c r="L2600" s="22">
        <v>4.7</v>
      </c>
      <c r="M2600" s="22" t="s">
        <v>12488</v>
      </c>
      <c r="N2600" s="20" t="s">
        <v>9420</v>
      </c>
      <c r="O2600" s="16" t="s">
        <v>12608</v>
      </c>
      <c r="P2600" s="143">
        <v>752</v>
      </c>
      <c r="Q2600" s="122" t="s">
        <v>12421</v>
      </c>
      <c r="R2600" s="16" t="s">
        <v>8904</v>
      </c>
      <c r="S2600" s="10" t="s">
        <v>1163</v>
      </c>
      <c r="T2600" s="28" t="s">
        <v>11601</v>
      </c>
      <c r="U2600" s="20" t="s">
        <v>5359</v>
      </c>
      <c r="V2600" s="16" t="s">
        <v>5386</v>
      </c>
      <c r="W2600" s="11" t="s">
        <v>14283</v>
      </c>
      <c r="X2600" s="174">
        <v>101.95</v>
      </c>
      <c r="Y2600" s="174">
        <v>136.82</v>
      </c>
    </row>
    <row r="2601" spans="1:25" ht="15" customHeight="1" x14ac:dyDescent="0.25">
      <c r="A2601" s="20" t="s">
        <v>5704</v>
      </c>
      <c r="B2601" s="14" t="s">
        <v>5705</v>
      </c>
      <c r="C2601" s="71" t="str">
        <f t="shared" si="56"/>
        <v>Product Info</v>
      </c>
      <c r="D2601" s="37" t="s">
        <v>5715</v>
      </c>
      <c r="E2601" s="143">
        <v>3</v>
      </c>
      <c r="F2601" s="12" t="s">
        <v>4992</v>
      </c>
      <c r="G2601" s="38">
        <v>196.13</v>
      </c>
      <c r="H2601" s="38">
        <v>166.72</v>
      </c>
      <c r="I2601" s="38">
        <v>137.29</v>
      </c>
      <c r="J2601" s="39">
        <v>25</v>
      </c>
      <c r="K2601" s="143"/>
      <c r="L2601" s="22">
        <v>0</v>
      </c>
      <c r="M2601" s="22">
        <v>0</v>
      </c>
      <c r="N2601" s="20" t="s">
        <v>14489</v>
      </c>
      <c r="O2601" s="16">
        <v>0</v>
      </c>
      <c r="P2601" s="143">
        <v>752</v>
      </c>
      <c r="Q2601" s="121" t="s">
        <v>14285</v>
      </c>
      <c r="R2601" s="16" t="s">
        <v>8904</v>
      </c>
      <c r="S2601" s="10" t="s">
        <v>1163</v>
      </c>
      <c r="T2601" s="28" t="s">
        <v>11602</v>
      </c>
      <c r="U2601" s="20" t="s">
        <v>5359</v>
      </c>
      <c r="V2601" s="16" t="s">
        <v>5704</v>
      </c>
      <c r="W2601" s="11" t="s">
        <v>14283</v>
      </c>
      <c r="X2601" s="174">
        <v>124.23</v>
      </c>
      <c r="Y2601" s="174">
        <v>166.72</v>
      </c>
    </row>
    <row r="2602" spans="1:25" ht="15" customHeight="1" x14ac:dyDescent="0.25">
      <c r="A2602" s="20" t="s">
        <v>5388</v>
      </c>
      <c r="B2602" s="14" t="s">
        <v>5389</v>
      </c>
      <c r="C2602" s="71" t="str">
        <f t="shared" si="56"/>
        <v>Product Info</v>
      </c>
      <c r="D2602" s="37" t="s">
        <v>1123</v>
      </c>
      <c r="E2602" s="143">
        <v>1</v>
      </c>
      <c r="F2602" s="12" t="s">
        <v>2170</v>
      </c>
      <c r="G2602" s="38">
        <v>132.11000000000001</v>
      </c>
      <c r="H2602" s="38">
        <v>112.3</v>
      </c>
      <c r="I2602" s="38">
        <v>92.48</v>
      </c>
      <c r="J2602" s="39">
        <v>25</v>
      </c>
      <c r="K2602" s="12" t="s">
        <v>8905</v>
      </c>
      <c r="L2602" s="22">
        <v>1.94</v>
      </c>
      <c r="M2602" s="22" t="s">
        <v>12488</v>
      </c>
      <c r="N2602" s="20" t="s">
        <v>9444</v>
      </c>
      <c r="O2602" s="16" t="s">
        <v>12608</v>
      </c>
      <c r="P2602" s="143">
        <v>752</v>
      </c>
      <c r="Q2602" s="122" t="s">
        <v>14461</v>
      </c>
      <c r="R2602" s="16" t="s">
        <v>8904</v>
      </c>
      <c r="S2602" s="10" t="s">
        <v>1163</v>
      </c>
      <c r="T2602" s="28" t="s">
        <v>11603</v>
      </c>
      <c r="U2602" s="20" t="s">
        <v>5359</v>
      </c>
      <c r="V2602" s="16" t="s">
        <v>5388</v>
      </c>
      <c r="W2602" s="11" t="s">
        <v>14283</v>
      </c>
      <c r="X2602" s="174">
        <v>83.68</v>
      </c>
      <c r="Y2602" s="174">
        <v>112.3</v>
      </c>
    </row>
    <row r="2603" spans="1:25" ht="15" customHeight="1" x14ac:dyDescent="0.25">
      <c r="A2603" s="20" t="s">
        <v>2344</v>
      </c>
      <c r="B2603" s="14" t="s">
        <v>2345</v>
      </c>
      <c r="C2603" s="71" t="str">
        <f t="shared" si="56"/>
        <v>Product Info</v>
      </c>
      <c r="D2603" s="37" t="s">
        <v>2812</v>
      </c>
      <c r="E2603" s="143">
        <v>1</v>
      </c>
      <c r="F2603" s="12" t="s">
        <v>2170</v>
      </c>
      <c r="G2603" s="38">
        <v>158.79</v>
      </c>
      <c r="H2603" s="38">
        <v>134.97</v>
      </c>
      <c r="I2603" s="38">
        <v>111.15</v>
      </c>
      <c r="J2603" s="39">
        <v>25</v>
      </c>
      <c r="K2603" s="12" t="s">
        <v>8905</v>
      </c>
      <c r="L2603" s="22">
        <v>2.0550000000000002</v>
      </c>
      <c r="M2603" s="22" t="s">
        <v>12488</v>
      </c>
      <c r="N2603" s="20" t="s">
        <v>9444</v>
      </c>
      <c r="O2603" s="16" t="s">
        <v>12608</v>
      </c>
      <c r="P2603" s="143">
        <v>752</v>
      </c>
      <c r="Q2603" s="122" t="s">
        <v>14461</v>
      </c>
      <c r="R2603" s="16" t="s">
        <v>8904</v>
      </c>
      <c r="S2603" s="10" t="s">
        <v>1163</v>
      </c>
      <c r="T2603" s="28" t="s">
        <v>11604</v>
      </c>
      <c r="U2603" s="20" t="s">
        <v>5359</v>
      </c>
      <c r="V2603" s="16" t="s">
        <v>2344</v>
      </c>
      <c r="W2603" s="11" t="s">
        <v>14283</v>
      </c>
      <c r="X2603" s="174">
        <v>100.58</v>
      </c>
      <c r="Y2603" s="174">
        <v>134.97</v>
      </c>
    </row>
    <row r="2604" spans="1:25" ht="15" customHeight="1" x14ac:dyDescent="0.25">
      <c r="A2604" s="20" t="s">
        <v>2346</v>
      </c>
      <c r="B2604" s="14" t="s">
        <v>2347</v>
      </c>
      <c r="C2604" s="71" t="str">
        <f t="shared" si="56"/>
        <v>Product Info</v>
      </c>
      <c r="D2604" s="37" t="s">
        <v>2875</v>
      </c>
      <c r="E2604" s="143">
        <v>1</v>
      </c>
      <c r="F2604" s="12" t="s">
        <v>2170</v>
      </c>
      <c r="G2604" s="38">
        <v>182.24</v>
      </c>
      <c r="H2604" s="38">
        <v>154.91</v>
      </c>
      <c r="I2604" s="38">
        <v>127.57</v>
      </c>
      <c r="J2604" s="39">
        <v>25</v>
      </c>
      <c r="K2604" s="143"/>
      <c r="L2604" s="22">
        <v>0</v>
      </c>
      <c r="M2604" s="22">
        <v>0</v>
      </c>
      <c r="N2604" s="20" t="s">
        <v>14489</v>
      </c>
      <c r="O2604" s="16">
        <v>0</v>
      </c>
      <c r="P2604" s="143">
        <v>752</v>
      </c>
      <c r="Q2604" s="121" t="s">
        <v>14285</v>
      </c>
      <c r="R2604" s="16" t="s">
        <v>8904</v>
      </c>
      <c r="S2604" s="10" t="s">
        <v>1163</v>
      </c>
      <c r="T2604" s="28" t="s">
        <v>11605</v>
      </c>
      <c r="U2604" s="20" t="s">
        <v>5359</v>
      </c>
      <c r="V2604" s="16" t="s">
        <v>2346</v>
      </c>
      <c r="W2604" s="11" t="s">
        <v>14283</v>
      </c>
      <c r="X2604" s="174">
        <v>115.43</v>
      </c>
      <c r="Y2604" s="174">
        <v>154.91</v>
      </c>
    </row>
    <row r="2605" spans="1:25" ht="15" customHeight="1" x14ac:dyDescent="0.25">
      <c r="A2605" s="20" t="s">
        <v>2348</v>
      </c>
      <c r="B2605" s="14" t="s">
        <v>2349</v>
      </c>
      <c r="C2605" s="71" t="str">
        <f t="shared" si="56"/>
        <v>Product Info</v>
      </c>
      <c r="D2605" s="37" t="s">
        <v>2813</v>
      </c>
      <c r="E2605" s="143">
        <v>1</v>
      </c>
      <c r="F2605" s="12" t="s">
        <v>2170</v>
      </c>
      <c r="G2605" s="38">
        <v>177.61</v>
      </c>
      <c r="H2605" s="38">
        <v>150.97999999999999</v>
      </c>
      <c r="I2605" s="38">
        <v>124.33</v>
      </c>
      <c r="J2605" s="39">
        <v>25</v>
      </c>
      <c r="K2605" s="12" t="s">
        <v>8905</v>
      </c>
      <c r="L2605" s="22">
        <v>2.5499999999999998</v>
      </c>
      <c r="M2605" s="22" t="s">
        <v>12488</v>
      </c>
      <c r="N2605" s="20" t="s">
        <v>9427</v>
      </c>
      <c r="O2605" s="16" t="s">
        <v>12608</v>
      </c>
      <c r="P2605" s="143">
        <v>752</v>
      </c>
      <c r="Q2605" s="122" t="s">
        <v>14461</v>
      </c>
      <c r="R2605" s="16" t="s">
        <v>8904</v>
      </c>
      <c r="S2605" s="10" t="s">
        <v>1163</v>
      </c>
      <c r="T2605" s="28" t="s">
        <v>11606</v>
      </c>
      <c r="U2605" s="20" t="s">
        <v>5359</v>
      </c>
      <c r="V2605" s="16" t="s">
        <v>2348</v>
      </c>
      <c r="W2605" s="11" t="s">
        <v>14283</v>
      </c>
      <c r="X2605" s="174">
        <v>112.5</v>
      </c>
      <c r="Y2605" s="174">
        <v>150.97999999999999</v>
      </c>
    </row>
    <row r="2606" spans="1:25" ht="15" customHeight="1" x14ac:dyDescent="0.25">
      <c r="A2606" s="20" t="s">
        <v>5548</v>
      </c>
      <c r="B2606" s="14" t="s">
        <v>5549</v>
      </c>
      <c r="C2606" s="71" t="str">
        <f t="shared" si="56"/>
        <v>Product Info</v>
      </c>
      <c r="D2606" s="37" t="s">
        <v>7845</v>
      </c>
      <c r="E2606" s="143">
        <v>1</v>
      </c>
      <c r="F2606" s="12" t="s">
        <v>4992</v>
      </c>
      <c r="G2606" s="38">
        <v>249.91</v>
      </c>
      <c r="H2606" s="38">
        <v>212.43</v>
      </c>
      <c r="I2606" s="38">
        <v>174.94</v>
      </c>
      <c r="J2606" s="39">
        <v>25</v>
      </c>
      <c r="K2606" s="143"/>
      <c r="L2606" s="22">
        <v>0</v>
      </c>
      <c r="M2606" s="22">
        <v>0</v>
      </c>
      <c r="N2606" s="20" t="s">
        <v>14489</v>
      </c>
      <c r="O2606" s="16">
        <v>0</v>
      </c>
      <c r="P2606" s="143">
        <v>752</v>
      </c>
      <c r="Q2606" s="122" t="s">
        <v>12421</v>
      </c>
      <c r="R2606" s="16" t="s">
        <v>8904</v>
      </c>
      <c r="S2606" s="10" t="s">
        <v>1163</v>
      </c>
      <c r="T2606" s="28" t="s">
        <v>11607</v>
      </c>
      <c r="U2606" s="20" t="s">
        <v>5359</v>
      </c>
      <c r="V2606" s="16" t="s">
        <v>5548</v>
      </c>
      <c r="W2606" s="11" t="s">
        <v>14283</v>
      </c>
      <c r="X2606" s="174">
        <v>158.29</v>
      </c>
      <c r="Y2606" s="174">
        <v>212.43</v>
      </c>
    </row>
    <row r="2607" spans="1:25" ht="15" customHeight="1" x14ac:dyDescent="0.25">
      <c r="A2607" s="20" t="s">
        <v>5550</v>
      </c>
      <c r="B2607" s="14" t="s">
        <v>5377</v>
      </c>
      <c r="C2607" s="71" t="str">
        <f t="shared" si="56"/>
        <v>Product Info</v>
      </c>
      <c r="D2607" s="37" t="s">
        <v>2876</v>
      </c>
      <c r="E2607" s="143">
        <v>1</v>
      </c>
      <c r="F2607" s="12" t="s">
        <v>2170</v>
      </c>
      <c r="G2607" s="38">
        <v>224.33</v>
      </c>
      <c r="H2607" s="38">
        <v>190.69</v>
      </c>
      <c r="I2607" s="38">
        <v>157.03</v>
      </c>
      <c r="J2607" s="39">
        <v>25</v>
      </c>
      <c r="K2607" s="12" t="s">
        <v>8905</v>
      </c>
      <c r="L2607" s="22">
        <v>3</v>
      </c>
      <c r="M2607" s="22" t="s">
        <v>12488</v>
      </c>
      <c r="N2607" s="20" t="s">
        <v>9426</v>
      </c>
      <c r="O2607" s="16" t="s">
        <v>13914</v>
      </c>
      <c r="P2607" s="143">
        <v>752</v>
      </c>
      <c r="Q2607" s="122" t="s">
        <v>14461</v>
      </c>
      <c r="R2607" s="16" t="s">
        <v>8904</v>
      </c>
      <c r="S2607" s="10" t="s">
        <v>1163</v>
      </c>
      <c r="T2607" s="28" t="s">
        <v>11608</v>
      </c>
      <c r="U2607" s="20" t="s">
        <v>5359</v>
      </c>
      <c r="V2607" s="16" t="s">
        <v>5550</v>
      </c>
      <c r="W2607" s="11" t="s">
        <v>14283</v>
      </c>
      <c r="X2607" s="174">
        <v>142.1</v>
      </c>
      <c r="Y2607" s="174">
        <v>190.69</v>
      </c>
    </row>
    <row r="2608" spans="1:25" ht="15" customHeight="1" x14ac:dyDescent="0.25">
      <c r="A2608" s="20" t="s">
        <v>5378</v>
      </c>
      <c r="B2608" s="14" t="s">
        <v>5379</v>
      </c>
      <c r="C2608" s="71" t="str">
        <f t="shared" si="56"/>
        <v>Product Info</v>
      </c>
      <c r="D2608" s="37" t="s">
        <v>7568</v>
      </c>
      <c r="E2608" s="143">
        <v>1</v>
      </c>
      <c r="F2608" s="12" t="s">
        <v>2170</v>
      </c>
      <c r="G2608" s="38">
        <v>262.66000000000003</v>
      </c>
      <c r="H2608" s="38">
        <v>223.27</v>
      </c>
      <c r="I2608" s="38">
        <v>183.86</v>
      </c>
      <c r="J2608" s="39">
        <v>25</v>
      </c>
      <c r="K2608" s="143"/>
      <c r="L2608" s="22">
        <v>0</v>
      </c>
      <c r="M2608" s="22">
        <v>0</v>
      </c>
      <c r="N2608" s="20" t="s">
        <v>14489</v>
      </c>
      <c r="O2608" s="16">
        <v>0</v>
      </c>
      <c r="P2608" s="143">
        <v>752</v>
      </c>
      <c r="Q2608" s="121" t="s">
        <v>14285</v>
      </c>
      <c r="R2608" s="16" t="s">
        <v>8904</v>
      </c>
      <c r="S2608" s="10" t="s">
        <v>1163</v>
      </c>
      <c r="T2608" s="28" t="s">
        <v>11609</v>
      </c>
      <c r="U2608" s="20" t="s">
        <v>5359</v>
      </c>
      <c r="V2608" s="16" t="s">
        <v>5378</v>
      </c>
      <c r="W2608" s="11" t="s">
        <v>14283</v>
      </c>
      <c r="X2608" s="174">
        <v>166.37</v>
      </c>
      <c r="Y2608" s="174">
        <v>223.27</v>
      </c>
    </row>
    <row r="2609" spans="1:25" ht="15" customHeight="1" x14ac:dyDescent="0.25">
      <c r="A2609" s="20" t="s">
        <v>5380</v>
      </c>
      <c r="B2609" s="14" t="s">
        <v>5381</v>
      </c>
      <c r="C2609" s="71" t="str">
        <f t="shared" si="56"/>
        <v>Product Info</v>
      </c>
      <c r="D2609" s="37" t="s">
        <v>2877</v>
      </c>
      <c r="E2609" s="143">
        <v>1</v>
      </c>
      <c r="F2609" s="12" t="s">
        <v>2170</v>
      </c>
      <c r="G2609" s="38">
        <v>261.16000000000003</v>
      </c>
      <c r="H2609" s="38">
        <v>221.99</v>
      </c>
      <c r="I2609" s="38">
        <v>182.81</v>
      </c>
      <c r="J2609" s="39">
        <v>25</v>
      </c>
      <c r="K2609" s="143"/>
      <c r="L2609" s="22">
        <v>4.5</v>
      </c>
      <c r="M2609" s="22" t="s">
        <v>12488</v>
      </c>
      <c r="N2609" s="20" t="s">
        <v>9445</v>
      </c>
      <c r="O2609" s="16" t="s">
        <v>12608</v>
      </c>
      <c r="P2609" s="143">
        <v>752</v>
      </c>
      <c r="Q2609" s="121" t="s">
        <v>14285</v>
      </c>
      <c r="R2609" s="16" t="s">
        <v>8904</v>
      </c>
      <c r="S2609" s="10" t="s">
        <v>1163</v>
      </c>
      <c r="T2609" s="28" t="s">
        <v>11610</v>
      </c>
      <c r="U2609" s="20" t="s">
        <v>5359</v>
      </c>
      <c r="V2609" s="16" t="s">
        <v>5380</v>
      </c>
      <c r="W2609" s="11" t="s">
        <v>14283</v>
      </c>
      <c r="X2609" s="174">
        <v>165.43</v>
      </c>
      <c r="Y2609" s="174">
        <v>221.99</v>
      </c>
    </row>
    <row r="2610" spans="1:25" ht="15" customHeight="1" x14ac:dyDescent="0.25">
      <c r="A2610" s="20" t="s">
        <v>3450</v>
      </c>
      <c r="B2610" s="14" t="s">
        <v>3451</v>
      </c>
      <c r="C2610" s="71" t="str">
        <f t="shared" si="56"/>
        <v>Product Info</v>
      </c>
      <c r="D2610" s="37" t="s">
        <v>2878</v>
      </c>
      <c r="E2610" s="143">
        <v>1</v>
      </c>
      <c r="F2610" s="12" t="s">
        <v>2170</v>
      </c>
      <c r="G2610" s="38">
        <v>552.05999999999995</v>
      </c>
      <c r="H2610" s="38">
        <v>469.27</v>
      </c>
      <c r="I2610" s="38">
        <v>386.44</v>
      </c>
      <c r="J2610" s="39">
        <v>25</v>
      </c>
      <c r="K2610" s="143"/>
      <c r="L2610" s="22">
        <v>9.1</v>
      </c>
      <c r="M2610" s="22" t="s">
        <v>12488</v>
      </c>
      <c r="N2610" s="20" t="s">
        <v>9316</v>
      </c>
      <c r="O2610" s="16" t="s">
        <v>12608</v>
      </c>
      <c r="P2610" s="143">
        <v>752</v>
      </c>
      <c r="Q2610" s="122" t="s">
        <v>12421</v>
      </c>
      <c r="R2610" s="16" t="s">
        <v>8904</v>
      </c>
      <c r="S2610" s="10" t="s">
        <v>1163</v>
      </c>
      <c r="T2610" s="28" t="s">
        <v>11611</v>
      </c>
      <c r="U2610" s="20" t="s">
        <v>5359</v>
      </c>
      <c r="V2610" s="16" t="s">
        <v>3450</v>
      </c>
      <c r="W2610" s="11" t="s">
        <v>14283</v>
      </c>
      <c r="X2610" s="174">
        <v>349.68</v>
      </c>
      <c r="Y2610" s="174">
        <v>469.27</v>
      </c>
    </row>
    <row r="2611" spans="1:25" ht="15" customHeight="1" x14ac:dyDescent="0.25">
      <c r="A2611" s="20" t="s">
        <v>3678</v>
      </c>
      <c r="B2611" s="14" t="s">
        <v>3679</v>
      </c>
      <c r="C2611" s="71" t="str">
        <f t="shared" si="56"/>
        <v>Product Info</v>
      </c>
      <c r="D2611" s="37" t="s">
        <v>2879</v>
      </c>
      <c r="E2611" s="143">
        <v>1</v>
      </c>
      <c r="F2611" s="12" t="s">
        <v>2170</v>
      </c>
      <c r="G2611" s="38">
        <v>728.41</v>
      </c>
      <c r="H2611" s="38">
        <v>619.16999999999996</v>
      </c>
      <c r="I2611" s="38">
        <v>509.89</v>
      </c>
      <c r="J2611" s="39">
        <v>25</v>
      </c>
      <c r="K2611" s="12"/>
      <c r="L2611" s="22">
        <v>15.18</v>
      </c>
      <c r="M2611" s="22" t="s">
        <v>12488</v>
      </c>
      <c r="N2611" s="20" t="s">
        <v>9446</v>
      </c>
      <c r="O2611" s="16" t="s">
        <v>12608</v>
      </c>
      <c r="P2611" s="143">
        <v>752</v>
      </c>
      <c r="Q2611" s="122" t="s">
        <v>14461</v>
      </c>
      <c r="R2611" s="16" t="s">
        <v>8904</v>
      </c>
      <c r="S2611" s="10" t="s">
        <v>1163</v>
      </c>
      <c r="T2611" s="28" t="s">
        <v>11612</v>
      </c>
      <c r="U2611" s="20" t="s">
        <v>5359</v>
      </c>
      <c r="V2611" s="16" t="s">
        <v>3678</v>
      </c>
      <c r="W2611" s="11" t="s">
        <v>14283</v>
      </c>
      <c r="X2611" s="174">
        <v>461.4</v>
      </c>
      <c r="Y2611" s="174">
        <v>619.16999999999996</v>
      </c>
    </row>
    <row r="2612" spans="1:25" ht="15" customHeight="1" x14ac:dyDescent="0.25">
      <c r="A2612" s="20" t="s">
        <v>3680</v>
      </c>
      <c r="B2612" s="14" t="s">
        <v>3681</v>
      </c>
      <c r="C2612" s="71" t="str">
        <f t="shared" si="56"/>
        <v>Product Info</v>
      </c>
      <c r="D2612" s="37" t="s">
        <v>8927</v>
      </c>
      <c r="E2612" s="143">
        <v>1</v>
      </c>
      <c r="F2612" s="12" t="s">
        <v>2170</v>
      </c>
      <c r="G2612" s="38">
        <v>1092.54</v>
      </c>
      <c r="H2612" s="38">
        <v>928.69</v>
      </c>
      <c r="I2612" s="38">
        <v>764.78</v>
      </c>
      <c r="J2612" s="39">
        <v>25</v>
      </c>
      <c r="K2612" s="12"/>
      <c r="L2612" s="22">
        <v>19.8</v>
      </c>
      <c r="M2612" s="22" t="s">
        <v>12488</v>
      </c>
      <c r="N2612" s="20" t="s">
        <v>9447</v>
      </c>
      <c r="O2612" s="16" t="s">
        <v>12608</v>
      </c>
      <c r="P2612" s="143">
        <v>752</v>
      </c>
      <c r="Q2612" s="122" t="s">
        <v>14461</v>
      </c>
      <c r="R2612" s="16" t="s">
        <v>8904</v>
      </c>
      <c r="S2612" s="10" t="s">
        <v>1163</v>
      </c>
      <c r="T2612" s="28" t="s">
        <v>11613</v>
      </c>
      <c r="U2612" s="20" t="s">
        <v>5359</v>
      </c>
      <c r="V2612" s="16" t="s">
        <v>3680</v>
      </c>
      <c r="W2612" s="11" t="s">
        <v>14283</v>
      </c>
      <c r="X2612" s="174">
        <v>692.04</v>
      </c>
      <c r="Y2612" s="174">
        <v>928.69</v>
      </c>
    </row>
    <row r="2613" spans="1:25" ht="15" customHeight="1" x14ac:dyDescent="0.25">
      <c r="A2613" s="20" t="s">
        <v>3682</v>
      </c>
      <c r="B2613" s="14" t="s">
        <v>3683</v>
      </c>
      <c r="C2613" s="71" t="str">
        <f t="shared" si="56"/>
        <v>Product Info</v>
      </c>
      <c r="D2613" s="37" t="s">
        <v>2880</v>
      </c>
      <c r="E2613" s="143">
        <v>1</v>
      </c>
      <c r="F2613" s="12" t="s">
        <v>2170</v>
      </c>
      <c r="G2613" s="38">
        <v>1890.34</v>
      </c>
      <c r="H2613" s="38">
        <v>1606.85</v>
      </c>
      <c r="I2613" s="38">
        <v>1323.24</v>
      </c>
      <c r="J2613" s="39">
        <v>25</v>
      </c>
      <c r="K2613" s="143"/>
      <c r="L2613" s="22">
        <v>20</v>
      </c>
      <c r="M2613" s="22" t="s">
        <v>12488</v>
      </c>
      <c r="N2613" s="20" t="s">
        <v>9450</v>
      </c>
      <c r="O2613" s="16" t="s">
        <v>12608</v>
      </c>
      <c r="P2613" s="143">
        <v>752</v>
      </c>
      <c r="Q2613" s="122" t="s">
        <v>9227</v>
      </c>
      <c r="R2613" s="16" t="s">
        <v>8904</v>
      </c>
      <c r="S2613" s="10" t="s">
        <v>1163</v>
      </c>
      <c r="T2613" s="28" t="s">
        <v>11614</v>
      </c>
      <c r="U2613" s="20" t="s">
        <v>5359</v>
      </c>
      <c r="V2613" s="16" t="s">
        <v>3682</v>
      </c>
      <c r="W2613" s="11" t="s">
        <v>14283</v>
      </c>
      <c r="X2613" s="174">
        <v>1197.3900000000001</v>
      </c>
      <c r="Y2613" s="174">
        <v>1606.85</v>
      </c>
    </row>
    <row r="2614" spans="1:25" ht="15" customHeight="1" x14ac:dyDescent="0.25">
      <c r="A2614" s="20" t="s">
        <v>849</v>
      </c>
      <c r="B2614" s="14" t="s">
        <v>850</v>
      </c>
      <c r="C2614" s="71" t="str">
        <f t="shared" si="56"/>
        <v>Product Info</v>
      </c>
      <c r="D2614" s="37" t="s">
        <v>174</v>
      </c>
      <c r="E2614" s="143">
        <v>1</v>
      </c>
      <c r="F2614" s="12" t="s">
        <v>4992</v>
      </c>
      <c r="G2614" s="38">
        <v>2332.91</v>
      </c>
      <c r="H2614" s="38">
        <v>1983.05</v>
      </c>
      <c r="I2614" s="38">
        <v>1633.04</v>
      </c>
      <c r="J2614" s="39">
        <v>25</v>
      </c>
      <c r="K2614" s="143"/>
      <c r="L2614" s="22">
        <v>28.14</v>
      </c>
      <c r="M2614" s="22" t="s">
        <v>12488</v>
      </c>
      <c r="N2614" s="20" t="s">
        <v>9448</v>
      </c>
      <c r="O2614" s="16" t="s">
        <v>12608</v>
      </c>
      <c r="P2614" s="143">
        <v>752</v>
      </c>
      <c r="Q2614" s="121" t="s">
        <v>14285</v>
      </c>
      <c r="R2614" s="16" t="s">
        <v>8904</v>
      </c>
      <c r="S2614" s="10" t="s">
        <v>1163</v>
      </c>
      <c r="T2614" s="28" t="s">
        <v>11615</v>
      </c>
      <c r="U2614" s="20" t="s">
        <v>5359</v>
      </c>
      <c r="V2614" s="16" t="s">
        <v>849</v>
      </c>
      <c r="W2614" s="11" t="s">
        <v>14283</v>
      </c>
      <c r="X2614" s="174">
        <v>1477.73</v>
      </c>
      <c r="Y2614" s="174">
        <v>1983.05</v>
      </c>
    </row>
    <row r="2615" spans="1:25" ht="15" customHeight="1" x14ac:dyDescent="0.25">
      <c r="A2615" s="20" t="s">
        <v>3684</v>
      </c>
      <c r="B2615" s="14" t="s">
        <v>3685</v>
      </c>
      <c r="C2615" s="71" t="str">
        <f t="shared" si="56"/>
        <v>Product Info</v>
      </c>
      <c r="D2615" s="37" t="s">
        <v>2881</v>
      </c>
      <c r="E2615" s="143">
        <v>1</v>
      </c>
      <c r="F2615" s="12" t="s">
        <v>2170</v>
      </c>
      <c r="G2615" s="38">
        <v>2402.04</v>
      </c>
      <c r="H2615" s="38">
        <v>2041.81</v>
      </c>
      <c r="I2615" s="38">
        <v>1681.43</v>
      </c>
      <c r="J2615" s="39">
        <v>25</v>
      </c>
      <c r="K2615" s="143"/>
      <c r="L2615" s="22">
        <v>23.58</v>
      </c>
      <c r="M2615" s="22" t="s">
        <v>12488</v>
      </c>
      <c r="N2615" s="20" t="s">
        <v>9449</v>
      </c>
      <c r="O2615" s="16" t="s">
        <v>12608</v>
      </c>
      <c r="P2615" s="143">
        <v>752</v>
      </c>
      <c r="Q2615" s="122" t="s">
        <v>12421</v>
      </c>
      <c r="R2615" s="16" t="s">
        <v>8904</v>
      </c>
      <c r="S2615" s="10" t="s">
        <v>1163</v>
      </c>
      <c r="T2615" s="28" t="s">
        <v>11616</v>
      </c>
      <c r="U2615" s="20" t="s">
        <v>5359</v>
      </c>
      <c r="V2615" s="16" t="s">
        <v>3684</v>
      </c>
      <c r="W2615" s="11" t="s">
        <v>14283</v>
      </c>
      <c r="X2615" s="174">
        <v>1521.51</v>
      </c>
      <c r="Y2615" s="174">
        <v>2041.81</v>
      </c>
    </row>
    <row r="2616" spans="1:25" ht="15" customHeight="1" x14ac:dyDescent="0.25">
      <c r="A2616" s="20" t="s">
        <v>851</v>
      </c>
      <c r="B2616" s="14" t="s">
        <v>852</v>
      </c>
      <c r="C2616" s="71" t="str">
        <f t="shared" si="56"/>
        <v>Product Info</v>
      </c>
      <c r="D2616" s="37" t="s">
        <v>175</v>
      </c>
      <c r="E2616" s="143">
        <v>1</v>
      </c>
      <c r="F2616" s="12" t="s">
        <v>4992</v>
      </c>
      <c r="G2616" s="38">
        <v>3073.33</v>
      </c>
      <c r="H2616" s="38">
        <v>2612.42</v>
      </c>
      <c r="I2616" s="38">
        <v>2151.33</v>
      </c>
      <c r="J2616" s="39">
        <v>25</v>
      </c>
      <c r="K2616" s="143"/>
      <c r="L2616" s="22">
        <v>0</v>
      </c>
      <c r="M2616" s="22">
        <v>0</v>
      </c>
      <c r="N2616" s="20" t="s">
        <v>14489</v>
      </c>
      <c r="O2616" s="16">
        <v>0</v>
      </c>
      <c r="P2616" s="143">
        <v>752</v>
      </c>
      <c r="Q2616" s="121" t="s">
        <v>14285</v>
      </c>
      <c r="R2616" s="16" t="s">
        <v>8904</v>
      </c>
      <c r="S2616" s="10" t="s">
        <v>1163</v>
      </c>
      <c r="T2616" s="28" t="s">
        <v>11617</v>
      </c>
      <c r="U2616" s="20" t="s">
        <v>5359</v>
      </c>
      <c r="V2616" s="16" t="s">
        <v>851</v>
      </c>
      <c r="W2616" s="11" t="s">
        <v>14283</v>
      </c>
      <c r="X2616" s="174">
        <v>1891.63</v>
      </c>
      <c r="Y2616" s="174">
        <v>2612.42</v>
      </c>
    </row>
    <row r="2617" spans="1:25" ht="15" customHeight="1" x14ac:dyDescent="0.25">
      <c r="A2617" s="20" t="s">
        <v>3686</v>
      </c>
      <c r="B2617" s="14" t="s">
        <v>3687</v>
      </c>
      <c r="C2617" s="71" t="str">
        <f t="shared" si="56"/>
        <v>Product Info</v>
      </c>
      <c r="D2617" s="37" t="s">
        <v>2882</v>
      </c>
      <c r="E2617" s="143">
        <v>1</v>
      </c>
      <c r="F2617" s="12" t="s">
        <v>2170</v>
      </c>
      <c r="G2617" s="38">
        <v>2777.19</v>
      </c>
      <c r="H2617" s="38">
        <v>2360.69</v>
      </c>
      <c r="I2617" s="38">
        <v>1944.03</v>
      </c>
      <c r="J2617" s="39">
        <v>25</v>
      </c>
      <c r="K2617" s="12"/>
      <c r="L2617" s="22">
        <v>26.69</v>
      </c>
      <c r="M2617" s="22" t="s">
        <v>12488</v>
      </c>
      <c r="N2617" s="20" t="s">
        <v>9450</v>
      </c>
      <c r="O2617" s="16" t="s">
        <v>12608</v>
      </c>
      <c r="P2617" s="143">
        <v>752</v>
      </c>
      <c r="Q2617" s="122" t="s">
        <v>14461</v>
      </c>
      <c r="R2617" s="16" t="s">
        <v>8904</v>
      </c>
      <c r="S2617" s="10" t="s">
        <v>1163</v>
      </c>
      <c r="T2617" s="28" t="s">
        <v>11618</v>
      </c>
      <c r="U2617" s="20" t="s">
        <v>5359</v>
      </c>
      <c r="V2617" s="16" t="s">
        <v>3686</v>
      </c>
      <c r="W2617" s="11" t="s">
        <v>14283</v>
      </c>
      <c r="X2617" s="174">
        <v>1759.14</v>
      </c>
      <c r="Y2617" s="174">
        <v>2360.69</v>
      </c>
    </row>
    <row r="2618" spans="1:25" ht="15" customHeight="1" x14ac:dyDescent="0.25">
      <c r="A2618" s="20" t="s">
        <v>853</v>
      </c>
      <c r="B2618" s="14" t="s">
        <v>854</v>
      </c>
      <c r="C2618" s="71" t="str">
        <f t="shared" si="56"/>
        <v>Product Info</v>
      </c>
      <c r="D2618" s="37" t="s">
        <v>176</v>
      </c>
      <c r="E2618" s="143">
        <v>1</v>
      </c>
      <c r="F2618" s="12" t="s">
        <v>4992</v>
      </c>
      <c r="G2618" s="38">
        <v>3283.14</v>
      </c>
      <c r="H2618" s="38">
        <v>2790.77</v>
      </c>
      <c r="I2618" s="38">
        <v>2298.1999999999998</v>
      </c>
      <c r="J2618" s="39">
        <v>25</v>
      </c>
      <c r="K2618" s="143"/>
      <c r="L2618" s="22">
        <v>0</v>
      </c>
      <c r="M2618" s="22">
        <v>0</v>
      </c>
      <c r="N2618" s="20" t="s">
        <v>14489</v>
      </c>
      <c r="O2618" s="16">
        <v>0</v>
      </c>
      <c r="P2618" s="143">
        <v>752</v>
      </c>
      <c r="Q2618" s="121" t="s">
        <v>14285</v>
      </c>
      <c r="R2618" s="16" t="s">
        <v>8904</v>
      </c>
      <c r="S2618" s="10" t="s">
        <v>1163</v>
      </c>
      <c r="T2618" s="28" t="s">
        <v>11619</v>
      </c>
      <c r="U2618" s="20" t="s">
        <v>5359</v>
      </c>
      <c r="V2618" s="16" t="s">
        <v>853</v>
      </c>
      <c r="W2618" s="11" t="s">
        <v>14283</v>
      </c>
      <c r="X2618" s="174">
        <v>2001.88</v>
      </c>
      <c r="Y2618" s="174">
        <v>2790.77</v>
      </c>
    </row>
    <row r="2619" spans="1:25" ht="15" customHeight="1" x14ac:dyDescent="0.25">
      <c r="A2619" s="20" t="s">
        <v>3688</v>
      </c>
      <c r="B2619" s="14" t="s">
        <v>3689</v>
      </c>
      <c r="C2619" s="71" t="str">
        <f t="shared" si="56"/>
        <v>Product Info</v>
      </c>
      <c r="D2619" s="37" t="s">
        <v>2883</v>
      </c>
      <c r="E2619" s="143">
        <v>1</v>
      </c>
      <c r="F2619" s="12" t="s">
        <v>2170</v>
      </c>
      <c r="G2619" s="38">
        <v>2924.59</v>
      </c>
      <c r="H2619" s="38">
        <v>2485.9899999999998</v>
      </c>
      <c r="I2619" s="38">
        <v>2047.21</v>
      </c>
      <c r="J2619" s="39">
        <v>25</v>
      </c>
      <c r="K2619" s="143"/>
      <c r="L2619" s="22">
        <v>35</v>
      </c>
      <c r="M2619" s="22" t="s">
        <v>12488</v>
      </c>
      <c r="N2619" s="20" t="s">
        <v>9437</v>
      </c>
      <c r="O2619" s="16" t="s">
        <v>12608</v>
      </c>
      <c r="P2619" s="143">
        <v>752</v>
      </c>
      <c r="Q2619" s="121" t="s">
        <v>14285</v>
      </c>
      <c r="R2619" s="16" t="s">
        <v>8904</v>
      </c>
      <c r="S2619" s="10" t="s">
        <v>1163</v>
      </c>
      <c r="T2619" s="28" t="s">
        <v>11620</v>
      </c>
      <c r="U2619" s="20" t="s">
        <v>5359</v>
      </c>
      <c r="V2619" s="16" t="s">
        <v>3688</v>
      </c>
      <c r="W2619" s="11" t="s">
        <v>14283</v>
      </c>
      <c r="X2619" s="174">
        <v>1852.5</v>
      </c>
      <c r="Y2619" s="174">
        <v>2485.9899999999998</v>
      </c>
    </row>
    <row r="2620" spans="1:25" ht="15" customHeight="1" x14ac:dyDescent="0.25">
      <c r="A2620" s="20" t="s">
        <v>3690</v>
      </c>
      <c r="B2620" s="14" t="s">
        <v>3691</v>
      </c>
      <c r="C2620" s="71" t="str">
        <f t="shared" si="56"/>
        <v>Product Info</v>
      </c>
      <c r="D2620" s="37" t="s">
        <v>2884</v>
      </c>
      <c r="E2620" s="143">
        <v>1</v>
      </c>
      <c r="F2620" s="12" t="s">
        <v>2170</v>
      </c>
      <c r="G2620" s="38">
        <v>2197.59</v>
      </c>
      <c r="H2620" s="38">
        <v>1868.01</v>
      </c>
      <c r="I2620" s="38">
        <v>1538.31</v>
      </c>
      <c r="J2620" s="39">
        <v>25</v>
      </c>
      <c r="K2620" s="143"/>
      <c r="L2620" s="22">
        <v>22</v>
      </c>
      <c r="M2620" s="22" t="s">
        <v>12488</v>
      </c>
      <c r="N2620" s="20" t="s">
        <v>9451</v>
      </c>
      <c r="O2620" s="16" t="s">
        <v>12608</v>
      </c>
      <c r="P2620" s="143">
        <v>752</v>
      </c>
      <c r="Q2620" s="121" t="s">
        <v>14285</v>
      </c>
      <c r="R2620" s="16" t="s">
        <v>8904</v>
      </c>
      <c r="S2620" s="10" t="s">
        <v>1163</v>
      </c>
      <c r="T2620" s="28" t="s">
        <v>11621</v>
      </c>
      <c r="U2620" s="20" t="s">
        <v>5359</v>
      </c>
      <c r="V2620" s="16" t="s">
        <v>3690</v>
      </c>
      <c r="W2620" s="11" t="s">
        <v>14283</v>
      </c>
      <c r="X2620" s="174">
        <v>1392</v>
      </c>
      <c r="Y2620" s="174">
        <v>1868.01</v>
      </c>
    </row>
    <row r="2621" spans="1:25" ht="15" customHeight="1" x14ac:dyDescent="0.25">
      <c r="A2621" s="20" t="s">
        <v>3692</v>
      </c>
      <c r="B2621" s="14" t="s">
        <v>3693</v>
      </c>
      <c r="C2621" s="71" t="str">
        <f t="shared" si="56"/>
        <v>Product Info</v>
      </c>
      <c r="D2621" s="37" t="s">
        <v>4994</v>
      </c>
      <c r="E2621" s="143">
        <v>1</v>
      </c>
      <c r="F2621" s="12" t="s">
        <v>2170</v>
      </c>
      <c r="G2621" s="38">
        <v>2662.39</v>
      </c>
      <c r="H2621" s="38">
        <v>2263.11</v>
      </c>
      <c r="I2621" s="38">
        <v>1863.67</v>
      </c>
      <c r="J2621" s="39">
        <v>25</v>
      </c>
      <c r="K2621" s="143"/>
      <c r="L2621" s="22">
        <v>25</v>
      </c>
      <c r="M2621" s="22" t="s">
        <v>12488</v>
      </c>
      <c r="N2621" s="20" t="s">
        <v>14275</v>
      </c>
      <c r="O2621" s="16" t="s">
        <v>12608</v>
      </c>
      <c r="P2621" s="143">
        <v>752</v>
      </c>
      <c r="Q2621" s="121" t="s">
        <v>14285</v>
      </c>
      <c r="R2621" s="16" t="s">
        <v>8904</v>
      </c>
      <c r="S2621" s="10" t="s">
        <v>1163</v>
      </c>
      <c r="T2621" s="28" t="s">
        <v>11622</v>
      </c>
      <c r="U2621" s="20" t="s">
        <v>5359</v>
      </c>
      <c r="V2621" s="16" t="s">
        <v>3692</v>
      </c>
      <c r="W2621" s="11" t="s">
        <v>14283</v>
      </c>
      <c r="X2621" s="174">
        <v>1686.42</v>
      </c>
      <c r="Y2621" s="174">
        <v>2263.11</v>
      </c>
    </row>
    <row r="2622" spans="1:25" ht="15" customHeight="1" x14ac:dyDescent="0.25">
      <c r="A2622" s="20" t="s">
        <v>3694</v>
      </c>
      <c r="B2622" s="14" t="s">
        <v>3695</v>
      </c>
      <c r="C2622" s="71" t="str">
        <f t="shared" si="56"/>
        <v>Product Info</v>
      </c>
      <c r="D2622" s="37" t="s">
        <v>4995</v>
      </c>
      <c r="E2622" s="143">
        <v>1</v>
      </c>
      <c r="F2622" s="12" t="s">
        <v>2170</v>
      </c>
      <c r="G2622" s="38">
        <v>3046.13</v>
      </c>
      <c r="H2622" s="38">
        <v>2589.3000000000002</v>
      </c>
      <c r="I2622" s="38">
        <v>2132.29</v>
      </c>
      <c r="J2622" s="39">
        <v>25</v>
      </c>
      <c r="K2622" s="143"/>
      <c r="L2622" s="22">
        <v>26</v>
      </c>
      <c r="M2622" s="22" t="s">
        <v>12488</v>
      </c>
      <c r="N2622" s="20" t="s">
        <v>9354</v>
      </c>
      <c r="O2622" s="16" t="s">
        <v>12608</v>
      </c>
      <c r="P2622" s="143">
        <v>752</v>
      </c>
      <c r="Q2622" s="121" t="s">
        <v>14285</v>
      </c>
      <c r="R2622" s="16" t="s">
        <v>8904</v>
      </c>
      <c r="S2622" s="10" t="s">
        <v>1163</v>
      </c>
      <c r="T2622" s="28" t="s">
        <v>11623</v>
      </c>
      <c r="U2622" s="20" t="s">
        <v>5359</v>
      </c>
      <c r="V2622" s="16" t="s">
        <v>3694</v>
      </c>
      <c r="W2622" s="11" t="s">
        <v>14283</v>
      </c>
      <c r="X2622" s="174">
        <v>1929.48</v>
      </c>
      <c r="Y2622" s="174">
        <v>2589.3000000000002</v>
      </c>
    </row>
    <row r="2623" spans="1:25" ht="15" customHeight="1" x14ac:dyDescent="0.25">
      <c r="A2623" s="20" t="s">
        <v>3696</v>
      </c>
      <c r="B2623" s="14" t="s">
        <v>3697</v>
      </c>
      <c r="C2623" s="71" t="str">
        <f t="shared" si="56"/>
        <v>Product Info</v>
      </c>
      <c r="D2623" s="37" t="s">
        <v>4996</v>
      </c>
      <c r="E2623" s="143">
        <v>1</v>
      </c>
      <c r="F2623" s="12" t="s">
        <v>2170</v>
      </c>
      <c r="G2623" s="38">
        <v>636.19000000000005</v>
      </c>
      <c r="H2623" s="38">
        <v>540.78</v>
      </c>
      <c r="I2623" s="38">
        <v>445.33</v>
      </c>
      <c r="J2623" s="39">
        <v>25</v>
      </c>
      <c r="K2623" s="143"/>
      <c r="L2623" s="22">
        <v>7</v>
      </c>
      <c r="M2623" s="22" t="s">
        <v>12488</v>
      </c>
      <c r="N2623" s="20" t="s">
        <v>9345</v>
      </c>
      <c r="O2623" s="16" t="s">
        <v>12608</v>
      </c>
      <c r="P2623" s="143">
        <v>752</v>
      </c>
      <c r="Q2623" s="121" t="s">
        <v>14285</v>
      </c>
      <c r="R2623" s="16" t="s">
        <v>8904</v>
      </c>
      <c r="S2623" s="10" t="s">
        <v>1163</v>
      </c>
      <c r="T2623" s="28" t="s">
        <v>11624</v>
      </c>
      <c r="U2623" s="20" t="s">
        <v>5359</v>
      </c>
      <c r="V2623" s="16" t="s">
        <v>3696</v>
      </c>
      <c r="W2623" s="11" t="s">
        <v>14283</v>
      </c>
      <c r="X2623" s="174">
        <v>402.98</v>
      </c>
      <c r="Y2623" s="174">
        <v>540.78</v>
      </c>
    </row>
    <row r="2624" spans="1:25" ht="15" customHeight="1" x14ac:dyDescent="0.25">
      <c r="A2624" s="20" t="s">
        <v>3698</v>
      </c>
      <c r="B2624" s="14" t="s">
        <v>3699</v>
      </c>
      <c r="C2624" s="71" t="str">
        <f t="shared" si="56"/>
        <v>Product Info</v>
      </c>
      <c r="D2624" s="37" t="s">
        <v>4997</v>
      </c>
      <c r="E2624" s="143">
        <v>1</v>
      </c>
      <c r="F2624" s="12" t="s">
        <v>2170</v>
      </c>
      <c r="G2624" s="38">
        <v>721.1</v>
      </c>
      <c r="H2624" s="38">
        <v>612.96</v>
      </c>
      <c r="I2624" s="38">
        <v>504.77</v>
      </c>
      <c r="J2624" s="39">
        <v>25</v>
      </c>
      <c r="K2624" s="143"/>
      <c r="L2624" s="22">
        <v>9.5</v>
      </c>
      <c r="M2624" s="22" t="s">
        <v>12488</v>
      </c>
      <c r="N2624" s="20" t="s">
        <v>9345</v>
      </c>
      <c r="O2624" s="16" t="s">
        <v>12608</v>
      </c>
      <c r="P2624" s="143">
        <v>752</v>
      </c>
      <c r="Q2624" s="122" t="s">
        <v>12421</v>
      </c>
      <c r="R2624" s="16" t="s">
        <v>8904</v>
      </c>
      <c r="S2624" s="10" t="s">
        <v>1163</v>
      </c>
      <c r="T2624" s="28" t="s">
        <v>11625</v>
      </c>
      <c r="U2624" s="20" t="s">
        <v>5359</v>
      </c>
      <c r="V2624" s="16" t="s">
        <v>3698</v>
      </c>
      <c r="W2624" s="11" t="s">
        <v>14283</v>
      </c>
      <c r="X2624" s="174">
        <v>456.77</v>
      </c>
      <c r="Y2624" s="174">
        <v>612.96</v>
      </c>
    </row>
    <row r="2625" spans="1:25" ht="15" customHeight="1" x14ac:dyDescent="0.25">
      <c r="A2625" s="20" t="s">
        <v>3700</v>
      </c>
      <c r="B2625" s="14" t="s">
        <v>3701</v>
      </c>
      <c r="C2625" s="71" t="str">
        <f t="shared" si="56"/>
        <v>Product Info</v>
      </c>
      <c r="D2625" s="37" t="s">
        <v>4998</v>
      </c>
      <c r="E2625" s="143">
        <v>1</v>
      </c>
      <c r="F2625" s="12" t="s">
        <v>2170</v>
      </c>
      <c r="G2625" s="38">
        <v>1054.43</v>
      </c>
      <c r="H2625" s="38">
        <v>896.3</v>
      </c>
      <c r="I2625" s="38">
        <v>738.1</v>
      </c>
      <c r="J2625" s="39">
        <v>25</v>
      </c>
      <c r="K2625" s="143"/>
      <c r="L2625" s="22">
        <v>20</v>
      </c>
      <c r="M2625" s="22" t="s">
        <v>12488</v>
      </c>
      <c r="N2625" s="20" t="s">
        <v>9354</v>
      </c>
      <c r="O2625" s="16" t="s">
        <v>12608</v>
      </c>
      <c r="P2625" s="143">
        <v>752</v>
      </c>
      <c r="Q2625" s="121" t="s">
        <v>14285</v>
      </c>
      <c r="R2625" s="16" t="s">
        <v>8904</v>
      </c>
      <c r="S2625" s="10" t="s">
        <v>1163</v>
      </c>
      <c r="T2625" s="28" t="s">
        <v>11626</v>
      </c>
      <c r="U2625" s="20" t="s">
        <v>5359</v>
      </c>
      <c r="V2625" s="16" t="s">
        <v>3700</v>
      </c>
      <c r="W2625" s="11" t="s">
        <v>14283</v>
      </c>
      <c r="X2625" s="174">
        <v>625.4</v>
      </c>
      <c r="Y2625" s="174">
        <v>896.3</v>
      </c>
    </row>
    <row r="2626" spans="1:25" ht="15" customHeight="1" x14ac:dyDescent="0.25">
      <c r="A2626" s="20" t="s">
        <v>3702</v>
      </c>
      <c r="B2626" s="14" t="s">
        <v>3703</v>
      </c>
      <c r="C2626" s="71" t="str">
        <f t="shared" si="56"/>
        <v>Product Info</v>
      </c>
      <c r="D2626" s="37" t="s">
        <v>4999</v>
      </c>
      <c r="E2626" s="143">
        <v>1</v>
      </c>
      <c r="F2626" s="12" t="s">
        <v>2170</v>
      </c>
      <c r="G2626" s="38">
        <v>1028.0899999999999</v>
      </c>
      <c r="H2626" s="38">
        <v>873.9</v>
      </c>
      <c r="I2626" s="38">
        <v>719.66</v>
      </c>
      <c r="J2626" s="39">
        <v>25</v>
      </c>
      <c r="K2626" s="143"/>
      <c r="L2626" s="22">
        <v>19</v>
      </c>
      <c r="M2626" s="22" t="s">
        <v>12488</v>
      </c>
      <c r="N2626" s="20" t="s">
        <v>9316</v>
      </c>
      <c r="O2626" s="16" t="s">
        <v>12608</v>
      </c>
      <c r="P2626" s="143">
        <v>752</v>
      </c>
      <c r="Q2626" s="122" t="s">
        <v>12421</v>
      </c>
      <c r="R2626" s="16" t="s">
        <v>8904</v>
      </c>
      <c r="S2626" s="10" t="s">
        <v>1163</v>
      </c>
      <c r="T2626" s="28" t="s">
        <v>11627</v>
      </c>
      <c r="U2626" s="20" t="s">
        <v>5359</v>
      </c>
      <c r="V2626" s="16" t="s">
        <v>3702</v>
      </c>
      <c r="W2626" s="11" t="s">
        <v>14283</v>
      </c>
      <c r="X2626" s="174">
        <v>651.22</v>
      </c>
      <c r="Y2626" s="174">
        <v>873.9</v>
      </c>
    </row>
    <row r="2627" spans="1:25" ht="15" customHeight="1" x14ac:dyDescent="0.25">
      <c r="A2627" s="20" t="s">
        <v>5263</v>
      </c>
      <c r="B2627" s="14" t="s">
        <v>5264</v>
      </c>
      <c r="C2627" s="71" t="str">
        <f t="shared" si="56"/>
        <v>Product Info</v>
      </c>
      <c r="D2627" s="37" t="s">
        <v>5000</v>
      </c>
      <c r="E2627" s="143">
        <v>1</v>
      </c>
      <c r="F2627" s="12" t="s">
        <v>2170</v>
      </c>
      <c r="G2627" s="38">
        <v>1263.26</v>
      </c>
      <c r="H2627" s="38">
        <v>1073.81</v>
      </c>
      <c r="I2627" s="38">
        <v>884.28</v>
      </c>
      <c r="J2627" s="39">
        <v>25</v>
      </c>
      <c r="K2627" s="143"/>
      <c r="L2627" s="22">
        <v>20.5</v>
      </c>
      <c r="M2627" s="22" t="s">
        <v>12488</v>
      </c>
      <c r="N2627" s="20" t="s">
        <v>9316</v>
      </c>
      <c r="O2627" s="16" t="s">
        <v>12608</v>
      </c>
      <c r="P2627" s="143">
        <v>752</v>
      </c>
      <c r="Q2627" s="122" t="s">
        <v>12421</v>
      </c>
      <c r="R2627" s="16" t="s">
        <v>8904</v>
      </c>
      <c r="S2627" s="10" t="s">
        <v>1163</v>
      </c>
      <c r="T2627" s="28" t="s">
        <v>11628</v>
      </c>
      <c r="U2627" s="20" t="s">
        <v>5359</v>
      </c>
      <c r="V2627" s="16" t="s">
        <v>5263</v>
      </c>
      <c r="W2627" s="11" t="s">
        <v>14283</v>
      </c>
      <c r="X2627" s="174">
        <v>749.26</v>
      </c>
      <c r="Y2627" s="174">
        <v>1073.81</v>
      </c>
    </row>
    <row r="2628" spans="1:25" ht="15" customHeight="1" x14ac:dyDescent="0.25">
      <c r="A2628" s="20" t="s">
        <v>5265</v>
      </c>
      <c r="B2628" s="14" t="s">
        <v>5266</v>
      </c>
      <c r="C2628" s="71" t="str">
        <f t="shared" si="56"/>
        <v>Product Info</v>
      </c>
      <c r="D2628" s="37" t="s">
        <v>5001</v>
      </c>
      <c r="E2628" s="143">
        <v>1</v>
      </c>
      <c r="F2628" s="12" t="s">
        <v>2170</v>
      </c>
      <c r="G2628" s="38">
        <v>1425.47</v>
      </c>
      <c r="H2628" s="38">
        <v>1211.69</v>
      </c>
      <c r="I2628" s="38">
        <v>997.83</v>
      </c>
      <c r="J2628" s="39">
        <v>25</v>
      </c>
      <c r="K2628" s="143"/>
      <c r="L2628" s="22">
        <v>22</v>
      </c>
      <c r="M2628" s="22" t="s">
        <v>12488</v>
      </c>
      <c r="N2628" s="20" t="s">
        <v>9452</v>
      </c>
      <c r="O2628" s="16" t="s">
        <v>12608</v>
      </c>
      <c r="P2628" s="143">
        <v>752</v>
      </c>
      <c r="Q2628" s="122" t="s">
        <v>12421</v>
      </c>
      <c r="R2628" s="16" t="s">
        <v>8904</v>
      </c>
      <c r="S2628" s="10" t="s">
        <v>1163</v>
      </c>
      <c r="T2628" s="28" t="s">
        <v>11629</v>
      </c>
      <c r="U2628" s="20" t="s">
        <v>5359</v>
      </c>
      <c r="V2628" s="16" t="s">
        <v>5265</v>
      </c>
      <c r="W2628" s="11" t="s">
        <v>14283</v>
      </c>
      <c r="X2628" s="174">
        <v>902.93</v>
      </c>
      <c r="Y2628" s="174">
        <v>1211.69</v>
      </c>
    </row>
    <row r="2629" spans="1:25" ht="15" customHeight="1" x14ac:dyDescent="0.25">
      <c r="A2629" s="20" t="s">
        <v>5267</v>
      </c>
      <c r="B2629" s="14" t="s">
        <v>5268</v>
      </c>
      <c r="C2629" s="71" t="str">
        <f t="shared" si="56"/>
        <v>Product Info</v>
      </c>
      <c r="D2629" s="37" t="s">
        <v>5002</v>
      </c>
      <c r="E2629" s="143">
        <v>1</v>
      </c>
      <c r="F2629" s="12" t="s">
        <v>2170</v>
      </c>
      <c r="G2629" s="38">
        <v>1577.97</v>
      </c>
      <c r="H2629" s="38">
        <v>1341.32</v>
      </c>
      <c r="I2629" s="38">
        <v>1104.58</v>
      </c>
      <c r="J2629" s="39">
        <v>25</v>
      </c>
      <c r="K2629" s="143"/>
      <c r="L2629" s="22">
        <v>20.3</v>
      </c>
      <c r="M2629" s="22" t="s">
        <v>12488</v>
      </c>
      <c r="N2629" s="20" t="s">
        <v>9453</v>
      </c>
      <c r="O2629" s="16" t="s">
        <v>12608</v>
      </c>
      <c r="P2629" s="143">
        <v>752</v>
      </c>
      <c r="Q2629" s="121" t="s">
        <v>14285</v>
      </c>
      <c r="R2629" s="16" t="s">
        <v>8904</v>
      </c>
      <c r="S2629" s="10" t="s">
        <v>1163</v>
      </c>
      <c r="T2629" s="28" t="s">
        <v>11630</v>
      </c>
      <c r="U2629" s="20" t="s">
        <v>5359</v>
      </c>
      <c r="V2629" s="16" t="s">
        <v>5267</v>
      </c>
      <c r="W2629" s="11" t="s">
        <v>14283</v>
      </c>
      <c r="X2629" s="174">
        <v>999.52</v>
      </c>
      <c r="Y2629" s="174">
        <v>1341.32</v>
      </c>
    </row>
    <row r="2630" spans="1:25" ht="15" customHeight="1" x14ac:dyDescent="0.25">
      <c r="A2630" s="20" t="s">
        <v>5269</v>
      </c>
      <c r="B2630" s="14" t="s">
        <v>5270</v>
      </c>
      <c r="C2630" s="71" t="str">
        <f t="shared" ref="C2630:C2693" si="57">HYPERLINK(T2630,U2630)</f>
        <v>Product Info</v>
      </c>
      <c r="D2630" s="37" t="s">
        <v>5003</v>
      </c>
      <c r="E2630" s="143">
        <v>1</v>
      </c>
      <c r="F2630" s="12" t="s">
        <v>2170</v>
      </c>
      <c r="G2630" s="38">
        <v>1443.26</v>
      </c>
      <c r="H2630" s="38">
        <v>1226.81</v>
      </c>
      <c r="I2630" s="38">
        <v>1010.28</v>
      </c>
      <c r="J2630" s="39">
        <v>25</v>
      </c>
      <c r="K2630" s="143"/>
      <c r="L2630" s="22">
        <v>26</v>
      </c>
      <c r="M2630" s="22" t="s">
        <v>12488</v>
      </c>
      <c r="N2630" s="20" t="s">
        <v>9354</v>
      </c>
      <c r="O2630" s="16" t="s">
        <v>12608</v>
      </c>
      <c r="P2630" s="143">
        <v>752</v>
      </c>
      <c r="Q2630" s="121" t="s">
        <v>14285</v>
      </c>
      <c r="R2630" s="16" t="s">
        <v>8904</v>
      </c>
      <c r="S2630" s="10" t="s">
        <v>1163</v>
      </c>
      <c r="T2630" s="28" t="s">
        <v>11631</v>
      </c>
      <c r="U2630" s="20" t="s">
        <v>5359</v>
      </c>
      <c r="V2630" s="16" t="s">
        <v>5269</v>
      </c>
      <c r="W2630" s="11" t="s">
        <v>14283</v>
      </c>
      <c r="X2630" s="174">
        <v>880.02</v>
      </c>
      <c r="Y2630" s="174">
        <v>1226.81</v>
      </c>
    </row>
    <row r="2631" spans="1:25" ht="15" customHeight="1" x14ac:dyDescent="0.25">
      <c r="A2631" s="20" t="s">
        <v>5271</v>
      </c>
      <c r="B2631" s="14" t="s">
        <v>5272</v>
      </c>
      <c r="C2631" s="71" t="str">
        <f t="shared" si="57"/>
        <v>Product Info</v>
      </c>
      <c r="D2631" s="37" t="s">
        <v>7863</v>
      </c>
      <c r="E2631" s="143">
        <v>1</v>
      </c>
      <c r="F2631" s="12" t="s">
        <v>4992</v>
      </c>
      <c r="G2631" s="38">
        <v>154.22999999999999</v>
      </c>
      <c r="H2631" s="38">
        <v>131.1</v>
      </c>
      <c r="I2631" s="38">
        <v>107.96</v>
      </c>
      <c r="J2631" s="39">
        <v>25</v>
      </c>
      <c r="K2631" s="143"/>
      <c r="L2631" s="22">
        <v>5</v>
      </c>
      <c r="M2631" s="22" t="s">
        <v>12488</v>
      </c>
      <c r="N2631" s="20" t="s">
        <v>9337</v>
      </c>
      <c r="O2631" s="16" t="s">
        <v>12608</v>
      </c>
      <c r="P2631" s="143">
        <v>752</v>
      </c>
      <c r="Q2631" s="122" t="s">
        <v>14461</v>
      </c>
      <c r="R2631" s="16" t="s">
        <v>8904</v>
      </c>
      <c r="S2631" s="10" t="s">
        <v>1163</v>
      </c>
      <c r="T2631" s="28" t="s">
        <v>11632</v>
      </c>
      <c r="U2631" s="20" t="s">
        <v>5359</v>
      </c>
      <c r="V2631" s="16" t="s">
        <v>5271</v>
      </c>
      <c r="W2631" s="11" t="s">
        <v>14283</v>
      </c>
      <c r="X2631" s="174">
        <v>97.7</v>
      </c>
      <c r="Y2631" s="174">
        <v>131.1</v>
      </c>
    </row>
    <row r="2632" spans="1:25" ht="15" customHeight="1" x14ac:dyDescent="0.25">
      <c r="A2632" s="20" t="s">
        <v>5273</v>
      </c>
      <c r="B2632" s="14" t="s">
        <v>5274</v>
      </c>
      <c r="C2632" s="71" t="str">
        <f t="shared" si="57"/>
        <v>Product Info</v>
      </c>
      <c r="D2632" s="37" t="s">
        <v>7864</v>
      </c>
      <c r="E2632" s="143">
        <v>1</v>
      </c>
      <c r="F2632" s="12" t="s">
        <v>4992</v>
      </c>
      <c r="G2632" s="38">
        <v>259.74</v>
      </c>
      <c r="H2632" s="38">
        <v>220.79</v>
      </c>
      <c r="I2632" s="38">
        <v>181.82</v>
      </c>
      <c r="J2632" s="39">
        <v>25</v>
      </c>
      <c r="K2632" s="143"/>
      <c r="L2632" s="22">
        <v>5.2</v>
      </c>
      <c r="M2632" s="22" t="s">
        <v>12488</v>
      </c>
      <c r="N2632" s="20" t="s">
        <v>9337</v>
      </c>
      <c r="O2632" s="16" t="s">
        <v>12608</v>
      </c>
      <c r="P2632" s="143">
        <v>752</v>
      </c>
      <c r="Q2632" s="122" t="s">
        <v>14461</v>
      </c>
      <c r="R2632" s="16" t="s">
        <v>8904</v>
      </c>
      <c r="S2632" s="10" t="s">
        <v>1163</v>
      </c>
      <c r="T2632" s="28" t="s">
        <v>11633</v>
      </c>
      <c r="U2632" s="20" t="s">
        <v>5359</v>
      </c>
      <c r="V2632" s="16" t="s">
        <v>5273</v>
      </c>
      <c r="W2632" s="11" t="s">
        <v>14283</v>
      </c>
      <c r="X2632" s="174">
        <v>164.52</v>
      </c>
      <c r="Y2632" s="174">
        <v>220.79</v>
      </c>
    </row>
    <row r="2633" spans="1:25" ht="15" customHeight="1" x14ac:dyDescent="0.25">
      <c r="A2633" s="20" t="s">
        <v>5275</v>
      </c>
      <c r="B2633" s="14" t="s">
        <v>6236</v>
      </c>
      <c r="C2633" s="71" t="str">
        <f t="shared" si="57"/>
        <v>Product Info</v>
      </c>
      <c r="D2633" s="37" t="s">
        <v>7201</v>
      </c>
      <c r="E2633" s="143">
        <v>1</v>
      </c>
      <c r="F2633" s="12" t="s">
        <v>4992</v>
      </c>
      <c r="G2633" s="38">
        <v>324.19</v>
      </c>
      <c r="H2633" s="38">
        <v>275.57</v>
      </c>
      <c r="I2633" s="38">
        <v>226.93</v>
      </c>
      <c r="J2633" s="39">
        <v>25</v>
      </c>
      <c r="K2633" s="143"/>
      <c r="L2633" s="22">
        <v>0</v>
      </c>
      <c r="M2633" s="22">
        <v>0</v>
      </c>
      <c r="N2633" s="20" t="s">
        <v>14489</v>
      </c>
      <c r="O2633" s="16">
        <v>0</v>
      </c>
      <c r="P2633" s="143">
        <v>752</v>
      </c>
      <c r="Q2633" s="121" t="s">
        <v>14285</v>
      </c>
      <c r="R2633" s="16" t="s">
        <v>8904</v>
      </c>
      <c r="S2633" s="10" t="s">
        <v>1163</v>
      </c>
      <c r="T2633" s="28" t="s">
        <v>11634</v>
      </c>
      <c r="U2633" s="20" t="s">
        <v>5359</v>
      </c>
      <c r="V2633" s="16" t="s">
        <v>5275</v>
      </c>
      <c r="W2633" s="11" t="s">
        <v>14283</v>
      </c>
      <c r="X2633" s="174">
        <v>203.37</v>
      </c>
      <c r="Y2633" s="174">
        <v>275.57</v>
      </c>
    </row>
    <row r="2634" spans="1:25" ht="15" customHeight="1" x14ac:dyDescent="0.25">
      <c r="A2634" s="20" t="s">
        <v>5416</v>
      </c>
      <c r="B2634" s="14" t="s">
        <v>5417</v>
      </c>
      <c r="C2634" s="71" t="str">
        <f t="shared" si="57"/>
        <v>Product Info</v>
      </c>
      <c r="D2634" s="37" t="s">
        <v>5424</v>
      </c>
      <c r="E2634" s="143">
        <v>1</v>
      </c>
      <c r="F2634" s="12" t="s">
        <v>4992</v>
      </c>
      <c r="G2634" s="38">
        <v>503.71</v>
      </c>
      <c r="H2634" s="38">
        <v>428.17</v>
      </c>
      <c r="I2634" s="38">
        <v>352.6</v>
      </c>
      <c r="J2634" s="39">
        <v>25</v>
      </c>
      <c r="K2634" s="143"/>
      <c r="L2634" s="22">
        <v>0</v>
      </c>
      <c r="M2634" s="22">
        <v>0</v>
      </c>
      <c r="N2634" s="20" t="s">
        <v>14489</v>
      </c>
      <c r="O2634" s="16">
        <v>0</v>
      </c>
      <c r="P2634" s="143">
        <v>752</v>
      </c>
      <c r="Q2634" s="121" t="s">
        <v>14285</v>
      </c>
      <c r="R2634" s="16" t="s">
        <v>8904</v>
      </c>
      <c r="S2634" s="10" t="s">
        <v>1163</v>
      </c>
      <c r="T2634" s="28" t="s">
        <v>11635</v>
      </c>
      <c r="U2634" s="20" t="s">
        <v>5359</v>
      </c>
      <c r="V2634" s="16" t="s">
        <v>5416</v>
      </c>
      <c r="W2634" s="11" t="s">
        <v>14283</v>
      </c>
      <c r="X2634" s="174">
        <v>319.07</v>
      </c>
      <c r="Y2634" s="174">
        <v>428.17</v>
      </c>
    </row>
    <row r="2635" spans="1:25" ht="15" customHeight="1" x14ac:dyDescent="0.25">
      <c r="A2635" s="20" t="s">
        <v>5418</v>
      </c>
      <c r="B2635" s="14" t="s">
        <v>5419</v>
      </c>
      <c r="C2635" s="71" t="str">
        <f t="shared" si="57"/>
        <v>Product Info</v>
      </c>
      <c r="D2635" s="37" t="s">
        <v>5425</v>
      </c>
      <c r="E2635" s="143">
        <v>1</v>
      </c>
      <c r="F2635" s="12" t="s">
        <v>4992</v>
      </c>
      <c r="G2635" s="38">
        <v>503.71</v>
      </c>
      <c r="H2635" s="38">
        <v>428.17</v>
      </c>
      <c r="I2635" s="38">
        <v>352.6</v>
      </c>
      <c r="J2635" s="39">
        <v>25</v>
      </c>
      <c r="K2635" s="143"/>
      <c r="L2635" s="22">
        <v>0</v>
      </c>
      <c r="M2635" s="22">
        <v>0</v>
      </c>
      <c r="N2635" s="20" t="s">
        <v>14489</v>
      </c>
      <c r="O2635" s="16">
        <v>0</v>
      </c>
      <c r="P2635" s="143">
        <v>752</v>
      </c>
      <c r="Q2635" s="121" t="s">
        <v>14285</v>
      </c>
      <c r="R2635" s="16" t="s">
        <v>8904</v>
      </c>
      <c r="S2635" s="10" t="s">
        <v>1163</v>
      </c>
      <c r="T2635" s="28" t="s">
        <v>11636</v>
      </c>
      <c r="U2635" s="20" t="s">
        <v>5359</v>
      </c>
      <c r="V2635" s="16" t="s">
        <v>5418</v>
      </c>
      <c r="W2635" s="11" t="s">
        <v>14283</v>
      </c>
      <c r="X2635" s="174">
        <v>319.07</v>
      </c>
      <c r="Y2635" s="174">
        <v>428.17</v>
      </c>
    </row>
    <row r="2636" spans="1:25" ht="15" customHeight="1" x14ac:dyDescent="0.25">
      <c r="A2636" s="20" t="s">
        <v>6237</v>
      </c>
      <c r="B2636" s="14" t="s">
        <v>6238</v>
      </c>
      <c r="C2636" s="71" t="str">
        <f t="shared" si="57"/>
        <v>Product Info</v>
      </c>
      <c r="D2636" s="37" t="s">
        <v>7199</v>
      </c>
      <c r="E2636" s="143">
        <v>1</v>
      </c>
      <c r="F2636" s="12" t="s">
        <v>4992</v>
      </c>
      <c r="G2636" s="38">
        <v>328</v>
      </c>
      <c r="H2636" s="38">
        <v>278.81</v>
      </c>
      <c r="I2636" s="38">
        <v>229.6</v>
      </c>
      <c r="J2636" s="39">
        <v>25</v>
      </c>
      <c r="K2636" s="143"/>
      <c r="L2636" s="22">
        <v>5.2</v>
      </c>
      <c r="M2636" s="22" t="s">
        <v>12488</v>
      </c>
      <c r="N2636" s="20" t="s">
        <v>9344</v>
      </c>
      <c r="O2636" s="16" t="s">
        <v>12608</v>
      </c>
      <c r="P2636" s="143">
        <v>752</v>
      </c>
      <c r="Q2636" s="122" t="s">
        <v>14461</v>
      </c>
      <c r="R2636" s="16" t="s">
        <v>8904</v>
      </c>
      <c r="S2636" s="10" t="s">
        <v>1163</v>
      </c>
      <c r="T2636" s="28" t="s">
        <v>11637</v>
      </c>
      <c r="U2636" s="20" t="s">
        <v>5359</v>
      </c>
      <c r="V2636" s="16" t="s">
        <v>6237</v>
      </c>
      <c r="W2636" s="11" t="s">
        <v>14283</v>
      </c>
      <c r="X2636" s="174">
        <v>205.77</v>
      </c>
      <c r="Y2636" s="174">
        <v>278.81</v>
      </c>
    </row>
    <row r="2637" spans="1:25" ht="15" customHeight="1" x14ac:dyDescent="0.25">
      <c r="A2637" s="20" t="s">
        <v>12644</v>
      </c>
      <c r="B2637" s="16" t="s">
        <v>12645</v>
      </c>
      <c r="C2637" s="71" t="str">
        <f t="shared" si="57"/>
        <v>Product Info</v>
      </c>
      <c r="D2637" s="37" t="s">
        <v>12918</v>
      </c>
      <c r="E2637" s="143">
        <v>1</v>
      </c>
      <c r="F2637" s="12" t="s">
        <v>4992</v>
      </c>
      <c r="G2637" s="38">
        <v>508.86</v>
      </c>
      <c r="H2637" s="38">
        <v>432.54</v>
      </c>
      <c r="I2637" s="38">
        <v>356.2</v>
      </c>
      <c r="J2637" s="39"/>
      <c r="K2637" s="143"/>
      <c r="L2637" s="22">
        <v>0</v>
      </c>
      <c r="M2637" s="22">
        <v>0</v>
      </c>
      <c r="N2637" s="20" t="s">
        <v>14489</v>
      </c>
      <c r="O2637" s="16">
        <v>0</v>
      </c>
      <c r="P2637" s="143">
        <v>752</v>
      </c>
      <c r="Q2637" s="121" t="s">
        <v>14285</v>
      </c>
      <c r="R2637" s="16" t="s">
        <v>8904</v>
      </c>
      <c r="S2637" s="10" t="s">
        <v>1163</v>
      </c>
      <c r="T2637" s="28" t="s">
        <v>12980</v>
      </c>
      <c r="U2637" s="20" t="s">
        <v>5359</v>
      </c>
      <c r="V2637" s="16" t="s">
        <v>12644</v>
      </c>
      <c r="W2637" s="11" t="s">
        <v>14283</v>
      </c>
      <c r="X2637" s="174">
        <v>322.33</v>
      </c>
      <c r="Y2637" s="174">
        <v>432.54</v>
      </c>
    </row>
    <row r="2638" spans="1:25" ht="15" customHeight="1" x14ac:dyDescent="0.25">
      <c r="A2638" s="20" t="s">
        <v>6239</v>
      </c>
      <c r="B2638" s="14" t="s">
        <v>6240</v>
      </c>
      <c r="C2638" s="71" t="str">
        <f t="shared" si="57"/>
        <v>Product Info</v>
      </c>
      <c r="D2638" s="37" t="s">
        <v>7200</v>
      </c>
      <c r="E2638" s="143">
        <v>1</v>
      </c>
      <c r="F2638" s="12" t="s">
        <v>4992</v>
      </c>
      <c r="G2638" s="38">
        <v>353.46</v>
      </c>
      <c r="H2638" s="38">
        <v>300.45</v>
      </c>
      <c r="I2638" s="38">
        <v>247.42</v>
      </c>
      <c r="J2638" s="39">
        <v>25</v>
      </c>
      <c r="K2638" s="143"/>
      <c r="L2638" s="22">
        <v>5</v>
      </c>
      <c r="M2638" s="22" t="s">
        <v>12488</v>
      </c>
      <c r="N2638" s="20" t="s">
        <v>9344</v>
      </c>
      <c r="O2638" s="16" t="s">
        <v>12608</v>
      </c>
      <c r="P2638" s="143">
        <v>752</v>
      </c>
      <c r="Q2638" s="121" t="s">
        <v>14285</v>
      </c>
      <c r="R2638" s="16" t="s">
        <v>8904</v>
      </c>
      <c r="S2638" s="10" t="s">
        <v>1163</v>
      </c>
      <c r="T2638" s="28" t="s">
        <v>11638</v>
      </c>
      <c r="U2638" s="20" t="s">
        <v>5359</v>
      </c>
      <c r="V2638" s="16" t="s">
        <v>6239</v>
      </c>
      <c r="W2638" s="11" t="s">
        <v>14283</v>
      </c>
      <c r="X2638" s="174">
        <v>223.88</v>
      </c>
      <c r="Y2638" s="174">
        <v>300.45</v>
      </c>
    </row>
    <row r="2639" spans="1:25" ht="15" customHeight="1" x14ac:dyDescent="0.25">
      <c r="A2639" s="20" t="s">
        <v>6241</v>
      </c>
      <c r="B2639" s="14" t="s">
        <v>6242</v>
      </c>
      <c r="C2639" s="71" t="str">
        <f t="shared" si="57"/>
        <v>Product Info</v>
      </c>
      <c r="D2639" s="37" t="s">
        <v>7850</v>
      </c>
      <c r="E2639" s="143">
        <v>1</v>
      </c>
      <c r="F2639" s="12" t="s">
        <v>4992</v>
      </c>
      <c r="G2639" s="38">
        <v>224.14</v>
      </c>
      <c r="H2639" s="38">
        <v>190.53</v>
      </c>
      <c r="I2639" s="38">
        <v>156.9</v>
      </c>
      <c r="J2639" s="39">
        <v>25</v>
      </c>
      <c r="K2639" s="12" t="s">
        <v>8905</v>
      </c>
      <c r="L2639" s="22">
        <v>0.5</v>
      </c>
      <c r="M2639" s="22" t="s">
        <v>12488</v>
      </c>
      <c r="N2639" s="20" t="s">
        <v>9337</v>
      </c>
      <c r="O2639" s="16" t="s">
        <v>13914</v>
      </c>
      <c r="P2639" s="143">
        <v>752</v>
      </c>
      <c r="Q2639" s="122" t="s">
        <v>9227</v>
      </c>
      <c r="R2639" s="16" t="s">
        <v>8904</v>
      </c>
      <c r="S2639" s="10" t="s">
        <v>1163</v>
      </c>
      <c r="T2639" s="28" t="s">
        <v>11639</v>
      </c>
      <c r="U2639" s="20" t="s">
        <v>5359</v>
      </c>
      <c r="V2639" s="16" t="s">
        <v>6241</v>
      </c>
      <c r="W2639" s="11" t="s">
        <v>14283</v>
      </c>
      <c r="X2639" s="174">
        <v>141.97</v>
      </c>
      <c r="Y2639" s="174">
        <v>190.53</v>
      </c>
    </row>
    <row r="2640" spans="1:25" ht="15" customHeight="1" x14ac:dyDescent="0.25">
      <c r="A2640" s="20" t="s">
        <v>6243</v>
      </c>
      <c r="B2640" s="14" t="s">
        <v>6244</v>
      </c>
      <c r="C2640" s="71" t="str">
        <f t="shared" si="57"/>
        <v>Product Info</v>
      </c>
      <c r="D2640" s="37" t="s">
        <v>7851</v>
      </c>
      <c r="E2640" s="143">
        <v>1</v>
      </c>
      <c r="F2640" s="12" t="s">
        <v>4992</v>
      </c>
      <c r="G2640" s="38">
        <v>356.77</v>
      </c>
      <c r="H2640" s="38">
        <v>303.27</v>
      </c>
      <c r="I2640" s="38">
        <v>249.74</v>
      </c>
      <c r="J2640" s="39">
        <v>25</v>
      </c>
      <c r="K2640" s="12" t="s">
        <v>8905</v>
      </c>
      <c r="L2640" s="22">
        <v>4</v>
      </c>
      <c r="M2640" s="22" t="s">
        <v>12488</v>
      </c>
      <c r="N2640" s="20" t="s">
        <v>9426</v>
      </c>
      <c r="O2640" s="16" t="s">
        <v>13914</v>
      </c>
      <c r="P2640" s="143">
        <v>752</v>
      </c>
      <c r="Q2640" s="122" t="s">
        <v>14461</v>
      </c>
      <c r="R2640" s="16" t="s">
        <v>8904</v>
      </c>
      <c r="S2640" s="10" t="s">
        <v>1163</v>
      </c>
      <c r="T2640" s="28" t="s">
        <v>11640</v>
      </c>
      <c r="U2640" s="20" t="s">
        <v>5359</v>
      </c>
      <c r="V2640" s="16" t="s">
        <v>6243</v>
      </c>
      <c r="W2640" s="11" t="s">
        <v>14283</v>
      </c>
      <c r="X2640" s="174">
        <v>225.99</v>
      </c>
      <c r="Y2640" s="174">
        <v>303.27</v>
      </c>
    </row>
    <row r="2641" spans="1:25" ht="15" customHeight="1" x14ac:dyDescent="0.25">
      <c r="A2641" s="20" t="s">
        <v>6245</v>
      </c>
      <c r="B2641" s="14" t="s">
        <v>6246</v>
      </c>
      <c r="C2641" s="71" t="str">
        <f t="shared" si="57"/>
        <v>Product Info</v>
      </c>
      <c r="D2641" s="37" t="s">
        <v>7854</v>
      </c>
      <c r="E2641" s="143">
        <v>1</v>
      </c>
      <c r="F2641" s="12" t="s">
        <v>4992</v>
      </c>
      <c r="G2641" s="38">
        <v>433.19</v>
      </c>
      <c r="H2641" s="38">
        <v>368.22</v>
      </c>
      <c r="I2641" s="38">
        <v>303.23</v>
      </c>
      <c r="J2641" s="39">
        <v>25</v>
      </c>
      <c r="K2641" s="143"/>
      <c r="L2641" s="22">
        <v>0</v>
      </c>
      <c r="M2641" s="22">
        <v>0</v>
      </c>
      <c r="N2641" s="20" t="s">
        <v>14489</v>
      </c>
      <c r="O2641" s="16" t="s">
        <v>12608</v>
      </c>
      <c r="P2641" s="143">
        <v>752</v>
      </c>
      <c r="Q2641" s="121" t="s">
        <v>14285</v>
      </c>
      <c r="R2641" s="16" t="s">
        <v>8904</v>
      </c>
      <c r="S2641" s="10" t="s">
        <v>1163</v>
      </c>
      <c r="T2641" s="28" t="s">
        <v>11641</v>
      </c>
      <c r="U2641" s="20" t="s">
        <v>5359</v>
      </c>
      <c r="V2641" s="16" t="s">
        <v>6245</v>
      </c>
      <c r="W2641" s="11" t="s">
        <v>14283</v>
      </c>
      <c r="X2641" s="174">
        <v>269.16000000000003</v>
      </c>
      <c r="Y2641" s="174">
        <v>368.22</v>
      </c>
    </row>
    <row r="2642" spans="1:25" ht="15" customHeight="1" x14ac:dyDescent="0.25">
      <c r="A2642" s="20" t="s">
        <v>6247</v>
      </c>
      <c r="B2642" s="14" t="s">
        <v>6614</v>
      </c>
      <c r="C2642" s="71" t="str">
        <f t="shared" si="57"/>
        <v>Product Info</v>
      </c>
      <c r="D2642" s="37" t="s">
        <v>7852</v>
      </c>
      <c r="E2642" s="143">
        <v>1</v>
      </c>
      <c r="F2642" s="12" t="s">
        <v>4992</v>
      </c>
      <c r="G2642" s="38">
        <v>429.6</v>
      </c>
      <c r="H2642" s="38">
        <v>365.17</v>
      </c>
      <c r="I2642" s="38">
        <v>300.72000000000003</v>
      </c>
      <c r="J2642" s="39">
        <v>25</v>
      </c>
      <c r="K2642" s="12" t="s">
        <v>8905</v>
      </c>
      <c r="L2642" s="22">
        <v>5</v>
      </c>
      <c r="M2642" s="22" t="s">
        <v>14396</v>
      </c>
      <c r="N2642" s="20" t="s">
        <v>9344</v>
      </c>
      <c r="O2642" s="16" t="s">
        <v>12608</v>
      </c>
      <c r="P2642" s="143">
        <v>752</v>
      </c>
      <c r="Q2642" s="122" t="s">
        <v>14461</v>
      </c>
      <c r="R2642" s="16" t="s">
        <v>8904</v>
      </c>
      <c r="S2642" s="10" t="s">
        <v>1163</v>
      </c>
      <c r="T2642" s="28" t="s">
        <v>11642</v>
      </c>
      <c r="U2642" s="20" t="s">
        <v>5359</v>
      </c>
      <c r="V2642" s="16" t="s">
        <v>6247</v>
      </c>
      <c r="W2642" s="11" t="s">
        <v>14283</v>
      </c>
      <c r="X2642" s="174">
        <v>272.12</v>
      </c>
      <c r="Y2642" s="174">
        <v>365.17</v>
      </c>
    </row>
    <row r="2643" spans="1:25" ht="15" customHeight="1" x14ac:dyDescent="0.25">
      <c r="A2643" s="20" t="s">
        <v>6615</v>
      </c>
      <c r="B2643" s="14" t="s">
        <v>6616</v>
      </c>
      <c r="C2643" s="71" t="str">
        <f t="shared" si="57"/>
        <v>Product Info</v>
      </c>
      <c r="D2643" s="37" t="s">
        <v>7855</v>
      </c>
      <c r="E2643" s="143">
        <v>1</v>
      </c>
      <c r="F2643" s="12" t="s">
        <v>4992</v>
      </c>
      <c r="G2643" s="38">
        <v>516.73</v>
      </c>
      <c r="H2643" s="38">
        <v>439.23</v>
      </c>
      <c r="I2643" s="38">
        <v>361.71</v>
      </c>
      <c r="J2643" s="39">
        <v>25</v>
      </c>
      <c r="K2643" s="143"/>
      <c r="L2643" s="22">
        <v>0</v>
      </c>
      <c r="M2643" s="22">
        <v>0</v>
      </c>
      <c r="N2643" s="20" t="s">
        <v>14489</v>
      </c>
      <c r="O2643" s="16">
        <v>0</v>
      </c>
      <c r="P2643" s="143">
        <v>752</v>
      </c>
      <c r="Q2643" s="121" t="s">
        <v>14285</v>
      </c>
      <c r="R2643" s="16" t="s">
        <v>8904</v>
      </c>
      <c r="S2643" s="10" t="s">
        <v>1163</v>
      </c>
      <c r="T2643" s="28" t="s">
        <v>11643</v>
      </c>
      <c r="U2643" s="20" t="s">
        <v>5359</v>
      </c>
      <c r="V2643" s="16" t="s">
        <v>6615</v>
      </c>
      <c r="W2643" s="11" t="s">
        <v>14283</v>
      </c>
      <c r="X2643" s="174">
        <v>321.08</v>
      </c>
      <c r="Y2643" s="174">
        <v>439.23</v>
      </c>
    </row>
    <row r="2644" spans="1:25" ht="15" customHeight="1" x14ac:dyDescent="0.25">
      <c r="A2644" s="20" t="s">
        <v>6617</v>
      </c>
      <c r="B2644" s="14" t="s">
        <v>6618</v>
      </c>
      <c r="C2644" s="71" t="str">
        <f t="shared" si="57"/>
        <v>Product Info</v>
      </c>
      <c r="D2644" s="37" t="s">
        <v>7853</v>
      </c>
      <c r="E2644" s="143">
        <v>1</v>
      </c>
      <c r="F2644" s="12" t="s">
        <v>4992</v>
      </c>
      <c r="G2644" s="38">
        <v>559.83000000000004</v>
      </c>
      <c r="H2644" s="38">
        <v>475.87</v>
      </c>
      <c r="I2644" s="38">
        <v>391.88</v>
      </c>
      <c r="J2644" s="39">
        <v>25</v>
      </c>
      <c r="K2644" s="12" t="s">
        <v>8905</v>
      </c>
      <c r="L2644" s="22">
        <v>0</v>
      </c>
      <c r="M2644" s="22">
        <v>0</v>
      </c>
      <c r="N2644" s="20" t="s">
        <v>14489</v>
      </c>
      <c r="O2644" s="16" t="s">
        <v>12608</v>
      </c>
      <c r="P2644" s="143">
        <v>752</v>
      </c>
      <c r="Q2644" s="122" t="s">
        <v>12421</v>
      </c>
      <c r="R2644" s="16" t="s">
        <v>8904</v>
      </c>
      <c r="S2644" s="10" t="s">
        <v>1163</v>
      </c>
      <c r="T2644" s="28" t="s">
        <v>11644</v>
      </c>
      <c r="U2644" s="20" t="s">
        <v>5359</v>
      </c>
      <c r="V2644" s="16" t="s">
        <v>6617</v>
      </c>
      <c r="W2644" s="11" t="s">
        <v>14283</v>
      </c>
      <c r="X2644" s="174">
        <v>354.61</v>
      </c>
      <c r="Y2644" s="174">
        <v>475.87</v>
      </c>
    </row>
    <row r="2645" spans="1:25" ht="15" customHeight="1" x14ac:dyDescent="0.25">
      <c r="A2645" s="20" t="s">
        <v>6619</v>
      </c>
      <c r="B2645" s="14" t="s">
        <v>6620</v>
      </c>
      <c r="C2645" s="71" t="str">
        <f t="shared" si="57"/>
        <v>Product Info</v>
      </c>
      <c r="D2645" s="37" t="s">
        <v>7202</v>
      </c>
      <c r="E2645" s="143">
        <v>1</v>
      </c>
      <c r="F2645" s="12" t="s">
        <v>4992</v>
      </c>
      <c r="G2645" s="38">
        <v>199.66</v>
      </c>
      <c r="H2645" s="38">
        <v>169.71</v>
      </c>
      <c r="I2645" s="38">
        <v>139.76</v>
      </c>
      <c r="J2645" s="39">
        <v>25</v>
      </c>
      <c r="K2645" s="143"/>
      <c r="L2645" s="22">
        <v>5</v>
      </c>
      <c r="M2645" s="22" t="s">
        <v>12488</v>
      </c>
      <c r="N2645" s="20" t="s">
        <v>9337</v>
      </c>
      <c r="O2645" s="16" t="s">
        <v>12608</v>
      </c>
      <c r="P2645" s="143">
        <v>752</v>
      </c>
      <c r="Q2645" s="121" t="s">
        <v>14285</v>
      </c>
      <c r="R2645" s="16" t="s">
        <v>8904</v>
      </c>
      <c r="S2645" s="10" t="s">
        <v>1163</v>
      </c>
      <c r="T2645" s="28" t="s">
        <v>11645</v>
      </c>
      <c r="U2645" s="20" t="s">
        <v>5359</v>
      </c>
      <c r="V2645" s="16" t="s">
        <v>6619</v>
      </c>
      <c r="W2645" s="11" t="s">
        <v>14283</v>
      </c>
      <c r="X2645" s="174">
        <v>126.47</v>
      </c>
      <c r="Y2645" s="174">
        <v>169.71</v>
      </c>
    </row>
    <row r="2646" spans="1:25" ht="15" customHeight="1" x14ac:dyDescent="0.25">
      <c r="A2646" s="20" t="s">
        <v>6621</v>
      </c>
      <c r="B2646" s="14" t="s">
        <v>6622</v>
      </c>
      <c r="C2646" s="71" t="str">
        <f t="shared" si="57"/>
        <v>Product Info</v>
      </c>
      <c r="D2646" s="37" t="s">
        <v>7203</v>
      </c>
      <c r="E2646" s="143">
        <v>1</v>
      </c>
      <c r="F2646" s="12" t="s">
        <v>4992</v>
      </c>
      <c r="G2646" s="38">
        <v>324.57</v>
      </c>
      <c r="H2646" s="38">
        <v>275.89999999999998</v>
      </c>
      <c r="I2646" s="38">
        <v>227.2</v>
      </c>
      <c r="J2646" s="39">
        <v>25</v>
      </c>
      <c r="K2646" s="12" t="s">
        <v>8905</v>
      </c>
      <c r="L2646" s="22">
        <v>5</v>
      </c>
      <c r="M2646" s="22" t="s">
        <v>12488</v>
      </c>
      <c r="N2646" s="20" t="s">
        <v>9337</v>
      </c>
      <c r="O2646" s="16" t="s">
        <v>12608</v>
      </c>
      <c r="P2646" s="143">
        <v>752</v>
      </c>
      <c r="Q2646" s="121" t="s">
        <v>14285</v>
      </c>
      <c r="R2646" s="16" t="s">
        <v>8904</v>
      </c>
      <c r="S2646" s="10" t="s">
        <v>1163</v>
      </c>
      <c r="T2646" s="28" t="s">
        <v>11646</v>
      </c>
      <c r="U2646" s="20" t="s">
        <v>5359</v>
      </c>
      <c r="V2646" s="16" t="s">
        <v>6621</v>
      </c>
      <c r="W2646" s="11" t="s">
        <v>14283</v>
      </c>
      <c r="X2646" s="174">
        <v>205.59</v>
      </c>
      <c r="Y2646" s="174">
        <v>275.89999999999998</v>
      </c>
    </row>
    <row r="2647" spans="1:25" ht="15" customHeight="1" x14ac:dyDescent="0.25">
      <c r="A2647" s="20" t="s">
        <v>6623</v>
      </c>
      <c r="B2647" s="14" t="s">
        <v>6624</v>
      </c>
      <c r="C2647" s="71" t="str">
        <f t="shared" si="57"/>
        <v>Product Info</v>
      </c>
      <c r="D2647" s="37" t="s">
        <v>7206</v>
      </c>
      <c r="E2647" s="143">
        <v>1</v>
      </c>
      <c r="F2647" s="12" t="s">
        <v>4992</v>
      </c>
      <c r="G2647" s="38">
        <v>389.79</v>
      </c>
      <c r="H2647" s="38">
        <v>331.33</v>
      </c>
      <c r="I2647" s="38">
        <v>272.85000000000002</v>
      </c>
      <c r="J2647" s="39">
        <v>25</v>
      </c>
      <c r="K2647" s="143"/>
      <c r="L2647" s="22">
        <v>0</v>
      </c>
      <c r="M2647" s="22">
        <v>0</v>
      </c>
      <c r="N2647" s="20" t="s">
        <v>14489</v>
      </c>
      <c r="O2647" s="16">
        <v>0</v>
      </c>
      <c r="P2647" s="143">
        <v>752</v>
      </c>
      <c r="Q2647" s="121" t="s">
        <v>14285</v>
      </c>
      <c r="R2647" s="16" t="s">
        <v>8904</v>
      </c>
      <c r="S2647" s="10" t="s">
        <v>1163</v>
      </c>
      <c r="T2647" s="28" t="s">
        <v>11647</v>
      </c>
      <c r="U2647" s="20" t="s">
        <v>5359</v>
      </c>
      <c r="V2647" s="16" t="s">
        <v>6623</v>
      </c>
      <c r="W2647" s="11" t="s">
        <v>14283</v>
      </c>
      <c r="X2647" s="174">
        <v>244.53</v>
      </c>
      <c r="Y2647" s="174">
        <v>331.33</v>
      </c>
    </row>
    <row r="2648" spans="1:25" ht="15" customHeight="1" x14ac:dyDescent="0.25">
      <c r="A2648" s="20" t="s">
        <v>6625</v>
      </c>
      <c r="B2648" s="14" t="s">
        <v>6626</v>
      </c>
      <c r="C2648" s="71" t="str">
        <f t="shared" si="57"/>
        <v>Product Info</v>
      </c>
      <c r="D2648" s="37" t="s">
        <v>7204</v>
      </c>
      <c r="E2648" s="143">
        <v>1</v>
      </c>
      <c r="F2648" s="12" t="s">
        <v>4992</v>
      </c>
      <c r="G2648" s="38">
        <v>405.86</v>
      </c>
      <c r="H2648" s="38">
        <v>344.99</v>
      </c>
      <c r="I2648" s="38">
        <v>284.10000000000002</v>
      </c>
      <c r="J2648" s="39">
        <v>25</v>
      </c>
      <c r="K2648" s="143"/>
      <c r="L2648" s="22">
        <v>0</v>
      </c>
      <c r="M2648" s="22">
        <v>0</v>
      </c>
      <c r="N2648" s="20" t="s">
        <v>14489</v>
      </c>
      <c r="O2648" s="16">
        <v>0</v>
      </c>
      <c r="P2648" s="143">
        <v>752</v>
      </c>
      <c r="Q2648" s="121" t="s">
        <v>14285</v>
      </c>
      <c r="R2648" s="16" t="s">
        <v>8904</v>
      </c>
      <c r="S2648" s="10" t="s">
        <v>1163</v>
      </c>
      <c r="T2648" s="28" t="s">
        <v>11648</v>
      </c>
      <c r="U2648" s="20" t="s">
        <v>5359</v>
      </c>
      <c r="V2648" s="16" t="s">
        <v>6625</v>
      </c>
      <c r="W2648" s="11" t="s">
        <v>14283</v>
      </c>
      <c r="X2648" s="174">
        <v>257.08999999999997</v>
      </c>
      <c r="Y2648" s="174">
        <v>344.99</v>
      </c>
    </row>
    <row r="2649" spans="1:25" ht="15" customHeight="1" x14ac:dyDescent="0.25">
      <c r="A2649" s="20" t="s">
        <v>6627</v>
      </c>
      <c r="B2649" s="14" t="s">
        <v>7560</v>
      </c>
      <c r="C2649" s="71" t="str">
        <f t="shared" si="57"/>
        <v>Product Info</v>
      </c>
      <c r="D2649" s="37" t="s">
        <v>7205</v>
      </c>
      <c r="E2649" s="143">
        <v>1</v>
      </c>
      <c r="F2649" s="12" t="s">
        <v>4992</v>
      </c>
      <c r="G2649" s="38">
        <v>492.44</v>
      </c>
      <c r="H2649" s="38">
        <v>418.59</v>
      </c>
      <c r="I2649" s="38">
        <v>344.71</v>
      </c>
      <c r="J2649" s="39">
        <v>25</v>
      </c>
      <c r="K2649" s="143"/>
      <c r="L2649" s="22">
        <v>0</v>
      </c>
      <c r="M2649" s="22">
        <v>0</v>
      </c>
      <c r="N2649" s="20" t="s">
        <v>14489</v>
      </c>
      <c r="O2649" s="16">
        <v>0</v>
      </c>
      <c r="P2649" s="143">
        <v>752</v>
      </c>
      <c r="Q2649" s="121" t="s">
        <v>14285</v>
      </c>
      <c r="R2649" s="16" t="s">
        <v>8904</v>
      </c>
      <c r="S2649" s="10" t="s">
        <v>1163</v>
      </c>
      <c r="T2649" s="28" t="s">
        <v>11649</v>
      </c>
      <c r="U2649" s="20" t="s">
        <v>5359</v>
      </c>
      <c r="V2649" s="16" t="s">
        <v>6627</v>
      </c>
      <c r="W2649" s="11" t="s">
        <v>14283</v>
      </c>
      <c r="X2649" s="174">
        <v>311.92</v>
      </c>
      <c r="Y2649" s="174">
        <v>418.59</v>
      </c>
    </row>
    <row r="2650" spans="1:25" ht="15" customHeight="1" x14ac:dyDescent="0.25">
      <c r="A2650" s="20" t="s">
        <v>5420</v>
      </c>
      <c r="B2650" s="14" t="s">
        <v>5421</v>
      </c>
      <c r="C2650" s="71" t="str">
        <f t="shared" si="57"/>
        <v>Product Info</v>
      </c>
      <c r="D2650" s="37" t="s">
        <v>4669</v>
      </c>
      <c r="E2650" s="143">
        <v>1</v>
      </c>
      <c r="F2650" s="12" t="s">
        <v>4992</v>
      </c>
      <c r="G2650" s="38">
        <v>941.71</v>
      </c>
      <c r="H2650" s="38">
        <v>800.49</v>
      </c>
      <c r="I2650" s="38">
        <v>659.2</v>
      </c>
      <c r="J2650" s="39">
        <v>25</v>
      </c>
      <c r="K2650" s="143"/>
      <c r="L2650" s="22">
        <v>0</v>
      </c>
      <c r="M2650" s="22">
        <v>0</v>
      </c>
      <c r="N2650" s="20" t="s">
        <v>14489</v>
      </c>
      <c r="O2650" s="16">
        <v>0</v>
      </c>
      <c r="P2650" s="143">
        <v>752</v>
      </c>
      <c r="Q2650" s="121" t="s">
        <v>14285</v>
      </c>
      <c r="R2650" s="16" t="s">
        <v>8904</v>
      </c>
      <c r="S2650" s="10" t="s">
        <v>1163</v>
      </c>
      <c r="T2650" s="28" t="s">
        <v>11650</v>
      </c>
      <c r="U2650" s="20" t="s">
        <v>5359</v>
      </c>
      <c r="V2650" s="16" t="s">
        <v>5420</v>
      </c>
      <c r="W2650" s="11" t="s">
        <v>14283</v>
      </c>
      <c r="X2650" s="174">
        <v>596.51</v>
      </c>
      <c r="Y2650" s="174">
        <v>800.49</v>
      </c>
    </row>
    <row r="2651" spans="1:25" ht="15" customHeight="1" x14ac:dyDescent="0.25">
      <c r="A2651" s="20" t="s">
        <v>7561</v>
      </c>
      <c r="B2651" s="14" t="s">
        <v>7562</v>
      </c>
      <c r="C2651" s="71" t="str">
        <f t="shared" si="57"/>
        <v>Product Info</v>
      </c>
      <c r="D2651" s="37" t="s">
        <v>5004</v>
      </c>
      <c r="E2651" s="143">
        <v>3</v>
      </c>
      <c r="F2651" s="12" t="s">
        <v>2170</v>
      </c>
      <c r="G2651" s="38">
        <v>29.51</v>
      </c>
      <c r="H2651" s="38">
        <v>25.09</v>
      </c>
      <c r="I2651" s="38">
        <v>20.66</v>
      </c>
      <c r="J2651" s="39">
        <v>25</v>
      </c>
      <c r="K2651" s="143"/>
      <c r="L2651" s="22">
        <v>0.54500000000000004</v>
      </c>
      <c r="M2651" s="22" t="s">
        <v>12488</v>
      </c>
      <c r="N2651" s="20" t="s">
        <v>9454</v>
      </c>
      <c r="O2651" s="16" t="s">
        <v>12608</v>
      </c>
      <c r="P2651" s="143">
        <v>752</v>
      </c>
      <c r="Q2651" s="122" t="s">
        <v>14461</v>
      </c>
      <c r="R2651" s="16" t="s">
        <v>8904</v>
      </c>
      <c r="S2651" s="10" t="s">
        <v>1163</v>
      </c>
      <c r="T2651" s="28" t="s">
        <v>11651</v>
      </c>
      <c r="U2651" s="20" t="s">
        <v>5359</v>
      </c>
      <c r="V2651" s="16" t="s">
        <v>7561</v>
      </c>
      <c r="W2651" s="11" t="s">
        <v>14283</v>
      </c>
      <c r="X2651" s="174">
        <v>18.7</v>
      </c>
      <c r="Y2651" s="174">
        <v>25.09</v>
      </c>
    </row>
    <row r="2652" spans="1:25" ht="15" customHeight="1" x14ac:dyDescent="0.25">
      <c r="A2652" s="20" t="s">
        <v>7194</v>
      </c>
      <c r="B2652" s="14" t="s">
        <v>7195</v>
      </c>
      <c r="C2652" s="71" t="str">
        <f t="shared" si="57"/>
        <v>Product Info</v>
      </c>
      <c r="D2652" s="37" t="s">
        <v>5005</v>
      </c>
      <c r="E2652" s="143">
        <v>3</v>
      </c>
      <c r="F2652" s="12" t="s">
        <v>2170</v>
      </c>
      <c r="G2652" s="38">
        <v>32.54</v>
      </c>
      <c r="H2652" s="38">
        <v>27.66</v>
      </c>
      <c r="I2652" s="38">
        <v>22.78</v>
      </c>
      <c r="J2652" s="39">
        <v>25</v>
      </c>
      <c r="K2652" s="143"/>
      <c r="L2652" s="22">
        <v>4.2</v>
      </c>
      <c r="M2652" s="22" t="s">
        <v>12488</v>
      </c>
      <c r="N2652" s="20" t="s">
        <v>9455</v>
      </c>
      <c r="O2652" s="16" t="s">
        <v>12608</v>
      </c>
      <c r="P2652" s="143">
        <v>752</v>
      </c>
      <c r="Q2652" s="122" t="s">
        <v>14461</v>
      </c>
      <c r="R2652" s="16" t="s">
        <v>8904</v>
      </c>
      <c r="S2652" s="10" t="s">
        <v>1163</v>
      </c>
      <c r="T2652" s="28" t="s">
        <v>11652</v>
      </c>
      <c r="U2652" s="20" t="s">
        <v>5359</v>
      </c>
      <c r="V2652" s="16" t="s">
        <v>7194</v>
      </c>
      <c r="W2652" s="11" t="s">
        <v>14283</v>
      </c>
      <c r="X2652" s="174">
        <v>20.62</v>
      </c>
      <c r="Y2652" s="174">
        <v>27.66</v>
      </c>
    </row>
    <row r="2653" spans="1:25" ht="15" customHeight="1" x14ac:dyDescent="0.25">
      <c r="A2653" s="20" t="s">
        <v>7196</v>
      </c>
      <c r="B2653" s="14" t="s">
        <v>7197</v>
      </c>
      <c r="C2653" s="71" t="str">
        <f t="shared" si="57"/>
        <v>Product Info</v>
      </c>
      <c r="D2653" s="37" t="s">
        <v>5006</v>
      </c>
      <c r="E2653" s="143">
        <v>3</v>
      </c>
      <c r="F2653" s="12" t="s">
        <v>2170</v>
      </c>
      <c r="G2653" s="38">
        <v>39.909999999999997</v>
      </c>
      <c r="H2653" s="38">
        <v>33.93</v>
      </c>
      <c r="I2653" s="38">
        <v>27.94</v>
      </c>
      <c r="J2653" s="39">
        <v>25</v>
      </c>
      <c r="K2653" s="143"/>
      <c r="L2653" s="22">
        <v>0.97799999999999998</v>
      </c>
      <c r="M2653" s="22" t="s">
        <v>12488</v>
      </c>
      <c r="N2653" s="20" t="s">
        <v>9456</v>
      </c>
      <c r="O2653" s="16" t="s">
        <v>12608</v>
      </c>
      <c r="P2653" s="143">
        <v>752</v>
      </c>
      <c r="Q2653" s="122" t="s">
        <v>12421</v>
      </c>
      <c r="R2653" s="16" t="s">
        <v>8904</v>
      </c>
      <c r="S2653" s="10" t="s">
        <v>1163</v>
      </c>
      <c r="T2653" s="28" t="s">
        <v>11653</v>
      </c>
      <c r="U2653" s="20" t="s">
        <v>5359</v>
      </c>
      <c r="V2653" s="16" t="s">
        <v>7196</v>
      </c>
      <c r="W2653" s="11" t="s">
        <v>14283</v>
      </c>
      <c r="X2653" s="174">
        <v>25.29</v>
      </c>
      <c r="Y2653" s="174">
        <v>33.93</v>
      </c>
    </row>
    <row r="2654" spans="1:25" ht="15" customHeight="1" x14ac:dyDescent="0.25">
      <c r="A2654" s="20" t="s">
        <v>7198</v>
      </c>
      <c r="B2654" s="14" t="s">
        <v>3976</v>
      </c>
      <c r="C2654" s="71" t="str">
        <f t="shared" si="57"/>
        <v>Product Info</v>
      </c>
      <c r="D2654" s="37" t="s">
        <v>5007</v>
      </c>
      <c r="E2654" s="143">
        <v>1</v>
      </c>
      <c r="F2654" s="12" t="s">
        <v>2170</v>
      </c>
      <c r="G2654" s="38">
        <v>62.06</v>
      </c>
      <c r="H2654" s="38">
        <v>52.75</v>
      </c>
      <c r="I2654" s="38">
        <v>43.44</v>
      </c>
      <c r="J2654" s="39">
        <v>25</v>
      </c>
      <c r="K2654" s="143"/>
      <c r="L2654" s="22">
        <v>3</v>
      </c>
      <c r="M2654" s="22" t="s">
        <v>12488</v>
      </c>
      <c r="N2654" s="20" t="s">
        <v>9343</v>
      </c>
      <c r="O2654" s="16" t="s">
        <v>12608</v>
      </c>
      <c r="P2654" s="143">
        <v>752</v>
      </c>
      <c r="Q2654" s="121" t="s">
        <v>14285</v>
      </c>
      <c r="R2654" s="16" t="s">
        <v>8904</v>
      </c>
      <c r="S2654" s="10" t="s">
        <v>1163</v>
      </c>
      <c r="T2654" s="28" t="s">
        <v>11654</v>
      </c>
      <c r="U2654" s="20" t="s">
        <v>5359</v>
      </c>
      <c r="V2654" s="16" t="s">
        <v>7198</v>
      </c>
      <c r="W2654" s="11" t="s">
        <v>14283</v>
      </c>
      <c r="X2654" s="174">
        <v>39.299999999999997</v>
      </c>
      <c r="Y2654" s="174">
        <v>52.75</v>
      </c>
    </row>
    <row r="2655" spans="1:25" ht="15" customHeight="1" x14ac:dyDescent="0.25">
      <c r="A2655" s="20" t="s">
        <v>3977</v>
      </c>
      <c r="B2655" s="14" t="s">
        <v>3978</v>
      </c>
      <c r="C2655" s="71" t="str">
        <f t="shared" si="57"/>
        <v>Product Info</v>
      </c>
      <c r="D2655" s="37" t="s">
        <v>5008</v>
      </c>
      <c r="E2655" s="143">
        <v>1</v>
      </c>
      <c r="F2655" s="12" t="s">
        <v>2170</v>
      </c>
      <c r="G2655" s="38">
        <v>68.61</v>
      </c>
      <c r="H2655" s="38">
        <v>58.32</v>
      </c>
      <c r="I2655" s="38">
        <v>48.03</v>
      </c>
      <c r="J2655" s="39">
        <v>25</v>
      </c>
      <c r="K2655" s="143"/>
      <c r="L2655" s="22">
        <v>3.5</v>
      </c>
      <c r="M2655" s="22" t="s">
        <v>12488</v>
      </c>
      <c r="N2655" s="20" t="s">
        <v>9343</v>
      </c>
      <c r="O2655" s="16" t="s">
        <v>12608</v>
      </c>
      <c r="P2655" s="143">
        <v>752</v>
      </c>
      <c r="Q2655" s="121" t="s">
        <v>14285</v>
      </c>
      <c r="R2655" s="16" t="s">
        <v>8904</v>
      </c>
      <c r="S2655" s="10" t="s">
        <v>1163</v>
      </c>
      <c r="T2655" s="28" t="s">
        <v>11655</v>
      </c>
      <c r="U2655" s="20" t="s">
        <v>5359</v>
      </c>
      <c r="V2655" s="16" t="s">
        <v>3977</v>
      </c>
      <c r="W2655" s="11" t="s">
        <v>14283</v>
      </c>
      <c r="X2655" s="174">
        <v>43.46</v>
      </c>
      <c r="Y2655" s="174">
        <v>58.32</v>
      </c>
    </row>
    <row r="2656" spans="1:25" ht="15" customHeight="1" x14ac:dyDescent="0.25">
      <c r="A2656" s="20" t="s">
        <v>3979</v>
      </c>
      <c r="B2656" s="14" t="s">
        <v>3980</v>
      </c>
      <c r="C2656" s="71" t="str">
        <f t="shared" si="57"/>
        <v>Product Info</v>
      </c>
      <c r="D2656" s="37" t="s">
        <v>5009</v>
      </c>
      <c r="E2656" s="143">
        <v>1</v>
      </c>
      <c r="F2656" s="12" t="s">
        <v>2170</v>
      </c>
      <c r="G2656" s="38">
        <v>79.040000000000006</v>
      </c>
      <c r="H2656" s="38">
        <v>67.19</v>
      </c>
      <c r="I2656" s="38">
        <v>55.33</v>
      </c>
      <c r="J2656" s="39">
        <v>25</v>
      </c>
      <c r="K2656" s="143"/>
      <c r="L2656" s="22">
        <v>4</v>
      </c>
      <c r="M2656" s="22" t="s">
        <v>12488</v>
      </c>
      <c r="N2656" s="20" t="s">
        <v>9343</v>
      </c>
      <c r="O2656" s="16" t="s">
        <v>12608</v>
      </c>
      <c r="P2656" s="143">
        <v>752</v>
      </c>
      <c r="Q2656" s="121" t="s">
        <v>14285</v>
      </c>
      <c r="R2656" s="16" t="s">
        <v>8904</v>
      </c>
      <c r="S2656" s="10" t="s">
        <v>1163</v>
      </c>
      <c r="T2656" s="28" t="s">
        <v>11656</v>
      </c>
      <c r="U2656" s="20" t="s">
        <v>5359</v>
      </c>
      <c r="V2656" s="16" t="s">
        <v>3979</v>
      </c>
      <c r="W2656" s="11" t="s">
        <v>14283</v>
      </c>
      <c r="X2656" s="174">
        <v>50.07</v>
      </c>
      <c r="Y2656" s="174">
        <v>67.19</v>
      </c>
    </row>
    <row r="2657" spans="1:25" ht="15" customHeight="1" x14ac:dyDescent="0.25">
      <c r="A2657" s="20" t="s">
        <v>2552</v>
      </c>
      <c r="B2657" s="14" t="s">
        <v>2553</v>
      </c>
      <c r="C2657" s="71" t="str">
        <f t="shared" si="57"/>
        <v>Product Info</v>
      </c>
      <c r="D2657" s="37" t="s">
        <v>2554</v>
      </c>
      <c r="E2657" s="143">
        <v>3</v>
      </c>
      <c r="F2657" s="12" t="s">
        <v>4992</v>
      </c>
      <c r="G2657" s="38">
        <v>48.61</v>
      </c>
      <c r="H2657" s="38">
        <v>41.32</v>
      </c>
      <c r="I2657" s="38">
        <v>34.03</v>
      </c>
      <c r="J2657" s="39">
        <v>25</v>
      </c>
      <c r="K2657" s="143"/>
      <c r="L2657" s="22">
        <v>7</v>
      </c>
      <c r="M2657" s="22" t="s">
        <v>12488</v>
      </c>
      <c r="N2657" s="20" t="s">
        <v>9334</v>
      </c>
      <c r="O2657" s="16" t="s">
        <v>12608</v>
      </c>
      <c r="P2657" s="143">
        <v>752</v>
      </c>
      <c r="Q2657" s="121" t="s">
        <v>14285</v>
      </c>
      <c r="R2657" s="16" t="s">
        <v>8904</v>
      </c>
      <c r="S2657" s="10" t="s">
        <v>1163</v>
      </c>
      <c r="T2657" s="28" t="s">
        <v>11657</v>
      </c>
      <c r="U2657" s="20" t="s">
        <v>5359</v>
      </c>
      <c r="V2657" s="16" t="s">
        <v>2552</v>
      </c>
      <c r="W2657" s="11" t="s">
        <v>14283</v>
      </c>
      <c r="X2657" s="174">
        <v>30.8</v>
      </c>
      <c r="Y2657" s="174">
        <v>41.32</v>
      </c>
    </row>
    <row r="2658" spans="1:25" ht="15" customHeight="1" x14ac:dyDescent="0.25">
      <c r="A2658" s="20" t="s">
        <v>2550</v>
      </c>
      <c r="B2658" s="14" t="s">
        <v>2551</v>
      </c>
      <c r="C2658" s="71" t="str">
        <f t="shared" si="57"/>
        <v>Product Info</v>
      </c>
      <c r="D2658" s="37" t="s">
        <v>2555</v>
      </c>
      <c r="E2658" s="143">
        <v>3</v>
      </c>
      <c r="F2658" s="12" t="s">
        <v>4992</v>
      </c>
      <c r="G2658" s="38">
        <v>52.69</v>
      </c>
      <c r="H2658" s="38">
        <v>44.78</v>
      </c>
      <c r="I2658" s="38">
        <v>36.880000000000003</v>
      </c>
      <c r="J2658" s="39">
        <v>25</v>
      </c>
      <c r="K2658" s="143"/>
      <c r="L2658" s="22">
        <v>7</v>
      </c>
      <c r="M2658" s="22" t="s">
        <v>12488</v>
      </c>
      <c r="N2658" s="20" t="s">
        <v>9457</v>
      </c>
      <c r="O2658" s="16" t="s">
        <v>12608</v>
      </c>
      <c r="P2658" s="143">
        <v>752</v>
      </c>
      <c r="Q2658" s="121" t="s">
        <v>14285</v>
      </c>
      <c r="R2658" s="16" t="s">
        <v>8904</v>
      </c>
      <c r="S2658" s="10" t="s">
        <v>1163</v>
      </c>
      <c r="T2658" s="28" t="s">
        <v>11658</v>
      </c>
      <c r="U2658" s="20" t="s">
        <v>5359</v>
      </c>
      <c r="V2658" s="16" t="s">
        <v>2550</v>
      </c>
      <c r="W2658" s="11" t="s">
        <v>14283</v>
      </c>
      <c r="X2658" s="174">
        <v>33.380000000000003</v>
      </c>
      <c r="Y2658" s="174">
        <v>44.78</v>
      </c>
    </row>
    <row r="2659" spans="1:25" ht="15" customHeight="1" x14ac:dyDescent="0.25">
      <c r="A2659" s="20" t="s">
        <v>3981</v>
      </c>
      <c r="B2659" s="14" t="s">
        <v>3982</v>
      </c>
      <c r="C2659" s="71" t="str">
        <f t="shared" si="57"/>
        <v>Product Info</v>
      </c>
      <c r="D2659" s="37" t="s">
        <v>2822</v>
      </c>
      <c r="E2659" s="143">
        <v>100</v>
      </c>
      <c r="F2659" s="12" t="s">
        <v>2170</v>
      </c>
      <c r="G2659" s="38">
        <v>3.37</v>
      </c>
      <c r="H2659" s="38">
        <v>2.86</v>
      </c>
      <c r="I2659" s="38">
        <v>2.36</v>
      </c>
      <c r="J2659" s="39"/>
      <c r="K2659" s="12" t="s">
        <v>8905</v>
      </c>
      <c r="L2659" s="22">
        <v>1.8950000000000002E-2</v>
      </c>
      <c r="M2659" s="22" t="s">
        <v>12488</v>
      </c>
      <c r="N2659" s="20" t="s">
        <v>8877</v>
      </c>
      <c r="O2659" s="16" t="s">
        <v>13914</v>
      </c>
      <c r="P2659" s="143">
        <v>752</v>
      </c>
      <c r="Q2659" s="122" t="s">
        <v>14461</v>
      </c>
      <c r="R2659" s="16" t="s">
        <v>8904</v>
      </c>
      <c r="S2659" s="10" t="s">
        <v>1163</v>
      </c>
      <c r="T2659" s="28" t="s">
        <v>11659</v>
      </c>
      <c r="U2659" s="20" t="s">
        <v>5359</v>
      </c>
      <c r="V2659" s="16" t="s">
        <v>3981</v>
      </c>
      <c r="W2659" s="11" t="s">
        <v>14283</v>
      </c>
      <c r="X2659" s="174">
        <v>2.06</v>
      </c>
      <c r="Y2659" s="174">
        <v>2.86</v>
      </c>
    </row>
    <row r="2660" spans="1:25" ht="15" customHeight="1" x14ac:dyDescent="0.25">
      <c r="A2660" s="20" t="s">
        <v>3983</v>
      </c>
      <c r="B2660" s="14" t="s">
        <v>3984</v>
      </c>
      <c r="C2660" s="71" t="str">
        <f t="shared" si="57"/>
        <v>Product Info</v>
      </c>
      <c r="D2660" s="37" t="s">
        <v>5010</v>
      </c>
      <c r="E2660" s="143">
        <v>100</v>
      </c>
      <c r="F2660" s="12" t="s">
        <v>2170</v>
      </c>
      <c r="G2660" s="38">
        <v>4.57</v>
      </c>
      <c r="H2660" s="38">
        <v>3.89</v>
      </c>
      <c r="I2660" s="38">
        <v>3.2</v>
      </c>
      <c r="J2660" s="39"/>
      <c r="K2660" s="12" t="s">
        <v>8905</v>
      </c>
      <c r="L2660" s="22">
        <v>0.1</v>
      </c>
      <c r="M2660" s="22" t="s">
        <v>12488</v>
      </c>
      <c r="N2660" s="20" t="s">
        <v>8846</v>
      </c>
      <c r="O2660" s="16" t="s">
        <v>12608</v>
      </c>
      <c r="P2660" s="143">
        <v>752</v>
      </c>
      <c r="Q2660" s="122" t="s">
        <v>14461</v>
      </c>
      <c r="R2660" s="16" t="s">
        <v>8904</v>
      </c>
      <c r="S2660" s="10" t="s">
        <v>1163</v>
      </c>
      <c r="T2660" s="28" t="s">
        <v>11660</v>
      </c>
      <c r="U2660" s="20" t="s">
        <v>5359</v>
      </c>
      <c r="V2660" s="16" t="s">
        <v>3983</v>
      </c>
      <c r="W2660" s="11" t="s">
        <v>14283</v>
      </c>
      <c r="X2660" s="174">
        <v>2.9</v>
      </c>
      <c r="Y2660" s="174">
        <v>3.89</v>
      </c>
    </row>
    <row r="2661" spans="1:25" ht="15" customHeight="1" x14ac:dyDescent="0.25">
      <c r="A2661" s="20" t="s">
        <v>3985</v>
      </c>
      <c r="B2661" s="14" t="s">
        <v>3986</v>
      </c>
      <c r="C2661" s="71" t="str">
        <f t="shared" si="57"/>
        <v>Product Info</v>
      </c>
      <c r="D2661" s="37" t="s">
        <v>5011</v>
      </c>
      <c r="E2661" s="143">
        <v>50</v>
      </c>
      <c r="F2661" s="12" t="s">
        <v>2170</v>
      </c>
      <c r="G2661" s="38">
        <v>10.3</v>
      </c>
      <c r="H2661" s="38">
        <v>8.76</v>
      </c>
      <c r="I2661" s="38">
        <v>7.21</v>
      </c>
      <c r="J2661" s="39"/>
      <c r="K2661" s="143"/>
      <c r="L2661" s="22">
        <v>0.39979999999999999</v>
      </c>
      <c r="M2661" s="22" t="s">
        <v>12488</v>
      </c>
      <c r="N2661" s="20" t="s">
        <v>9304</v>
      </c>
      <c r="O2661" s="16" t="s">
        <v>12608</v>
      </c>
      <c r="P2661" s="143">
        <v>752</v>
      </c>
      <c r="Q2661" s="122" t="s">
        <v>12421</v>
      </c>
      <c r="R2661" s="16" t="s">
        <v>8904</v>
      </c>
      <c r="S2661" s="10" t="s">
        <v>1163</v>
      </c>
      <c r="T2661" s="28" t="s">
        <v>11661</v>
      </c>
      <c r="U2661" s="20" t="s">
        <v>5359</v>
      </c>
      <c r="V2661" s="16" t="s">
        <v>3985</v>
      </c>
      <c r="W2661" s="11" t="s">
        <v>14283</v>
      </c>
      <c r="X2661" s="174">
        <v>6.53</v>
      </c>
      <c r="Y2661" s="174">
        <v>8.76</v>
      </c>
    </row>
    <row r="2662" spans="1:25" ht="15" customHeight="1" x14ac:dyDescent="0.25">
      <c r="A2662" s="20" t="s">
        <v>3987</v>
      </c>
      <c r="B2662" s="14" t="s">
        <v>3988</v>
      </c>
      <c r="C2662" s="71" t="str">
        <f t="shared" si="57"/>
        <v>Product Info</v>
      </c>
      <c r="D2662" s="37" t="s">
        <v>5012</v>
      </c>
      <c r="E2662" s="143">
        <v>1</v>
      </c>
      <c r="F2662" s="12" t="s">
        <v>2170</v>
      </c>
      <c r="G2662" s="38">
        <v>117.61</v>
      </c>
      <c r="H2662" s="38">
        <v>99.98</v>
      </c>
      <c r="I2662" s="38">
        <v>82.33</v>
      </c>
      <c r="J2662" s="39">
        <v>25</v>
      </c>
      <c r="K2662" s="143"/>
      <c r="L2662" s="22">
        <v>5</v>
      </c>
      <c r="M2662" s="22" t="s">
        <v>12488</v>
      </c>
      <c r="N2662" s="20" t="s">
        <v>9304</v>
      </c>
      <c r="O2662" s="16" t="s">
        <v>12608</v>
      </c>
      <c r="P2662" s="143">
        <v>752</v>
      </c>
      <c r="Q2662" s="122" t="s">
        <v>12421</v>
      </c>
      <c r="R2662" s="16" t="s">
        <v>8904</v>
      </c>
      <c r="S2662" s="10" t="s">
        <v>1163</v>
      </c>
      <c r="T2662" s="28" t="s">
        <v>11662</v>
      </c>
      <c r="U2662" s="20" t="s">
        <v>5359</v>
      </c>
      <c r="V2662" s="16" t="s">
        <v>3987</v>
      </c>
      <c r="W2662" s="11" t="s">
        <v>14283</v>
      </c>
      <c r="X2662" s="174">
        <v>74.5</v>
      </c>
      <c r="Y2662" s="174">
        <v>99.98</v>
      </c>
    </row>
    <row r="2663" spans="1:25" ht="15" customHeight="1" x14ac:dyDescent="0.25">
      <c r="A2663" s="20" t="s">
        <v>3989</v>
      </c>
      <c r="B2663" s="14" t="s">
        <v>3990</v>
      </c>
      <c r="C2663" s="71" t="str">
        <f t="shared" si="57"/>
        <v>Product Info</v>
      </c>
      <c r="D2663" s="37" t="s">
        <v>5013</v>
      </c>
      <c r="E2663" s="143">
        <v>1</v>
      </c>
      <c r="F2663" s="12" t="s">
        <v>2170</v>
      </c>
      <c r="G2663" s="38">
        <v>132.63999999999999</v>
      </c>
      <c r="H2663" s="38">
        <v>112.75</v>
      </c>
      <c r="I2663" s="38">
        <v>92.85</v>
      </c>
      <c r="J2663" s="39">
        <v>25</v>
      </c>
      <c r="K2663" s="143"/>
      <c r="L2663" s="22">
        <v>5</v>
      </c>
      <c r="M2663" s="22" t="s">
        <v>12488</v>
      </c>
      <c r="N2663" s="20" t="s">
        <v>9304</v>
      </c>
      <c r="O2663" s="16" t="s">
        <v>12608</v>
      </c>
      <c r="P2663" s="143">
        <v>752</v>
      </c>
      <c r="Q2663" s="121" t="s">
        <v>14285</v>
      </c>
      <c r="R2663" s="16" t="s">
        <v>8904</v>
      </c>
      <c r="S2663" s="10" t="s">
        <v>1163</v>
      </c>
      <c r="T2663" s="28" t="s">
        <v>11663</v>
      </c>
      <c r="U2663" s="20" t="s">
        <v>5359</v>
      </c>
      <c r="V2663" s="16" t="s">
        <v>3989</v>
      </c>
      <c r="W2663" s="11" t="s">
        <v>14283</v>
      </c>
      <c r="X2663" s="174">
        <v>84.02</v>
      </c>
      <c r="Y2663" s="174">
        <v>112.75</v>
      </c>
    </row>
    <row r="2664" spans="1:25" ht="15" customHeight="1" x14ac:dyDescent="0.25">
      <c r="A2664" s="20" t="s">
        <v>3991</v>
      </c>
      <c r="B2664" s="14" t="s">
        <v>3992</v>
      </c>
      <c r="C2664" s="71" t="str">
        <f t="shared" si="57"/>
        <v>Product Info</v>
      </c>
      <c r="D2664" s="37" t="s">
        <v>5014</v>
      </c>
      <c r="E2664" s="143">
        <v>1</v>
      </c>
      <c r="F2664" s="12" t="s">
        <v>2170</v>
      </c>
      <c r="G2664" s="38">
        <v>122.47</v>
      </c>
      <c r="H2664" s="38">
        <v>104.1</v>
      </c>
      <c r="I2664" s="38">
        <v>85.73</v>
      </c>
      <c r="J2664" s="39">
        <v>25</v>
      </c>
      <c r="K2664" s="143"/>
      <c r="L2664" s="22">
        <v>7</v>
      </c>
      <c r="M2664" s="22" t="s">
        <v>12488</v>
      </c>
      <c r="N2664" s="20" t="s">
        <v>9304</v>
      </c>
      <c r="O2664" s="16" t="s">
        <v>12608</v>
      </c>
      <c r="P2664" s="143">
        <v>752</v>
      </c>
      <c r="Q2664" s="121" t="s">
        <v>14285</v>
      </c>
      <c r="R2664" s="16" t="s">
        <v>8904</v>
      </c>
      <c r="S2664" s="10" t="s">
        <v>1163</v>
      </c>
      <c r="T2664" s="28" t="s">
        <v>11664</v>
      </c>
      <c r="U2664" s="20" t="s">
        <v>5359</v>
      </c>
      <c r="V2664" s="16" t="s">
        <v>3991</v>
      </c>
      <c r="W2664" s="11" t="s">
        <v>14283</v>
      </c>
      <c r="X2664" s="174">
        <v>77.58</v>
      </c>
      <c r="Y2664" s="174">
        <v>104.1</v>
      </c>
    </row>
    <row r="2665" spans="1:25" ht="15" customHeight="1" x14ac:dyDescent="0.25">
      <c r="A2665" s="20" t="s">
        <v>3993</v>
      </c>
      <c r="B2665" s="14" t="s">
        <v>3994</v>
      </c>
      <c r="C2665" s="71" t="str">
        <f t="shared" si="57"/>
        <v>Product Info</v>
      </c>
      <c r="D2665" s="37" t="s">
        <v>5015</v>
      </c>
      <c r="E2665" s="143">
        <v>1</v>
      </c>
      <c r="F2665" s="12" t="s">
        <v>2170</v>
      </c>
      <c r="G2665" s="38">
        <v>143.16</v>
      </c>
      <c r="H2665" s="38">
        <v>121.69</v>
      </c>
      <c r="I2665" s="38">
        <v>100.21</v>
      </c>
      <c r="J2665" s="39">
        <v>25</v>
      </c>
      <c r="K2665" s="143"/>
      <c r="L2665" s="22">
        <v>7</v>
      </c>
      <c r="M2665" s="22" t="s">
        <v>12488</v>
      </c>
      <c r="N2665" s="20" t="s">
        <v>9418</v>
      </c>
      <c r="O2665" s="16" t="s">
        <v>12608</v>
      </c>
      <c r="P2665" s="143">
        <v>752</v>
      </c>
      <c r="Q2665" s="121" t="s">
        <v>14285</v>
      </c>
      <c r="R2665" s="16" t="s">
        <v>8904</v>
      </c>
      <c r="S2665" s="10" t="s">
        <v>1163</v>
      </c>
      <c r="T2665" s="28" t="s">
        <v>11665</v>
      </c>
      <c r="U2665" s="20" t="s">
        <v>5359</v>
      </c>
      <c r="V2665" s="16" t="s">
        <v>3993</v>
      </c>
      <c r="W2665" s="11" t="s">
        <v>14283</v>
      </c>
      <c r="X2665" s="174">
        <v>90.68</v>
      </c>
      <c r="Y2665" s="174">
        <v>121.69</v>
      </c>
    </row>
    <row r="2666" spans="1:25" ht="15" customHeight="1" x14ac:dyDescent="0.25">
      <c r="A2666" s="20" t="s">
        <v>3995</v>
      </c>
      <c r="B2666" s="14" t="s">
        <v>3996</v>
      </c>
      <c r="C2666" s="71" t="str">
        <f t="shared" si="57"/>
        <v>Product Info</v>
      </c>
      <c r="D2666" s="37" t="s">
        <v>2824</v>
      </c>
      <c r="E2666" s="143">
        <v>3</v>
      </c>
      <c r="F2666" s="12" t="s">
        <v>2170</v>
      </c>
      <c r="G2666" s="38">
        <v>485.53</v>
      </c>
      <c r="H2666" s="38">
        <v>412.71</v>
      </c>
      <c r="I2666" s="38">
        <v>339.87</v>
      </c>
      <c r="J2666" s="39">
        <v>25</v>
      </c>
      <c r="K2666" s="143"/>
      <c r="L2666" s="22">
        <v>18</v>
      </c>
      <c r="M2666" s="22" t="s">
        <v>12488</v>
      </c>
      <c r="N2666" s="20" t="s">
        <v>9324</v>
      </c>
      <c r="O2666" s="16" t="s">
        <v>12608</v>
      </c>
      <c r="P2666" s="143">
        <v>752</v>
      </c>
      <c r="Q2666" s="121" t="s">
        <v>14285</v>
      </c>
      <c r="R2666" s="16" t="s">
        <v>8904</v>
      </c>
      <c r="S2666" s="10" t="s">
        <v>1163</v>
      </c>
      <c r="T2666" s="28" t="s">
        <v>11666</v>
      </c>
      <c r="U2666" s="20" t="s">
        <v>5359</v>
      </c>
      <c r="V2666" s="16" t="s">
        <v>3995</v>
      </c>
      <c r="W2666" s="11" t="s">
        <v>14283</v>
      </c>
      <c r="X2666" s="174">
        <v>296.05</v>
      </c>
      <c r="Y2666" s="174">
        <v>412.71</v>
      </c>
    </row>
    <row r="2667" spans="1:25" ht="15" customHeight="1" x14ac:dyDescent="0.25">
      <c r="A2667" s="20" t="s">
        <v>7420</v>
      </c>
      <c r="B2667" s="14" t="s">
        <v>7421</v>
      </c>
      <c r="C2667" s="71" t="str">
        <f t="shared" si="57"/>
        <v>Product Info</v>
      </c>
      <c r="D2667" s="37" t="s">
        <v>7359</v>
      </c>
      <c r="E2667" s="143">
        <v>3</v>
      </c>
      <c r="F2667" s="12" t="s">
        <v>2170</v>
      </c>
      <c r="G2667" s="38">
        <v>668.84</v>
      </c>
      <c r="H2667" s="38">
        <v>568.54</v>
      </c>
      <c r="I2667" s="38">
        <v>468.19</v>
      </c>
      <c r="J2667" s="39">
        <v>25</v>
      </c>
      <c r="K2667" s="143"/>
      <c r="L2667" s="22">
        <v>20</v>
      </c>
      <c r="M2667" s="22" t="s">
        <v>12488</v>
      </c>
      <c r="N2667" s="20" t="s">
        <v>9324</v>
      </c>
      <c r="O2667" s="16" t="s">
        <v>12608</v>
      </c>
      <c r="P2667" s="143">
        <v>752</v>
      </c>
      <c r="Q2667" s="122" t="s">
        <v>12421</v>
      </c>
      <c r="R2667" s="16" t="s">
        <v>8904</v>
      </c>
      <c r="S2667" s="10" t="s">
        <v>1163</v>
      </c>
      <c r="T2667" s="28" t="s">
        <v>11667</v>
      </c>
      <c r="U2667" s="20" t="s">
        <v>5359</v>
      </c>
      <c r="V2667" s="16" t="s">
        <v>7420</v>
      </c>
      <c r="W2667" s="11" t="s">
        <v>14283</v>
      </c>
      <c r="X2667" s="174">
        <v>423.66</v>
      </c>
      <c r="Y2667" s="174">
        <v>568.54</v>
      </c>
    </row>
    <row r="2668" spans="1:25" ht="15" customHeight="1" x14ac:dyDescent="0.25">
      <c r="A2668" s="20" t="s">
        <v>7422</v>
      </c>
      <c r="B2668" s="14" t="s">
        <v>7423</v>
      </c>
      <c r="C2668" s="71" t="str">
        <f t="shared" si="57"/>
        <v>Product Info</v>
      </c>
      <c r="D2668" s="37" t="s">
        <v>7937</v>
      </c>
      <c r="E2668" s="143">
        <v>3</v>
      </c>
      <c r="F2668" s="12" t="s">
        <v>2170</v>
      </c>
      <c r="G2668" s="38">
        <v>376.19</v>
      </c>
      <c r="H2668" s="38">
        <v>319.77</v>
      </c>
      <c r="I2668" s="38">
        <v>263.33</v>
      </c>
      <c r="J2668" s="39">
        <v>25</v>
      </c>
      <c r="K2668" s="143"/>
      <c r="L2668" s="22">
        <v>14</v>
      </c>
      <c r="M2668" s="22" t="s">
        <v>12488</v>
      </c>
      <c r="N2668" s="20" t="s">
        <v>9360</v>
      </c>
      <c r="O2668" s="16" t="s">
        <v>12608</v>
      </c>
      <c r="P2668" s="143">
        <v>752</v>
      </c>
      <c r="Q2668" s="121" t="s">
        <v>14285</v>
      </c>
      <c r="R2668" s="16" t="s">
        <v>8904</v>
      </c>
      <c r="S2668" s="10" t="s">
        <v>1163</v>
      </c>
      <c r="T2668" s="28" t="s">
        <v>11668</v>
      </c>
      <c r="U2668" s="20" t="s">
        <v>5359</v>
      </c>
      <c r="V2668" s="16" t="s">
        <v>7422</v>
      </c>
      <c r="W2668" s="11" t="s">
        <v>14283</v>
      </c>
      <c r="X2668" s="174">
        <v>238.28</v>
      </c>
      <c r="Y2668" s="174">
        <v>319.77</v>
      </c>
    </row>
    <row r="2669" spans="1:25" ht="15" customHeight="1" x14ac:dyDescent="0.25">
      <c r="A2669" s="20" t="s">
        <v>7424</v>
      </c>
      <c r="B2669" s="14" t="s">
        <v>7425</v>
      </c>
      <c r="C2669" s="71" t="str">
        <f t="shared" si="57"/>
        <v>Product Info</v>
      </c>
      <c r="D2669" s="37" t="s">
        <v>7350</v>
      </c>
      <c r="E2669" s="143">
        <v>3</v>
      </c>
      <c r="F2669" s="12" t="s">
        <v>2170</v>
      </c>
      <c r="G2669" s="38">
        <v>272.97000000000003</v>
      </c>
      <c r="H2669" s="38">
        <v>232.03</v>
      </c>
      <c r="I2669" s="38">
        <v>191.08</v>
      </c>
      <c r="J2669" s="39">
        <v>25</v>
      </c>
      <c r="K2669" s="143"/>
      <c r="L2669" s="22">
        <v>16</v>
      </c>
      <c r="M2669" s="22" t="s">
        <v>12488</v>
      </c>
      <c r="N2669" s="20" t="s">
        <v>9324</v>
      </c>
      <c r="O2669" s="16" t="s">
        <v>12608</v>
      </c>
      <c r="P2669" s="143">
        <v>752</v>
      </c>
      <c r="Q2669" s="121" t="s">
        <v>14285</v>
      </c>
      <c r="R2669" s="16" t="s">
        <v>8904</v>
      </c>
      <c r="S2669" s="10" t="s">
        <v>1163</v>
      </c>
      <c r="T2669" s="28" t="s">
        <v>11669</v>
      </c>
      <c r="U2669" s="20" t="s">
        <v>5359</v>
      </c>
      <c r="V2669" s="16" t="s">
        <v>7424</v>
      </c>
      <c r="W2669" s="11" t="s">
        <v>14283</v>
      </c>
      <c r="X2669" s="174">
        <v>166.44</v>
      </c>
      <c r="Y2669" s="174">
        <v>232.03</v>
      </c>
    </row>
    <row r="2670" spans="1:25" ht="15" customHeight="1" x14ac:dyDescent="0.25">
      <c r="A2670" s="20" t="s">
        <v>7426</v>
      </c>
      <c r="B2670" s="14" t="s">
        <v>7427</v>
      </c>
      <c r="C2670" s="71" t="str">
        <f t="shared" si="57"/>
        <v>Product Info</v>
      </c>
      <c r="D2670" s="37" t="s">
        <v>6297</v>
      </c>
      <c r="E2670" s="143">
        <v>3</v>
      </c>
      <c r="F2670" s="12" t="s">
        <v>2170</v>
      </c>
      <c r="G2670" s="38">
        <v>159.06</v>
      </c>
      <c r="H2670" s="38">
        <v>135.19999999999999</v>
      </c>
      <c r="I2670" s="38">
        <v>111.34</v>
      </c>
      <c r="J2670" s="39">
        <v>25</v>
      </c>
      <c r="K2670" s="143"/>
      <c r="L2670" s="22">
        <v>10</v>
      </c>
      <c r="M2670" s="22" t="s">
        <v>12488</v>
      </c>
      <c r="N2670" s="20" t="s">
        <v>9360</v>
      </c>
      <c r="O2670" s="16" t="s">
        <v>12608</v>
      </c>
      <c r="P2670" s="143">
        <v>752</v>
      </c>
      <c r="Q2670" s="121" t="s">
        <v>14285</v>
      </c>
      <c r="R2670" s="16" t="s">
        <v>8904</v>
      </c>
      <c r="S2670" s="10" t="s">
        <v>1163</v>
      </c>
      <c r="T2670" s="28" t="s">
        <v>11670</v>
      </c>
      <c r="U2670" s="20" t="s">
        <v>5359</v>
      </c>
      <c r="V2670" s="16" t="s">
        <v>7426</v>
      </c>
      <c r="W2670" s="11" t="s">
        <v>14283</v>
      </c>
      <c r="X2670" s="174">
        <v>97.9</v>
      </c>
      <c r="Y2670" s="174">
        <v>135.19999999999999</v>
      </c>
    </row>
    <row r="2671" spans="1:25" ht="15" customHeight="1" x14ac:dyDescent="0.25">
      <c r="A2671" s="20" t="s">
        <v>7428</v>
      </c>
      <c r="B2671" s="14" t="s">
        <v>7429</v>
      </c>
      <c r="C2671" s="71" t="str">
        <f t="shared" si="57"/>
        <v>Product Info</v>
      </c>
      <c r="D2671" s="37" t="s">
        <v>5016</v>
      </c>
      <c r="E2671" s="143">
        <v>4</v>
      </c>
      <c r="F2671" s="12" t="s">
        <v>2170</v>
      </c>
      <c r="G2671" s="38">
        <v>21.19</v>
      </c>
      <c r="H2671" s="38">
        <v>18.010000000000002</v>
      </c>
      <c r="I2671" s="38">
        <v>14.83</v>
      </c>
      <c r="J2671" s="39"/>
      <c r="K2671" s="143"/>
      <c r="L2671" s="22">
        <v>1.5</v>
      </c>
      <c r="M2671" s="22" t="s">
        <v>14396</v>
      </c>
      <c r="N2671" s="20" t="s">
        <v>8865</v>
      </c>
      <c r="O2671" s="16" t="s">
        <v>13914</v>
      </c>
      <c r="P2671" s="143">
        <v>761</v>
      </c>
      <c r="Q2671" s="122" t="s">
        <v>9227</v>
      </c>
      <c r="R2671" s="16" t="s">
        <v>8904</v>
      </c>
      <c r="S2671" s="10" t="s">
        <v>1163</v>
      </c>
      <c r="T2671" s="28" t="s">
        <v>11671</v>
      </c>
      <c r="U2671" s="20" t="s">
        <v>5359</v>
      </c>
      <c r="V2671" s="16" t="s">
        <v>7428</v>
      </c>
      <c r="W2671" s="11" t="s">
        <v>14283</v>
      </c>
      <c r="X2671" s="174">
        <v>13.82</v>
      </c>
      <c r="Y2671" s="174">
        <v>18.010000000000002</v>
      </c>
    </row>
    <row r="2672" spans="1:25" ht="15" customHeight="1" x14ac:dyDescent="0.25">
      <c r="A2672" s="20" t="s">
        <v>7430</v>
      </c>
      <c r="B2672" s="14" t="s">
        <v>7431</v>
      </c>
      <c r="C2672" s="71" t="str">
        <f t="shared" si="57"/>
        <v>Product Info</v>
      </c>
      <c r="D2672" s="37" t="s">
        <v>5017</v>
      </c>
      <c r="E2672" s="143">
        <v>1</v>
      </c>
      <c r="F2672" s="12" t="s">
        <v>2170</v>
      </c>
      <c r="G2672" s="38">
        <v>690.96</v>
      </c>
      <c r="H2672" s="38">
        <v>587.33000000000004</v>
      </c>
      <c r="I2672" s="38">
        <v>483.67</v>
      </c>
      <c r="J2672" s="39">
        <v>25</v>
      </c>
      <c r="K2672" s="143"/>
      <c r="L2672" s="22">
        <v>4.5</v>
      </c>
      <c r="M2672" s="22" t="s">
        <v>12488</v>
      </c>
      <c r="N2672" s="20" t="s">
        <v>9345</v>
      </c>
      <c r="O2672" s="16" t="s">
        <v>12608</v>
      </c>
      <c r="P2672" s="143">
        <v>752</v>
      </c>
      <c r="Q2672" s="122" t="s">
        <v>12421</v>
      </c>
      <c r="R2672" s="16" t="s">
        <v>8904</v>
      </c>
      <c r="S2672" s="10" t="s">
        <v>1163</v>
      </c>
      <c r="T2672" s="28" t="s">
        <v>11672</v>
      </c>
      <c r="U2672" s="20" t="s">
        <v>5359</v>
      </c>
      <c r="V2672" s="16" t="s">
        <v>7430</v>
      </c>
      <c r="W2672" s="11" t="s">
        <v>14283</v>
      </c>
      <c r="X2672" s="174">
        <v>437.66</v>
      </c>
      <c r="Y2672" s="174">
        <v>587.33000000000004</v>
      </c>
    </row>
    <row r="2673" spans="1:25" ht="15" customHeight="1" x14ac:dyDescent="0.25">
      <c r="A2673" s="20" t="s">
        <v>7432</v>
      </c>
      <c r="B2673" s="14" t="s">
        <v>7433</v>
      </c>
      <c r="C2673" s="71" t="str">
        <f t="shared" si="57"/>
        <v>Product Info</v>
      </c>
      <c r="D2673" s="37" t="s">
        <v>5018</v>
      </c>
      <c r="E2673" s="143">
        <v>1</v>
      </c>
      <c r="F2673" s="12" t="s">
        <v>2170</v>
      </c>
      <c r="G2673" s="38">
        <v>745.81</v>
      </c>
      <c r="H2673" s="38">
        <v>633.96</v>
      </c>
      <c r="I2673" s="38">
        <v>522.07000000000005</v>
      </c>
      <c r="J2673" s="39">
        <v>25</v>
      </c>
      <c r="K2673" s="143"/>
      <c r="L2673" s="22">
        <v>5.5</v>
      </c>
      <c r="M2673" s="22" t="s">
        <v>12488</v>
      </c>
      <c r="N2673" s="20" t="s">
        <v>9345</v>
      </c>
      <c r="O2673" s="16" t="s">
        <v>12608</v>
      </c>
      <c r="P2673" s="143">
        <v>752</v>
      </c>
      <c r="Q2673" s="121" t="s">
        <v>14285</v>
      </c>
      <c r="R2673" s="16" t="s">
        <v>8904</v>
      </c>
      <c r="S2673" s="10" t="s">
        <v>1163</v>
      </c>
      <c r="T2673" s="28" t="s">
        <v>11673</v>
      </c>
      <c r="U2673" s="20" t="s">
        <v>5359</v>
      </c>
      <c r="V2673" s="16" t="s">
        <v>7432</v>
      </c>
      <c r="W2673" s="11" t="s">
        <v>14283</v>
      </c>
      <c r="X2673" s="174">
        <v>472.42</v>
      </c>
      <c r="Y2673" s="174">
        <v>633.96</v>
      </c>
    </row>
    <row r="2674" spans="1:25" ht="15" customHeight="1" x14ac:dyDescent="0.25">
      <c r="A2674" s="20" t="s">
        <v>7434</v>
      </c>
      <c r="B2674" s="14" t="s">
        <v>7435</v>
      </c>
      <c r="C2674" s="71" t="str">
        <f t="shared" si="57"/>
        <v>Product Info</v>
      </c>
      <c r="D2674" s="37" t="s">
        <v>5019</v>
      </c>
      <c r="E2674" s="143">
        <v>1</v>
      </c>
      <c r="F2674" s="12" t="s">
        <v>2170</v>
      </c>
      <c r="G2674" s="38">
        <v>890.2</v>
      </c>
      <c r="H2674" s="38">
        <v>756.7</v>
      </c>
      <c r="I2674" s="38">
        <v>623.14</v>
      </c>
      <c r="J2674" s="39">
        <v>25</v>
      </c>
      <c r="K2674" s="143"/>
      <c r="L2674" s="22">
        <v>7.2</v>
      </c>
      <c r="M2674" s="22" t="s">
        <v>12488</v>
      </c>
      <c r="N2674" s="20" t="s">
        <v>9316</v>
      </c>
      <c r="O2674" s="16" t="s">
        <v>12608</v>
      </c>
      <c r="P2674" s="143">
        <v>752</v>
      </c>
      <c r="Q2674" s="121" t="s">
        <v>14285</v>
      </c>
      <c r="R2674" s="16" t="s">
        <v>8904</v>
      </c>
      <c r="S2674" s="10" t="s">
        <v>1163</v>
      </c>
      <c r="T2674" s="28" t="s">
        <v>11674</v>
      </c>
      <c r="U2674" s="20" t="s">
        <v>5359</v>
      </c>
      <c r="V2674" s="16" t="s">
        <v>7434</v>
      </c>
      <c r="W2674" s="11" t="s">
        <v>14283</v>
      </c>
      <c r="X2674" s="174">
        <v>563.88</v>
      </c>
      <c r="Y2674" s="174">
        <v>756.7</v>
      </c>
    </row>
    <row r="2675" spans="1:25" ht="15" customHeight="1" x14ac:dyDescent="0.25">
      <c r="A2675" s="20" t="s">
        <v>7436</v>
      </c>
      <c r="B2675" s="14" t="s">
        <v>7437</v>
      </c>
      <c r="C2675" s="71" t="str">
        <f t="shared" si="57"/>
        <v>Product Info</v>
      </c>
      <c r="D2675" s="37" t="s">
        <v>5020</v>
      </c>
      <c r="E2675" s="143">
        <v>1</v>
      </c>
      <c r="F2675" s="12" t="s">
        <v>2170</v>
      </c>
      <c r="G2675" s="38">
        <v>856.37</v>
      </c>
      <c r="H2675" s="38">
        <v>727.94</v>
      </c>
      <c r="I2675" s="38">
        <v>599.46</v>
      </c>
      <c r="J2675" s="39">
        <v>25</v>
      </c>
      <c r="K2675" s="143"/>
      <c r="L2675" s="22">
        <v>6.5</v>
      </c>
      <c r="M2675" s="22" t="s">
        <v>12488</v>
      </c>
      <c r="N2675" s="20" t="s">
        <v>9345</v>
      </c>
      <c r="O2675" s="16" t="s">
        <v>12608</v>
      </c>
      <c r="P2675" s="143">
        <v>752</v>
      </c>
      <c r="Q2675" s="121" t="s">
        <v>14285</v>
      </c>
      <c r="R2675" s="16" t="s">
        <v>8904</v>
      </c>
      <c r="S2675" s="10" t="s">
        <v>1163</v>
      </c>
      <c r="T2675" s="28" t="s">
        <v>11675</v>
      </c>
      <c r="U2675" s="20" t="s">
        <v>5359</v>
      </c>
      <c r="V2675" s="16" t="s">
        <v>7436</v>
      </c>
      <c r="W2675" s="11" t="s">
        <v>14283</v>
      </c>
      <c r="X2675" s="174">
        <v>542.45000000000005</v>
      </c>
      <c r="Y2675" s="174">
        <v>727.94</v>
      </c>
    </row>
    <row r="2676" spans="1:25" ht="15" customHeight="1" x14ac:dyDescent="0.25">
      <c r="A2676" s="20" t="s">
        <v>7438</v>
      </c>
      <c r="B2676" s="14" t="s">
        <v>7439</v>
      </c>
      <c r="C2676" s="71" t="str">
        <f t="shared" si="57"/>
        <v>Product Info</v>
      </c>
      <c r="D2676" s="37" t="s">
        <v>5021</v>
      </c>
      <c r="E2676" s="143">
        <v>1</v>
      </c>
      <c r="F2676" s="12" t="s">
        <v>2170</v>
      </c>
      <c r="G2676" s="38">
        <v>2301.34</v>
      </c>
      <c r="H2676" s="38">
        <v>1956.21</v>
      </c>
      <c r="I2676" s="38">
        <v>1610.94</v>
      </c>
      <c r="J2676" s="39">
        <v>25</v>
      </c>
      <c r="K2676" s="143"/>
      <c r="L2676" s="22">
        <v>13.555</v>
      </c>
      <c r="M2676" s="22" t="s">
        <v>12488</v>
      </c>
      <c r="N2676" s="20" t="s">
        <v>9320</v>
      </c>
      <c r="O2676" s="16" t="s">
        <v>12608</v>
      </c>
      <c r="P2676" s="143">
        <v>752</v>
      </c>
      <c r="Q2676" s="121" t="s">
        <v>14285</v>
      </c>
      <c r="R2676" s="16" t="s">
        <v>8904</v>
      </c>
      <c r="S2676" s="10" t="s">
        <v>1163</v>
      </c>
      <c r="T2676" s="28" t="s">
        <v>11676</v>
      </c>
      <c r="U2676" s="20" t="s">
        <v>5359</v>
      </c>
      <c r="V2676" s="16" t="s">
        <v>7438</v>
      </c>
      <c r="W2676" s="11" t="s">
        <v>14283</v>
      </c>
      <c r="X2676" s="174">
        <v>1457.73</v>
      </c>
      <c r="Y2676" s="174">
        <v>1956.21</v>
      </c>
    </row>
    <row r="2677" spans="1:25" ht="15" customHeight="1" x14ac:dyDescent="0.25">
      <c r="A2677" s="20" t="s">
        <v>7440</v>
      </c>
      <c r="B2677" s="14" t="s">
        <v>7441</v>
      </c>
      <c r="C2677" s="71" t="str">
        <f t="shared" si="57"/>
        <v>Product Info</v>
      </c>
      <c r="D2677" s="37" t="s">
        <v>5022</v>
      </c>
      <c r="E2677" s="143">
        <v>1</v>
      </c>
      <c r="F2677" s="12" t="s">
        <v>2170</v>
      </c>
      <c r="G2677" s="38">
        <v>2578.7600000000002</v>
      </c>
      <c r="H2677" s="38">
        <v>2192.02</v>
      </c>
      <c r="I2677" s="38">
        <v>1805.13</v>
      </c>
      <c r="J2677" s="39">
        <v>25</v>
      </c>
      <c r="K2677" s="143"/>
      <c r="L2677" s="22">
        <v>21.475000000000001</v>
      </c>
      <c r="M2677" s="22" t="s">
        <v>12488</v>
      </c>
      <c r="N2677" s="20" t="s">
        <v>9458</v>
      </c>
      <c r="O2677" s="16" t="s">
        <v>12608</v>
      </c>
      <c r="P2677" s="143">
        <v>752</v>
      </c>
      <c r="Q2677" s="122" t="s">
        <v>12421</v>
      </c>
      <c r="R2677" s="16" t="s">
        <v>8904</v>
      </c>
      <c r="S2677" s="10" t="s">
        <v>1163</v>
      </c>
      <c r="T2677" s="28" t="s">
        <v>11677</v>
      </c>
      <c r="U2677" s="20" t="s">
        <v>5359</v>
      </c>
      <c r="V2677" s="16" t="s">
        <v>7440</v>
      </c>
      <c r="W2677" s="11" t="s">
        <v>14283</v>
      </c>
      <c r="X2677" s="174">
        <v>1633.44</v>
      </c>
      <c r="Y2677" s="174">
        <v>2192.02</v>
      </c>
    </row>
    <row r="2678" spans="1:25" ht="15" customHeight="1" x14ac:dyDescent="0.25">
      <c r="A2678" s="20" t="s">
        <v>7442</v>
      </c>
      <c r="B2678" s="14" t="s">
        <v>7443</v>
      </c>
      <c r="C2678" s="71" t="str">
        <f t="shared" si="57"/>
        <v>Product Info</v>
      </c>
      <c r="D2678" s="37" t="s">
        <v>5023</v>
      </c>
      <c r="E2678" s="143">
        <v>1</v>
      </c>
      <c r="F2678" s="12" t="s">
        <v>2170</v>
      </c>
      <c r="G2678" s="38">
        <v>2722.56</v>
      </c>
      <c r="H2678" s="38">
        <v>2314.2600000000002</v>
      </c>
      <c r="I2678" s="38">
        <v>1905.79</v>
      </c>
      <c r="J2678" s="39">
        <v>25</v>
      </c>
      <c r="K2678" s="143"/>
      <c r="L2678" s="22">
        <v>24</v>
      </c>
      <c r="M2678" s="22" t="s">
        <v>12488</v>
      </c>
      <c r="N2678" s="20" t="s">
        <v>9459</v>
      </c>
      <c r="O2678" s="16" t="s">
        <v>12608</v>
      </c>
      <c r="P2678" s="143">
        <v>752</v>
      </c>
      <c r="Q2678" s="121" t="s">
        <v>14285</v>
      </c>
      <c r="R2678" s="16" t="s">
        <v>8904</v>
      </c>
      <c r="S2678" s="10" t="s">
        <v>1163</v>
      </c>
      <c r="T2678" s="28" t="s">
        <v>11678</v>
      </c>
      <c r="U2678" s="20" t="s">
        <v>5359</v>
      </c>
      <c r="V2678" s="16" t="s">
        <v>7442</v>
      </c>
      <c r="W2678" s="11" t="s">
        <v>14283</v>
      </c>
      <c r="X2678" s="174">
        <v>1724.53</v>
      </c>
      <c r="Y2678" s="174">
        <v>2314.2600000000002</v>
      </c>
    </row>
    <row r="2679" spans="1:25" ht="15" customHeight="1" x14ac:dyDescent="0.25">
      <c r="A2679" s="20" t="s">
        <v>7444</v>
      </c>
      <c r="B2679" s="14" t="s">
        <v>7445</v>
      </c>
      <c r="C2679" s="71" t="str">
        <f t="shared" si="57"/>
        <v>Product Info</v>
      </c>
      <c r="D2679" s="37" t="s">
        <v>5024</v>
      </c>
      <c r="E2679" s="143">
        <v>1</v>
      </c>
      <c r="F2679" s="12" t="s">
        <v>2170</v>
      </c>
      <c r="G2679" s="38">
        <v>2532.71</v>
      </c>
      <c r="H2679" s="38">
        <v>2152.88</v>
      </c>
      <c r="I2679" s="38">
        <v>1772.9</v>
      </c>
      <c r="J2679" s="39">
        <v>25</v>
      </c>
      <c r="K2679" s="143"/>
      <c r="L2679" s="22">
        <v>21.5</v>
      </c>
      <c r="M2679" s="22" t="s">
        <v>12488</v>
      </c>
      <c r="N2679" s="20" t="s">
        <v>9460</v>
      </c>
      <c r="O2679" s="16" t="s">
        <v>12608</v>
      </c>
      <c r="P2679" s="143">
        <v>752</v>
      </c>
      <c r="Q2679" s="121" t="s">
        <v>14285</v>
      </c>
      <c r="R2679" s="16" t="s">
        <v>8904</v>
      </c>
      <c r="S2679" s="10" t="s">
        <v>1163</v>
      </c>
      <c r="T2679" s="28" t="s">
        <v>11679</v>
      </c>
      <c r="U2679" s="20" t="s">
        <v>5359</v>
      </c>
      <c r="V2679" s="16" t="s">
        <v>7444</v>
      </c>
      <c r="W2679" s="11" t="s">
        <v>14283</v>
      </c>
      <c r="X2679" s="174">
        <v>1604.28</v>
      </c>
      <c r="Y2679" s="174">
        <v>2152.88</v>
      </c>
    </row>
    <row r="2680" spans="1:25" ht="15" customHeight="1" x14ac:dyDescent="0.25">
      <c r="A2680" s="20" t="s">
        <v>7446</v>
      </c>
      <c r="B2680" s="14" t="s">
        <v>7447</v>
      </c>
      <c r="C2680" s="71" t="str">
        <f t="shared" si="57"/>
        <v>Product Info</v>
      </c>
      <c r="D2680" s="37" t="s">
        <v>5025</v>
      </c>
      <c r="E2680" s="143">
        <v>1</v>
      </c>
      <c r="F2680" s="12" t="s">
        <v>2170</v>
      </c>
      <c r="G2680" s="38">
        <v>3133.46</v>
      </c>
      <c r="H2680" s="38">
        <v>2663.53</v>
      </c>
      <c r="I2680" s="38">
        <v>2193.42</v>
      </c>
      <c r="J2680" s="39"/>
      <c r="K2680" s="143"/>
      <c r="L2680" s="22">
        <v>24</v>
      </c>
      <c r="M2680" s="22" t="s">
        <v>12488</v>
      </c>
      <c r="N2680" s="20" t="s">
        <v>9460</v>
      </c>
      <c r="O2680" s="16" t="s">
        <v>12608</v>
      </c>
      <c r="P2680" s="143">
        <v>752</v>
      </c>
      <c r="Q2680" s="121" t="s">
        <v>14285</v>
      </c>
      <c r="R2680" s="16" t="s">
        <v>8904</v>
      </c>
      <c r="S2680" s="10" t="s">
        <v>1163</v>
      </c>
      <c r="T2680" s="28" t="s">
        <v>11680</v>
      </c>
      <c r="U2680" s="20" t="s">
        <v>5359</v>
      </c>
      <c r="V2680" s="16" t="s">
        <v>7446</v>
      </c>
      <c r="W2680" s="11" t="s">
        <v>14283</v>
      </c>
      <c r="X2680" s="174">
        <v>1984.8</v>
      </c>
      <c r="Y2680" s="174">
        <v>2663.53</v>
      </c>
    </row>
    <row r="2681" spans="1:25" ht="15" customHeight="1" x14ac:dyDescent="0.25">
      <c r="A2681" s="20" t="s">
        <v>4732</v>
      </c>
      <c r="B2681" s="14" t="s">
        <v>4733</v>
      </c>
      <c r="C2681" s="71" t="str">
        <f t="shared" si="57"/>
        <v>Product Info</v>
      </c>
      <c r="D2681" s="37" t="s">
        <v>7856</v>
      </c>
      <c r="E2681" s="143">
        <v>1</v>
      </c>
      <c r="F2681" s="12" t="s">
        <v>4992</v>
      </c>
      <c r="G2681" s="38">
        <v>372.41</v>
      </c>
      <c r="H2681" s="38">
        <v>316.56</v>
      </c>
      <c r="I2681" s="38">
        <v>260.69</v>
      </c>
      <c r="J2681" s="39">
        <v>25</v>
      </c>
      <c r="K2681" s="143"/>
      <c r="L2681" s="22">
        <v>0</v>
      </c>
      <c r="M2681" s="22">
        <v>0</v>
      </c>
      <c r="N2681" s="20" t="s">
        <v>14489</v>
      </c>
      <c r="O2681" s="16" t="s">
        <v>12608</v>
      </c>
      <c r="P2681" s="143">
        <v>752</v>
      </c>
      <c r="Q2681" s="121" t="s">
        <v>14285</v>
      </c>
      <c r="R2681" s="16" t="s">
        <v>8904</v>
      </c>
      <c r="S2681" s="10" t="s">
        <v>1163</v>
      </c>
      <c r="T2681" s="28" t="s">
        <v>11681</v>
      </c>
      <c r="U2681" s="20" t="s">
        <v>5359</v>
      </c>
      <c r="V2681" s="16" t="s">
        <v>4732</v>
      </c>
      <c r="W2681" s="11" t="s">
        <v>14283</v>
      </c>
      <c r="X2681" s="174">
        <v>235.9</v>
      </c>
      <c r="Y2681" s="174">
        <v>316.56</v>
      </c>
    </row>
    <row r="2682" spans="1:25" ht="15" customHeight="1" x14ac:dyDescent="0.25">
      <c r="A2682" s="20" t="s">
        <v>4734</v>
      </c>
      <c r="B2682" s="14" t="s">
        <v>4735</v>
      </c>
      <c r="C2682" s="71" t="str">
        <f t="shared" si="57"/>
        <v>Product Info</v>
      </c>
      <c r="D2682" s="37" t="s">
        <v>7857</v>
      </c>
      <c r="E2682" s="143">
        <v>1</v>
      </c>
      <c r="F2682" s="12" t="s">
        <v>4992</v>
      </c>
      <c r="G2682" s="38">
        <v>394.26</v>
      </c>
      <c r="H2682" s="38">
        <v>335.13</v>
      </c>
      <c r="I2682" s="38">
        <v>275.98</v>
      </c>
      <c r="J2682" s="39"/>
      <c r="K2682" s="143"/>
      <c r="L2682" s="22">
        <v>0</v>
      </c>
      <c r="M2682" s="22">
        <v>0</v>
      </c>
      <c r="N2682" s="20" t="s">
        <v>14489</v>
      </c>
      <c r="O2682" s="16" t="s">
        <v>12608</v>
      </c>
      <c r="P2682" s="143">
        <v>752</v>
      </c>
      <c r="Q2682" s="121" t="s">
        <v>14285</v>
      </c>
      <c r="R2682" s="16" t="s">
        <v>8904</v>
      </c>
      <c r="S2682" s="10" t="s">
        <v>1163</v>
      </c>
      <c r="T2682" s="28" t="s">
        <v>11682</v>
      </c>
      <c r="U2682" s="20" t="s">
        <v>5359</v>
      </c>
      <c r="V2682" s="16" t="s">
        <v>4734</v>
      </c>
      <c r="W2682" s="11" t="s">
        <v>14283</v>
      </c>
      <c r="X2682" s="174">
        <v>249.73</v>
      </c>
      <c r="Y2682" s="174">
        <v>335.13</v>
      </c>
    </row>
    <row r="2683" spans="1:25" ht="15" customHeight="1" x14ac:dyDescent="0.25">
      <c r="A2683" s="20" t="s">
        <v>4736</v>
      </c>
      <c r="B2683" s="14" t="s">
        <v>4737</v>
      </c>
      <c r="C2683" s="71" t="str">
        <f t="shared" si="57"/>
        <v>Product Info</v>
      </c>
      <c r="D2683" s="37" t="s">
        <v>7858</v>
      </c>
      <c r="E2683" s="143">
        <v>1</v>
      </c>
      <c r="F2683" s="12" t="s">
        <v>4992</v>
      </c>
      <c r="G2683" s="38">
        <v>459.96</v>
      </c>
      <c r="H2683" s="38">
        <v>390.98</v>
      </c>
      <c r="I2683" s="38">
        <v>321.97000000000003</v>
      </c>
      <c r="J2683" s="39">
        <v>25</v>
      </c>
      <c r="K2683" s="143"/>
      <c r="L2683" s="22">
        <v>0</v>
      </c>
      <c r="M2683" s="22">
        <v>0</v>
      </c>
      <c r="N2683" s="20" t="s">
        <v>14489</v>
      </c>
      <c r="O2683" s="16" t="s">
        <v>12608</v>
      </c>
      <c r="P2683" s="143">
        <v>752</v>
      </c>
      <c r="Q2683" s="121" t="s">
        <v>14285</v>
      </c>
      <c r="R2683" s="16" t="s">
        <v>8904</v>
      </c>
      <c r="S2683" s="10" t="s">
        <v>1163</v>
      </c>
      <c r="T2683" s="28" t="s">
        <v>11683</v>
      </c>
      <c r="U2683" s="20" t="s">
        <v>5359</v>
      </c>
      <c r="V2683" s="16" t="s">
        <v>4736</v>
      </c>
      <c r="W2683" s="11" t="s">
        <v>14283</v>
      </c>
      <c r="X2683" s="174">
        <v>291.35000000000002</v>
      </c>
      <c r="Y2683" s="174">
        <v>390.98</v>
      </c>
    </row>
    <row r="2684" spans="1:25" ht="15" customHeight="1" x14ac:dyDescent="0.25">
      <c r="A2684" s="20" t="s">
        <v>4738</v>
      </c>
      <c r="B2684" s="14" t="s">
        <v>4739</v>
      </c>
      <c r="C2684" s="71" t="str">
        <f t="shared" si="57"/>
        <v>Product Info</v>
      </c>
      <c r="D2684" s="37" t="s">
        <v>7859</v>
      </c>
      <c r="E2684" s="143">
        <v>1</v>
      </c>
      <c r="F2684" s="12" t="s">
        <v>4992</v>
      </c>
      <c r="G2684" s="38">
        <v>621.6</v>
      </c>
      <c r="H2684" s="38">
        <v>528.38</v>
      </c>
      <c r="I2684" s="38">
        <v>435.12</v>
      </c>
      <c r="J2684" s="39"/>
      <c r="K2684" s="143"/>
      <c r="L2684" s="22">
        <v>0</v>
      </c>
      <c r="M2684" s="22">
        <v>0</v>
      </c>
      <c r="N2684" s="20" t="s">
        <v>14489</v>
      </c>
      <c r="O2684" s="16" t="s">
        <v>12608</v>
      </c>
      <c r="P2684" s="143">
        <v>752</v>
      </c>
      <c r="Q2684" s="121" t="s">
        <v>14285</v>
      </c>
      <c r="R2684" s="16" t="s">
        <v>8904</v>
      </c>
      <c r="S2684" s="10" t="s">
        <v>1163</v>
      </c>
      <c r="T2684" s="28" t="s">
        <v>11684</v>
      </c>
      <c r="U2684" s="20" t="s">
        <v>5359</v>
      </c>
      <c r="V2684" s="16" t="s">
        <v>4738</v>
      </c>
      <c r="W2684" s="11" t="s">
        <v>14283</v>
      </c>
      <c r="X2684" s="174">
        <v>393.74</v>
      </c>
      <c r="Y2684" s="174">
        <v>528.38</v>
      </c>
    </row>
    <row r="2685" spans="1:25" ht="15" customHeight="1" x14ac:dyDescent="0.25">
      <c r="A2685" s="20" t="s">
        <v>4740</v>
      </c>
      <c r="B2685" s="14" t="s">
        <v>4741</v>
      </c>
      <c r="C2685" s="71" t="str">
        <f t="shared" si="57"/>
        <v>Product Info</v>
      </c>
      <c r="D2685" s="37" t="s">
        <v>7862</v>
      </c>
      <c r="E2685" s="143">
        <v>1</v>
      </c>
      <c r="F2685" s="12" t="s">
        <v>4992</v>
      </c>
      <c r="G2685" s="38">
        <v>629.54</v>
      </c>
      <c r="H2685" s="38">
        <v>535.13</v>
      </c>
      <c r="I2685" s="38">
        <v>440.68</v>
      </c>
      <c r="J2685" s="39"/>
      <c r="K2685" s="143"/>
      <c r="L2685" s="22">
        <v>0</v>
      </c>
      <c r="M2685" s="22">
        <v>0</v>
      </c>
      <c r="N2685" s="20" t="s">
        <v>14489</v>
      </c>
      <c r="O2685" s="16" t="s">
        <v>12608</v>
      </c>
      <c r="P2685" s="143">
        <v>752</v>
      </c>
      <c r="Q2685" s="121" t="s">
        <v>14285</v>
      </c>
      <c r="R2685" s="16" t="s">
        <v>8904</v>
      </c>
      <c r="S2685" s="10" t="s">
        <v>1163</v>
      </c>
      <c r="T2685" s="28" t="s">
        <v>11685</v>
      </c>
      <c r="U2685" s="20" t="s">
        <v>5359</v>
      </c>
      <c r="V2685" s="16" t="s">
        <v>4740</v>
      </c>
      <c r="W2685" s="11" t="s">
        <v>14283</v>
      </c>
      <c r="X2685" s="174">
        <v>398.76</v>
      </c>
      <c r="Y2685" s="174">
        <v>535.13</v>
      </c>
    </row>
    <row r="2686" spans="1:25" ht="15" customHeight="1" x14ac:dyDescent="0.25">
      <c r="A2686" s="20" t="s">
        <v>4742</v>
      </c>
      <c r="B2686" s="14" t="s">
        <v>4743</v>
      </c>
      <c r="C2686" s="71" t="str">
        <f t="shared" si="57"/>
        <v>Product Info</v>
      </c>
      <c r="D2686" s="37" t="s">
        <v>7861</v>
      </c>
      <c r="E2686" s="143">
        <v>1</v>
      </c>
      <c r="F2686" s="12" t="s">
        <v>4992</v>
      </c>
      <c r="G2686" s="38">
        <v>549.89</v>
      </c>
      <c r="H2686" s="38">
        <v>467.42</v>
      </c>
      <c r="I2686" s="38">
        <v>384.92</v>
      </c>
      <c r="J2686" s="39"/>
      <c r="K2686" s="143"/>
      <c r="L2686" s="22">
        <v>0</v>
      </c>
      <c r="M2686" s="22">
        <v>0</v>
      </c>
      <c r="N2686" s="20" t="s">
        <v>14489</v>
      </c>
      <c r="O2686" s="16" t="s">
        <v>12608</v>
      </c>
      <c r="P2686" s="143">
        <v>752</v>
      </c>
      <c r="Q2686" s="121" t="s">
        <v>14285</v>
      </c>
      <c r="R2686" s="16" t="s">
        <v>8904</v>
      </c>
      <c r="S2686" s="10" t="s">
        <v>1163</v>
      </c>
      <c r="T2686" s="28" t="s">
        <v>11686</v>
      </c>
      <c r="U2686" s="20" t="s">
        <v>5359</v>
      </c>
      <c r="V2686" s="16" t="s">
        <v>4742</v>
      </c>
      <c r="W2686" s="11" t="s">
        <v>14283</v>
      </c>
      <c r="X2686" s="174">
        <v>348.32</v>
      </c>
      <c r="Y2686" s="174">
        <v>467.42</v>
      </c>
    </row>
    <row r="2687" spans="1:25" ht="15" customHeight="1" x14ac:dyDescent="0.25">
      <c r="A2687" s="20" t="s">
        <v>4744</v>
      </c>
      <c r="B2687" s="14" t="s">
        <v>4745</v>
      </c>
      <c r="C2687" s="71" t="str">
        <f t="shared" si="57"/>
        <v>Product Info</v>
      </c>
      <c r="D2687" s="37" t="s">
        <v>7860</v>
      </c>
      <c r="E2687" s="143">
        <v>1</v>
      </c>
      <c r="F2687" s="12" t="s">
        <v>4992</v>
      </c>
      <c r="G2687" s="38">
        <v>557.80999999999995</v>
      </c>
      <c r="H2687" s="38">
        <v>474.16</v>
      </c>
      <c r="I2687" s="38">
        <v>390.47</v>
      </c>
      <c r="J2687" s="39"/>
      <c r="K2687" s="143"/>
      <c r="L2687" s="22">
        <v>0</v>
      </c>
      <c r="M2687" s="22">
        <v>0</v>
      </c>
      <c r="N2687" s="20" t="s">
        <v>14489</v>
      </c>
      <c r="O2687" s="16" t="s">
        <v>12608</v>
      </c>
      <c r="P2687" s="143">
        <v>752</v>
      </c>
      <c r="Q2687" s="121" t="s">
        <v>14285</v>
      </c>
      <c r="R2687" s="16" t="s">
        <v>8904</v>
      </c>
      <c r="S2687" s="10" t="s">
        <v>1163</v>
      </c>
      <c r="T2687" s="28" t="s">
        <v>11687</v>
      </c>
      <c r="U2687" s="20" t="s">
        <v>5359</v>
      </c>
      <c r="V2687" s="16" t="s">
        <v>4744</v>
      </c>
      <c r="W2687" s="11" t="s">
        <v>14283</v>
      </c>
      <c r="X2687" s="174">
        <v>353.34</v>
      </c>
      <c r="Y2687" s="174">
        <v>474.16</v>
      </c>
    </row>
    <row r="2688" spans="1:25" ht="15" customHeight="1" x14ac:dyDescent="0.25">
      <c r="A2688" s="20" t="s">
        <v>4746</v>
      </c>
      <c r="B2688" s="14" t="s">
        <v>4747</v>
      </c>
      <c r="C2688" s="71" t="str">
        <f t="shared" si="57"/>
        <v>Product Info</v>
      </c>
      <c r="D2688" s="37" t="s">
        <v>5026</v>
      </c>
      <c r="E2688" s="143">
        <v>1</v>
      </c>
      <c r="F2688" s="12" t="s">
        <v>2170</v>
      </c>
      <c r="G2688" s="38">
        <v>81.099999999999994</v>
      </c>
      <c r="H2688" s="38">
        <v>68.94</v>
      </c>
      <c r="I2688" s="38">
        <v>56.77</v>
      </c>
      <c r="J2688" s="39">
        <v>25</v>
      </c>
      <c r="K2688" s="143"/>
      <c r="L2688" s="22">
        <v>0.94</v>
      </c>
      <c r="M2688" s="22" t="s">
        <v>12488</v>
      </c>
      <c r="N2688" s="20" t="s">
        <v>9461</v>
      </c>
      <c r="O2688" s="16" t="s">
        <v>12608</v>
      </c>
      <c r="P2688" s="143">
        <v>752</v>
      </c>
      <c r="Q2688" s="122" t="s">
        <v>12421</v>
      </c>
      <c r="R2688" s="16" t="s">
        <v>8904</v>
      </c>
      <c r="S2688" s="10" t="s">
        <v>1163</v>
      </c>
      <c r="T2688" s="28" t="s">
        <v>11688</v>
      </c>
      <c r="U2688" s="20" t="s">
        <v>5359</v>
      </c>
      <c r="V2688" s="16" t="s">
        <v>4746</v>
      </c>
      <c r="W2688" s="11" t="s">
        <v>14283</v>
      </c>
      <c r="X2688" s="174">
        <v>51.37</v>
      </c>
      <c r="Y2688" s="174">
        <v>68.94</v>
      </c>
    </row>
    <row r="2689" spans="1:25" ht="15" customHeight="1" x14ac:dyDescent="0.25">
      <c r="A2689" s="20" t="s">
        <v>4748</v>
      </c>
      <c r="B2689" s="14" t="s">
        <v>4749</v>
      </c>
      <c r="C2689" s="71" t="str">
        <f t="shared" si="57"/>
        <v>Product Info</v>
      </c>
      <c r="D2689" s="37" t="s">
        <v>5027</v>
      </c>
      <c r="E2689" s="143">
        <v>1</v>
      </c>
      <c r="F2689" s="12" t="s">
        <v>2170</v>
      </c>
      <c r="G2689" s="38">
        <v>101.54</v>
      </c>
      <c r="H2689" s="38">
        <v>86.31</v>
      </c>
      <c r="I2689" s="38">
        <v>71.08</v>
      </c>
      <c r="J2689" s="39">
        <v>25</v>
      </c>
      <c r="K2689" s="143"/>
      <c r="L2689" s="22">
        <v>2</v>
      </c>
      <c r="M2689" s="22" t="s">
        <v>12488</v>
      </c>
      <c r="N2689" s="20" t="s">
        <v>9462</v>
      </c>
      <c r="O2689" s="16" t="s">
        <v>12608</v>
      </c>
      <c r="P2689" s="143">
        <v>752</v>
      </c>
      <c r="Q2689" s="121" t="s">
        <v>14285</v>
      </c>
      <c r="R2689" s="16" t="s">
        <v>8904</v>
      </c>
      <c r="S2689" s="10" t="s">
        <v>1163</v>
      </c>
      <c r="T2689" s="28" t="s">
        <v>11689</v>
      </c>
      <c r="U2689" s="20" t="s">
        <v>5359</v>
      </c>
      <c r="V2689" s="16" t="s">
        <v>4748</v>
      </c>
      <c r="W2689" s="11" t="s">
        <v>14283</v>
      </c>
      <c r="X2689" s="174">
        <v>64.319999999999993</v>
      </c>
      <c r="Y2689" s="174">
        <v>86.31</v>
      </c>
    </row>
    <row r="2690" spans="1:25" ht="15" customHeight="1" x14ac:dyDescent="0.25">
      <c r="A2690" s="20" t="s">
        <v>4750</v>
      </c>
      <c r="B2690" s="14" t="s">
        <v>4751</v>
      </c>
      <c r="C2690" s="71" t="str">
        <f t="shared" si="57"/>
        <v>Product Info</v>
      </c>
      <c r="D2690" s="37" t="s">
        <v>5028</v>
      </c>
      <c r="E2690" s="143">
        <v>1</v>
      </c>
      <c r="F2690" s="12" t="s">
        <v>2170</v>
      </c>
      <c r="G2690" s="38">
        <v>109.1</v>
      </c>
      <c r="H2690" s="38">
        <v>92.74</v>
      </c>
      <c r="I2690" s="38">
        <v>76.37</v>
      </c>
      <c r="J2690" s="39">
        <v>25</v>
      </c>
      <c r="K2690" s="143"/>
      <c r="L2690" s="22">
        <v>1.2</v>
      </c>
      <c r="M2690" s="22" t="s">
        <v>12488</v>
      </c>
      <c r="N2690" s="20" t="s">
        <v>9248</v>
      </c>
      <c r="O2690" s="16" t="s">
        <v>12608</v>
      </c>
      <c r="P2690" s="143">
        <v>752</v>
      </c>
      <c r="Q2690" s="122" t="s">
        <v>9227</v>
      </c>
      <c r="R2690" s="16" t="s">
        <v>8904</v>
      </c>
      <c r="S2690" s="10" t="s">
        <v>1163</v>
      </c>
      <c r="T2690" s="28" t="s">
        <v>11690</v>
      </c>
      <c r="U2690" s="20" t="s">
        <v>5359</v>
      </c>
      <c r="V2690" s="16" t="s">
        <v>4750</v>
      </c>
      <c r="W2690" s="11" t="s">
        <v>14283</v>
      </c>
      <c r="X2690" s="174">
        <v>69.11</v>
      </c>
      <c r="Y2690" s="174">
        <v>92.74</v>
      </c>
    </row>
    <row r="2691" spans="1:25" ht="15" customHeight="1" x14ac:dyDescent="0.25">
      <c r="A2691" s="20" t="s">
        <v>4752</v>
      </c>
      <c r="B2691" s="14" t="s">
        <v>6703</v>
      </c>
      <c r="C2691" s="71" t="str">
        <f t="shared" si="57"/>
        <v>Product Info</v>
      </c>
      <c r="D2691" s="37" t="s">
        <v>5029</v>
      </c>
      <c r="E2691" s="143">
        <v>1</v>
      </c>
      <c r="F2691" s="12" t="s">
        <v>2170</v>
      </c>
      <c r="G2691" s="38">
        <v>129.69999999999999</v>
      </c>
      <c r="H2691" s="38">
        <v>110.25</v>
      </c>
      <c r="I2691" s="38">
        <v>90.79</v>
      </c>
      <c r="J2691" s="39">
        <v>25</v>
      </c>
      <c r="K2691" s="143"/>
      <c r="L2691" s="22">
        <v>1.4</v>
      </c>
      <c r="M2691" s="22" t="s">
        <v>12488</v>
      </c>
      <c r="N2691" s="20" t="s">
        <v>9248</v>
      </c>
      <c r="O2691" s="16" t="s">
        <v>12608</v>
      </c>
      <c r="P2691" s="143">
        <v>752</v>
      </c>
      <c r="Q2691" s="122" t="s">
        <v>12421</v>
      </c>
      <c r="R2691" s="16" t="s">
        <v>8904</v>
      </c>
      <c r="S2691" s="10" t="s">
        <v>1163</v>
      </c>
      <c r="T2691" s="28" t="s">
        <v>11691</v>
      </c>
      <c r="U2691" s="20" t="s">
        <v>5359</v>
      </c>
      <c r="V2691" s="16" t="s">
        <v>4752</v>
      </c>
      <c r="W2691" s="11" t="s">
        <v>14283</v>
      </c>
      <c r="X2691" s="174">
        <v>82.16</v>
      </c>
      <c r="Y2691" s="174">
        <v>110.25</v>
      </c>
    </row>
    <row r="2692" spans="1:25" ht="15" customHeight="1" x14ac:dyDescent="0.25">
      <c r="A2692" s="20" t="s">
        <v>3427</v>
      </c>
      <c r="B2692" s="14" t="s">
        <v>3428</v>
      </c>
      <c r="C2692" s="71" t="str">
        <f t="shared" si="57"/>
        <v>Product Info</v>
      </c>
      <c r="D2692" s="37" t="s">
        <v>5030</v>
      </c>
      <c r="E2692" s="143">
        <v>1</v>
      </c>
      <c r="F2692" s="12" t="s">
        <v>2170</v>
      </c>
      <c r="G2692" s="38">
        <v>144.33000000000001</v>
      </c>
      <c r="H2692" s="38">
        <v>122.68</v>
      </c>
      <c r="I2692" s="38">
        <v>101.03</v>
      </c>
      <c r="J2692" s="39">
        <v>25</v>
      </c>
      <c r="K2692" s="143"/>
      <c r="L2692" s="22">
        <v>1.6</v>
      </c>
      <c r="M2692" s="22" t="s">
        <v>12488</v>
      </c>
      <c r="N2692" s="20" t="s">
        <v>9359</v>
      </c>
      <c r="O2692" s="16" t="s">
        <v>12608</v>
      </c>
      <c r="P2692" s="143">
        <v>752</v>
      </c>
      <c r="Q2692" s="121" t="s">
        <v>14285</v>
      </c>
      <c r="R2692" s="16" t="s">
        <v>8904</v>
      </c>
      <c r="S2692" s="10" t="s">
        <v>1163</v>
      </c>
      <c r="T2692" s="28" t="s">
        <v>11692</v>
      </c>
      <c r="U2692" s="20" t="s">
        <v>5359</v>
      </c>
      <c r="V2692" s="16" t="s">
        <v>3427</v>
      </c>
      <c r="W2692" s="11" t="s">
        <v>14283</v>
      </c>
      <c r="X2692" s="174">
        <v>91.42</v>
      </c>
      <c r="Y2692" s="174">
        <v>122.68</v>
      </c>
    </row>
    <row r="2693" spans="1:25" ht="15" customHeight="1" x14ac:dyDescent="0.25">
      <c r="A2693" s="20" t="s">
        <v>3429</v>
      </c>
      <c r="B2693" s="14" t="s">
        <v>3430</v>
      </c>
      <c r="C2693" s="71" t="str">
        <f t="shared" si="57"/>
        <v>Product Info</v>
      </c>
      <c r="D2693" s="37" t="s">
        <v>5031</v>
      </c>
      <c r="E2693" s="143">
        <v>1</v>
      </c>
      <c r="F2693" s="12" t="s">
        <v>2170</v>
      </c>
      <c r="G2693" s="38">
        <v>157.94</v>
      </c>
      <c r="H2693" s="38">
        <v>134.26</v>
      </c>
      <c r="I2693" s="38">
        <v>110.56</v>
      </c>
      <c r="J2693" s="39">
        <v>25</v>
      </c>
      <c r="K2693" s="143"/>
      <c r="L2693" s="22">
        <v>1.6</v>
      </c>
      <c r="M2693" s="22" t="s">
        <v>12488</v>
      </c>
      <c r="N2693" s="20" t="s">
        <v>9359</v>
      </c>
      <c r="O2693" s="16" t="s">
        <v>12608</v>
      </c>
      <c r="P2693" s="143">
        <v>752</v>
      </c>
      <c r="Q2693" s="121" t="s">
        <v>14285</v>
      </c>
      <c r="R2693" s="16" t="s">
        <v>8904</v>
      </c>
      <c r="S2693" s="10" t="s">
        <v>1163</v>
      </c>
      <c r="T2693" s="28" t="s">
        <v>11693</v>
      </c>
      <c r="U2693" s="20" t="s">
        <v>5359</v>
      </c>
      <c r="V2693" s="16" t="s">
        <v>3429</v>
      </c>
      <c r="W2693" s="11" t="s">
        <v>14283</v>
      </c>
      <c r="X2693" s="174">
        <v>100.04</v>
      </c>
      <c r="Y2693" s="174">
        <v>134.26</v>
      </c>
    </row>
    <row r="2694" spans="1:25" ht="15" customHeight="1" x14ac:dyDescent="0.25">
      <c r="A2694" s="20" t="s">
        <v>3431</v>
      </c>
      <c r="B2694" s="14" t="s">
        <v>3432</v>
      </c>
      <c r="C2694" s="71" t="str">
        <f t="shared" ref="C2694:C2757" si="58">HYPERLINK(T2694,U2694)</f>
        <v>Product Info</v>
      </c>
      <c r="D2694" s="37" t="s">
        <v>5032</v>
      </c>
      <c r="E2694" s="143">
        <v>1</v>
      </c>
      <c r="F2694" s="12" t="s">
        <v>2170</v>
      </c>
      <c r="G2694" s="38">
        <v>1828</v>
      </c>
      <c r="H2694" s="38">
        <v>1553.86</v>
      </c>
      <c r="I2694" s="38">
        <v>1279.5999999999999</v>
      </c>
      <c r="J2694" s="39">
        <v>25</v>
      </c>
      <c r="K2694" s="143"/>
      <c r="L2694" s="22">
        <v>12</v>
      </c>
      <c r="M2694" s="22" t="s">
        <v>12488</v>
      </c>
      <c r="N2694" s="20" t="s">
        <v>9316</v>
      </c>
      <c r="O2694" s="16" t="s">
        <v>12608</v>
      </c>
      <c r="P2694" s="143">
        <v>752</v>
      </c>
      <c r="Q2694" s="121" t="s">
        <v>14285</v>
      </c>
      <c r="R2694" s="16" t="s">
        <v>8904</v>
      </c>
      <c r="S2694" s="10" t="s">
        <v>1163</v>
      </c>
      <c r="T2694" s="28" t="s">
        <v>11694</v>
      </c>
      <c r="U2694" s="20" t="s">
        <v>5359</v>
      </c>
      <c r="V2694" s="16" t="s">
        <v>3431</v>
      </c>
      <c r="W2694" s="11" t="s">
        <v>14283</v>
      </c>
      <c r="X2694" s="174">
        <v>1157.9000000000001</v>
      </c>
      <c r="Y2694" s="174">
        <v>1553.86</v>
      </c>
    </row>
    <row r="2695" spans="1:25" ht="15" customHeight="1" x14ac:dyDescent="0.25">
      <c r="A2695" s="20" t="s">
        <v>3433</v>
      </c>
      <c r="B2695" s="14" t="s">
        <v>3434</v>
      </c>
      <c r="C2695" s="71" t="str">
        <f t="shared" si="58"/>
        <v>Product Info</v>
      </c>
      <c r="D2695" s="37" t="s">
        <v>2817</v>
      </c>
      <c r="E2695" s="143">
        <v>1</v>
      </c>
      <c r="F2695" s="12" t="s">
        <v>2170</v>
      </c>
      <c r="G2695" s="38">
        <v>1778.43</v>
      </c>
      <c r="H2695" s="38">
        <v>1511.72</v>
      </c>
      <c r="I2695" s="38">
        <v>1244.9000000000001</v>
      </c>
      <c r="J2695" s="39">
        <v>25</v>
      </c>
      <c r="K2695" s="143"/>
      <c r="L2695" s="22">
        <v>13</v>
      </c>
      <c r="M2695" s="22" t="s">
        <v>12488</v>
      </c>
      <c r="N2695" s="20" t="s">
        <v>9463</v>
      </c>
      <c r="O2695" s="16" t="s">
        <v>12608</v>
      </c>
      <c r="P2695" s="143">
        <v>752</v>
      </c>
      <c r="Q2695" s="122" t="s">
        <v>14461</v>
      </c>
      <c r="R2695" s="16" t="s">
        <v>8904</v>
      </c>
      <c r="S2695" s="10" t="s">
        <v>1163</v>
      </c>
      <c r="T2695" s="28" t="s">
        <v>11695</v>
      </c>
      <c r="U2695" s="20" t="s">
        <v>5359</v>
      </c>
      <c r="V2695" s="16" t="s">
        <v>3433</v>
      </c>
      <c r="W2695" s="11" t="s">
        <v>14283</v>
      </c>
      <c r="X2695" s="174">
        <v>1126.5</v>
      </c>
      <c r="Y2695" s="174">
        <v>1511.72</v>
      </c>
    </row>
    <row r="2696" spans="1:25" ht="15" customHeight="1" x14ac:dyDescent="0.25">
      <c r="A2696" s="20" t="s">
        <v>3435</v>
      </c>
      <c r="B2696" s="14" t="s">
        <v>3436</v>
      </c>
      <c r="C2696" s="71" t="str">
        <f t="shared" si="58"/>
        <v>Product Info</v>
      </c>
      <c r="D2696" s="37" t="s">
        <v>5033</v>
      </c>
      <c r="E2696" s="143">
        <v>1</v>
      </c>
      <c r="F2696" s="12" t="s">
        <v>2170</v>
      </c>
      <c r="G2696" s="38">
        <v>2363.83</v>
      </c>
      <c r="H2696" s="38">
        <v>2009.33</v>
      </c>
      <c r="I2696" s="38">
        <v>1654.68</v>
      </c>
      <c r="J2696" s="39">
        <v>25</v>
      </c>
      <c r="K2696" s="143"/>
      <c r="L2696" s="22">
        <v>16</v>
      </c>
      <c r="M2696" s="22" t="s">
        <v>12488</v>
      </c>
      <c r="N2696" s="20" t="s">
        <v>9353</v>
      </c>
      <c r="O2696" s="16" t="s">
        <v>12608</v>
      </c>
      <c r="P2696" s="143">
        <v>752</v>
      </c>
      <c r="Q2696" s="122" t="s">
        <v>12421</v>
      </c>
      <c r="R2696" s="16" t="s">
        <v>8904</v>
      </c>
      <c r="S2696" s="10" t="s">
        <v>1163</v>
      </c>
      <c r="T2696" s="28" t="s">
        <v>11696</v>
      </c>
      <c r="U2696" s="20" t="s">
        <v>5359</v>
      </c>
      <c r="V2696" s="16" t="s">
        <v>3435</v>
      </c>
      <c r="W2696" s="11" t="s">
        <v>14283</v>
      </c>
      <c r="X2696" s="174">
        <v>1497.31</v>
      </c>
      <c r="Y2696" s="174">
        <v>2009.33</v>
      </c>
    </row>
    <row r="2697" spans="1:25" ht="15" customHeight="1" x14ac:dyDescent="0.25">
      <c r="A2697" s="20" t="s">
        <v>3437</v>
      </c>
      <c r="B2697" s="14" t="s">
        <v>3438</v>
      </c>
      <c r="C2697" s="71" t="str">
        <f t="shared" si="58"/>
        <v>Product Info</v>
      </c>
      <c r="D2697" s="37" t="s">
        <v>2818</v>
      </c>
      <c r="E2697" s="143">
        <v>1</v>
      </c>
      <c r="F2697" s="12" t="s">
        <v>2170</v>
      </c>
      <c r="G2697" s="38">
        <v>2088.86</v>
      </c>
      <c r="H2697" s="38">
        <v>1775.59</v>
      </c>
      <c r="I2697" s="38">
        <v>1462.2</v>
      </c>
      <c r="J2697" s="39">
        <v>25</v>
      </c>
      <c r="K2697" s="143"/>
      <c r="L2697" s="22">
        <v>15</v>
      </c>
      <c r="M2697" s="22" t="s">
        <v>12488</v>
      </c>
      <c r="N2697" s="20" t="s">
        <v>9464</v>
      </c>
      <c r="O2697" s="16" t="s">
        <v>12608</v>
      </c>
      <c r="P2697" s="143">
        <v>752</v>
      </c>
      <c r="Q2697" s="122" t="s">
        <v>14461</v>
      </c>
      <c r="R2697" s="16" t="s">
        <v>8904</v>
      </c>
      <c r="S2697" s="10" t="s">
        <v>1163</v>
      </c>
      <c r="T2697" s="28" t="s">
        <v>11697</v>
      </c>
      <c r="U2697" s="20" t="s">
        <v>5359</v>
      </c>
      <c r="V2697" s="16" t="s">
        <v>3437</v>
      </c>
      <c r="W2697" s="11" t="s">
        <v>14283</v>
      </c>
      <c r="X2697" s="174">
        <v>1323.13</v>
      </c>
      <c r="Y2697" s="174">
        <v>1775.59</v>
      </c>
    </row>
    <row r="2698" spans="1:25" ht="15" customHeight="1" x14ac:dyDescent="0.25">
      <c r="A2698" s="20" t="s">
        <v>3439</v>
      </c>
      <c r="B2698" s="14" t="s">
        <v>3440</v>
      </c>
      <c r="C2698" s="71" t="str">
        <f t="shared" si="58"/>
        <v>Product Info</v>
      </c>
      <c r="D2698" s="37" t="s">
        <v>5034</v>
      </c>
      <c r="E2698" s="143">
        <v>1</v>
      </c>
      <c r="F2698" s="12" t="s">
        <v>2170</v>
      </c>
      <c r="G2698" s="38">
        <v>2904.99</v>
      </c>
      <c r="H2698" s="38">
        <v>2469.33</v>
      </c>
      <c r="I2698" s="38">
        <v>2033.49</v>
      </c>
      <c r="J2698" s="39">
        <v>25</v>
      </c>
      <c r="K2698" s="143"/>
      <c r="L2698" s="22">
        <v>20</v>
      </c>
      <c r="M2698" s="22" t="s">
        <v>12488</v>
      </c>
      <c r="N2698" s="20" t="s">
        <v>9353</v>
      </c>
      <c r="O2698" s="16" t="s">
        <v>12608</v>
      </c>
      <c r="P2698" s="143">
        <v>752</v>
      </c>
      <c r="Q2698" s="122" t="s">
        <v>12421</v>
      </c>
      <c r="R2698" s="16" t="s">
        <v>8904</v>
      </c>
      <c r="S2698" s="10" t="s">
        <v>1163</v>
      </c>
      <c r="T2698" s="28" t="s">
        <v>11698</v>
      </c>
      <c r="U2698" s="20" t="s">
        <v>5359</v>
      </c>
      <c r="V2698" s="16" t="s">
        <v>3439</v>
      </c>
      <c r="W2698" s="11" t="s">
        <v>14283</v>
      </c>
      <c r="X2698" s="174">
        <v>1840.09</v>
      </c>
      <c r="Y2698" s="174">
        <v>2469.33</v>
      </c>
    </row>
    <row r="2699" spans="1:25" ht="15" customHeight="1" x14ac:dyDescent="0.25">
      <c r="A2699" s="20" t="s">
        <v>3441</v>
      </c>
      <c r="B2699" s="14" t="s">
        <v>3442</v>
      </c>
      <c r="C2699" s="71" t="str">
        <f t="shared" si="58"/>
        <v>Product Info</v>
      </c>
      <c r="D2699" s="37" t="s">
        <v>2819</v>
      </c>
      <c r="E2699" s="143">
        <v>1</v>
      </c>
      <c r="F2699" s="12" t="s">
        <v>2170</v>
      </c>
      <c r="G2699" s="38">
        <v>2423.4899999999998</v>
      </c>
      <c r="H2699" s="38">
        <v>2060.04</v>
      </c>
      <c r="I2699" s="38">
        <v>1696.44</v>
      </c>
      <c r="J2699" s="39">
        <v>25</v>
      </c>
      <c r="K2699" s="143"/>
      <c r="L2699" s="22">
        <v>20.024999999999999</v>
      </c>
      <c r="M2699" s="22" t="s">
        <v>12488</v>
      </c>
      <c r="N2699" s="20" t="s">
        <v>9465</v>
      </c>
      <c r="O2699" s="16" t="s">
        <v>12608</v>
      </c>
      <c r="P2699" s="143">
        <v>752</v>
      </c>
      <c r="Q2699" s="122" t="s">
        <v>14461</v>
      </c>
      <c r="R2699" s="16" t="s">
        <v>8904</v>
      </c>
      <c r="S2699" s="10" t="s">
        <v>1163</v>
      </c>
      <c r="T2699" s="28" t="s">
        <v>11699</v>
      </c>
      <c r="U2699" s="20" t="s">
        <v>5359</v>
      </c>
      <c r="V2699" s="16" t="s">
        <v>3441</v>
      </c>
      <c r="W2699" s="11" t="s">
        <v>14283</v>
      </c>
      <c r="X2699" s="174">
        <v>1535.1</v>
      </c>
      <c r="Y2699" s="174">
        <v>2060.04</v>
      </c>
    </row>
    <row r="2700" spans="1:25" ht="15" customHeight="1" x14ac:dyDescent="0.25">
      <c r="A2700" s="20" t="s">
        <v>3443</v>
      </c>
      <c r="B2700" s="14" t="s">
        <v>3444</v>
      </c>
      <c r="C2700" s="71" t="str">
        <f t="shared" si="58"/>
        <v>Product Info</v>
      </c>
      <c r="D2700" s="37" t="s">
        <v>5035</v>
      </c>
      <c r="E2700" s="143">
        <v>1</v>
      </c>
      <c r="F2700" s="12" t="s">
        <v>2170</v>
      </c>
      <c r="G2700" s="38">
        <v>2778.6</v>
      </c>
      <c r="H2700" s="38">
        <v>2361.89</v>
      </c>
      <c r="I2700" s="38">
        <v>1945.02</v>
      </c>
      <c r="J2700" s="39">
        <v>25</v>
      </c>
      <c r="K2700" s="143"/>
      <c r="L2700" s="22">
        <v>23.5</v>
      </c>
      <c r="M2700" s="22" t="s">
        <v>12488</v>
      </c>
      <c r="N2700" s="20" t="s">
        <v>9437</v>
      </c>
      <c r="O2700" s="16" t="s">
        <v>12608</v>
      </c>
      <c r="P2700" s="143">
        <v>752</v>
      </c>
      <c r="Q2700" s="122" t="s">
        <v>12421</v>
      </c>
      <c r="R2700" s="16" t="s">
        <v>8904</v>
      </c>
      <c r="S2700" s="10" t="s">
        <v>1163</v>
      </c>
      <c r="T2700" s="28" t="s">
        <v>11700</v>
      </c>
      <c r="U2700" s="20" t="s">
        <v>5359</v>
      </c>
      <c r="V2700" s="16" t="s">
        <v>3443</v>
      </c>
      <c r="W2700" s="11" t="s">
        <v>14283</v>
      </c>
      <c r="X2700" s="174">
        <v>1760.04</v>
      </c>
      <c r="Y2700" s="174">
        <v>2361.89</v>
      </c>
    </row>
    <row r="2701" spans="1:25" ht="15" customHeight="1" x14ac:dyDescent="0.25">
      <c r="A2701" s="20" t="s">
        <v>3445</v>
      </c>
      <c r="B2701" s="14" t="s">
        <v>3446</v>
      </c>
      <c r="C2701" s="71" t="str">
        <f t="shared" si="58"/>
        <v>Product Info</v>
      </c>
      <c r="D2701" s="37" t="s">
        <v>5036</v>
      </c>
      <c r="E2701" s="143">
        <v>1</v>
      </c>
      <c r="F2701" s="12" t="s">
        <v>2170</v>
      </c>
      <c r="G2701" s="38">
        <v>1996.93</v>
      </c>
      <c r="H2701" s="38">
        <v>1697.45</v>
      </c>
      <c r="I2701" s="38">
        <v>1397.85</v>
      </c>
      <c r="J2701" s="39">
        <v>25</v>
      </c>
      <c r="K2701" s="143"/>
      <c r="L2701" s="22">
        <v>12</v>
      </c>
      <c r="M2701" s="22" t="s">
        <v>12488</v>
      </c>
      <c r="N2701" s="20" t="s">
        <v>9316</v>
      </c>
      <c r="O2701" s="16" t="s">
        <v>12608</v>
      </c>
      <c r="P2701" s="143">
        <v>752</v>
      </c>
      <c r="Q2701" s="121" t="s">
        <v>14285</v>
      </c>
      <c r="R2701" s="16" t="s">
        <v>8904</v>
      </c>
      <c r="S2701" s="10" t="s">
        <v>1163</v>
      </c>
      <c r="T2701" s="28" t="s">
        <v>11701</v>
      </c>
      <c r="U2701" s="20" t="s">
        <v>5359</v>
      </c>
      <c r="V2701" s="16" t="s">
        <v>3445</v>
      </c>
      <c r="W2701" s="11" t="s">
        <v>14283</v>
      </c>
      <c r="X2701" s="174">
        <v>1264.9100000000001</v>
      </c>
      <c r="Y2701" s="174">
        <v>1697.45</v>
      </c>
    </row>
    <row r="2702" spans="1:25" ht="15" customHeight="1" x14ac:dyDescent="0.25">
      <c r="A2702" s="20" t="s">
        <v>6391</v>
      </c>
      <c r="B2702" s="14" t="s">
        <v>6392</v>
      </c>
      <c r="C2702" s="71" t="str">
        <f t="shared" si="58"/>
        <v>Product Info</v>
      </c>
      <c r="D2702" s="37" t="s">
        <v>5037</v>
      </c>
      <c r="E2702" s="143">
        <v>1</v>
      </c>
      <c r="F2702" s="12" t="s">
        <v>2170</v>
      </c>
      <c r="G2702" s="38">
        <v>2082.63</v>
      </c>
      <c r="H2702" s="38">
        <v>1770.3</v>
      </c>
      <c r="I2702" s="38">
        <v>1457.84</v>
      </c>
      <c r="J2702" s="39">
        <v>25</v>
      </c>
      <c r="K2702" s="143"/>
      <c r="L2702" s="22">
        <v>15</v>
      </c>
      <c r="M2702" s="22" t="s">
        <v>12488</v>
      </c>
      <c r="N2702" s="20" t="s">
        <v>9353</v>
      </c>
      <c r="O2702" s="16" t="s">
        <v>12608</v>
      </c>
      <c r="P2702" s="143">
        <v>752</v>
      </c>
      <c r="Q2702" s="121" t="s">
        <v>14285</v>
      </c>
      <c r="R2702" s="16" t="s">
        <v>8904</v>
      </c>
      <c r="S2702" s="10" t="s">
        <v>1163</v>
      </c>
      <c r="T2702" s="28" t="s">
        <v>11702</v>
      </c>
      <c r="U2702" s="20" t="s">
        <v>5359</v>
      </c>
      <c r="V2702" s="16" t="s">
        <v>6391</v>
      </c>
      <c r="W2702" s="11" t="s">
        <v>14283</v>
      </c>
      <c r="X2702" s="174">
        <v>1319.19</v>
      </c>
      <c r="Y2702" s="174">
        <v>1770.3</v>
      </c>
    </row>
    <row r="2703" spans="1:25" ht="15" customHeight="1" x14ac:dyDescent="0.25">
      <c r="A2703" s="20" t="s">
        <v>6393</v>
      </c>
      <c r="B2703" s="14" t="s">
        <v>6394</v>
      </c>
      <c r="C2703" s="71" t="str">
        <f t="shared" si="58"/>
        <v>Product Info</v>
      </c>
      <c r="D2703" s="37" t="s">
        <v>5038</v>
      </c>
      <c r="E2703" s="143">
        <v>1</v>
      </c>
      <c r="F2703" s="12" t="s">
        <v>2170</v>
      </c>
      <c r="G2703" s="38">
        <v>2559.87</v>
      </c>
      <c r="H2703" s="38">
        <v>2175.9699999999998</v>
      </c>
      <c r="I2703" s="38">
        <v>1791.91</v>
      </c>
      <c r="J2703" s="39">
        <v>25</v>
      </c>
      <c r="K2703" s="143"/>
      <c r="L2703" s="22">
        <v>19</v>
      </c>
      <c r="M2703" s="22" t="s">
        <v>12488</v>
      </c>
      <c r="N2703" s="20" t="s">
        <v>9353</v>
      </c>
      <c r="O2703" s="16" t="s">
        <v>12608</v>
      </c>
      <c r="P2703" s="143">
        <v>752</v>
      </c>
      <c r="Q2703" s="122" t="s">
        <v>12421</v>
      </c>
      <c r="R2703" s="16" t="s">
        <v>8904</v>
      </c>
      <c r="S2703" s="10" t="s">
        <v>1163</v>
      </c>
      <c r="T2703" s="28" t="s">
        <v>11703</v>
      </c>
      <c r="U2703" s="20" t="s">
        <v>5359</v>
      </c>
      <c r="V2703" s="16" t="s">
        <v>6393</v>
      </c>
      <c r="W2703" s="11" t="s">
        <v>14283</v>
      </c>
      <c r="X2703" s="174">
        <v>1621.49</v>
      </c>
      <c r="Y2703" s="174">
        <v>2175.9699999999998</v>
      </c>
    </row>
    <row r="2704" spans="1:25" ht="15" customHeight="1" x14ac:dyDescent="0.25">
      <c r="A2704" s="20" t="s">
        <v>6395</v>
      </c>
      <c r="B2704" s="14" t="s">
        <v>6396</v>
      </c>
      <c r="C2704" s="71" t="str">
        <f t="shared" si="58"/>
        <v>Product Info</v>
      </c>
      <c r="D2704" s="37" t="s">
        <v>5039</v>
      </c>
      <c r="E2704" s="143">
        <v>1</v>
      </c>
      <c r="F2704" s="12" t="s">
        <v>2170</v>
      </c>
      <c r="G2704" s="38">
        <v>2535.5</v>
      </c>
      <c r="H2704" s="38">
        <v>2155.25</v>
      </c>
      <c r="I2704" s="38">
        <v>1774.85</v>
      </c>
      <c r="J2704" s="39">
        <v>25</v>
      </c>
      <c r="K2704" s="143"/>
      <c r="L2704" s="22">
        <v>21</v>
      </c>
      <c r="M2704" s="22" t="s">
        <v>12488</v>
      </c>
      <c r="N2704" s="20" t="s">
        <v>9437</v>
      </c>
      <c r="O2704" s="16" t="s">
        <v>12608</v>
      </c>
      <c r="P2704" s="143">
        <v>752</v>
      </c>
      <c r="Q2704" s="122" t="s">
        <v>12421</v>
      </c>
      <c r="R2704" s="16" t="s">
        <v>8904</v>
      </c>
      <c r="S2704" s="10" t="s">
        <v>1163</v>
      </c>
      <c r="T2704" s="28" t="s">
        <v>11704</v>
      </c>
      <c r="U2704" s="20" t="s">
        <v>5359</v>
      </c>
      <c r="V2704" s="16" t="s">
        <v>6395</v>
      </c>
      <c r="W2704" s="11" t="s">
        <v>14283</v>
      </c>
      <c r="X2704" s="174">
        <v>1606.05</v>
      </c>
      <c r="Y2704" s="174">
        <v>2155.25</v>
      </c>
    </row>
    <row r="2705" spans="1:25" ht="15" customHeight="1" x14ac:dyDescent="0.25">
      <c r="A2705" s="20" t="s">
        <v>5574</v>
      </c>
      <c r="B2705" s="14" t="s">
        <v>5575</v>
      </c>
      <c r="C2705" s="71" t="str">
        <f t="shared" si="58"/>
        <v>Product Info</v>
      </c>
      <c r="D2705" s="37" t="s">
        <v>5040</v>
      </c>
      <c r="E2705" s="143">
        <v>1</v>
      </c>
      <c r="F2705" s="12" t="s">
        <v>2170</v>
      </c>
      <c r="G2705" s="38">
        <v>2670.47</v>
      </c>
      <c r="H2705" s="38">
        <v>2269.98</v>
      </c>
      <c r="I2705" s="38">
        <v>1869.33</v>
      </c>
      <c r="J2705" s="39">
        <v>25</v>
      </c>
      <c r="K2705" s="143"/>
      <c r="L2705" s="22">
        <v>23.5</v>
      </c>
      <c r="M2705" s="22" t="s">
        <v>12488</v>
      </c>
      <c r="N2705" s="20" t="s">
        <v>9327</v>
      </c>
      <c r="O2705" s="16" t="s">
        <v>12608</v>
      </c>
      <c r="P2705" s="143">
        <v>752</v>
      </c>
      <c r="Q2705" s="122" t="s">
        <v>12421</v>
      </c>
      <c r="R2705" s="16" t="s">
        <v>8904</v>
      </c>
      <c r="S2705" s="10" t="s">
        <v>1163</v>
      </c>
      <c r="T2705" s="28" t="s">
        <v>11705</v>
      </c>
      <c r="U2705" s="20" t="s">
        <v>5359</v>
      </c>
      <c r="V2705" s="16" t="s">
        <v>5574</v>
      </c>
      <c r="W2705" s="11" t="s">
        <v>14283</v>
      </c>
      <c r="X2705" s="174">
        <v>1691.54</v>
      </c>
      <c r="Y2705" s="174">
        <v>2269.98</v>
      </c>
    </row>
    <row r="2706" spans="1:25" ht="15" customHeight="1" x14ac:dyDescent="0.25">
      <c r="A2706" s="20" t="s">
        <v>5576</v>
      </c>
      <c r="B2706" s="14" t="s">
        <v>5577</v>
      </c>
      <c r="C2706" s="71" t="str">
        <f t="shared" si="58"/>
        <v>Product Info</v>
      </c>
      <c r="D2706" s="37" t="s">
        <v>5041</v>
      </c>
      <c r="E2706" s="143">
        <v>1</v>
      </c>
      <c r="F2706" s="12" t="s">
        <v>2170</v>
      </c>
      <c r="G2706" s="38">
        <v>2943.89</v>
      </c>
      <c r="H2706" s="38">
        <v>2502.39</v>
      </c>
      <c r="I2706" s="38">
        <v>2060.7199999999998</v>
      </c>
      <c r="J2706" s="39">
        <v>25</v>
      </c>
      <c r="K2706" s="143"/>
      <c r="L2706" s="22">
        <v>24</v>
      </c>
      <c r="M2706" s="22" t="s">
        <v>12488</v>
      </c>
      <c r="N2706" s="20" t="s">
        <v>9353</v>
      </c>
      <c r="O2706" s="16" t="s">
        <v>12608</v>
      </c>
      <c r="P2706" s="143">
        <v>752</v>
      </c>
      <c r="Q2706" s="121" t="s">
        <v>14285</v>
      </c>
      <c r="R2706" s="16" t="s">
        <v>8904</v>
      </c>
      <c r="S2706" s="10" t="s">
        <v>1163</v>
      </c>
      <c r="T2706" s="28" t="s">
        <v>11706</v>
      </c>
      <c r="U2706" s="20" t="s">
        <v>5359</v>
      </c>
      <c r="V2706" s="16" t="s">
        <v>5576</v>
      </c>
      <c r="W2706" s="11" t="s">
        <v>14283</v>
      </c>
      <c r="X2706" s="174">
        <v>1864.73</v>
      </c>
      <c r="Y2706" s="174">
        <v>2502.39</v>
      </c>
    </row>
    <row r="2707" spans="1:25" ht="15" customHeight="1" x14ac:dyDescent="0.25">
      <c r="A2707" s="20" t="s">
        <v>5578</v>
      </c>
      <c r="B2707" s="14" t="s">
        <v>5579</v>
      </c>
      <c r="C2707" s="71" t="str">
        <f t="shared" si="58"/>
        <v>Product Info</v>
      </c>
      <c r="D2707" s="37" t="s">
        <v>5042</v>
      </c>
      <c r="E2707" s="143">
        <v>1</v>
      </c>
      <c r="F2707" s="12" t="s">
        <v>2170</v>
      </c>
      <c r="G2707" s="38">
        <v>3559.11</v>
      </c>
      <c r="H2707" s="38">
        <v>3025.36</v>
      </c>
      <c r="I2707" s="38">
        <v>2491.38</v>
      </c>
      <c r="J2707" s="39">
        <v>25</v>
      </c>
      <c r="K2707" s="143"/>
      <c r="L2707" s="22">
        <v>24</v>
      </c>
      <c r="M2707" s="22" t="s">
        <v>12488</v>
      </c>
      <c r="N2707" s="20" t="s">
        <v>9389</v>
      </c>
      <c r="O2707" s="16" t="s">
        <v>12608</v>
      </c>
      <c r="P2707" s="143">
        <v>752</v>
      </c>
      <c r="Q2707" s="121" t="s">
        <v>14285</v>
      </c>
      <c r="R2707" s="16" t="s">
        <v>8904</v>
      </c>
      <c r="S2707" s="10" t="s">
        <v>1163</v>
      </c>
      <c r="T2707" s="28" t="s">
        <v>11707</v>
      </c>
      <c r="U2707" s="20" t="s">
        <v>5359</v>
      </c>
      <c r="V2707" s="16" t="s">
        <v>5578</v>
      </c>
      <c r="W2707" s="11" t="s">
        <v>14283</v>
      </c>
      <c r="X2707" s="174">
        <v>2254.44</v>
      </c>
      <c r="Y2707" s="174">
        <v>3025.36</v>
      </c>
    </row>
    <row r="2708" spans="1:25" ht="15" customHeight="1" x14ac:dyDescent="0.25">
      <c r="A2708" s="20" t="s">
        <v>5580</v>
      </c>
      <c r="B2708" s="14" t="s">
        <v>5581</v>
      </c>
      <c r="C2708" s="71" t="str">
        <f t="shared" si="58"/>
        <v>Product Info</v>
      </c>
      <c r="D2708" s="37" t="s">
        <v>5043</v>
      </c>
      <c r="E2708" s="143">
        <v>1</v>
      </c>
      <c r="F2708" s="12" t="s">
        <v>2170</v>
      </c>
      <c r="G2708" s="38">
        <v>3754.14</v>
      </c>
      <c r="H2708" s="38">
        <v>3191.14</v>
      </c>
      <c r="I2708" s="38">
        <v>2627.9</v>
      </c>
      <c r="J2708" s="39">
        <v>25</v>
      </c>
      <c r="K2708" s="143"/>
      <c r="L2708" s="22">
        <v>25</v>
      </c>
      <c r="M2708" s="22" t="s">
        <v>12488</v>
      </c>
      <c r="N2708" s="20" t="s">
        <v>9347</v>
      </c>
      <c r="O2708" s="16" t="s">
        <v>12608</v>
      </c>
      <c r="P2708" s="143">
        <v>752</v>
      </c>
      <c r="Q2708" s="122" t="s">
        <v>12421</v>
      </c>
      <c r="R2708" s="16" t="s">
        <v>8904</v>
      </c>
      <c r="S2708" s="10" t="s">
        <v>1163</v>
      </c>
      <c r="T2708" s="28" t="s">
        <v>11708</v>
      </c>
      <c r="U2708" s="20" t="s">
        <v>5359</v>
      </c>
      <c r="V2708" s="16" t="s">
        <v>5580</v>
      </c>
      <c r="W2708" s="11" t="s">
        <v>14283</v>
      </c>
      <c r="X2708" s="174">
        <v>2377.9699999999998</v>
      </c>
      <c r="Y2708" s="174">
        <v>3191.14</v>
      </c>
    </row>
    <row r="2709" spans="1:25" ht="15" customHeight="1" x14ac:dyDescent="0.25">
      <c r="A2709" s="20" t="s">
        <v>5582</v>
      </c>
      <c r="B2709" s="14" t="s">
        <v>5583</v>
      </c>
      <c r="C2709" s="71" t="str">
        <f t="shared" si="58"/>
        <v>Product Info</v>
      </c>
      <c r="D2709" s="37" t="s">
        <v>2814</v>
      </c>
      <c r="E2709" s="143">
        <v>1</v>
      </c>
      <c r="F2709" s="12" t="s">
        <v>2170</v>
      </c>
      <c r="G2709" s="38">
        <v>713.56</v>
      </c>
      <c r="H2709" s="38">
        <v>606.54999999999995</v>
      </c>
      <c r="I2709" s="38">
        <v>499.49</v>
      </c>
      <c r="J2709" s="39">
        <v>25</v>
      </c>
      <c r="K2709" s="12" t="s">
        <v>8905</v>
      </c>
      <c r="L2709" s="22">
        <v>8</v>
      </c>
      <c r="M2709" s="22" t="s">
        <v>12488</v>
      </c>
      <c r="N2709" s="20" t="s">
        <v>9430</v>
      </c>
      <c r="O2709" s="16" t="s">
        <v>13914</v>
      </c>
      <c r="P2709" s="143">
        <v>752</v>
      </c>
      <c r="Q2709" s="122" t="s">
        <v>14461</v>
      </c>
      <c r="R2709" s="16" t="s">
        <v>8904</v>
      </c>
      <c r="S2709" s="10" t="s">
        <v>1163</v>
      </c>
      <c r="T2709" s="28" t="s">
        <v>11709</v>
      </c>
      <c r="U2709" s="20" t="s">
        <v>5359</v>
      </c>
      <c r="V2709" s="16" t="s">
        <v>5582</v>
      </c>
      <c r="W2709" s="11" t="s">
        <v>14283</v>
      </c>
      <c r="X2709" s="174">
        <v>451.99</v>
      </c>
      <c r="Y2709" s="174">
        <v>606.54999999999995</v>
      </c>
    </row>
    <row r="2710" spans="1:25" ht="15" customHeight="1" x14ac:dyDescent="0.25">
      <c r="A2710" s="20" t="s">
        <v>3747</v>
      </c>
      <c r="B2710" s="14" t="s">
        <v>3748</v>
      </c>
      <c r="C2710" s="71" t="str">
        <f t="shared" si="58"/>
        <v>Product Info</v>
      </c>
      <c r="D2710" s="37" t="s">
        <v>2815</v>
      </c>
      <c r="E2710" s="143">
        <v>1</v>
      </c>
      <c r="F2710" s="12" t="s">
        <v>2170</v>
      </c>
      <c r="G2710" s="38">
        <v>841.57</v>
      </c>
      <c r="H2710" s="38">
        <v>715.36</v>
      </c>
      <c r="I2710" s="38">
        <v>589.1</v>
      </c>
      <c r="J2710" s="39">
        <v>25</v>
      </c>
      <c r="K2710" s="12"/>
      <c r="L2710" s="22">
        <v>8.9</v>
      </c>
      <c r="M2710" s="22" t="s">
        <v>12488</v>
      </c>
      <c r="N2710" s="20" t="s">
        <v>9345</v>
      </c>
      <c r="O2710" s="16" t="s">
        <v>12608</v>
      </c>
      <c r="P2710" s="143">
        <v>752</v>
      </c>
      <c r="Q2710" s="122" t="s">
        <v>14461</v>
      </c>
      <c r="R2710" s="16" t="s">
        <v>8904</v>
      </c>
      <c r="S2710" s="10" t="s">
        <v>1163</v>
      </c>
      <c r="T2710" s="28" t="s">
        <v>11710</v>
      </c>
      <c r="U2710" s="20" t="s">
        <v>5359</v>
      </c>
      <c r="V2710" s="16" t="s">
        <v>3747</v>
      </c>
      <c r="W2710" s="11" t="s">
        <v>14283</v>
      </c>
      <c r="X2710" s="174">
        <v>533.07000000000005</v>
      </c>
      <c r="Y2710" s="174">
        <v>715.36</v>
      </c>
    </row>
    <row r="2711" spans="1:25" ht="15" customHeight="1" x14ac:dyDescent="0.25">
      <c r="A2711" s="20" t="s">
        <v>3749</v>
      </c>
      <c r="B2711" s="14" t="s">
        <v>4065</v>
      </c>
      <c r="C2711" s="71" t="str">
        <f t="shared" si="58"/>
        <v>Product Info</v>
      </c>
      <c r="D2711" s="37" t="s">
        <v>4074</v>
      </c>
      <c r="E2711" s="143">
        <v>1</v>
      </c>
      <c r="F2711" s="12" t="s">
        <v>2170</v>
      </c>
      <c r="G2711" s="38">
        <v>962.13</v>
      </c>
      <c r="H2711" s="38">
        <v>817.84</v>
      </c>
      <c r="I2711" s="38">
        <v>673.49</v>
      </c>
      <c r="J2711" s="39">
        <v>25</v>
      </c>
      <c r="K2711" s="143"/>
      <c r="L2711" s="22">
        <v>0</v>
      </c>
      <c r="M2711" s="22">
        <v>0</v>
      </c>
      <c r="N2711" s="20" t="s">
        <v>14489</v>
      </c>
      <c r="O2711" s="16">
        <v>0</v>
      </c>
      <c r="P2711" s="143">
        <v>752</v>
      </c>
      <c r="Q2711" s="121" t="s">
        <v>14285</v>
      </c>
      <c r="R2711" s="16" t="s">
        <v>8904</v>
      </c>
      <c r="S2711" s="10" t="s">
        <v>1163</v>
      </c>
      <c r="T2711" s="28" t="s">
        <v>11711</v>
      </c>
      <c r="U2711" s="20" t="s">
        <v>5359</v>
      </c>
      <c r="V2711" s="16" t="s">
        <v>3749</v>
      </c>
      <c r="W2711" s="11" t="s">
        <v>14283</v>
      </c>
      <c r="X2711" s="174">
        <v>609.44000000000005</v>
      </c>
      <c r="Y2711" s="174">
        <v>817.84</v>
      </c>
    </row>
    <row r="2712" spans="1:25" ht="15" customHeight="1" x14ac:dyDescent="0.25">
      <c r="A2712" s="20" t="s">
        <v>4066</v>
      </c>
      <c r="B2712" s="14" t="s">
        <v>4067</v>
      </c>
      <c r="C2712" s="71" t="str">
        <f t="shared" si="58"/>
        <v>Product Info</v>
      </c>
      <c r="D2712" s="37" t="s">
        <v>7461</v>
      </c>
      <c r="E2712" s="143">
        <v>1</v>
      </c>
      <c r="F2712" s="12" t="s">
        <v>2170</v>
      </c>
      <c r="G2712" s="38">
        <v>904.49</v>
      </c>
      <c r="H2712" s="38">
        <v>768.84</v>
      </c>
      <c r="I2712" s="38">
        <v>633.14</v>
      </c>
      <c r="J2712" s="39">
        <v>25</v>
      </c>
      <c r="K2712" s="143"/>
      <c r="L2712" s="22">
        <v>6.5</v>
      </c>
      <c r="M2712" s="22" t="s">
        <v>12488</v>
      </c>
      <c r="N2712" s="20" t="s">
        <v>9345</v>
      </c>
      <c r="O2712" s="16" t="s">
        <v>12608</v>
      </c>
      <c r="P2712" s="143">
        <v>752</v>
      </c>
      <c r="Q2712" s="122" t="s">
        <v>12421</v>
      </c>
      <c r="R2712" s="16" t="s">
        <v>8904</v>
      </c>
      <c r="S2712" s="10" t="s">
        <v>1163</v>
      </c>
      <c r="T2712" s="28" t="s">
        <v>11712</v>
      </c>
      <c r="U2712" s="20" t="s">
        <v>5359</v>
      </c>
      <c r="V2712" s="16" t="s">
        <v>4066</v>
      </c>
      <c r="W2712" s="11" t="s">
        <v>14283</v>
      </c>
      <c r="X2712" s="174">
        <v>572.92999999999995</v>
      </c>
      <c r="Y2712" s="174">
        <v>768.84</v>
      </c>
    </row>
    <row r="2713" spans="1:25" ht="15" customHeight="1" x14ac:dyDescent="0.25">
      <c r="A2713" s="20" t="s">
        <v>4068</v>
      </c>
      <c r="B2713" s="14" t="s">
        <v>4069</v>
      </c>
      <c r="C2713" s="71" t="str">
        <f t="shared" si="58"/>
        <v>Product Info</v>
      </c>
      <c r="D2713" s="37" t="s">
        <v>7462</v>
      </c>
      <c r="E2713" s="143">
        <v>1</v>
      </c>
      <c r="F2713" s="12" t="s">
        <v>2170</v>
      </c>
      <c r="G2713" s="38">
        <v>980.96</v>
      </c>
      <c r="H2713" s="38">
        <v>833.84</v>
      </c>
      <c r="I2713" s="38">
        <v>686.67</v>
      </c>
      <c r="J2713" s="39">
        <v>25</v>
      </c>
      <c r="K2713" s="143"/>
      <c r="L2713" s="22">
        <v>8.5</v>
      </c>
      <c r="M2713" s="22" t="s">
        <v>12488</v>
      </c>
      <c r="N2713" s="20" t="s">
        <v>9345</v>
      </c>
      <c r="O2713" s="16" t="s">
        <v>12608</v>
      </c>
      <c r="P2713" s="143">
        <v>752</v>
      </c>
      <c r="Q2713" s="122" t="s">
        <v>12421</v>
      </c>
      <c r="R2713" s="16" t="s">
        <v>8904</v>
      </c>
      <c r="S2713" s="10" t="s">
        <v>1163</v>
      </c>
      <c r="T2713" s="28" t="s">
        <v>11713</v>
      </c>
      <c r="U2713" s="20" t="s">
        <v>5359</v>
      </c>
      <c r="V2713" s="16" t="s">
        <v>4068</v>
      </c>
      <c r="W2713" s="11" t="s">
        <v>14283</v>
      </c>
      <c r="X2713" s="174">
        <v>621.36</v>
      </c>
      <c r="Y2713" s="174">
        <v>833.84</v>
      </c>
    </row>
    <row r="2714" spans="1:25" ht="15" customHeight="1" x14ac:dyDescent="0.25">
      <c r="A2714" s="20" t="s">
        <v>4070</v>
      </c>
      <c r="B2714" s="14" t="s">
        <v>4071</v>
      </c>
      <c r="C2714" s="71" t="str">
        <f t="shared" si="58"/>
        <v>Product Info</v>
      </c>
      <c r="D2714" s="37" t="s">
        <v>8928</v>
      </c>
      <c r="E2714" s="143">
        <v>3</v>
      </c>
      <c r="F2714" s="12" t="s">
        <v>2170</v>
      </c>
      <c r="G2714" s="38">
        <v>125.79</v>
      </c>
      <c r="H2714" s="38">
        <v>106.92</v>
      </c>
      <c r="I2714" s="38">
        <v>88.05</v>
      </c>
      <c r="J2714" s="39"/>
      <c r="K2714" s="143"/>
      <c r="L2714" s="22">
        <v>0.73</v>
      </c>
      <c r="M2714" s="22" t="s">
        <v>12488</v>
      </c>
      <c r="N2714" s="20" t="s">
        <v>9466</v>
      </c>
      <c r="O2714" s="16" t="s">
        <v>12608</v>
      </c>
      <c r="P2714" s="143">
        <v>753</v>
      </c>
      <c r="Q2714" s="122" t="s">
        <v>12421</v>
      </c>
      <c r="R2714" s="16" t="s">
        <v>8904</v>
      </c>
      <c r="S2714" s="10" t="s">
        <v>1163</v>
      </c>
      <c r="T2714" s="28" t="s">
        <v>11714</v>
      </c>
      <c r="U2714" s="20" t="s">
        <v>5359</v>
      </c>
      <c r="V2714" s="16" t="s">
        <v>4070</v>
      </c>
      <c r="W2714" s="11" t="s">
        <v>14283</v>
      </c>
      <c r="X2714" s="174">
        <v>79.680000000000007</v>
      </c>
      <c r="Y2714" s="174">
        <v>106.92</v>
      </c>
    </row>
    <row r="2715" spans="1:25" ht="15" customHeight="1" x14ac:dyDescent="0.25">
      <c r="A2715" s="20" t="s">
        <v>4072</v>
      </c>
      <c r="B2715" s="14" t="s">
        <v>4073</v>
      </c>
      <c r="C2715" s="71" t="str">
        <f t="shared" si="58"/>
        <v>Product Info</v>
      </c>
      <c r="D2715" s="37" t="s">
        <v>7463</v>
      </c>
      <c r="E2715" s="143">
        <v>1</v>
      </c>
      <c r="F2715" s="12" t="s">
        <v>2170</v>
      </c>
      <c r="G2715" s="38">
        <v>126.56</v>
      </c>
      <c r="H2715" s="38">
        <v>107.58</v>
      </c>
      <c r="I2715" s="38">
        <v>88.59</v>
      </c>
      <c r="J2715" s="39"/>
      <c r="K2715" s="143"/>
      <c r="L2715" s="22">
        <v>2.7149999999999999</v>
      </c>
      <c r="M2715" s="22" t="s">
        <v>12488</v>
      </c>
      <c r="N2715" s="20" t="s">
        <v>9343</v>
      </c>
      <c r="O2715" s="16" t="s">
        <v>12608</v>
      </c>
      <c r="P2715" s="143">
        <v>753</v>
      </c>
      <c r="Q2715" s="122" t="s">
        <v>12421</v>
      </c>
      <c r="R2715" s="16" t="s">
        <v>8904</v>
      </c>
      <c r="S2715" s="10" t="s">
        <v>1163</v>
      </c>
      <c r="T2715" s="28" t="s">
        <v>11715</v>
      </c>
      <c r="U2715" s="20" t="s">
        <v>5359</v>
      </c>
      <c r="V2715" s="16" t="s">
        <v>4072</v>
      </c>
      <c r="W2715" s="11" t="s">
        <v>14283</v>
      </c>
      <c r="X2715" s="174">
        <v>80.16</v>
      </c>
      <c r="Y2715" s="174">
        <v>107.58</v>
      </c>
    </row>
    <row r="2716" spans="1:25" ht="15" customHeight="1" x14ac:dyDescent="0.25">
      <c r="A2716" s="20" t="s">
        <v>3182</v>
      </c>
      <c r="B2716" s="14" t="s">
        <v>3183</v>
      </c>
      <c r="C2716" s="71" t="str">
        <f t="shared" si="58"/>
        <v>Product Info</v>
      </c>
      <c r="D2716" s="37" t="s">
        <v>8929</v>
      </c>
      <c r="E2716" s="143">
        <v>3</v>
      </c>
      <c r="F2716" s="12" t="s">
        <v>2170</v>
      </c>
      <c r="G2716" s="38">
        <v>172.3</v>
      </c>
      <c r="H2716" s="38">
        <v>146.46</v>
      </c>
      <c r="I2716" s="38">
        <v>120.61</v>
      </c>
      <c r="J2716" s="39"/>
      <c r="K2716" s="143"/>
      <c r="L2716" s="22">
        <v>0.89600000000000002</v>
      </c>
      <c r="M2716" s="22" t="s">
        <v>12488</v>
      </c>
      <c r="N2716" s="20" t="s">
        <v>9358</v>
      </c>
      <c r="O2716" s="16" t="s">
        <v>13914</v>
      </c>
      <c r="P2716" s="143">
        <v>753</v>
      </c>
      <c r="Q2716" s="122" t="s">
        <v>12421</v>
      </c>
      <c r="R2716" s="16" t="s">
        <v>8904</v>
      </c>
      <c r="S2716" s="10" t="s">
        <v>1163</v>
      </c>
      <c r="T2716" s="28" t="s">
        <v>11716</v>
      </c>
      <c r="U2716" s="20" t="s">
        <v>5359</v>
      </c>
      <c r="V2716" s="16" t="s">
        <v>3182</v>
      </c>
      <c r="W2716" s="11" t="s">
        <v>14283</v>
      </c>
      <c r="X2716" s="174">
        <v>109.14</v>
      </c>
      <c r="Y2716" s="174">
        <v>146.46</v>
      </c>
    </row>
    <row r="2717" spans="1:25" ht="15" customHeight="1" x14ac:dyDescent="0.25">
      <c r="A2717" s="20" t="s">
        <v>3184</v>
      </c>
      <c r="B2717" s="14" t="s">
        <v>3185</v>
      </c>
      <c r="C2717" s="71" t="str">
        <f t="shared" si="58"/>
        <v>Product Info</v>
      </c>
      <c r="D2717" s="37" t="s">
        <v>7223</v>
      </c>
      <c r="E2717" s="143">
        <v>1</v>
      </c>
      <c r="F2717" s="12" t="s">
        <v>2170</v>
      </c>
      <c r="G2717" s="38">
        <v>159.22999999999999</v>
      </c>
      <c r="H2717" s="38">
        <v>135.35</v>
      </c>
      <c r="I2717" s="38">
        <v>111.46</v>
      </c>
      <c r="J2717" s="39"/>
      <c r="K2717" s="143"/>
      <c r="L2717" s="22">
        <v>1.03</v>
      </c>
      <c r="M2717" s="22" t="s">
        <v>12488</v>
      </c>
      <c r="N2717" s="20" t="s">
        <v>9467</v>
      </c>
      <c r="O2717" s="16" t="s">
        <v>13914</v>
      </c>
      <c r="P2717" s="143">
        <v>753</v>
      </c>
      <c r="Q2717" s="122" t="s">
        <v>12421</v>
      </c>
      <c r="R2717" s="16" t="s">
        <v>8904</v>
      </c>
      <c r="S2717" s="10" t="s">
        <v>1163</v>
      </c>
      <c r="T2717" s="28" t="s">
        <v>11717</v>
      </c>
      <c r="U2717" s="20" t="s">
        <v>5359</v>
      </c>
      <c r="V2717" s="16" t="s">
        <v>3184</v>
      </c>
      <c r="W2717" s="11" t="s">
        <v>14283</v>
      </c>
      <c r="X2717" s="174">
        <v>100.86</v>
      </c>
      <c r="Y2717" s="174">
        <v>135.35</v>
      </c>
    </row>
    <row r="2718" spans="1:25" ht="15" customHeight="1" x14ac:dyDescent="0.25">
      <c r="A2718" s="20" t="s">
        <v>3186</v>
      </c>
      <c r="B2718" s="14" t="s">
        <v>3187</v>
      </c>
      <c r="C2718" s="71" t="str">
        <f t="shared" si="58"/>
        <v>Product Info</v>
      </c>
      <c r="D2718" s="37" t="s">
        <v>8930</v>
      </c>
      <c r="E2718" s="143">
        <v>3</v>
      </c>
      <c r="F2718" s="12" t="s">
        <v>2170</v>
      </c>
      <c r="G2718" s="38">
        <v>164.36</v>
      </c>
      <c r="H2718" s="38">
        <v>139.71</v>
      </c>
      <c r="I2718" s="38">
        <v>115.05</v>
      </c>
      <c r="J2718" s="39"/>
      <c r="K2718" s="143"/>
      <c r="L2718" s="22">
        <v>0.83</v>
      </c>
      <c r="M2718" s="22" t="s">
        <v>12488</v>
      </c>
      <c r="N2718" s="20" t="s">
        <v>9358</v>
      </c>
      <c r="O2718" s="16" t="s">
        <v>12608</v>
      </c>
      <c r="P2718" s="143">
        <v>753</v>
      </c>
      <c r="Q2718" s="122" t="s">
        <v>12421</v>
      </c>
      <c r="R2718" s="16" t="s">
        <v>8904</v>
      </c>
      <c r="S2718" s="10" t="s">
        <v>1163</v>
      </c>
      <c r="T2718" s="28" t="s">
        <v>11718</v>
      </c>
      <c r="U2718" s="20" t="s">
        <v>5359</v>
      </c>
      <c r="V2718" s="16" t="s">
        <v>3186</v>
      </c>
      <c r="W2718" s="11" t="s">
        <v>14283</v>
      </c>
      <c r="X2718" s="174">
        <v>104.11</v>
      </c>
      <c r="Y2718" s="174">
        <v>139.71</v>
      </c>
    </row>
    <row r="2719" spans="1:25" ht="15" customHeight="1" x14ac:dyDescent="0.25">
      <c r="A2719" s="20" t="s">
        <v>3188</v>
      </c>
      <c r="B2719" s="14" t="s">
        <v>3189</v>
      </c>
      <c r="C2719" s="71" t="str">
        <f t="shared" si="58"/>
        <v>Product Info</v>
      </c>
      <c r="D2719" s="37" t="s">
        <v>7224</v>
      </c>
      <c r="E2719" s="143">
        <v>1</v>
      </c>
      <c r="F2719" s="12" t="s">
        <v>2170</v>
      </c>
      <c r="G2719" s="38">
        <v>159.46</v>
      </c>
      <c r="H2719" s="38">
        <v>135.54</v>
      </c>
      <c r="I2719" s="38">
        <v>111.62</v>
      </c>
      <c r="J2719" s="39"/>
      <c r="K2719" s="143"/>
      <c r="L2719" s="22">
        <v>1.5</v>
      </c>
      <c r="M2719" s="22" t="s">
        <v>12488</v>
      </c>
      <c r="N2719" s="20" t="s">
        <v>9248</v>
      </c>
      <c r="O2719" s="16" t="s">
        <v>12608</v>
      </c>
      <c r="P2719" s="143">
        <v>753</v>
      </c>
      <c r="Q2719" s="121" t="s">
        <v>14285</v>
      </c>
      <c r="R2719" s="16" t="s">
        <v>8904</v>
      </c>
      <c r="S2719" s="10" t="s">
        <v>1163</v>
      </c>
      <c r="T2719" s="28" t="s">
        <v>11719</v>
      </c>
      <c r="U2719" s="20" t="s">
        <v>5359</v>
      </c>
      <c r="V2719" s="16" t="s">
        <v>3188</v>
      </c>
      <c r="W2719" s="11" t="s">
        <v>14283</v>
      </c>
      <c r="X2719" s="174">
        <v>101</v>
      </c>
      <c r="Y2719" s="174">
        <v>135.54</v>
      </c>
    </row>
    <row r="2720" spans="1:25" ht="15" customHeight="1" x14ac:dyDescent="0.25">
      <c r="A2720" s="20" t="s">
        <v>3190</v>
      </c>
      <c r="B2720" s="14" t="s">
        <v>3191</v>
      </c>
      <c r="C2720" s="71" t="str">
        <f t="shared" si="58"/>
        <v>Product Info</v>
      </c>
      <c r="D2720" s="37" t="s">
        <v>7225</v>
      </c>
      <c r="E2720" s="143">
        <v>1</v>
      </c>
      <c r="F2720" s="12" t="s">
        <v>2170</v>
      </c>
      <c r="G2720" s="38">
        <v>200.03</v>
      </c>
      <c r="H2720" s="38">
        <v>170.03</v>
      </c>
      <c r="I2720" s="38">
        <v>140.02000000000001</v>
      </c>
      <c r="J2720" s="39"/>
      <c r="K2720" s="143"/>
      <c r="L2720" s="22">
        <v>1.5</v>
      </c>
      <c r="M2720" s="22" t="s">
        <v>12488</v>
      </c>
      <c r="N2720" s="20" t="s">
        <v>9442</v>
      </c>
      <c r="O2720" s="16" t="s">
        <v>12608</v>
      </c>
      <c r="P2720" s="143">
        <v>753</v>
      </c>
      <c r="Q2720" s="121" t="s">
        <v>14285</v>
      </c>
      <c r="R2720" s="16" t="s">
        <v>8904</v>
      </c>
      <c r="S2720" s="10" t="s">
        <v>1163</v>
      </c>
      <c r="T2720" s="28" t="s">
        <v>11720</v>
      </c>
      <c r="U2720" s="20" t="s">
        <v>5359</v>
      </c>
      <c r="V2720" s="16" t="s">
        <v>3190</v>
      </c>
      <c r="W2720" s="11" t="s">
        <v>14283</v>
      </c>
      <c r="X2720" s="174">
        <v>126.7</v>
      </c>
      <c r="Y2720" s="174">
        <v>170.03</v>
      </c>
    </row>
    <row r="2721" spans="1:25" ht="15" customHeight="1" x14ac:dyDescent="0.25">
      <c r="A2721" s="20" t="s">
        <v>3192</v>
      </c>
      <c r="B2721" s="14" t="s">
        <v>3193</v>
      </c>
      <c r="C2721" s="71" t="str">
        <f t="shared" si="58"/>
        <v>Product Info</v>
      </c>
      <c r="D2721" s="37" t="s">
        <v>8931</v>
      </c>
      <c r="E2721" s="143">
        <v>3</v>
      </c>
      <c r="F2721" s="12" t="s">
        <v>2170</v>
      </c>
      <c r="G2721" s="38">
        <v>211.66</v>
      </c>
      <c r="H2721" s="38">
        <v>179.91</v>
      </c>
      <c r="I2721" s="38">
        <v>148.16</v>
      </c>
      <c r="J2721" s="39"/>
      <c r="K2721" s="143"/>
      <c r="L2721" s="22">
        <v>0.96</v>
      </c>
      <c r="M2721" s="22" t="s">
        <v>12488</v>
      </c>
      <c r="N2721" s="20" t="s">
        <v>9358</v>
      </c>
      <c r="O2721" s="16" t="s">
        <v>13914</v>
      </c>
      <c r="P2721" s="143">
        <v>753</v>
      </c>
      <c r="Q2721" s="122" t="s">
        <v>12421</v>
      </c>
      <c r="R2721" s="16" t="s">
        <v>8904</v>
      </c>
      <c r="S2721" s="10" t="s">
        <v>1163</v>
      </c>
      <c r="T2721" s="28" t="s">
        <v>11721</v>
      </c>
      <c r="U2721" s="20" t="s">
        <v>5359</v>
      </c>
      <c r="V2721" s="16" t="s">
        <v>3192</v>
      </c>
      <c r="W2721" s="11" t="s">
        <v>14283</v>
      </c>
      <c r="X2721" s="174">
        <v>134.06</v>
      </c>
      <c r="Y2721" s="174">
        <v>179.91</v>
      </c>
    </row>
    <row r="2722" spans="1:25" ht="15" customHeight="1" x14ac:dyDescent="0.25">
      <c r="A2722" s="20" t="s">
        <v>3194</v>
      </c>
      <c r="B2722" s="14" t="s">
        <v>3195</v>
      </c>
      <c r="C2722" s="71" t="str">
        <f t="shared" si="58"/>
        <v>Product Info</v>
      </c>
      <c r="D2722" s="37" t="s">
        <v>7226</v>
      </c>
      <c r="E2722" s="143">
        <v>1</v>
      </c>
      <c r="F2722" s="12" t="s">
        <v>2170</v>
      </c>
      <c r="G2722" s="38">
        <v>186.2</v>
      </c>
      <c r="H2722" s="38">
        <v>158.28</v>
      </c>
      <c r="I2722" s="38">
        <v>130.34</v>
      </c>
      <c r="J2722" s="39"/>
      <c r="K2722" s="143"/>
      <c r="L2722" s="22">
        <v>1.5</v>
      </c>
      <c r="M2722" s="22" t="s">
        <v>12488</v>
      </c>
      <c r="N2722" s="20" t="s">
        <v>9248</v>
      </c>
      <c r="O2722" s="16" t="s">
        <v>12608</v>
      </c>
      <c r="P2722" s="143">
        <v>753</v>
      </c>
      <c r="Q2722" s="121" t="s">
        <v>14285</v>
      </c>
      <c r="R2722" s="16" t="s">
        <v>8904</v>
      </c>
      <c r="S2722" s="10" t="s">
        <v>1163</v>
      </c>
      <c r="T2722" s="28" t="s">
        <v>11722</v>
      </c>
      <c r="U2722" s="20" t="s">
        <v>5359</v>
      </c>
      <c r="V2722" s="16" t="s">
        <v>3194</v>
      </c>
      <c r="W2722" s="11" t="s">
        <v>14283</v>
      </c>
      <c r="X2722" s="174">
        <v>117.94</v>
      </c>
      <c r="Y2722" s="174">
        <v>158.28</v>
      </c>
    </row>
    <row r="2723" spans="1:25" ht="15" customHeight="1" x14ac:dyDescent="0.25">
      <c r="A2723" s="20" t="s">
        <v>3196</v>
      </c>
      <c r="B2723" s="14" t="s">
        <v>3197</v>
      </c>
      <c r="C2723" s="71" t="str">
        <f t="shared" si="58"/>
        <v>Product Info</v>
      </c>
      <c r="D2723" s="37" t="s">
        <v>8932</v>
      </c>
      <c r="E2723" s="143">
        <v>3</v>
      </c>
      <c r="F2723" s="12" t="s">
        <v>2170</v>
      </c>
      <c r="G2723" s="38">
        <v>193.01</v>
      </c>
      <c r="H2723" s="38">
        <v>164.07</v>
      </c>
      <c r="I2723" s="38">
        <v>135.11000000000001</v>
      </c>
      <c r="J2723" s="39"/>
      <c r="K2723" s="143"/>
      <c r="L2723" s="22">
        <v>0.83499999999999996</v>
      </c>
      <c r="M2723" s="22" t="s">
        <v>12488</v>
      </c>
      <c r="N2723" s="20" t="s">
        <v>9248</v>
      </c>
      <c r="O2723" s="16" t="s">
        <v>12608</v>
      </c>
      <c r="P2723" s="143">
        <v>753</v>
      </c>
      <c r="Q2723" s="122" t="s">
        <v>9227</v>
      </c>
      <c r="R2723" s="16" t="s">
        <v>8904</v>
      </c>
      <c r="S2723" s="10" t="s">
        <v>1163</v>
      </c>
      <c r="T2723" s="28" t="s">
        <v>11723</v>
      </c>
      <c r="U2723" s="20" t="s">
        <v>5359</v>
      </c>
      <c r="V2723" s="16" t="s">
        <v>3196</v>
      </c>
      <c r="W2723" s="11" t="s">
        <v>14283</v>
      </c>
      <c r="X2723" s="174">
        <v>122.26</v>
      </c>
      <c r="Y2723" s="174">
        <v>164.07</v>
      </c>
    </row>
    <row r="2724" spans="1:25" ht="15" customHeight="1" x14ac:dyDescent="0.25">
      <c r="A2724" s="20" t="s">
        <v>2452</v>
      </c>
      <c r="B2724" s="14" t="s">
        <v>2453</v>
      </c>
      <c r="C2724" s="71" t="str">
        <f t="shared" si="58"/>
        <v>Product Info</v>
      </c>
      <c r="D2724" s="37" t="s">
        <v>7227</v>
      </c>
      <c r="E2724" s="143">
        <v>1</v>
      </c>
      <c r="F2724" s="12" t="s">
        <v>2170</v>
      </c>
      <c r="G2724" s="38">
        <v>194.67</v>
      </c>
      <c r="H2724" s="38">
        <v>165.48</v>
      </c>
      <c r="I2724" s="38">
        <v>136.27000000000001</v>
      </c>
      <c r="J2724" s="39"/>
      <c r="K2724" s="143"/>
      <c r="L2724" s="22">
        <v>1.3</v>
      </c>
      <c r="M2724" s="22" t="s">
        <v>12488</v>
      </c>
      <c r="N2724" s="20" t="s">
        <v>9468</v>
      </c>
      <c r="O2724" s="16" t="s">
        <v>12608</v>
      </c>
      <c r="P2724" s="143">
        <v>753</v>
      </c>
      <c r="Q2724" s="122" t="s">
        <v>12421</v>
      </c>
      <c r="R2724" s="16" t="s">
        <v>8904</v>
      </c>
      <c r="S2724" s="10" t="s">
        <v>1163</v>
      </c>
      <c r="T2724" s="28" t="s">
        <v>11724</v>
      </c>
      <c r="U2724" s="20" t="s">
        <v>5359</v>
      </c>
      <c r="V2724" s="16" t="s">
        <v>2452</v>
      </c>
      <c r="W2724" s="11" t="s">
        <v>14283</v>
      </c>
      <c r="X2724" s="174">
        <v>123.31</v>
      </c>
      <c r="Y2724" s="174">
        <v>165.48</v>
      </c>
    </row>
    <row r="2725" spans="1:25" ht="15" customHeight="1" x14ac:dyDescent="0.25">
      <c r="A2725" s="20" t="s">
        <v>2454</v>
      </c>
      <c r="B2725" s="14" t="s">
        <v>2455</v>
      </c>
      <c r="C2725" s="71" t="str">
        <f t="shared" si="58"/>
        <v>Product Info</v>
      </c>
      <c r="D2725" s="37" t="s">
        <v>8933</v>
      </c>
      <c r="E2725" s="143">
        <v>3</v>
      </c>
      <c r="F2725" s="12" t="s">
        <v>2170</v>
      </c>
      <c r="G2725" s="38">
        <v>266.87</v>
      </c>
      <c r="H2725" s="38">
        <v>226.85</v>
      </c>
      <c r="I2725" s="38">
        <v>186.81</v>
      </c>
      <c r="J2725" s="39"/>
      <c r="K2725" s="143"/>
      <c r="L2725" s="22">
        <v>4.3</v>
      </c>
      <c r="M2725" s="22" t="s">
        <v>12488</v>
      </c>
      <c r="N2725" s="20" t="s">
        <v>9359</v>
      </c>
      <c r="O2725" s="16" t="s">
        <v>12608</v>
      </c>
      <c r="P2725" s="143">
        <v>753</v>
      </c>
      <c r="Q2725" s="122" t="s">
        <v>12421</v>
      </c>
      <c r="R2725" s="16" t="s">
        <v>8904</v>
      </c>
      <c r="S2725" s="10" t="s">
        <v>1163</v>
      </c>
      <c r="T2725" s="28" t="s">
        <v>11725</v>
      </c>
      <c r="U2725" s="20" t="s">
        <v>5359</v>
      </c>
      <c r="V2725" s="16" t="s">
        <v>2454</v>
      </c>
      <c r="W2725" s="11" t="s">
        <v>14283</v>
      </c>
      <c r="X2725" s="174">
        <v>169.05</v>
      </c>
      <c r="Y2725" s="174">
        <v>226.85</v>
      </c>
    </row>
    <row r="2726" spans="1:25" ht="15" customHeight="1" x14ac:dyDescent="0.25">
      <c r="A2726" s="20" t="s">
        <v>2456</v>
      </c>
      <c r="B2726" s="14" t="s">
        <v>2457</v>
      </c>
      <c r="C2726" s="71" t="str">
        <f t="shared" si="58"/>
        <v>Product Info</v>
      </c>
      <c r="D2726" s="37" t="s">
        <v>7228</v>
      </c>
      <c r="E2726" s="143">
        <v>1</v>
      </c>
      <c r="F2726" s="12" t="s">
        <v>2170</v>
      </c>
      <c r="G2726" s="38">
        <v>223.63</v>
      </c>
      <c r="H2726" s="38">
        <v>190.09</v>
      </c>
      <c r="I2726" s="38">
        <v>156.54</v>
      </c>
      <c r="J2726" s="39"/>
      <c r="K2726" s="143"/>
      <c r="L2726" s="22">
        <v>1.65</v>
      </c>
      <c r="M2726" s="22" t="s">
        <v>12488</v>
      </c>
      <c r="N2726" s="20" t="s">
        <v>9469</v>
      </c>
      <c r="O2726" s="16" t="s">
        <v>13914</v>
      </c>
      <c r="P2726" s="143">
        <v>753</v>
      </c>
      <c r="Q2726" s="122" t="s">
        <v>12421</v>
      </c>
      <c r="R2726" s="16" t="s">
        <v>8904</v>
      </c>
      <c r="S2726" s="10" t="s">
        <v>1163</v>
      </c>
      <c r="T2726" s="28" t="s">
        <v>11726</v>
      </c>
      <c r="U2726" s="20" t="s">
        <v>5359</v>
      </c>
      <c r="V2726" s="16" t="s">
        <v>2456</v>
      </c>
      <c r="W2726" s="11" t="s">
        <v>14283</v>
      </c>
      <c r="X2726" s="174">
        <v>141.65</v>
      </c>
      <c r="Y2726" s="174">
        <v>190.09</v>
      </c>
    </row>
    <row r="2727" spans="1:25" ht="15" customHeight="1" x14ac:dyDescent="0.25">
      <c r="A2727" s="20" t="s">
        <v>2319</v>
      </c>
      <c r="B2727" s="14" t="s">
        <v>2320</v>
      </c>
      <c r="C2727" s="71" t="str">
        <f t="shared" si="58"/>
        <v>Product Info</v>
      </c>
      <c r="D2727" s="37" t="s">
        <v>7229</v>
      </c>
      <c r="E2727" s="143">
        <v>3</v>
      </c>
      <c r="F2727" s="12" t="s">
        <v>2170</v>
      </c>
      <c r="G2727" s="38">
        <v>290.63</v>
      </c>
      <c r="H2727" s="38">
        <v>247.04</v>
      </c>
      <c r="I2727" s="38">
        <v>203.44</v>
      </c>
      <c r="J2727" s="39"/>
      <c r="K2727" s="143"/>
      <c r="L2727" s="22">
        <v>5.3</v>
      </c>
      <c r="M2727" s="22" t="s">
        <v>12488</v>
      </c>
      <c r="N2727" s="20" t="s">
        <v>9359</v>
      </c>
      <c r="O2727" s="16" t="s">
        <v>12608</v>
      </c>
      <c r="P2727" s="143">
        <v>753</v>
      </c>
      <c r="Q2727" s="121" t="s">
        <v>14285</v>
      </c>
      <c r="R2727" s="16" t="s">
        <v>8904</v>
      </c>
      <c r="S2727" s="10" t="s">
        <v>1163</v>
      </c>
      <c r="T2727" s="28" t="s">
        <v>11727</v>
      </c>
      <c r="U2727" s="20" t="s">
        <v>5359</v>
      </c>
      <c r="V2727" s="16" t="s">
        <v>2319</v>
      </c>
      <c r="W2727" s="11" t="s">
        <v>14283</v>
      </c>
      <c r="X2727" s="174">
        <v>184.09</v>
      </c>
      <c r="Y2727" s="174">
        <v>247.04</v>
      </c>
    </row>
    <row r="2728" spans="1:25" ht="15" customHeight="1" x14ac:dyDescent="0.25">
      <c r="A2728" s="20" t="s">
        <v>2321</v>
      </c>
      <c r="B2728" s="14" t="s">
        <v>2322</v>
      </c>
      <c r="C2728" s="71" t="str">
        <f t="shared" si="58"/>
        <v>Product Info</v>
      </c>
      <c r="D2728" s="37" t="s">
        <v>7230</v>
      </c>
      <c r="E2728" s="143">
        <v>1</v>
      </c>
      <c r="F2728" s="12" t="s">
        <v>2170</v>
      </c>
      <c r="G2728" s="38">
        <v>285.95999999999998</v>
      </c>
      <c r="H2728" s="38">
        <v>243.07</v>
      </c>
      <c r="I2728" s="38">
        <v>200.17</v>
      </c>
      <c r="J2728" s="39"/>
      <c r="K2728" s="143"/>
      <c r="L2728" s="22">
        <v>2</v>
      </c>
      <c r="M2728" s="22" t="s">
        <v>12488</v>
      </c>
      <c r="N2728" s="20" t="s">
        <v>9468</v>
      </c>
      <c r="O2728" s="16" t="s">
        <v>12608</v>
      </c>
      <c r="P2728" s="143">
        <v>753</v>
      </c>
      <c r="Q2728" s="121" t="s">
        <v>14285</v>
      </c>
      <c r="R2728" s="16" t="s">
        <v>8904</v>
      </c>
      <c r="S2728" s="10" t="s">
        <v>1163</v>
      </c>
      <c r="T2728" s="28" t="s">
        <v>11728</v>
      </c>
      <c r="U2728" s="20" t="s">
        <v>5359</v>
      </c>
      <c r="V2728" s="16" t="s">
        <v>2321</v>
      </c>
      <c r="W2728" s="11" t="s">
        <v>14283</v>
      </c>
      <c r="X2728" s="174">
        <v>181.13</v>
      </c>
      <c r="Y2728" s="174">
        <v>243.07</v>
      </c>
    </row>
    <row r="2729" spans="1:25" ht="15" customHeight="1" x14ac:dyDescent="0.25">
      <c r="A2729" s="20" t="s">
        <v>2323</v>
      </c>
      <c r="B2729" s="14" t="s">
        <v>7618</v>
      </c>
      <c r="C2729" s="71" t="str">
        <f t="shared" si="58"/>
        <v>Product Info</v>
      </c>
      <c r="D2729" s="37" t="s">
        <v>7231</v>
      </c>
      <c r="E2729" s="143">
        <v>3</v>
      </c>
      <c r="F2729" s="12" t="s">
        <v>2170</v>
      </c>
      <c r="G2729" s="38">
        <v>377.34</v>
      </c>
      <c r="H2729" s="38">
        <v>320.75</v>
      </c>
      <c r="I2729" s="38">
        <v>264.14</v>
      </c>
      <c r="J2729" s="39"/>
      <c r="K2729" s="143"/>
      <c r="L2729" s="22">
        <v>6.2</v>
      </c>
      <c r="M2729" s="22" t="s">
        <v>12488</v>
      </c>
      <c r="N2729" s="20" t="s">
        <v>9359</v>
      </c>
      <c r="O2729" s="16" t="s">
        <v>12608</v>
      </c>
      <c r="P2729" s="143">
        <v>753</v>
      </c>
      <c r="Q2729" s="122" t="s">
        <v>12421</v>
      </c>
      <c r="R2729" s="16" t="s">
        <v>8904</v>
      </c>
      <c r="S2729" s="10" t="s">
        <v>1163</v>
      </c>
      <c r="T2729" s="28" t="s">
        <v>11729</v>
      </c>
      <c r="U2729" s="20" t="s">
        <v>5359</v>
      </c>
      <c r="V2729" s="16" t="s">
        <v>2323</v>
      </c>
      <c r="W2729" s="11" t="s">
        <v>14283</v>
      </c>
      <c r="X2729" s="174">
        <v>239.02</v>
      </c>
      <c r="Y2729" s="174">
        <v>320.75</v>
      </c>
    </row>
    <row r="2730" spans="1:25" ht="15" customHeight="1" x14ac:dyDescent="0.25">
      <c r="A2730" s="20" t="s">
        <v>7619</v>
      </c>
      <c r="B2730" s="14" t="s">
        <v>7620</v>
      </c>
      <c r="C2730" s="71" t="str">
        <f t="shared" si="58"/>
        <v>Product Info</v>
      </c>
      <c r="D2730" s="37" t="s">
        <v>7232</v>
      </c>
      <c r="E2730" s="143">
        <v>1</v>
      </c>
      <c r="F2730" s="12" t="s">
        <v>2170</v>
      </c>
      <c r="G2730" s="38">
        <v>371.17</v>
      </c>
      <c r="H2730" s="38">
        <v>315.51</v>
      </c>
      <c r="I2730" s="38">
        <v>259.82</v>
      </c>
      <c r="J2730" s="39"/>
      <c r="K2730" s="143"/>
      <c r="L2730" s="22">
        <v>3</v>
      </c>
      <c r="M2730" s="22" t="s">
        <v>12488</v>
      </c>
      <c r="N2730" s="20" t="s">
        <v>9389</v>
      </c>
      <c r="O2730" s="16" t="s">
        <v>12608</v>
      </c>
      <c r="P2730" s="143">
        <v>753</v>
      </c>
      <c r="Q2730" s="121" t="s">
        <v>14285</v>
      </c>
      <c r="R2730" s="16" t="s">
        <v>8904</v>
      </c>
      <c r="S2730" s="10" t="s">
        <v>1163</v>
      </c>
      <c r="T2730" s="28" t="s">
        <v>11730</v>
      </c>
      <c r="U2730" s="20" t="s">
        <v>5359</v>
      </c>
      <c r="V2730" s="16" t="s">
        <v>7619</v>
      </c>
      <c r="W2730" s="11" t="s">
        <v>14283</v>
      </c>
      <c r="X2730" s="174">
        <v>235.1</v>
      </c>
      <c r="Y2730" s="174">
        <v>315.51</v>
      </c>
    </row>
    <row r="2731" spans="1:25" ht="15" customHeight="1" x14ac:dyDescent="0.25">
      <c r="A2731" s="20" t="s">
        <v>7621</v>
      </c>
      <c r="B2731" s="14" t="s">
        <v>7622</v>
      </c>
      <c r="C2731" s="71" t="str">
        <f t="shared" si="58"/>
        <v>Product Info</v>
      </c>
      <c r="D2731" s="37" t="s">
        <v>7233</v>
      </c>
      <c r="E2731" s="143">
        <v>3</v>
      </c>
      <c r="F2731" s="12" t="s">
        <v>4992</v>
      </c>
      <c r="G2731" s="38">
        <v>666</v>
      </c>
      <c r="H2731" s="38">
        <v>566.12</v>
      </c>
      <c r="I2731" s="38">
        <v>466.2</v>
      </c>
      <c r="J2731" s="39"/>
      <c r="K2731" s="143"/>
      <c r="L2731" s="22">
        <v>9</v>
      </c>
      <c r="M2731" s="22" t="s">
        <v>12488</v>
      </c>
      <c r="N2731" s="20" t="s">
        <v>9278</v>
      </c>
      <c r="O2731" s="16" t="s">
        <v>12608</v>
      </c>
      <c r="P2731" s="143">
        <v>753</v>
      </c>
      <c r="Q2731" s="121" t="s">
        <v>14285</v>
      </c>
      <c r="R2731" s="16" t="s">
        <v>8904</v>
      </c>
      <c r="S2731" s="10" t="s">
        <v>1163</v>
      </c>
      <c r="T2731" s="28" t="s">
        <v>11731</v>
      </c>
      <c r="U2731" s="20" t="s">
        <v>5359</v>
      </c>
      <c r="V2731" s="16" t="s">
        <v>7621</v>
      </c>
      <c r="W2731" s="11" t="s">
        <v>14283</v>
      </c>
      <c r="X2731" s="174">
        <v>421.86</v>
      </c>
      <c r="Y2731" s="174">
        <v>566.12</v>
      </c>
    </row>
    <row r="2732" spans="1:25" ht="15" customHeight="1" x14ac:dyDescent="0.25">
      <c r="A2732" s="20" t="s">
        <v>7623</v>
      </c>
      <c r="B2732" s="14" t="s">
        <v>7624</v>
      </c>
      <c r="C2732" s="71" t="str">
        <f t="shared" si="58"/>
        <v>Product Info</v>
      </c>
      <c r="D2732" s="37" t="s">
        <v>7234</v>
      </c>
      <c r="E2732" s="143">
        <v>1</v>
      </c>
      <c r="F2732" s="12" t="s">
        <v>2170</v>
      </c>
      <c r="G2732" s="38">
        <v>291.91000000000003</v>
      </c>
      <c r="H2732" s="38">
        <v>248.14</v>
      </c>
      <c r="I2732" s="38">
        <v>204.34</v>
      </c>
      <c r="J2732" s="39"/>
      <c r="K2732" s="143"/>
      <c r="L2732" s="22">
        <v>9</v>
      </c>
      <c r="M2732" s="22" t="s">
        <v>12488</v>
      </c>
      <c r="N2732" s="20" t="s">
        <v>9348</v>
      </c>
      <c r="O2732" s="16" t="s">
        <v>12608</v>
      </c>
      <c r="P2732" s="143">
        <v>753</v>
      </c>
      <c r="Q2732" s="121" t="s">
        <v>14285</v>
      </c>
      <c r="R2732" s="16" t="s">
        <v>8904</v>
      </c>
      <c r="S2732" s="10" t="s">
        <v>1163</v>
      </c>
      <c r="T2732" s="28" t="s">
        <v>11732</v>
      </c>
      <c r="U2732" s="20" t="s">
        <v>5359</v>
      </c>
      <c r="V2732" s="16" t="s">
        <v>7623</v>
      </c>
      <c r="W2732" s="11" t="s">
        <v>14283</v>
      </c>
      <c r="X2732" s="174">
        <v>184.91</v>
      </c>
      <c r="Y2732" s="174">
        <v>248.14</v>
      </c>
    </row>
    <row r="2733" spans="1:25" ht="15" customHeight="1" x14ac:dyDescent="0.25">
      <c r="A2733" s="20" t="s">
        <v>7625</v>
      </c>
      <c r="B2733" s="14" t="s">
        <v>7626</v>
      </c>
      <c r="C2733" s="71" t="str">
        <f t="shared" si="58"/>
        <v>Product Info</v>
      </c>
      <c r="D2733" s="37" t="s">
        <v>7235</v>
      </c>
      <c r="E2733" s="143">
        <v>1</v>
      </c>
      <c r="F2733" s="12" t="s">
        <v>2170</v>
      </c>
      <c r="G2733" s="38">
        <v>371.71</v>
      </c>
      <c r="H2733" s="38">
        <v>315.97000000000003</v>
      </c>
      <c r="I2733" s="38">
        <v>260.2</v>
      </c>
      <c r="J2733" s="39"/>
      <c r="K2733" s="143"/>
      <c r="L2733" s="22">
        <v>10</v>
      </c>
      <c r="M2733" s="22" t="s">
        <v>12488</v>
      </c>
      <c r="N2733" s="20" t="s">
        <v>9348</v>
      </c>
      <c r="O2733" s="16" t="s">
        <v>12608</v>
      </c>
      <c r="P2733" s="143">
        <v>753</v>
      </c>
      <c r="Q2733" s="121" t="s">
        <v>14285</v>
      </c>
      <c r="R2733" s="16" t="s">
        <v>8904</v>
      </c>
      <c r="S2733" s="10" t="s">
        <v>1163</v>
      </c>
      <c r="T2733" s="28" t="s">
        <v>11733</v>
      </c>
      <c r="U2733" s="20" t="s">
        <v>5359</v>
      </c>
      <c r="V2733" s="16" t="s">
        <v>7625</v>
      </c>
      <c r="W2733" s="11" t="s">
        <v>14283</v>
      </c>
      <c r="X2733" s="174">
        <v>235.45</v>
      </c>
      <c r="Y2733" s="174">
        <v>315.97000000000003</v>
      </c>
    </row>
    <row r="2734" spans="1:25" ht="15" customHeight="1" x14ac:dyDescent="0.25">
      <c r="A2734" s="20" t="s">
        <v>7627</v>
      </c>
      <c r="B2734" s="14" t="s">
        <v>7628</v>
      </c>
      <c r="C2734" s="71" t="str">
        <f t="shared" si="58"/>
        <v>Product Info</v>
      </c>
      <c r="D2734" s="37" t="s">
        <v>7236</v>
      </c>
      <c r="E2734" s="143">
        <v>1</v>
      </c>
      <c r="F2734" s="12" t="s">
        <v>2170</v>
      </c>
      <c r="G2734" s="38">
        <v>338.27</v>
      </c>
      <c r="H2734" s="38">
        <v>287.54000000000002</v>
      </c>
      <c r="I2734" s="38">
        <v>236.79</v>
      </c>
      <c r="J2734" s="39"/>
      <c r="K2734" s="143"/>
      <c r="L2734" s="22">
        <v>9</v>
      </c>
      <c r="M2734" s="22" t="s">
        <v>12488</v>
      </c>
      <c r="N2734" s="20" t="s">
        <v>9348</v>
      </c>
      <c r="O2734" s="16" t="s">
        <v>12608</v>
      </c>
      <c r="P2734" s="143">
        <v>753</v>
      </c>
      <c r="Q2734" s="121" t="s">
        <v>14285</v>
      </c>
      <c r="R2734" s="16" t="s">
        <v>8904</v>
      </c>
      <c r="S2734" s="10" t="s">
        <v>1163</v>
      </c>
      <c r="T2734" s="28" t="s">
        <v>11734</v>
      </c>
      <c r="U2734" s="20" t="s">
        <v>5359</v>
      </c>
      <c r="V2734" s="16" t="s">
        <v>7627</v>
      </c>
      <c r="W2734" s="11" t="s">
        <v>14283</v>
      </c>
      <c r="X2734" s="174">
        <v>214.26</v>
      </c>
      <c r="Y2734" s="174">
        <v>287.54000000000002</v>
      </c>
    </row>
    <row r="2735" spans="1:25" ht="15" customHeight="1" x14ac:dyDescent="0.25">
      <c r="A2735" s="20" t="s">
        <v>7629</v>
      </c>
      <c r="B2735" s="14" t="s">
        <v>7630</v>
      </c>
      <c r="C2735" s="71" t="str">
        <f t="shared" si="58"/>
        <v>Product Info</v>
      </c>
      <c r="D2735" s="37" t="s">
        <v>7237</v>
      </c>
      <c r="E2735" s="143">
        <v>1</v>
      </c>
      <c r="F2735" s="12" t="s">
        <v>2170</v>
      </c>
      <c r="G2735" s="38">
        <v>433.6</v>
      </c>
      <c r="H2735" s="38">
        <v>368.57</v>
      </c>
      <c r="I2735" s="38">
        <v>303.52</v>
      </c>
      <c r="J2735" s="39"/>
      <c r="K2735" s="143"/>
      <c r="L2735" s="22">
        <v>10</v>
      </c>
      <c r="M2735" s="22" t="s">
        <v>12488</v>
      </c>
      <c r="N2735" s="20" t="s">
        <v>9348</v>
      </c>
      <c r="O2735" s="16" t="s">
        <v>12608</v>
      </c>
      <c r="P2735" s="143">
        <v>753</v>
      </c>
      <c r="Q2735" s="121" t="s">
        <v>14285</v>
      </c>
      <c r="R2735" s="16" t="s">
        <v>8904</v>
      </c>
      <c r="S2735" s="10" t="s">
        <v>1163</v>
      </c>
      <c r="T2735" s="28" t="s">
        <v>11735</v>
      </c>
      <c r="U2735" s="20" t="s">
        <v>5359</v>
      </c>
      <c r="V2735" s="16" t="s">
        <v>7629</v>
      </c>
      <c r="W2735" s="11" t="s">
        <v>14283</v>
      </c>
      <c r="X2735" s="174">
        <v>274.66000000000003</v>
      </c>
      <c r="Y2735" s="174">
        <v>368.57</v>
      </c>
    </row>
    <row r="2736" spans="1:25" ht="15" customHeight="1" x14ac:dyDescent="0.25">
      <c r="A2736" s="20" t="s">
        <v>1013</v>
      </c>
      <c r="B2736" s="14" t="s">
        <v>1014</v>
      </c>
      <c r="C2736" s="71" t="str">
        <f t="shared" si="58"/>
        <v>Product Info</v>
      </c>
      <c r="D2736" s="37" t="s">
        <v>7238</v>
      </c>
      <c r="E2736" s="143">
        <v>1</v>
      </c>
      <c r="F2736" s="12" t="s">
        <v>2170</v>
      </c>
      <c r="G2736" s="38">
        <v>381.36</v>
      </c>
      <c r="H2736" s="38">
        <v>324.17</v>
      </c>
      <c r="I2736" s="38">
        <v>266.95</v>
      </c>
      <c r="J2736" s="39"/>
      <c r="K2736" s="143"/>
      <c r="L2736" s="22">
        <v>9</v>
      </c>
      <c r="M2736" s="22" t="s">
        <v>12488</v>
      </c>
      <c r="N2736" s="20" t="s">
        <v>9348</v>
      </c>
      <c r="O2736" s="16" t="s">
        <v>12608</v>
      </c>
      <c r="P2736" s="143">
        <v>753</v>
      </c>
      <c r="Q2736" s="121" t="s">
        <v>14285</v>
      </c>
      <c r="R2736" s="16" t="s">
        <v>8904</v>
      </c>
      <c r="S2736" s="10" t="s">
        <v>1163</v>
      </c>
      <c r="T2736" s="28" t="s">
        <v>11736</v>
      </c>
      <c r="U2736" s="20" t="s">
        <v>5359</v>
      </c>
      <c r="V2736" s="16" t="s">
        <v>1013</v>
      </c>
      <c r="W2736" s="11" t="s">
        <v>14283</v>
      </c>
      <c r="X2736" s="174">
        <v>241.56</v>
      </c>
      <c r="Y2736" s="174">
        <v>324.17</v>
      </c>
    </row>
    <row r="2737" spans="1:25" ht="15" customHeight="1" x14ac:dyDescent="0.25">
      <c r="A2737" s="20" t="s">
        <v>1015</v>
      </c>
      <c r="B2737" s="14" t="s">
        <v>1016</v>
      </c>
      <c r="C2737" s="71" t="str">
        <f t="shared" si="58"/>
        <v>Product Info</v>
      </c>
      <c r="D2737" s="37" t="s">
        <v>7239</v>
      </c>
      <c r="E2737" s="143">
        <v>1</v>
      </c>
      <c r="F2737" s="12" t="s">
        <v>2170</v>
      </c>
      <c r="G2737" s="38">
        <v>488.91</v>
      </c>
      <c r="H2737" s="38">
        <v>415.59</v>
      </c>
      <c r="I2737" s="38">
        <v>342.24</v>
      </c>
      <c r="J2737" s="39"/>
      <c r="K2737" s="143"/>
      <c r="L2737" s="22">
        <v>0.05</v>
      </c>
      <c r="M2737" s="22" t="s">
        <v>12488</v>
      </c>
      <c r="N2737" s="20" t="s">
        <v>9470</v>
      </c>
      <c r="O2737" s="16" t="s">
        <v>12608</v>
      </c>
      <c r="P2737" s="143">
        <v>753</v>
      </c>
      <c r="Q2737" s="121" t="s">
        <v>14285</v>
      </c>
      <c r="R2737" s="16" t="s">
        <v>8904</v>
      </c>
      <c r="S2737" s="10" t="s">
        <v>1163</v>
      </c>
      <c r="T2737" s="28" t="s">
        <v>11737</v>
      </c>
      <c r="U2737" s="20" t="s">
        <v>5359</v>
      </c>
      <c r="V2737" s="16" t="s">
        <v>1015</v>
      </c>
      <c r="W2737" s="11" t="s">
        <v>14283</v>
      </c>
      <c r="X2737" s="174">
        <v>309.69</v>
      </c>
      <c r="Y2737" s="174">
        <v>415.59</v>
      </c>
    </row>
    <row r="2738" spans="1:25" ht="15" customHeight="1" x14ac:dyDescent="0.25">
      <c r="A2738" s="20" t="s">
        <v>1017</v>
      </c>
      <c r="B2738" s="14" t="s">
        <v>1018</v>
      </c>
      <c r="C2738" s="71" t="str">
        <f t="shared" si="58"/>
        <v>Product Info</v>
      </c>
      <c r="D2738" s="37" t="s">
        <v>7240</v>
      </c>
      <c r="E2738" s="143">
        <v>1</v>
      </c>
      <c r="F2738" s="12" t="s">
        <v>2170</v>
      </c>
      <c r="G2738" s="38">
        <v>526.6</v>
      </c>
      <c r="H2738" s="38">
        <v>447.63</v>
      </c>
      <c r="I2738" s="38">
        <v>368.62</v>
      </c>
      <c r="J2738" s="39"/>
      <c r="K2738" s="143"/>
      <c r="L2738" s="22">
        <v>0</v>
      </c>
      <c r="M2738" s="22">
        <v>0</v>
      </c>
      <c r="N2738" s="20" t="s">
        <v>14489</v>
      </c>
      <c r="O2738" s="16">
        <v>0</v>
      </c>
      <c r="P2738" s="143">
        <v>753</v>
      </c>
      <c r="Q2738" s="121" t="s">
        <v>14285</v>
      </c>
      <c r="R2738" s="16" t="s">
        <v>8904</v>
      </c>
      <c r="S2738" s="10" t="s">
        <v>1163</v>
      </c>
      <c r="T2738" s="28" t="s">
        <v>11738</v>
      </c>
      <c r="U2738" s="20" t="s">
        <v>5359</v>
      </c>
      <c r="V2738" s="16" t="s">
        <v>1017</v>
      </c>
      <c r="W2738" s="11" t="s">
        <v>14283</v>
      </c>
      <c r="X2738" s="174">
        <v>333.56</v>
      </c>
      <c r="Y2738" s="174">
        <v>447.63</v>
      </c>
    </row>
    <row r="2739" spans="1:25" ht="15" customHeight="1" x14ac:dyDescent="0.25">
      <c r="A2739" s="20" t="s">
        <v>1019</v>
      </c>
      <c r="B2739" s="14" t="s">
        <v>1020</v>
      </c>
      <c r="C2739" s="71" t="str">
        <f t="shared" si="58"/>
        <v>Product Info</v>
      </c>
      <c r="D2739" s="37" t="s">
        <v>7241</v>
      </c>
      <c r="E2739" s="143">
        <v>1</v>
      </c>
      <c r="F2739" s="12" t="s">
        <v>2170</v>
      </c>
      <c r="G2739" s="38">
        <v>731.07</v>
      </c>
      <c r="H2739" s="38">
        <v>621.42999999999995</v>
      </c>
      <c r="I2739" s="38">
        <v>511.75</v>
      </c>
      <c r="J2739" s="39"/>
      <c r="K2739" s="143"/>
      <c r="L2739" s="22">
        <v>0.2</v>
      </c>
      <c r="M2739" s="22" t="s">
        <v>14396</v>
      </c>
      <c r="N2739" s="20" t="s">
        <v>9471</v>
      </c>
      <c r="O2739" s="16" t="s">
        <v>13914</v>
      </c>
      <c r="P2739" s="143">
        <v>753</v>
      </c>
      <c r="Q2739" s="121" t="s">
        <v>14285</v>
      </c>
      <c r="R2739" s="16" t="s">
        <v>8904</v>
      </c>
      <c r="S2739" s="10" t="s">
        <v>1163</v>
      </c>
      <c r="T2739" s="28" t="s">
        <v>11739</v>
      </c>
      <c r="U2739" s="20" t="s">
        <v>5359</v>
      </c>
      <c r="V2739" s="16" t="s">
        <v>1019</v>
      </c>
      <c r="W2739" s="11" t="s">
        <v>14283</v>
      </c>
      <c r="X2739" s="174">
        <v>463.08</v>
      </c>
      <c r="Y2739" s="174">
        <v>621.42999999999995</v>
      </c>
    </row>
    <row r="2740" spans="1:25" ht="15" customHeight="1" x14ac:dyDescent="0.25">
      <c r="A2740" s="20" t="s">
        <v>1021</v>
      </c>
      <c r="B2740" s="14" t="s">
        <v>6682</v>
      </c>
      <c r="C2740" s="71" t="str">
        <f t="shared" si="58"/>
        <v>Product Info</v>
      </c>
      <c r="D2740" s="37" t="s">
        <v>7242</v>
      </c>
      <c r="E2740" s="143">
        <v>3</v>
      </c>
      <c r="F2740" s="12" t="s">
        <v>2170</v>
      </c>
      <c r="G2740" s="38">
        <v>290.26</v>
      </c>
      <c r="H2740" s="38">
        <v>246.73</v>
      </c>
      <c r="I2740" s="38">
        <v>203.18</v>
      </c>
      <c r="J2740" s="39"/>
      <c r="K2740" s="143"/>
      <c r="L2740" s="22">
        <v>1.3333330000000001</v>
      </c>
      <c r="M2740" s="22" t="s">
        <v>12488</v>
      </c>
      <c r="N2740" s="20" t="s">
        <v>9426</v>
      </c>
      <c r="O2740" s="16" t="s">
        <v>13914</v>
      </c>
      <c r="P2740" s="143">
        <v>753</v>
      </c>
      <c r="Q2740" s="122" t="s">
        <v>12421</v>
      </c>
      <c r="R2740" s="16" t="s">
        <v>8904</v>
      </c>
      <c r="S2740" s="10" t="s">
        <v>1163</v>
      </c>
      <c r="T2740" s="28" t="s">
        <v>11740</v>
      </c>
      <c r="U2740" s="20" t="s">
        <v>5359</v>
      </c>
      <c r="V2740" s="16" t="s">
        <v>1021</v>
      </c>
      <c r="W2740" s="11" t="s">
        <v>14283</v>
      </c>
      <c r="X2740" s="174">
        <v>183.85</v>
      </c>
      <c r="Y2740" s="174">
        <v>246.73</v>
      </c>
    </row>
    <row r="2741" spans="1:25" ht="15" customHeight="1" x14ac:dyDescent="0.25">
      <c r="A2741" s="20" t="s">
        <v>6683</v>
      </c>
      <c r="B2741" s="14" t="s">
        <v>6684</v>
      </c>
      <c r="C2741" s="71" t="str">
        <f t="shared" si="58"/>
        <v>Product Info</v>
      </c>
      <c r="D2741" s="37" t="s">
        <v>7243</v>
      </c>
      <c r="E2741" s="143">
        <v>1</v>
      </c>
      <c r="F2741" s="12" t="s">
        <v>2170</v>
      </c>
      <c r="G2741" s="38">
        <v>266.8</v>
      </c>
      <c r="H2741" s="38">
        <v>226.79</v>
      </c>
      <c r="I2741" s="38">
        <v>186.76</v>
      </c>
      <c r="J2741" s="39"/>
      <c r="K2741" s="143"/>
      <c r="L2741" s="22">
        <v>1.8049999999999999</v>
      </c>
      <c r="M2741" s="22" t="s">
        <v>12488</v>
      </c>
      <c r="N2741" s="20" t="s">
        <v>9472</v>
      </c>
      <c r="O2741" s="16" t="s">
        <v>13914</v>
      </c>
      <c r="P2741" s="143">
        <v>753</v>
      </c>
      <c r="Q2741" s="121" t="s">
        <v>14285</v>
      </c>
      <c r="R2741" s="16" t="s">
        <v>8904</v>
      </c>
      <c r="S2741" s="10" t="s">
        <v>1163</v>
      </c>
      <c r="T2741" s="28" t="s">
        <v>11741</v>
      </c>
      <c r="U2741" s="20" t="s">
        <v>5359</v>
      </c>
      <c r="V2741" s="16" t="s">
        <v>6683</v>
      </c>
      <c r="W2741" s="11" t="s">
        <v>14283</v>
      </c>
      <c r="X2741" s="174">
        <v>169</v>
      </c>
      <c r="Y2741" s="174">
        <v>226.79</v>
      </c>
    </row>
    <row r="2742" spans="1:25" ht="15" customHeight="1" x14ac:dyDescent="0.25">
      <c r="A2742" s="20" t="s">
        <v>6685</v>
      </c>
      <c r="B2742" s="14" t="s">
        <v>6686</v>
      </c>
      <c r="C2742" s="71" t="str">
        <f t="shared" si="58"/>
        <v>Product Info</v>
      </c>
      <c r="D2742" s="37" t="s">
        <v>2709</v>
      </c>
      <c r="E2742" s="143">
        <v>3</v>
      </c>
      <c r="F2742" s="12" t="s">
        <v>2170</v>
      </c>
      <c r="G2742" s="38">
        <v>402</v>
      </c>
      <c r="H2742" s="38">
        <v>341.71</v>
      </c>
      <c r="I2742" s="38">
        <v>281.39999999999998</v>
      </c>
      <c r="J2742" s="39"/>
      <c r="K2742" s="143"/>
      <c r="L2742" s="22">
        <v>1.6659999999999999</v>
      </c>
      <c r="M2742" s="22" t="s">
        <v>12488</v>
      </c>
      <c r="N2742" s="20" t="s">
        <v>9473</v>
      </c>
      <c r="O2742" s="16" t="s">
        <v>12608</v>
      </c>
      <c r="P2742" s="143">
        <v>753</v>
      </c>
      <c r="Q2742" s="121" t="s">
        <v>14285</v>
      </c>
      <c r="R2742" s="16" t="s">
        <v>8904</v>
      </c>
      <c r="S2742" s="10" t="s">
        <v>1163</v>
      </c>
      <c r="T2742" s="28" t="s">
        <v>11742</v>
      </c>
      <c r="U2742" s="20" t="s">
        <v>5359</v>
      </c>
      <c r="V2742" s="16" t="s">
        <v>6685</v>
      </c>
      <c r="W2742" s="11" t="s">
        <v>14283</v>
      </c>
      <c r="X2742" s="174">
        <v>254.63</v>
      </c>
      <c r="Y2742" s="174">
        <v>341.71</v>
      </c>
    </row>
    <row r="2743" spans="1:25" ht="15" customHeight="1" x14ac:dyDescent="0.25">
      <c r="A2743" s="20" t="s">
        <v>6687</v>
      </c>
      <c r="B2743" s="14" t="s">
        <v>6688</v>
      </c>
      <c r="C2743" s="71" t="str">
        <f t="shared" si="58"/>
        <v>Product Info</v>
      </c>
      <c r="D2743" s="37" t="s">
        <v>2710</v>
      </c>
      <c r="E2743" s="143">
        <v>1</v>
      </c>
      <c r="F2743" s="12" t="s">
        <v>2170</v>
      </c>
      <c r="G2743" s="38">
        <v>345.36</v>
      </c>
      <c r="H2743" s="38">
        <v>293.56</v>
      </c>
      <c r="I2743" s="38">
        <v>241.75</v>
      </c>
      <c r="J2743" s="39"/>
      <c r="K2743" s="143"/>
      <c r="L2743" s="22">
        <v>2.2999999999999998</v>
      </c>
      <c r="M2743" s="22" t="s">
        <v>12488</v>
      </c>
      <c r="N2743" s="20" t="s">
        <v>9338</v>
      </c>
      <c r="O2743" s="16" t="s">
        <v>12608</v>
      </c>
      <c r="P2743" s="143">
        <v>753</v>
      </c>
      <c r="Q2743" s="122" t="s">
        <v>12421</v>
      </c>
      <c r="R2743" s="16" t="s">
        <v>8904</v>
      </c>
      <c r="S2743" s="10" t="s">
        <v>1163</v>
      </c>
      <c r="T2743" s="28" t="s">
        <v>11743</v>
      </c>
      <c r="U2743" s="20" t="s">
        <v>5359</v>
      </c>
      <c r="V2743" s="16" t="s">
        <v>6687</v>
      </c>
      <c r="W2743" s="11" t="s">
        <v>14283</v>
      </c>
      <c r="X2743" s="174">
        <v>218.76</v>
      </c>
      <c r="Y2743" s="174">
        <v>293.56</v>
      </c>
    </row>
    <row r="2744" spans="1:25" ht="15" customHeight="1" x14ac:dyDescent="0.25">
      <c r="A2744" s="20" t="s">
        <v>3423</v>
      </c>
      <c r="B2744" s="14" t="s">
        <v>3424</v>
      </c>
      <c r="C2744" s="71" t="str">
        <f t="shared" si="58"/>
        <v>Product Info</v>
      </c>
      <c r="D2744" s="37" t="s">
        <v>2711</v>
      </c>
      <c r="E2744" s="143">
        <v>3</v>
      </c>
      <c r="F2744" s="12" t="s">
        <v>2170</v>
      </c>
      <c r="G2744" s="38">
        <v>347.34</v>
      </c>
      <c r="H2744" s="38">
        <v>295.25</v>
      </c>
      <c r="I2744" s="38">
        <v>243.14</v>
      </c>
      <c r="J2744" s="39"/>
      <c r="K2744" s="143"/>
      <c r="L2744" s="22">
        <v>1.766</v>
      </c>
      <c r="M2744" s="22" t="s">
        <v>12488</v>
      </c>
      <c r="N2744" s="20" t="s">
        <v>9420</v>
      </c>
      <c r="O2744" s="16" t="s">
        <v>12608</v>
      </c>
      <c r="P2744" s="143">
        <v>753</v>
      </c>
      <c r="Q2744" s="122" t="s">
        <v>12421</v>
      </c>
      <c r="R2744" s="16" t="s">
        <v>8904</v>
      </c>
      <c r="S2744" s="10" t="s">
        <v>1163</v>
      </c>
      <c r="T2744" s="28" t="s">
        <v>11744</v>
      </c>
      <c r="U2744" s="20" t="s">
        <v>5359</v>
      </c>
      <c r="V2744" s="16" t="s">
        <v>3423</v>
      </c>
      <c r="W2744" s="11" t="s">
        <v>14283</v>
      </c>
      <c r="X2744" s="174">
        <v>220.01</v>
      </c>
      <c r="Y2744" s="174">
        <v>295.25</v>
      </c>
    </row>
    <row r="2745" spans="1:25" ht="15" customHeight="1" x14ac:dyDescent="0.25">
      <c r="A2745" s="20" t="s">
        <v>3425</v>
      </c>
      <c r="B2745" s="14" t="s">
        <v>3426</v>
      </c>
      <c r="C2745" s="71" t="str">
        <f t="shared" si="58"/>
        <v>Product Info</v>
      </c>
      <c r="D2745" s="37" t="s">
        <v>2712</v>
      </c>
      <c r="E2745" s="143">
        <v>1</v>
      </c>
      <c r="F2745" s="12" t="s">
        <v>2170</v>
      </c>
      <c r="G2745" s="38">
        <v>304.02999999999997</v>
      </c>
      <c r="H2745" s="38">
        <v>258.43</v>
      </c>
      <c r="I2745" s="38">
        <v>212.82</v>
      </c>
      <c r="J2745" s="39"/>
      <c r="K2745" s="143"/>
      <c r="L2745" s="22">
        <v>2.2149999999999999</v>
      </c>
      <c r="M2745" s="22" t="s">
        <v>12488</v>
      </c>
      <c r="N2745" s="20" t="s">
        <v>9474</v>
      </c>
      <c r="O2745" s="16" t="s">
        <v>12608</v>
      </c>
      <c r="P2745" s="143">
        <v>753</v>
      </c>
      <c r="Q2745" s="122" t="s">
        <v>12421</v>
      </c>
      <c r="R2745" s="16" t="s">
        <v>8904</v>
      </c>
      <c r="S2745" s="10" t="s">
        <v>1163</v>
      </c>
      <c r="T2745" s="28" t="s">
        <v>11745</v>
      </c>
      <c r="U2745" s="20" t="s">
        <v>5359</v>
      </c>
      <c r="V2745" s="16" t="s">
        <v>3425</v>
      </c>
      <c r="W2745" s="11" t="s">
        <v>14283</v>
      </c>
      <c r="X2745" s="174">
        <v>192.58</v>
      </c>
      <c r="Y2745" s="174">
        <v>258.43</v>
      </c>
    </row>
    <row r="2746" spans="1:25" ht="15" customHeight="1" x14ac:dyDescent="0.25">
      <c r="A2746" s="20" t="s">
        <v>7032</v>
      </c>
      <c r="B2746" s="14" t="s">
        <v>7033</v>
      </c>
      <c r="C2746" s="71" t="str">
        <f t="shared" si="58"/>
        <v>Product Info</v>
      </c>
      <c r="D2746" s="37" t="s">
        <v>2713</v>
      </c>
      <c r="E2746" s="143">
        <v>3</v>
      </c>
      <c r="F2746" s="12" t="s">
        <v>2170</v>
      </c>
      <c r="G2746" s="38">
        <v>518.66</v>
      </c>
      <c r="H2746" s="38">
        <v>440.87</v>
      </c>
      <c r="I2746" s="38">
        <v>363.06</v>
      </c>
      <c r="J2746" s="39"/>
      <c r="K2746" s="143"/>
      <c r="L2746" s="22">
        <v>6</v>
      </c>
      <c r="M2746" s="22" t="s">
        <v>12488</v>
      </c>
      <c r="N2746" s="20" t="s">
        <v>9351</v>
      </c>
      <c r="O2746" s="16" t="s">
        <v>12608</v>
      </c>
      <c r="P2746" s="143">
        <v>753</v>
      </c>
      <c r="Q2746" s="121" t="s">
        <v>14285</v>
      </c>
      <c r="R2746" s="16" t="s">
        <v>8904</v>
      </c>
      <c r="S2746" s="10" t="s">
        <v>1163</v>
      </c>
      <c r="T2746" s="28" t="s">
        <v>11746</v>
      </c>
      <c r="U2746" s="20" t="s">
        <v>5359</v>
      </c>
      <c r="V2746" s="16" t="s">
        <v>7032</v>
      </c>
      <c r="W2746" s="11" t="s">
        <v>14283</v>
      </c>
      <c r="X2746" s="174">
        <v>328.53</v>
      </c>
      <c r="Y2746" s="174">
        <v>440.87</v>
      </c>
    </row>
    <row r="2747" spans="1:25" ht="15" customHeight="1" x14ac:dyDescent="0.25">
      <c r="A2747" s="20" t="s">
        <v>7034</v>
      </c>
      <c r="B2747" s="14" t="s">
        <v>7035</v>
      </c>
      <c r="C2747" s="71" t="str">
        <f t="shared" si="58"/>
        <v>Product Info</v>
      </c>
      <c r="D2747" s="37" t="s">
        <v>2714</v>
      </c>
      <c r="E2747" s="143">
        <v>1</v>
      </c>
      <c r="F2747" s="12" t="s">
        <v>2170</v>
      </c>
      <c r="G2747" s="38">
        <v>435.59</v>
      </c>
      <c r="H2747" s="38">
        <v>370.26</v>
      </c>
      <c r="I2747" s="38">
        <v>304.91000000000003</v>
      </c>
      <c r="J2747" s="39"/>
      <c r="K2747" s="143"/>
      <c r="L2747" s="22">
        <v>3</v>
      </c>
      <c r="M2747" s="22" t="s">
        <v>12488</v>
      </c>
      <c r="N2747" s="20" t="s">
        <v>9475</v>
      </c>
      <c r="O2747" s="16" t="s">
        <v>12608</v>
      </c>
      <c r="P2747" s="143">
        <v>753</v>
      </c>
      <c r="Q2747" s="121" t="s">
        <v>14285</v>
      </c>
      <c r="R2747" s="16" t="s">
        <v>8904</v>
      </c>
      <c r="S2747" s="10" t="s">
        <v>1163</v>
      </c>
      <c r="T2747" s="28" t="s">
        <v>11747</v>
      </c>
      <c r="U2747" s="20" t="s">
        <v>5359</v>
      </c>
      <c r="V2747" s="16" t="s">
        <v>7034</v>
      </c>
      <c r="W2747" s="11" t="s">
        <v>14283</v>
      </c>
      <c r="X2747" s="174">
        <v>275.91000000000003</v>
      </c>
      <c r="Y2747" s="174">
        <v>370.26</v>
      </c>
    </row>
    <row r="2748" spans="1:25" ht="15" customHeight="1" x14ac:dyDescent="0.25">
      <c r="A2748" s="20" t="s">
        <v>7036</v>
      </c>
      <c r="B2748" s="14" t="s">
        <v>7037</v>
      </c>
      <c r="C2748" s="71" t="str">
        <f t="shared" si="58"/>
        <v>Product Info</v>
      </c>
      <c r="D2748" s="37" t="s">
        <v>2715</v>
      </c>
      <c r="E2748" s="143">
        <v>3</v>
      </c>
      <c r="F2748" s="12" t="s">
        <v>2170</v>
      </c>
      <c r="G2748" s="38">
        <v>505.04</v>
      </c>
      <c r="H2748" s="38">
        <v>429.3</v>
      </c>
      <c r="I2748" s="38">
        <v>353.53</v>
      </c>
      <c r="J2748" s="39"/>
      <c r="K2748" s="143"/>
      <c r="L2748" s="22">
        <v>2.33</v>
      </c>
      <c r="M2748" s="22" t="s">
        <v>12488</v>
      </c>
      <c r="N2748" s="20" t="s">
        <v>9345</v>
      </c>
      <c r="O2748" s="16" t="s">
        <v>12608</v>
      </c>
      <c r="P2748" s="143">
        <v>753</v>
      </c>
      <c r="Q2748" s="121" t="s">
        <v>14285</v>
      </c>
      <c r="R2748" s="16" t="s">
        <v>8904</v>
      </c>
      <c r="S2748" s="10" t="s">
        <v>1163</v>
      </c>
      <c r="T2748" s="28" t="s">
        <v>11748</v>
      </c>
      <c r="U2748" s="20" t="s">
        <v>5359</v>
      </c>
      <c r="V2748" s="16" t="s">
        <v>7036</v>
      </c>
      <c r="W2748" s="11" t="s">
        <v>14283</v>
      </c>
      <c r="X2748" s="174">
        <v>319.89999999999998</v>
      </c>
      <c r="Y2748" s="174">
        <v>429.3</v>
      </c>
    </row>
    <row r="2749" spans="1:25" ht="15" customHeight="1" x14ac:dyDescent="0.25">
      <c r="A2749" s="20" t="s">
        <v>7038</v>
      </c>
      <c r="B2749" s="14" t="s">
        <v>7039</v>
      </c>
      <c r="C2749" s="71" t="str">
        <f t="shared" si="58"/>
        <v>Product Info</v>
      </c>
      <c r="D2749" s="37" t="s">
        <v>2716</v>
      </c>
      <c r="E2749" s="143">
        <v>3</v>
      </c>
      <c r="F2749" s="12" t="s">
        <v>2170</v>
      </c>
      <c r="G2749" s="38">
        <v>530.47</v>
      </c>
      <c r="H2749" s="38">
        <v>450.92</v>
      </c>
      <c r="I2749" s="38">
        <v>371.33</v>
      </c>
      <c r="J2749" s="39"/>
      <c r="K2749" s="143"/>
      <c r="L2749" s="22">
        <v>3.28</v>
      </c>
      <c r="M2749" s="22" t="s">
        <v>12488</v>
      </c>
      <c r="N2749" s="20" t="s">
        <v>9476</v>
      </c>
      <c r="O2749" s="16" t="s">
        <v>12608</v>
      </c>
      <c r="P2749" s="143">
        <v>753</v>
      </c>
      <c r="Q2749" s="121" t="s">
        <v>14285</v>
      </c>
      <c r="R2749" s="16" t="s">
        <v>8904</v>
      </c>
      <c r="S2749" s="10" t="s">
        <v>1163</v>
      </c>
      <c r="T2749" s="28" t="s">
        <v>11749</v>
      </c>
      <c r="U2749" s="20" t="s">
        <v>5359</v>
      </c>
      <c r="V2749" s="16" t="s">
        <v>7038</v>
      </c>
      <c r="W2749" s="11" t="s">
        <v>14283</v>
      </c>
      <c r="X2749" s="174">
        <v>336.01</v>
      </c>
      <c r="Y2749" s="174">
        <v>450.92</v>
      </c>
    </row>
    <row r="2750" spans="1:25" ht="15" customHeight="1" x14ac:dyDescent="0.25">
      <c r="A2750" s="20" t="s">
        <v>7040</v>
      </c>
      <c r="B2750" s="14" t="s">
        <v>7041</v>
      </c>
      <c r="C2750" s="71" t="str">
        <f t="shared" si="58"/>
        <v>Product Info</v>
      </c>
      <c r="D2750" s="37" t="s">
        <v>2717</v>
      </c>
      <c r="E2750" s="143">
        <v>1</v>
      </c>
      <c r="F2750" s="12" t="s">
        <v>2170</v>
      </c>
      <c r="G2750" s="38">
        <v>556.03</v>
      </c>
      <c r="H2750" s="38">
        <v>472.64</v>
      </c>
      <c r="I2750" s="38">
        <v>389.22</v>
      </c>
      <c r="J2750" s="39"/>
      <c r="K2750" s="143"/>
      <c r="L2750" s="22">
        <v>3</v>
      </c>
      <c r="M2750" s="22" t="s">
        <v>12488</v>
      </c>
      <c r="N2750" s="20" t="s">
        <v>9345</v>
      </c>
      <c r="O2750" s="16" t="s">
        <v>12608</v>
      </c>
      <c r="P2750" s="143">
        <v>753</v>
      </c>
      <c r="Q2750" s="121" t="s">
        <v>14285</v>
      </c>
      <c r="R2750" s="16" t="s">
        <v>8904</v>
      </c>
      <c r="S2750" s="10" t="s">
        <v>1163</v>
      </c>
      <c r="T2750" s="28" t="s">
        <v>11750</v>
      </c>
      <c r="U2750" s="20" t="s">
        <v>5359</v>
      </c>
      <c r="V2750" s="16" t="s">
        <v>7040</v>
      </c>
      <c r="W2750" s="11" t="s">
        <v>14283</v>
      </c>
      <c r="X2750" s="174">
        <v>352.2</v>
      </c>
      <c r="Y2750" s="174">
        <v>472.64</v>
      </c>
    </row>
    <row r="2751" spans="1:25" ht="15" customHeight="1" x14ac:dyDescent="0.25">
      <c r="A2751" s="20" t="s">
        <v>7042</v>
      </c>
      <c r="B2751" s="14" t="s">
        <v>7043</v>
      </c>
      <c r="C2751" s="71" t="str">
        <f t="shared" si="58"/>
        <v>Product Info</v>
      </c>
      <c r="D2751" s="37" t="s">
        <v>2718</v>
      </c>
      <c r="E2751" s="143">
        <v>1</v>
      </c>
      <c r="F2751" s="12" t="s">
        <v>2170</v>
      </c>
      <c r="G2751" s="38">
        <v>581.33000000000004</v>
      </c>
      <c r="H2751" s="38">
        <v>494.15</v>
      </c>
      <c r="I2751" s="38">
        <v>406.93</v>
      </c>
      <c r="J2751" s="39"/>
      <c r="K2751" s="143"/>
      <c r="L2751" s="22">
        <v>3</v>
      </c>
      <c r="M2751" s="22" t="s">
        <v>12488</v>
      </c>
      <c r="N2751" s="20" t="s">
        <v>9345</v>
      </c>
      <c r="O2751" s="16" t="s">
        <v>12608</v>
      </c>
      <c r="P2751" s="143">
        <v>753</v>
      </c>
      <c r="Q2751" s="121" t="s">
        <v>14285</v>
      </c>
      <c r="R2751" s="16" t="s">
        <v>8904</v>
      </c>
      <c r="S2751" s="10" t="s">
        <v>1163</v>
      </c>
      <c r="T2751" s="28" t="s">
        <v>11751</v>
      </c>
      <c r="U2751" s="20" t="s">
        <v>5359</v>
      </c>
      <c r="V2751" s="16" t="s">
        <v>7042</v>
      </c>
      <c r="W2751" s="11" t="s">
        <v>14283</v>
      </c>
      <c r="X2751" s="174">
        <v>368.23</v>
      </c>
      <c r="Y2751" s="174">
        <v>494.15</v>
      </c>
    </row>
    <row r="2752" spans="1:25" ht="15" customHeight="1" x14ac:dyDescent="0.25">
      <c r="A2752" s="20" t="s">
        <v>7044</v>
      </c>
      <c r="B2752" s="14" t="s">
        <v>7045</v>
      </c>
      <c r="C2752" s="71" t="str">
        <f t="shared" si="58"/>
        <v>Product Info</v>
      </c>
      <c r="D2752" s="37" t="s">
        <v>4912</v>
      </c>
      <c r="E2752" s="143">
        <v>3</v>
      </c>
      <c r="F2752" s="12" t="s">
        <v>2170</v>
      </c>
      <c r="G2752" s="38">
        <v>559.55999999999995</v>
      </c>
      <c r="H2752" s="38">
        <v>475.64</v>
      </c>
      <c r="I2752" s="38">
        <v>391.69</v>
      </c>
      <c r="J2752" s="39"/>
      <c r="K2752" s="143"/>
      <c r="L2752" s="22">
        <v>5.5</v>
      </c>
      <c r="M2752" s="22" t="s">
        <v>12488</v>
      </c>
      <c r="N2752" s="20" t="s">
        <v>9431</v>
      </c>
      <c r="O2752" s="16" t="s">
        <v>12608</v>
      </c>
      <c r="P2752" s="143">
        <v>753</v>
      </c>
      <c r="Q2752" s="121" t="s">
        <v>14285</v>
      </c>
      <c r="R2752" s="16" t="s">
        <v>8904</v>
      </c>
      <c r="S2752" s="10" t="s">
        <v>1163</v>
      </c>
      <c r="T2752" s="28" t="s">
        <v>11752</v>
      </c>
      <c r="U2752" s="20" t="s">
        <v>5359</v>
      </c>
      <c r="V2752" s="16" t="s">
        <v>7044</v>
      </c>
      <c r="W2752" s="11" t="s">
        <v>14283</v>
      </c>
      <c r="X2752" s="174">
        <v>354.43</v>
      </c>
      <c r="Y2752" s="174">
        <v>475.64</v>
      </c>
    </row>
    <row r="2753" spans="1:25" ht="15" customHeight="1" x14ac:dyDescent="0.25">
      <c r="A2753" s="20" t="s">
        <v>7046</v>
      </c>
      <c r="B2753" s="14" t="s">
        <v>7047</v>
      </c>
      <c r="C2753" s="71" t="str">
        <f t="shared" si="58"/>
        <v>Product Info</v>
      </c>
      <c r="D2753" s="37" t="s">
        <v>4913</v>
      </c>
      <c r="E2753" s="143">
        <v>3</v>
      </c>
      <c r="F2753" s="12" t="s">
        <v>2170</v>
      </c>
      <c r="G2753" s="38">
        <v>832.24</v>
      </c>
      <c r="H2753" s="38">
        <v>707.43</v>
      </c>
      <c r="I2753" s="38">
        <v>582.57000000000005</v>
      </c>
      <c r="J2753" s="39"/>
      <c r="K2753" s="143"/>
      <c r="L2753" s="22">
        <v>7.5</v>
      </c>
      <c r="M2753" s="22" t="s">
        <v>12488</v>
      </c>
      <c r="N2753" s="20" t="s">
        <v>9431</v>
      </c>
      <c r="O2753" s="16" t="s">
        <v>12608</v>
      </c>
      <c r="P2753" s="143">
        <v>753</v>
      </c>
      <c r="Q2753" s="122" t="s">
        <v>12421</v>
      </c>
      <c r="R2753" s="16" t="s">
        <v>8904</v>
      </c>
      <c r="S2753" s="10" t="s">
        <v>1163</v>
      </c>
      <c r="T2753" s="28" t="s">
        <v>11753</v>
      </c>
      <c r="U2753" s="20" t="s">
        <v>5359</v>
      </c>
      <c r="V2753" s="16" t="s">
        <v>7046</v>
      </c>
      <c r="W2753" s="11" t="s">
        <v>14283</v>
      </c>
      <c r="X2753" s="174">
        <v>527.16</v>
      </c>
      <c r="Y2753" s="174">
        <v>707.43</v>
      </c>
    </row>
    <row r="2754" spans="1:25" ht="15" customHeight="1" x14ac:dyDescent="0.25">
      <c r="A2754" s="20" t="s">
        <v>7048</v>
      </c>
      <c r="B2754" s="14" t="s">
        <v>7049</v>
      </c>
      <c r="C2754" s="71" t="str">
        <f t="shared" si="58"/>
        <v>Product Info</v>
      </c>
      <c r="D2754" s="37" t="s">
        <v>4914</v>
      </c>
      <c r="E2754" s="143">
        <v>1</v>
      </c>
      <c r="F2754" s="12" t="s">
        <v>2170</v>
      </c>
      <c r="G2754" s="38">
        <v>1918.16</v>
      </c>
      <c r="H2754" s="38">
        <v>1630.49</v>
      </c>
      <c r="I2754" s="38">
        <v>1342.71</v>
      </c>
      <c r="J2754" s="39"/>
      <c r="K2754" s="143"/>
      <c r="L2754" s="22">
        <v>7</v>
      </c>
      <c r="M2754" s="22" t="s">
        <v>12488</v>
      </c>
      <c r="N2754" s="20" t="s">
        <v>9477</v>
      </c>
      <c r="O2754" s="16" t="s">
        <v>12608</v>
      </c>
      <c r="P2754" s="143">
        <v>753</v>
      </c>
      <c r="Q2754" s="121" t="s">
        <v>14285</v>
      </c>
      <c r="R2754" s="16" t="s">
        <v>8904</v>
      </c>
      <c r="S2754" s="10" t="s">
        <v>1163</v>
      </c>
      <c r="T2754" s="28" t="s">
        <v>11754</v>
      </c>
      <c r="U2754" s="20" t="s">
        <v>5359</v>
      </c>
      <c r="V2754" s="16" t="s">
        <v>7048</v>
      </c>
      <c r="W2754" s="11" t="s">
        <v>14283</v>
      </c>
      <c r="X2754" s="174">
        <v>1215</v>
      </c>
      <c r="Y2754" s="174">
        <v>1630.49</v>
      </c>
    </row>
    <row r="2755" spans="1:25" ht="15" customHeight="1" x14ac:dyDescent="0.25">
      <c r="A2755" s="20" t="s">
        <v>7050</v>
      </c>
      <c r="B2755" s="14" t="s">
        <v>7051</v>
      </c>
      <c r="C2755" s="71" t="str">
        <f t="shared" si="58"/>
        <v>Product Info</v>
      </c>
      <c r="D2755" s="37" t="s">
        <v>3489</v>
      </c>
      <c r="E2755" s="143">
        <v>1</v>
      </c>
      <c r="F2755" s="12" t="s">
        <v>2170</v>
      </c>
      <c r="G2755" s="38">
        <v>2351.7600000000002</v>
      </c>
      <c r="H2755" s="38">
        <v>1999.06</v>
      </c>
      <c r="I2755" s="38">
        <v>1646.23</v>
      </c>
      <c r="J2755" s="39"/>
      <c r="K2755" s="143"/>
      <c r="L2755" s="22">
        <v>9</v>
      </c>
      <c r="M2755" s="22" t="s">
        <v>12488</v>
      </c>
      <c r="N2755" s="20" t="s">
        <v>9477</v>
      </c>
      <c r="O2755" s="16" t="s">
        <v>12608</v>
      </c>
      <c r="P2755" s="143">
        <v>753</v>
      </c>
      <c r="Q2755" s="121" t="s">
        <v>14285</v>
      </c>
      <c r="R2755" s="16" t="s">
        <v>8904</v>
      </c>
      <c r="S2755" s="10" t="s">
        <v>1163</v>
      </c>
      <c r="T2755" s="28" t="s">
        <v>11755</v>
      </c>
      <c r="U2755" s="20" t="s">
        <v>5359</v>
      </c>
      <c r="V2755" s="16" t="s">
        <v>7050</v>
      </c>
      <c r="W2755" s="11" t="s">
        <v>14283</v>
      </c>
      <c r="X2755" s="174">
        <v>1489.66</v>
      </c>
      <c r="Y2755" s="174">
        <v>1999.06</v>
      </c>
    </row>
    <row r="2756" spans="1:25" ht="15" customHeight="1" x14ac:dyDescent="0.25">
      <c r="A2756" s="20" t="s">
        <v>7052</v>
      </c>
      <c r="B2756" s="14" t="s">
        <v>7053</v>
      </c>
      <c r="C2756" s="71" t="str">
        <f t="shared" si="58"/>
        <v>Product Info</v>
      </c>
      <c r="D2756" s="37" t="s">
        <v>3490</v>
      </c>
      <c r="E2756" s="143">
        <v>1</v>
      </c>
      <c r="F2756" s="12" t="s">
        <v>2170</v>
      </c>
      <c r="G2756" s="38">
        <v>2236.86</v>
      </c>
      <c r="H2756" s="38">
        <v>1901.4</v>
      </c>
      <c r="I2756" s="38">
        <v>1565.8</v>
      </c>
      <c r="J2756" s="39"/>
      <c r="K2756" s="143"/>
      <c r="L2756" s="22">
        <v>8</v>
      </c>
      <c r="M2756" s="22" t="s">
        <v>12488</v>
      </c>
      <c r="N2756" s="20" t="s">
        <v>9478</v>
      </c>
      <c r="O2756" s="16" t="s">
        <v>12608</v>
      </c>
      <c r="P2756" s="143">
        <v>753</v>
      </c>
      <c r="Q2756" s="121" t="s">
        <v>14285</v>
      </c>
      <c r="R2756" s="16" t="s">
        <v>8904</v>
      </c>
      <c r="S2756" s="10" t="s">
        <v>1163</v>
      </c>
      <c r="T2756" s="28" t="s">
        <v>11756</v>
      </c>
      <c r="U2756" s="20" t="s">
        <v>5359</v>
      </c>
      <c r="V2756" s="16" t="s">
        <v>7052</v>
      </c>
      <c r="W2756" s="11" t="s">
        <v>14283</v>
      </c>
      <c r="X2756" s="174">
        <v>1416.87</v>
      </c>
      <c r="Y2756" s="174">
        <v>1901.4</v>
      </c>
    </row>
    <row r="2757" spans="1:25" ht="15" customHeight="1" x14ac:dyDescent="0.25">
      <c r="A2757" s="20" t="s">
        <v>7054</v>
      </c>
      <c r="B2757" s="14" t="s">
        <v>7055</v>
      </c>
      <c r="C2757" s="71" t="str">
        <f t="shared" si="58"/>
        <v>Product Info</v>
      </c>
      <c r="D2757" s="37" t="s">
        <v>3491</v>
      </c>
      <c r="E2757" s="143">
        <v>1</v>
      </c>
      <c r="F2757" s="12" t="s">
        <v>2170</v>
      </c>
      <c r="G2757" s="38">
        <v>2577.3000000000002</v>
      </c>
      <c r="H2757" s="38">
        <v>2190.7800000000002</v>
      </c>
      <c r="I2757" s="38">
        <v>1804.11</v>
      </c>
      <c r="J2757" s="39"/>
      <c r="K2757" s="143"/>
      <c r="L2757" s="22">
        <v>30</v>
      </c>
      <c r="M2757" s="22" t="s">
        <v>12488</v>
      </c>
      <c r="N2757" s="20" t="s">
        <v>9350</v>
      </c>
      <c r="O2757" s="16" t="s">
        <v>12608</v>
      </c>
      <c r="P2757" s="143">
        <v>753</v>
      </c>
      <c r="Q2757" s="121" t="s">
        <v>14285</v>
      </c>
      <c r="R2757" s="16" t="s">
        <v>8904</v>
      </c>
      <c r="S2757" s="10" t="s">
        <v>1163</v>
      </c>
      <c r="T2757" s="28" t="s">
        <v>11757</v>
      </c>
      <c r="U2757" s="20" t="s">
        <v>5359</v>
      </c>
      <c r="V2757" s="16" t="s">
        <v>7054</v>
      </c>
      <c r="W2757" s="11" t="s">
        <v>14283</v>
      </c>
      <c r="X2757" s="174">
        <v>1632.52</v>
      </c>
      <c r="Y2757" s="174">
        <v>2190.7800000000002</v>
      </c>
    </row>
    <row r="2758" spans="1:25" ht="15" customHeight="1" x14ac:dyDescent="0.25">
      <c r="A2758" s="20" t="s">
        <v>7056</v>
      </c>
      <c r="B2758" s="14" t="s">
        <v>7057</v>
      </c>
      <c r="C2758" s="71" t="str">
        <f t="shared" ref="C2758:C2821" si="59">HYPERLINK(T2758,U2758)</f>
        <v>Product Info</v>
      </c>
      <c r="D2758" s="37" t="s">
        <v>3492</v>
      </c>
      <c r="E2758" s="143">
        <v>3</v>
      </c>
      <c r="F2758" s="12" t="s">
        <v>2170</v>
      </c>
      <c r="G2758" s="38">
        <v>294.95999999999998</v>
      </c>
      <c r="H2758" s="38">
        <v>250.72</v>
      </c>
      <c r="I2758" s="38">
        <v>206.47</v>
      </c>
      <c r="J2758" s="39"/>
      <c r="K2758" s="143"/>
      <c r="L2758" s="22">
        <v>7</v>
      </c>
      <c r="M2758" s="22" t="s">
        <v>12488</v>
      </c>
      <c r="N2758" s="20" t="s">
        <v>9345</v>
      </c>
      <c r="O2758" s="16" t="s">
        <v>12608</v>
      </c>
      <c r="P2758" s="143">
        <v>753</v>
      </c>
      <c r="Q2758" s="121" t="s">
        <v>14285</v>
      </c>
      <c r="R2758" s="16" t="s">
        <v>8904</v>
      </c>
      <c r="S2758" s="10" t="s">
        <v>1163</v>
      </c>
      <c r="T2758" s="28" t="s">
        <v>11758</v>
      </c>
      <c r="U2758" s="20" t="s">
        <v>5359</v>
      </c>
      <c r="V2758" s="16" t="s">
        <v>7056</v>
      </c>
      <c r="W2758" s="11" t="s">
        <v>14283</v>
      </c>
      <c r="X2758" s="174">
        <v>186.84</v>
      </c>
      <c r="Y2758" s="174">
        <v>250.72</v>
      </c>
    </row>
    <row r="2759" spans="1:25" ht="15" customHeight="1" x14ac:dyDescent="0.25">
      <c r="A2759" s="20" t="s">
        <v>7058</v>
      </c>
      <c r="B2759" s="14" t="s">
        <v>7059</v>
      </c>
      <c r="C2759" s="71" t="str">
        <f t="shared" si="59"/>
        <v>Product Info</v>
      </c>
      <c r="D2759" s="37" t="s">
        <v>3493</v>
      </c>
      <c r="E2759" s="143">
        <v>1</v>
      </c>
      <c r="F2759" s="12" t="s">
        <v>2170</v>
      </c>
      <c r="G2759" s="38">
        <v>274.93</v>
      </c>
      <c r="H2759" s="38">
        <v>233.7</v>
      </c>
      <c r="I2759" s="38">
        <v>192.45</v>
      </c>
      <c r="J2759" s="39"/>
      <c r="K2759" s="143"/>
      <c r="L2759" s="22">
        <v>2.56</v>
      </c>
      <c r="M2759" s="22" t="s">
        <v>12488</v>
      </c>
      <c r="N2759" s="20" t="s">
        <v>9479</v>
      </c>
      <c r="O2759" s="16" t="s">
        <v>12608</v>
      </c>
      <c r="P2759" s="143">
        <v>753</v>
      </c>
      <c r="Q2759" s="121" t="s">
        <v>14285</v>
      </c>
      <c r="R2759" s="16" t="s">
        <v>8904</v>
      </c>
      <c r="S2759" s="10" t="s">
        <v>1163</v>
      </c>
      <c r="T2759" s="28" t="s">
        <v>11759</v>
      </c>
      <c r="U2759" s="20" t="s">
        <v>5359</v>
      </c>
      <c r="V2759" s="16" t="s">
        <v>7058</v>
      </c>
      <c r="W2759" s="11" t="s">
        <v>14283</v>
      </c>
      <c r="X2759" s="174">
        <v>174.14</v>
      </c>
      <c r="Y2759" s="174">
        <v>233.7</v>
      </c>
    </row>
    <row r="2760" spans="1:25" ht="15" customHeight="1" x14ac:dyDescent="0.25">
      <c r="A2760" s="20" t="s">
        <v>7060</v>
      </c>
      <c r="B2760" s="14" t="s">
        <v>7061</v>
      </c>
      <c r="C2760" s="71" t="str">
        <f t="shared" si="59"/>
        <v>Product Info</v>
      </c>
      <c r="D2760" s="37" t="s">
        <v>3494</v>
      </c>
      <c r="E2760" s="143">
        <v>3</v>
      </c>
      <c r="F2760" s="12" t="s">
        <v>2170</v>
      </c>
      <c r="G2760" s="38">
        <v>400.06</v>
      </c>
      <c r="H2760" s="38">
        <v>340.06</v>
      </c>
      <c r="I2760" s="38">
        <v>280.04000000000002</v>
      </c>
      <c r="J2760" s="39"/>
      <c r="K2760" s="143"/>
      <c r="L2760" s="22">
        <v>6.3</v>
      </c>
      <c r="M2760" s="22" t="s">
        <v>12488</v>
      </c>
      <c r="N2760" s="20" t="s">
        <v>9431</v>
      </c>
      <c r="O2760" s="16" t="s">
        <v>12608</v>
      </c>
      <c r="P2760" s="143">
        <v>753</v>
      </c>
      <c r="Q2760" s="121" t="s">
        <v>14285</v>
      </c>
      <c r="R2760" s="16" t="s">
        <v>8904</v>
      </c>
      <c r="S2760" s="10" t="s">
        <v>1163</v>
      </c>
      <c r="T2760" s="28" t="s">
        <v>11760</v>
      </c>
      <c r="U2760" s="20" t="s">
        <v>5359</v>
      </c>
      <c r="V2760" s="16" t="s">
        <v>7060</v>
      </c>
      <c r="W2760" s="11" t="s">
        <v>14283</v>
      </c>
      <c r="X2760" s="174">
        <v>253.4</v>
      </c>
      <c r="Y2760" s="174">
        <v>340.06</v>
      </c>
    </row>
    <row r="2761" spans="1:25" ht="15" customHeight="1" x14ac:dyDescent="0.25">
      <c r="A2761" s="20" t="s">
        <v>7062</v>
      </c>
      <c r="B2761" s="14" t="s">
        <v>7063</v>
      </c>
      <c r="C2761" s="71" t="str">
        <f t="shared" si="59"/>
        <v>Product Info</v>
      </c>
      <c r="D2761" s="37" t="s">
        <v>3495</v>
      </c>
      <c r="E2761" s="143">
        <v>1</v>
      </c>
      <c r="F2761" s="12" t="s">
        <v>2170</v>
      </c>
      <c r="G2761" s="38">
        <v>354.36</v>
      </c>
      <c r="H2761" s="38">
        <v>301.20999999999998</v>
      </c>
      <c r="I2761" s="38">
        <v>248.05</v>
      </c>
      <c r="J2761" s="39"/>
      <c r="K2761" s="143"/>
      <c r="L2761" s="22">
        <v>2.9550000000000001</v>
      </c>
      <c r="M2761" s="22" t="s">
        <v>12488</v>
      </c>
      <c r="N2761" s="20" t="s">
        <v>9480</v>
      </c>
      <c r="O2761" s="16" t="s">
        <v>13914</v>
      </c>
      <c r="P2761" s="143">
        <v>753</v>
      </c>
      <c r="Q2761" s="122" t="s">
        <v>12421</v>
      </c>
      <c r="R2761" s="16" t="s">
        <v>8904</v>
      </c>
      <c r="S2761" s="10" t="s">
        <v>1163</v>
      </c>
      <c r="T2761" s="28" t="s">
        <v>11761</v>
      </c>
      <c r="U2761" s="20" t="s">
        <v>5359</v>
      </c>
      <c r="V2761" s="16" t="s">
        <v>7062</v>
      </c>
      <c r="W2761" s="11" t="s">
        <v>14283</v>
      </c>
      <c r="X2761" s="174">
        <v>224.47</v>
      </c>
      <c r="Y2761" s="174">
        <v>301.20999999999998</v>
      </c>
    </row>
    <row r="2762" spans="1:25" ht="15" customHeight="1" x14ac:dyDescent="0.25">
      <c r="A2762" s="20" t="s">
        <v>7064</v>
      </c>
      <c r="B2762" s="14" t="s">
        <v>7065</v>
      </c>
      <c r="C2762" s="71" t="str">
        <f t="shared" si="59"/>
        <v>Product Info</v>
      </c>
      <c r="D2762" s="37" t="s">
        <v>3496</v>
      </c>
      <c r="E2762" s="143">
        <v>3</v>
      </c>
      <c r="F2762" s="12" t="s">
        <v>2170</v>
      </c>
      <c r="G2762" s="38">
        <v>371.96</v>
      </c>
      <c r="H2762" s="38">
        <v>316.17</v>
      </c>
      <c r="I2762" s="38">
        <v>260.37</v>
      </c>
      <c r="J2762" s="39"/>
      <c r="K2762" s="143"/>
      <c r="L2762" s="22">
        <v>2.27</v>
      </c>
      <c r="M2762" s="22" t="s">
        <v>12488</v>
      </c>
      <c r="N2762" s="20" t="s">
        <v>9431</v>
      </c>
      <c r="O2762" s="16" t="s">
        <v>12608</v>
      </c>
      <c r="P2762" s="143">
        <v>753</v>
      </c>
      <c r="Q2762" s="122" t="s">
        <v>12421</v>
      </c>
      <c r="R2762" s="16" t="s">
        <v>8904</v>
      </c>
      <c r="S2762" s="10" t="s">
        <v>1163</v>
      </c>
      <c r="T2762" s="28" t="s">
        <v>11762</v>
      </c>
      <c r="U2762" s="20" t="s">
        <v>5359</v>
      </c>
      <c r="V2762" s="16" t="s">
        <v>7064</v>
      </c>
      <c r="W2762" s="11" t="s">
        <v>14283</v>
      </c>
      <c r="X2762" s="174">
        <v>235.61</v>
      </c>
      <c r="Y2762" s="174">
        <v>316.17</v>
      </c>
    </row>
    <row r="2763" spans="1:25" ht="15" customHeight="1" x14ac:dyDescent="0.25">
      <c r="A2763" s="20" t="s">
        <v>7066</v>
      </c>
      <c r="B2763" s="14" t="s">
        <v>7067</v>
      </c>
      <c r="C2763" s="71" t="str">
        <f t="shared" si="59"/>
        <v>Product Info</v>
      </c>
      <c r="D2763" s="37" t="s">
        <v>3497</v>
      </c>
      <c r="E2763" s="143">
        <v>1</v>
      </c>
      <c r="F2763" s="12" t="s">
        <v>2170</v>
      </c>
      <c r="G2763" s="38">
        <v>349.4</v>
      </c>
      <c r="H2763" s="38">
        <v>297</v>
      </c>
      <c r="I2763" s="38">
        <v>244.58</v>
      </c>
      <c r="J2763" s="39"/>
      <c r="K2763" s="143"/>
      <c r="L2763" s="22">
        <v>2</v>
      </c>
      <c r="M2763" s="22" t="s">
        <v>12488</v>
      </c>
      <c r="N2763" s="20" t="s">
        <v>9472</v>
      </c>
      <c r="O2763" s="16" t="s">
        <v>13914</v>
      </c>
      <c r="P2763" s="143">
        <v>753</v>
      </c>
      <c r="Q2763" s="121" t="s">
        <v>14285</v>
      </c>
      <c r="R2763" s="16" t="s">
        <v>8904</v>
      </c>
      <c r="S2763" s="10" t="s">
        <v>1163</v>
      </c>
      <c r="T2763" s="28" t="s">
        <v>11763</v>
      </c>
      <c r="U2763" s="20" t="s">
        <v>5359</v>
      </c>
      <c r="V2763" s="16" t="s">
        <v>7066</v>
      </c>
      <c r="W2763" s="11" t="s">
        <v>14283</v>
      </c>
      <c r="X2763" s="174">
        <v>221.32</v>
      </c>
      <c r="Y2763" s="174">
        <v>297</v>
      </c>
    </row>
    <row r="2764" spans="1:25" ht="15" customHeight="1" x14ac:dyDescent="0.25">
      <c r="A2764" s="20" t="s">
        <v>6926</v>
      </c>
      <c r="B2764" s="14" t="s">
        <v>6927</v>
      </c>
      <c r="C2764" s="71" t="str">
        <f t="shared" si="59"/>
        <v>Product Info</v>
      </c>
      <c r="D2764" s="37" t="s">
        <v>3498</v>
      </c>
      <c r="E2764" s="143">
        <v>1</v>
      </c>
      <c r="F2764" s="12" t="s">
        <v>2170</v>
      </c>
      <c r="G2764" s="38">
        <v>404.71</v>
      </c>
      <c r="H2764" s="38">
        <v>344.02</v>
      </c>
      <c r="I2764" s="38">
        <v>283.3</v>
      </c>
      <c r="J2764" s="39"/>
      <c r="K2764" s="143"/>
      <c r="L2764" s="22">
        <v>2.5</v>
      </c>
      <c r="M2764" s="22" t="s">
        <v>12488</v>
      </c>
      <c r="N2764" s="20" t="s">
        <v>9345</v>
      </c>
      <c r="O2764" s="16" t="s">
        <v>12608</v>
      </c>
      <c r="P2764" s="143">
        <v>753</v>
      </c>
      <c r="Q2764" s="121" t="s">
        <v>14285</v>
      </c>
      <c r="R2764" s="16" t="s">
        <v>8904</v>
      </c>
      <c r="S2764" s="10" t="s">
        <v>1163</v>
      </c>
      <c r="T2764" s="28" t="s">
        <v>11764</v>
      </c>
      <c r="U2764" s="20" t="s">
        <v>5359</v>
      </c>
      <c r="V2764" s="16" t="s">
        <v>6926</v>
      </c>
      <c r="W2764" s="11" t="s">
        <v>14283</v>
      </c>
      <c r="X2764" s="174">
        <v>256.36</v>
      </c>
      <c r="Y2764" s="174">
        <v>344.02</v>
      </c>
    </row>
    <row r="2765" spans="1:25" ht="15" customHeight="1" x14ac:dyDescent="0.25">
      <c r="A2765" s="20" t="s">
        <v>6928</v>
      </c>
      <c r="B2765" s="14" t="s">
        <v>6929</v>
      </c>
      <c r="C2765" s="71" t="str">
        <f t="shared" si="59"/>
        <v>Product Info</v>
      </c>
      <c r="D2765" s="37" t="s">
        <v>3499</v>
      </c>
      <c r="E2765" s="143">
        <v>3</v>
      </c>
      <c r="F2765" s="12" t="s">
        <v>2170</v>
      </c>
      <c r="G2765" s="38">
        <v>514.64</v>
      </c>
      <c r="H2765" s="38">
        <v>437.46</v>
      </c>
      <c r="I2765" s="38">
        <v>360.25</v>
      </c>
      <c r="J2765" s="39"/>
      <c r="K2765" s="143"/>
      <c r="L2765" s="22">
        <v>2.74</v>
      </c>
      <c r="M2765" s="22" t="s">
        <v>12488</v>
      </c>
      <c r="N2765" s="20" t="s">
        <v>9481</v>
      </c>
      <c r="O2765" s="16" t="s">
        <v>12608</v>
      </c>
      <c r="P2765" s="143">
        <v>753</v>
      </c>
      <c r="Q2765" s="122" t="s">
        <v>12421</v>
      </c>
      <c r="R2765" s="16" t="s">
        <v>8904</v>
      </c>
      <c r="S2765" s="10" t="s">
        <v>1163</v>
      </c>
      <c r="T2765" s="28" t="s">
        <v>11765</v>
      </c>
      <c r="U2765" s="20" t="s">
        <v>5359</v>
      </c>
      <c r="V2765" s="16" t="s">
        <v>6928</v>
      </c>
      <c r="W2765" s="11" t="s">
        <v>14283</v>
      </c>
      <c r="X2765" s="174">
        <v>325.99</v>
      </c>
      <c r="Y2765" s="174">
        <v>437.46</v>
      </c>
    </row>
    <row r="2766" spans="1:25" ht="15" customHeight="1" x14ac:dyDescent="0.25">
      <c r="A2766" s="20" t="s">
        <v>6930</v>
      </c>
      <c r="B2766" s="14" t="s">
        <v>6931</v>
      </c>
      <c r="C2766" s="71" t="str">
        <f t="shared" si="59"/>
        <v>Product Info</v>
      </c>
      <c r="D2766" s="37" t="s">
        <v>3500</v>
      </c>
      <c r="E2766" s="143">
        <v>1</v>
      </c>
      <c r="F2766" s="12" t="s">
        <v>2170</v>
      </c>
      <c r="G2766" s="38">
        <v>460.06</v>
      </c>
      <c r="H2766" s="38">
        <v>391.06</v>
      </c>
      <c r="I2766" s="38">
        <v>322.04000000000002</v>
      </c>
      <c r="J2766" s="39"/>
      <c r="K2766" s="143"/>
      <c r="L2766" s="22">
        <v>4</v>
      </c>
      <c r="M2766" s="22" t="s">
        <v>12488</v>
      </c>
      <c r="N2766" s="20" t="s">
        <v>9482</v>
      </c>
      <c r="O2766" s="16" t="s">
        <v>13914</v>
      </c>
      <c r="P2766" s="143">
        <v>753</v>
      </c>
      <c r="Q2766" s="122" t="s">
        <v>12421</v>
      </c>
      <c r="R2766" s="16" t="s">
        <v>8904</v>
      </c>
      <c r="S2766" s="10" t="s">
        <v>1163</v>
      </c>
      <c r="T2766" s="28" t="s">
        <v>11766</v>
      </c>
      <c r="U2766" s="20" t="s">
        <v>5359</v>
      </c>
      <c r="V2766" s="16" t="s">
        <v>6930</v>
      </c>
      <c r="W2766" s="11" t="s">
        <v>14283</v>
      </c>
      <c r="X2766" s="174">
        <v>291.41000000000003</v>
      </c>
      <c r="Y2766" s="174">
        <v>391.06</v>
      </c>
    </row>
    <row r="2767" spans="1:25" ht="15" customHeight="1" x14ac:dyDescent="0.25">
      <c r="A2767" s="20" t="s">
        <v>6932</v>
      </c>
      <c r="B2767" s="14" t="s">
        <v>6933</v>
      </c>
      <c r="C2767" s="71" t="str">
        <f t="shared" si="59"/>
        <v>Product Info</v>
      </c>
      <c r="D2767" s="37" t="s">
        <v>8934</v>
      </c>
      <c r="E2767" s="143">
        <v>3</v>
      </c>
      <c r="F2767" s="12" t="s">
        <v>2170</v>
      </c>
      <c r="G2767" s="38">
        <v>547.36</v>
      </c>
      <c r="H2767" s="38">
        <v>465.27</v>
      </c>
      <c r="I2767" s="38">
        <v>383.15</v>
      </c>
      <c r="J2767" s="39"/>
      <c r="K2767" s="143"/>
      <c r="L2767" s="22">
        <v>2.66</v>
      </c>
      <c r="M2767" s="22" t="s">
        <v>12488</v>
      </c>
      <c r="N2767" s="20" t="s">
        <v>9414</v>
      </c>
      <c r="O2767" s="16" t="s">
        <v>12608</v>
      </c>
      <c r="P2767" s="143">
        <v>753</v>
      </c>
      <c r="Q2767" s="121" t="s">
        <v>14285</v>
      </c>
      <c r="R2767" s="16" t="s">
        <v>8904</v>
      </c>
      <c r="S2767" s="10" t="s">
        <v>1163</v>
      </c>
      <c r="T2767" s="28" t="s">
        <v>11767</v>
      </c>
      <c r="U2767" s="20" t="s">
        <v>5359</v>
      </c>
      <c r="V2767" s="16" t="s">
        <v>6932</v>
      </c>
      <c r="W2767" s="11" t="s">
        <v>14283</v>
      </c>
      <c r="X2767" s="174">
        <v>346.71</v>
      </c>
      <c r="Y2767" s="174">
        <v>465.27</v>
      </c>
    </row>
    <row r="2768" spans="1:25" ht="15" customHeight="1" x14ac:dyDescent="0.25">
      <c r="A2768" s="20" t="s">
        <v>6934</v>
      </c>
      <c r="B2768" s="14" t="s">
        <v>6935</v>
      </c>
      <c r="C2768" s="71" t="str">
        <f t="shared" si="59"/>
        <v>Product Info</v>
      </c>
      <c r="D2768" s="37" t="s">
        <v>2317</v>
      </c>
      <c r="E2768" s="143">
        <v>3</v>
      </c>
      <c r="F2768" s="12" t="s">
        <v>2170</v>
      </c>
      <c r="G2768" s="38">
        <v>691.49</v>
      </c>
      <c r="H2768" s="38">
        <v>587.78</v>
      </c>
      <c r="I2768" s="38">
        <v>484.04</v>
      </c>
      <c r="J2768" s="39"/>
      <c r="K2768" s="143"/>
      <c r="L2768" s="22">
        <v>11</v>
      </c>
      <c r="M2768" s="22" t="s">
        <v>12488</v>
      </c>
      <c r="N2768" s="20" t="s">
        <v>9431</v>
      </c>
      <c r="O2768" s="16" t="s">
        <v>12608</v>
      </c>
      <c r="P2768" s="143">
        <v>753</v>
      </c>
      <c r="Q2768" s="122" t="s">
        <v>12421</v>
      </c>
      <c r="R2768" s="16" t="s">
        <v>8904</v>
      </c>
      <c r="S2768" s="10" t="s">
        <v>1163</v>
      </c>
      <c r="T2768" s="28" t="s">
        <v>11768</v>
      </c>
      <c r="U2768" s="20" t="s">
        <v>5359</v>
      </c>
      <c r="V2768" s="16" t="s">
        <v>6934</v>
      </c>
      <c r="W2768" s="11" t="s">
        <v>14283</v>
      </c>
      <c r="X2768" s="174">
        <v>438</v>
      </c>
      <c r="Y2768" s="174">
        <v>587.78</v>
      </c>
    </row>
    <row r="2769" spans="1:25" ht="15" customHeight="1" x14ac:dyDescent="0.25">
      <c r="A2769" s="20" t="s">
        <v>6936</v>
      </c>
      <c r="B2769" s="14" t="s">
        <v>6937</v>
      </c>
      <c r="C2769" s="71" t="str">
        <f t="shared" si="59"/>
        <v>Product Info</v>
      </c>
      <c r="D2769" s="37" t="s">
        <v>2318</v>
      </c>
      <c r="E2769" s="143">
        <v>1</v>
      </c>
      <c r="F2769" s="12" t="s">
        <v>2170</v>
      </c>
      <c r="G2769" s="38">
        <v>633.57000000000005</v>
      </c>
      <c r="H2769" s="38">
        <v>538.54999999999995</v>
      </c>
      <c r="I2769" s="38">
        <v>443.5</v>
      </c>
      <c r="J2769" s="39"/>
      <c r="K2769" s="143"/>
      <c r="L2769" s="22">
        <v>4</v>
      </c>
      <c r="M2769" s="22" t="s">
        <v>12488</v>
      </c>
      <c r="N2769" s="20" t="s">
        <v>9345</v>
      </c>
      <c r="O2769" s="16" t="s">
        <v>12608</v>
      </c>
      <c r="P2769" s="143">
        <v>753</v>
      </c>
      <c r="Q2769" s="121" t="s">
        <v>14285</v>
      </c>
      <c r="R2769" s="16" t="s">
        <v>8904</v>
      </c>
      <c r="S2769" s="10" t="s">
        <v>1163</v>
      </c>
      <c r="T2769" s="28" t="s">
        <v>11769</v>
      </c>
      <c r="U2769" s="20" t="s">
        <v>5359</v>
      </c>
      <c r="V2769" s="16" t="s">
        <v>6936</v>
      </c>
      <c r="W2769" s="11" t="s">
        <v>14283</v>
      </c>
      <c r="X2769" s="174">
        <v>401.32</v>
      </c>
      <c r="Y2769" s="174">
        <v>538.54999999999995</v>
      </c>
    </row>
    <row r="2770" spans="1:25" ht="15" customHeight="1" x14ac:dyDescent="0.25">
      <c r="A2770" s="20" t="s">
        <v>6938</v>
      </c>
      <c r="B2770" s="14" t="s">
        <v>6939</v>
      </c>
      <c r="C2770" s="71" t="str">
        <f t="shared" si="59"/>
        <v>Product Info</v>
      </c>
      <c r="D2770" s="37" t="s">
        <v>2702</v>
      </c>
      <c r="E2770" s="143">
        <v>3</v>
      </c>
      <c r="F2770" s="12" t="s">
        <v>2170</v>
      </c>
      <c r="G2770" s="38">
        <v>1096.8399999999999</v>
      </c>
      <c r="H2770" s="38">
        <v>932.35</v>
      </c>
      <c r="I2770" s="38">
        <v>767.79</v>
      </c>
      <c r="J2770" s="39"/>
      <c r="K2770" s="143"/>
      <c r="L2770" s="22">
        <v>10</v>
      </c>
      <c r="M2770" s="22" t="s">
        <v>12488</v>
      </c>
      <c r="N2770" s="20" t="s">
        <v>9431</v>
      </c>
      <c r="O2770" s="16" t="s">
        <v>12608</v>
      </c>
      <c r="P2770" s="143">
        <v>753</v>
      </c>
      <c r="Q2770" s="122" t="s">
        <v>12421</v>
      </c>
      <c r="R2770" s="16" t="s">
        <v>8904</v>
      </c>
      <c r="S2770" s="10" t="s">
        <v>1163</v>
      </c>
      <c r="T2770" s="28" t="s">
        <v>11770</v>
      </c>
      <c r="U2770" s="20" t="s">
        <v>5359</v>
      </c>
      <c r="V2770" s="16" t="s">
        <v>6938</v>
      </c>
      <c r="W2770" s="11" t="s">
        <v>14283</v>
      </c>
      <c r="X2770" s="174">
        <v>694.77</v>
      </c>
      <c r="Y2770" s="174">
        <v>932.35</v>
      </c>
    </row>
    <row r="2771" spans="1:25" ht="15" customHeight="1" x14ac:dyDescent="0.25">
      <c r="A2771" s="20" t="s">
        <v>6940</v>
      </c>
      <c r="B2771" s="14" t="s">
        <v>6941</v>
      </c>
      <c r="C2771" s="71" t="str">
        <f t="shared" si="59"/>
        <v>Product Info</v>
      </c>
      <c r="D2771" s="37" t="s">
        <v>8935</v>
      </c>
      <c r="E2771" s="143">
        <v>3</v>
      </c>
      <c r="F2771" s="12" t="s">
        <v>2170</v>
      </c>
      <c r="G2771" s="38">
        <v>30.64</v>
      </c>
      <c r="H2771" s="38">
        <v>26.05</v>
      </c>
      <c r="I2771" s="38">
        <v>21.45</v>
      </c>
      <c r="J2771" s="39"/>
      <c r="K2771" s="143"/>
      <c r="L2771" s="22">
        <v>1.5</v>
      </c>
      <c r="M2771" s="22" t="s">
        <v>12488</v>
      </c>
      <c r="N2771" s="20" t="s">
        <v>9468</v>
      </c>
      <c r="O2771" s="16" t="s">
        <v>12608</v>
      </c>
      <c r="P2771" s="143">
        <v>753</v>
      </c>
      <c r="Q2771" s="121" t="s">
        <v>14285</v>
      </c>
      <c r="R2771" s="16" t="s">
        <v>8904</v>
      </c>
      <c r="S2771" s="10" t="s">
        <v>1163</v>
      </c>
      <c r="T2771" s="28" t="s">
        <v>11771</v>
      </c>
      <c r="U2771" s="20" t="s">
        <v>5359</v>
      </c>
      <c r="V2771" s="16" t="s">
        <v>6940</v>
      </c>
      <c r="W2771" s="11" t="s">
        <v>14283</v>
      </c>
      <c r="X2771" s="174">
        <v>19.41</v>
      </c>
      <c r="Y2771" s="174">
        <v>26.05</v>
      </c>
    </row>
    <row r="2772" spans="1:25" ht="15" customHeight="1" x14ac:dyDescent="0.25">
      <c r="A2772" s="20" t="s">
        <v>7080</v>
      </c>
      <c r="B2772" s="14" t="s">
        <v>7081</v>
      </c>
      <c r="C2772" s="71" t="str">
        <f t="shared" si="59"/>
        <v>Product Info</v>
      </c>
      <c r="D2772" s="37" t="s">
        <v>8936</v>
      </c>
      <c r="E2772" s="143">
        <v>3</v>
      </c>
      <c r="F2772" s="12" t="s">
        <v>2170</v>
      </c>
      <c r="G2772" s="38">
        <v>33.01</v>
      </c>
      <c r="H2772" s="38">
        <v>28.06</v>
      </c>
      <c r="I2772" s="38">
        <v>23.11</v>
      </c>
      <c r="J2772" s="39"/>
      <c r="K2772" s="143"/>
      <c r="L2772" s="22">
        <v>1.5</v>
      </c>
      <c r="M2772" s="22" t="s">
        <v>12488</v>
      </c>
      <c r="N2772" s="20" t="s">
        <v>9248</v>
      </c>
      <c r="O2772" s="16" t="s">
        <v>12608</v>
      </c>
      <c r="P2772" s="143">
        <v>753</v>
      </c>
      <c r="Q2772" s="122" t="s">
        <v>12421</v>
      </c>
      <c r="R2772" s="16" t="s">
        <v>8904</v>
      </c>
      <c r="S2772" s="10" t="s">
        <v>1163</v>
      </c>
      <c r="T2772" s="28" t="s">
        <v>11772</v>
      </c>
      <c r="U2772" s="20" t="s">
        <v>5359</v>
      </c>
      <c r="V2772" s="16" t="s">
        <v>7080</v>
      </c>
      <c r="W2772" s="11" t="s">
        <v>14283</v>
      </c>
      <c r="X2772" s="174">
        <v>20.92</v>
      </c>
      <c r="Y2772" s="174">
        <v>28.06</v>
      </c>
    </row>
    <row r="2773" spans="1:25" ht="15" customHeight="1" x14ac:dyDescent="0.25">
      <c r="A2773" s="20" t="s">
        <v>7246</v>
      </c>
      <c r="B2773" s="14" t="s">
        <v>7247</v>
      </c>
      <c r="C2773" s="71" t="str">
        <f t="shared" si="59"/>
        <v>Product Info</v>
      </c>
      <c r="D2773" s="37" t="s">
        <v>8937</v>
      </c>
      <c r="E2773" s="143">
        <v>3</v>
      </c>
      <c r="F2773" s="12" t="s">
        <v>2170</v>
      </c>
      <c r="G2773" s="38">
        <v>35.229999999999997</v>
      </c>
      <c r="H2773" s="38">
        <v>29.95</v>
      </c>
      <c r="I2773" s="38">
        <v>24.66</v>
      </c>
      <c r="J2773" s="39"/>
      <c r="K2773" s="143"/>
      <c r="L2773" s="22">
        <v>0.88300000000000001</v>
      </c>
      <c r="M2773" s="22" t="s">
        <v>12488</v>
      </c>
      <c r="N2773" s="20" t="s">
        <v>9468</v>
      </c>
      <c r="O2773" s="16" t="s">
        <v>12608</v>
      </c>
      <c r="P2773" s="143">
        <v>753</v>
      </c>
      <c r="Q2773" s="121" t="s">
        <v>14285</v>
      </c>
      <c r="R2773" s="16" t="s">
        <v>8904</v>
      </c>
      <c r="S2773" s="10" t="s">
        <v>1163</v>
      </c>
      <c r="T2773" s="28" t="s">
        <v>11773</v>
      </c>
      <c r="U2773" s="20" t="s">
        <v>5359</v>
      </c>
      <c r="V2773" s="16" t="s">
        <v>7246</v>
      </c>
      <c r="W2773" s="11" t="s">
        <v>14283</v>
      </c>
      <c r="X2773" s="174">
        <v>22.31</v>
      </c>
      <c r="Y2773" s="174">
        <v>29.95</v>
      </c>
    </row>
    <row r="2774" spans="1:25" ht="15" customHeight="1" x14ac:dyDescent="0.25">
      <c r="A2774" s="20" t="s">
        <v>7248</v>
      </c>
      <c r="B2774" s="14" t="s">
        <v>7249</v>
      </c>
      <c r="C2774" s="71" t="str">
        <f t="shared" si="59"/>
        <v>Product Info</v>
      </c>
      <c r="D2774" s="37" t="s">
        <v>8938</v>
      </c>
      <c r="E2774" s="143">
        <v>3</v>
      </c>
      <c r="F2774" s="12" t="s">
        <v>2170</v>
      </c>
      <c r="G2774" s="38">
        <v>111.56</v>
      </c>
      <c r="H2774" s="38">
        <v>94.83</v>
      </c>
      <c r="I2774" s="38">
        <v>78.09</v>
      </c>
      <c r="J2774" s="39"/>
      <c r="K2774" s="143"/>
      <c r="L2774" s="22">
        <v>0.53300000000000003</v>
      </c>
      <c r="M2774" s="22" t="s">
        <v>12488</v>
      </c>
      <c r="N2774" s="20" t="s">
        <v>9248</v>
      </c>
      <c r="O2774" s="16" t="s">
        <v>12608</v>
      </c>
      <c r="P2774" s="143">
        <v>753</v>
      </c>
      <c r="Q2774" s="122" t="s">
        <v>12421</v>
      </c>
      <c r="R2774" s="16" t="s">
        <v>8904</v>
      </c>
      <c r="S2774" s="10" t="s">
        <v>1163</v>
      </c>
      <c r="T2774" s="28" t="s">
        <v>11774</v>
      </c>
      <c r="U2774" s="20" t="s">
        <v>5359</v>
      </c>
      <c r="V2774" s="16" t="s">
        <v>7248</v>
      </c>
      <c r="W2774" s="11" t="s">
        <v>14283</v>
      </c>
      <c r="X2774" s="174">
        <v>70.67</v>
      </c>
      <c r="Y2774" s="174">
        <v>94.83</v>
      </c>
    </row>
    <row r="2775" spans="1:25" ht="15" customHeight="1" x14ac:dyDescent="0.25">
      <c r="A2775" s="20" t="s">
        <v>7250</v>
      </c>
      <c r="B2775" s="14" t="s">
        <v>7251</v>
      </c>
      <c r="C2775" s="71" t="str">
        <f t="shared" si="59"/>
        <v>Product Info</v>
      </c>
      <c r="D2775" s="37" t="s">
        <v>2810</v>
      </c>
      <c r="E2775" s="143">
        <v>3</v>
      </c>
      <c r="F2775" s="12" t="s">
        <v>2170</v>
      </c>
      <c r="G2775" s="38">
        <v>131.93</v>
      </c>
      <c r="H2775" s="38">
        <v>112.14</v>
      </c>
      <c r="I2775" s="38">
        <v>92.35</v>
      </c>
      <c r="J2775" s="39"/>
      <c r="K2775" s="143"/>
      <c r="L2775" s="22">
        <v>0.64800000000000002</v>
      </c>
      <c r="M2775" s="22" t="s">
        <v>12488</v>
      </c>
      <c r="N2775" s="20" t="s">
        <v>9466</v>
      </c>
      <c r="O2775" s="16" t="s">
        <v>12608</v>
      </c>
      <c r="P2775" s="143">
        <v>753</v>
      </c>
      <c r="Q2775" s="121" t="s">
        <v>14285</v>
      </c>
      <c r="R2775" s="16" t="s">
        <v>8904</v>
      </c>
      <c r="S2775" s="10" t="s">
        <v>1163</v>
      </c>
      <c r="T2775" s="28" t="s">
        <v>11775</v>
      </c>
      <c r="U2775" s="20" t="s">
        <v>5359</v>
      </c>
      <c r="V2775" s="16" t="s">
        <v>7250</v>
      </c>
      <c r="W2775" s="11" t="s">
        <v>14283</v>
      </c>
      <c r="X2775" s="174">
        <v>83.57</v>
      </c>
      <c r="Y2775" s="174">
        <v>112.14</v>
      </c>
    </row>
    <row r="2776" spans="1:25" ht="15" customHeight="1" x14ac:dyDescent="0.25">
      <c r="A2776" s="20" t="s">
        <v>7252</v>
      </c>
      <c r="B2776" s="14" t="s">
        <v>7253</v>
      </c>
      <c r="C2776" s="71" t="str">
        <f t="shared" si="59"/>
        <v>Product Info</v>
      </c>
      <c r="D2776" s="37" t="s">
        <v>8939</v>
      </c>
      <c r="E2776" s="143">
        <v>3</v>
      </c>
      <c r="F2776" s="12" t="s">
        <v>2170</v>
      </c>
      <c r="G2776" s="38">
        <v>122.01</v>
      </c>
      <c r="H2776" s="38">
        <v>103.72</v>
      </c>
      <c r="I2776" s="38">
        <v>85.41</v>
      </c>
      <c r="J2776" s="39"/>
      <c r="K2776" s="143"/>
      <c r="L2776" s="22">
        <v>0.66666700000000001</v>
      </c>
      <c r="M2776" s="22" t="s">
        <v>12488</v>
      </c>
      <c r="N2776" s="20" t="s">
        <v>9358</v>
      </c>
      <c r="O2776" s="16" t="s">
        <v>13914</v>
      </c>
      <c r="P2776" s="143">
        <v>753</v>
      </c>
      <c r="Q2776" s="122" t="s">
        <v>12421</v>
      </c>
      <c r="R2776" s="16" t="s">
        <v>8904</v>
      </c>
      <c r="S2776" s="10" t="s">
        <v>1163</v>
      </c>
      <c r="T2776" s="28" t="s">
        <v>11776</v>
      </c>
      <c r="U2776" s="20" t="s">
        <v>5359</v>
      </c>
      <c r="V2776" s="16" t="s">
        <v>7252</v>
      </c>
      <c r="W2776" s="11" t="s">
        <v>14283</v>
      </c>
      <c r="X2776" s="174">
        <v>77.28</v>
      </c>
      <c r="Y2776" s="174">
        <v>103.72</v>
      </c>
    </row>
    <row r="2777" spans="1:25" ht="15" customHeight="1" x14ac:dyDescent="0.25">
      <c r="A2777" s="20" t="s">
        <v>7254</v>
      </c>
      <c r="B2777" s="14" t="s">
        <v>7255</v>
      </c>
      <c r="C2777" s="71" t="str">
        <f t="shared" si="59"/>
        <v>Product Info</v>
      </c>
      <c r="D2777" s="37" t="s">
        <v>2804</v>
      </c>
      <c r="E2777" s="143">
        <v>3</v>
      </c>
      <c r="F2777" s="12" t="s">
        <v>2170</v>
      </c>
      <c r="G2777" s="38">
        <v>135.66999999999999</v>
      </c>
      <c r="H2777" s="38">
        <v>115.32</v>
      </c>
      <c r="I2777" s="38">
        <v>94.97</v>
      </c>
      <c r="J2777" s="39"/>
      <c r="K2777" s="143"/>
      <c r="L2777" s="22">
        <v>0.71499999999999997</v>
      </c>
      <c r="M2777" s="22" t="s">
        <v>12488</v>
      </c>
      <c r="N2777" s="20" t="s">
        <v>9248</v>
      </c>
      <c r="O2777" s="16" t="s">
        <v>12608</v>
      </c>
      <c r="P2777" s="143">
        <v>753</v>
      </c>
      <c r="Q2777" s="121" t="s">
        <v>14285</v>
      </c>
      <c r="R2777" s="16" t="s">
        <v>8904</v>
      </c>
      <c r="S2777" s="10" t="s">
        <v>1163</v>
      </c>
      <c r="T2777" s="28" t="s">
        <v>11777</v>
      </c>
      <c r="U2777" s="20" t="s">
        <v>5359</v>
      </c>
      <c r="V2777" s="16" t="s">
        <v>7254</v>
      </c>
      <c r="W2777" s="11" t="s">
        <v>14283</v>
      </c>
      <c r="X2777" s="174">
        <v>85.93</v>
      </c>
      <c r="Y2777" s="174">
        <v>115.32</v>
      </c>
    </row>
    <row r="2778" spans="1:25" ht="15" customHeight="1" x14ac:dyDescent="0.25">
      <c r="A2778" s="20" t="s">
        <v>7256</v>
      </c>
      <c r="B2778" s="14" t="s">
        <v>7257</v>
      </c>
      <c r="C2778" s="71" t="str">
        <f t="shared" si="59"/>
        <v>Product Info</v>
      </c>
      <c r="D2778" s="37" t="s">
        <v>8940</v>
      </c>
      <c r="E2778" s="143">
        <v>3</v>
      </c>
      <c r="F2778" s="12" t="s">
        <v>2170</v>
      </c>
      <c r="G2778" s="38">
        <v>160.29</v>
      </c>
      <c r="H2778" s="38">
        <v>136.25</v>
      </c>
      <c r="I2778" s="38">
        <v>112.2</v>
      </c>
      <c r="J2778" s="39">
        <v>30</v>
      </c>
      <c r="K2778" s="143"/>
      <c r="L2778" s="22">
        <v>0.71099999999999997</v>
      </c>
      <c r="M2778" s="22" t="s">
        <v>12488</v>
      </c>
      <c r="N2778" s="20" t="s">
        <v>9483</v>
      </c>
      <c r="O2778" s="16" t="s">
        <v>12608</v>
      </c>
      <c r="P2778" s="143">
        <v>753</v>
      </c>
      <c r="Q2778" s="122" t="s">
        <v>12421</v>
      </c>
      <c r="R2778" s="16" t="s">
        <v>8904</v>
      </c>
      <c r="S2778" s="10" t="s">
        <v>1163</v>
      </c>
      <c r="T2778" s="28" t="s">
        <v>11778</v>
      </c>
      <c r="U2778" s="20" t="s">
        <v>5359</v>
      </c>
      <c r="V2778" s="16" t="s">
        <v>7256</v>
      </c>
      <c r="W2778" s="11" t="s">
        <v>14283</v>
      </c>
      <c r="X2778" s="174">
        <v>101.53</v>
      </c>
      <c r="Y2778" s="174">
        <v>136.25</v>
      </c>
    </row>
    <row r="2779" spans="1:25" ht="15" customHeight="1" x14ac:dyDescent="0.25">
      <c r="A2779" s="20" t="s">
        <v>7258</v>
      </c>
      <c r="B2779" s="14" t="s">
        <v>7259</v>
      </c>
      <c r="C2779" s="71" t="str">
        <f t="shared" si="59"/>
        <v>Product Info</v>
      </c>
      <c r="D2779" s="37" t="s">
        <v>2811</v>
      </c>
      <c r="E2779" s="143">
        <v>3</v>
      </c>
      <c r="F2779" s="12" t="s">
        <v>2170</v>
      </c>
      <c r="G2779" s="38">
        <v>170.76</v>
      </c>
      <c r="H2779" s="38">
        <v>145.15</v>
      </c>
      <c r="I2779" s="38">
        <v>119.53</v>
      </c>
      <c r="J2779" s="39"/>
      <c r="K2779" s="143"/>
      <c r="L2779" s="22">
        <v>2.4</v>
      </c>
      <c r="M2779" s="22" t="s">
        <v>12488</v>
      </c>
      <c r="N2779" s="20" t="s">
        <v>9248</v>
      </c>
      <c r="O2779" s="16" t="s">
        <v>12608</v>
      </c>
      <c r="P2779" s="143">
        <v>753</v>
      </c>
      <c r="Q2779" s="121" t="s">
        <v>14285</v>
      </c>
      <c r="R2779" s="16" t="s">
        <v>8904</v>
      </c>
      <c r="S2779" s="10" t="s">
        <v>1163</v>
      </c>
      <c r="T2779" s="28" t="s">
        <v>11779</v>
      </c>
      <c r="U2779" s="20" t="s">
        <v>5359</v>
      </c>
      <c r="V2779" s="16" t="s">
        <v>7258</v>
      </c>
      <c r="W2779" s="11" t="s">
        <v>14283</v>
      </c>
      <c r="X2779" s="174">
        <v>108.16</v>
      </c>
      <c r="Y2779" s="174">
        <v>145.15</v>
      </c>
    </row>
    <row r="2780" spans="1:25" ht="15" customHeight="1" x14ac:dyDescent="0.25">
      <c r="A2780" s="20" t="s">
        <v>7260</v>
      </c>
      <c r="B2780" s="14" t="s">
        <v>7261</v>
      </c>
      <c r="C2780" s="71" t="str">
        <f t="shared" si="59"/>
        <v>Product Info</v>
      </c>
      <c r="D2780" s="37" t="s">
        <v>2703</v>
      </c>
      <c r="E2780" s="143">
        <v>3</v>
      </c>
      <c r="F2780" s="12" t="s">
        <v>2170</v>
      </c>
      <c r="G2780" s="38">
        <v>192.39</v>
      </c>
      <c r="H2780" s="38">
        <v>163.53</v>
      </c>
      <c r="I2780" s="38">
        <v>134.66999999999999</v>
      </c>
      <c r="J2780" s="39">
        <v>51</v>
      </c>
      <c r="K2780" s="143"/>
      <c r="L2780" s="22">
        <v>0.92800000000000005</v>
      </c>
      <c r="M2780" s="22" t="s">
        <v>12488</v>
      </c>
      <c r="N2780" s="20" t="s">
        <v>9248</v>
      </c>
      <c r="O2780" s="16" t="s">
        <v>12608</v>
      </c>
      <c r="P2780" s="143">
        <v>753</v>
      </c>
      <c r="Q2780" s="122" t="s">
        <v>12421</v>
      </c>
      <c r="R2780" s="16" t="s">
        <v>8904</v>
      </c>
      <c r="S2780" s="10" t="s">
        <v>1163</v>
      </c>
      <c r="T2780" s="28" t="s">
        <v>11780</v>
      </c>
      <c r="U2780" s="20" t="s">
        <v>5359</v>
      </c>
      <c r="V2780" s="16" t="s">
        <v>7260</v>
      </c>
      <c r="W2780" s="11" t="s">
        <v>14283</v>
      </c>
      <c r="X2780" s="174">
        <v>121.86</v>
      </c>
      <c r="Y2780" s="174">
        <v>163.53</v>
      </c>
    </row>
    <row r="2781" spans="1:25" ht="15" customHeight="1" x14ac:dyDescent="0.25">
      <c r="A2781" s="20" t="s">
        <v>7262</v>
      </c>
      <c r="B2781" s="14" t="s">
        <v>7263</v>
      </c>
      <c r="C2781" s="71" t="str">
        <f t="shared" si="59"/>
        <v>Product Info</v>
      </c>
      <c r="D2781" s="37" t="s">
        <v>2821</v>
      </c>
      <c r="E2781" s="143">
        <v>3</v>
      </c>
      <c r="F2781" s="12" t="s">
        <v>2170</v>
      </c>
      <c r="G2781" s="38">
        <v>202.87</v>
      </c>
      <c r="H2781" s="38">
        <v>172.45</v>
      </c>
      <c r="I2781" s="38">
        <v>142.01</v>
      </c>
      <c r="J2781" s="39"/>
      <c r="K2781" s="143"/>
      <c r="L2781" s="22">
        <v>1.0629999999999999</v>
      </c>
      <c r="M2781" s="22" t="s">
        <v>12488</v>
      </c>
      <c r="N2781" s="20" t="s">
        <v>9358</v>
      </c>
      <c r="O2781" s="16" t="s">
        <v>12608</v>
      </c>
      <c r="P2781" s="143">
        <v>753</v>
      </c>
      <c r="Q2781" s="121" t="s">
        <v>14285</v>
      </c>
      <c r="R2781" s="16" t="s">
        <v>8904</v>
      </c>
      <c r="S2781" s="10" t="s">
        <v>1163</v>
      </c>
      <c r="T2781" s="28" t="s">
        <v>11781</v>
      </c>
      <c r="U2781" s="20" t="s">
        <v>5359</v>
      </c>
      <c r="V2781" s="16" t="s">
        <v>7262</v>
      </c>
      <c r="W2781" s="11" t="s">
        <v>14283</v>
      </c>
      <c r="X2781" s="174">
        <v>128.5</v>
      </c>
      <c r="Y2781" s="174">
        <v>172.45</v>
      </c>
    </row>
    <row r="2782" spans="1:25" ht="15" customHeight="1" x14ac:dyDescent="0.25">
      <c r="A2782" s="20" t="s">
        <v>7264</v>
      </c>
      <c r="B2782" s="14" t="s">
        <v>7516</v>
      </c>
      <c r="C2782" s="71" t="str">
        <f t="shared" si="59"/>
        <v>Product Info</v>
      </c>
      <c r="D2782" s="37" t="s">
        <v>2704</v>
      </c>
      <c r="E2782" s="143">
        <v>3</v>
      </c>
      <c r="F2782" s="12" t="s">
        <v>2170</v>
      </c>
      <c r="G2782" s="38">
        <v>233.06</v>
      </c>
      <c r="H2782" s="38">
        <v>198.11</v>
      </c>
      <c r="I2782" s="38">
        <v>163.13999999999999</v>
      </c>
      <c r="J2782" s="39"/>
      <c r="K2782" s="143"/>
      <c r="L2782" s="22">
        <v>3.5</v>
      </c>
      <c r="M2782" s="22" t="s">
        <v>12488</v>
      </c>
      <c r="N2782" s="20" t="s">
        <v>9484</v>
      </c>
      <c r="O2782" s="16" t="s">
        <v>12608</v>
      </c>
      <c r="P2782" s="143">
        <v>753</v>
      </c>
      <c r="Q2782" s="121" t="s">
        <v>14285</v>
      </c>
      <c r="R2782" s="16" t="s">
        <v>8904</v>
      </c>
      <c r="S2782" s="10" t="s">
        <v>1163</v>
      </c>
      <c r="T2782" s="28" t="s">
        <v>11782</v>
      </c>
      <c r="U2782" s="20" t="s">
        <v>5359</v>
      </c>
      <c r="V2782" s="16" t="s">
        <v>7264</v>
      </c>
      <c r="W2782" s="11" t="s">
        <v>14283</v>
      </c>
      <c r="X2782" s="174">
        <v>147.63</v>
      </c>
      <c r="Y2782" s="174">
        <v>198.11</v>
      </c>
    </row>
    <row r="2783" spans="1:25" ht="15" customHeight="1" x14ac:dyDescent="0.25">
      <c r="A2783" s="20" t="s">
        <v>7517</v>
      </c>
      <c r="B2783" s="14" t="s">
        <v>7518</v>
      </c>
      <c r="C2783" s="71" t="str">
        <f t="shared" si="59"/>
        <v>Product Info</v>
      </c>
      <c r="D2783" s="37" t="s">
        <v>2705</v>
      </c>
      <c r="E2783" s="143">
        <v>3</v>
      </c>
      <c r="F2783" s="12" t="s">
        <v>2170</v>
      </c>
      <c r="G2783" s="38">
        <v>244.51</v>
      </c>
      <c r="H2783" s="38">
        <v>207.84</v>
      </c>
      <c r="I2783" s="38">
        <v>171.16</v>
      </c>
      <c r="J2783" s="39"/>
      <c r="K2783" s="143"/>
      <c r="L2783" s="22">
        <v>5.5</v>
      </c>
      <c r="M2783" s="22" t="s">
        <v>12488</v>
      </c>
      <c r="N2783" s="20" t="s">
        <v>9359</v>
      </c>
      <c r="O2783" s="16" t="s">
        <v>12608</v>
      </c>
      <c r="P2783" s="143">
        <v>753</v>
      </c>
      <c r="Q2783" s="121" t="s">
        <v>14285</v>
      </c>
      <c r="R2783" s="16" t="s">
        <v>8904</v>
      </c>
      <c r="S2783" s="10" t="s">
        <v>1163</v>
      </c>
      <c r="T2783" s="28" t="s">
        <v>11783</v>
      </c>
      <c r="U2783" s="20" t="s">
        <v>5359</v>
      </c>
      <c r="V2783" s="16" t="s">
        <v>7517</v>
      </c>
      <c r="W2783" s="11" t="s">
        <v>14283</v>
      </c>
      <c r="X2783" s="174">
        <v>154.88</v>
      </c>
      <c r="Y2783" s="174">
        <v>207.84</v>
      </c>
    </row>
    <row r="2784" spans="1:25" ht="15" customHeight="1" x14ac:dyDescent="0.25">
      <c r="A2784" s="20" t="s">
        <v>7519</v>
      </c>
      <c r="B2784" s="14" t="s">
        <v>7520</v>
      </c>
      <c r="C2784" s="71" t="str">
        <f t="shared" si="59"/>
        <v>Product Info</v>
      </c>
      <c r="D2784" s="37" t="s">
        <v>2706</v>
      </c>
      <c r="E2784" s="143">
        <v>1</v>
      </c>
      <c r="F2784" s="12" t="s">
        <v>2170</v>
      </c>
      <c r="G2784" s="38">
        <v>755.51</v>
      </c>
      <c r="H2784" s="38">
        <v>642.21</v>
      </c>
      <c r="I2784" s="38">
        <v>528.86</v>
      </c>
      <c r="J2784" s="39"/>
      <c r="K2784" s="143"/>
      <c r="L2784" s="22">
        <v>3</v>
      </c>
      <c r="M2784" s="22" t="s">
        <v>12488</v>
      </c>
      <c r="N2784" s="20" t="s">
        <v>9316</v>
      </c>
      <c r="O2784" s="16" t="s">
        <v>12608</v>
      </c>
      <c r="P2784" s="143">
        <v>753</v>
      </c>
      <c r="Q2784" s="122" t="s">
        <v>12421</v>
      </c>
      <c r="R2784" s="16" t="s">
        <v>8904</v>
      </c>
      <c r="S2784" s="10" t="s">
        <v>1163</v>
      </c>
      <c r="T2784" s="28" t="s">
        <v>11784</v>
      </c>
      <c r="U2784" s="20" t="s">
        <v>5359</v>
      </c>
      <c r="V2784" s="16" t="s">
        <v>7519</v>
      </c>
      <c r="W2784" s="11" t="s">
        <v>14283</v>
      </c>
      <c r="X2784" s="174">
        <v>478.56</v>
      </c>
      <c r="Y2784" s="174">
        <v>642.21</v>
      </c>
    </row>
    <row r="2785" spans="1:25" ht="15" customHeight="1" x14ac:dyDescent="0.25">
      <c r="A2785" s="20" t="s">
        <v>7521</v>
      </c>
      <c r="B2785" s="14" t="s">
        <v>7522</v>
      </c>
      <c r="C2785" s="71" t="str">
        <f t="shared" si="59"/>
        <v>Product Info</v>
      </c>
      <c r="D2785" s="37" t="s">
        <v>2707</v>
      </c>
      <c r="E2785" s="143">
        <v>1</v>
      </c>
      <c r="F2785" s="12" t="s">
        <v>2170</v>
      </c>
      <c r="G2785" s="38">
        <v>905.51</v>
      </c>
      <c r="H2785" s="38">
        <v>769.71</v>
      </c>
      <c r="I2785" s="38">
        <v>633.86</v>
      </c>
      <c r="J2785" s="39"/>
      <c r="K2785" s="143"/>
      <c r="L2785" s="22">
        <v>4.95</v>
      </c>
      <c r="M2785" s="22" t="s">
        <v>12488</v>
      </c>
      <c r="N2785" s="20" t="s">
        <v>9439</v>
      </c>
      <c r="O2785" s="16" t="s">
        <v>12608</v>
      </c>
      <c r="P2785" s="143">
        <v>753</v>
      </c>
      <c r="Q2785" s="121" t="s">
        <v>14285</v>
      </c>
      <c r="R2785" s="16" t="s">
        <v>8904</v>
      </c>
      <c r="S2785" s="10" t="s">
        <v>1163</v>
      </c>
      <c r="T2785" s="28" t="s">
        <v>11785</v>
      </c>
      <c r="U2785" s="20" t="s">
        <v>5359</v>
      </c>
      <c r="V2785" s="16" t="s">
        <v>7521</v>
      </c>
      <c r="W2785" s="11" t="s">
        <v>14283</v>
      </c>
      <c r="X2785" s="174">
        <v>573.58000000000004</v>
      </c>
      <c r="Y2785" s="174">
        <v>769.71</v>
      </c>
    </row>
    <row r="2786" spans="1:25" ht="15" customHeight="1" x14ac:dyDescent="0.25">
      <c r="A2786" s="20" t="s">
        <v>7523</v>
      </c>
      <c r="B2786" s="14" t="s">
        <v>7524</v>
      </c>
      <c r="C2786" s="71" t="str">
        <f t="shared" si="59"/>
        <v>Product Info</v>
      </c>
      <c r="D2786" s="37" t="s">
        <v>2708</v>
      </c>
      <c r="E2786" s="143">
        <v>1</v>
      </c>
      <c r="F2786" s="12" t="s">
        <v>2170</v>
      </c>
      <c r="G2786" s="38">
        <v>938.6</v>
      </c>
      <c r="H2786" s="38">
        <v>797.84</v>
      </c>
      <c r="I2786" s="38">
        <v>657.02</v>
      </c>
      <c r="J2786" s="39"/>
      <c r="K2786" s="143"/>
      <c r="L2786" s="22">
        <v>3</v>
      </c>
      <c r="M2786" s="22" t="s">
        <v>12488</v>
      </c>
      <c r="N2786" s="20" t="s">
        <v>9316</v>
      </c>
      <c r="O2786" s="16" t="s">
        <v>12608</v>
      </c>
      <c r="P2786" s="143">
        <v>753</v>
      </c>
      <c r="Q2786" s="122" t="s">
        <v>9227</v>
      </c>
      <c r="R2786" s="16" t="s">
        <v>8904</v>
      </c>
      <c r="S2786" s="10" t="s">
        <v>1163</v>
      </c>
      <c r="T2786" s="28" t="s">
        <v>11786</v>
      </c>
      <c r="U2786" s="20" t="s">
        <v>5359</v>
      </c>
      <c r="V2786" s="16" t="s">
        <v>7523</v>
      </c>
      <c r="W2786" s="11" t="s">
        <v>14283</v>
      </c>
      <c r="X2786" s="174">
        <v>594.53</v>
      </c>
      <c r="Y2786" s="174">
        <v>797.84</v>
      </c>
    </row>
    <row r="2787" spans="1:25" ht="15" customHeight="1" x14ac:dyDescent="0.25">
      <c r="A2787" s="20" t="s">
        <v>7525</v>
      </c>
      <c r="B2787" s="14" t="s">
        <v>7526</v>
      </c>
      <c r="C2787" s="71" t="str">
        <f t="shared" si="59"/>
        <v>Product Info</v>
      </c>
      <c r="D2787" s="37" t="s">
        <v>7599</v>
      </c>
      <c r="E2787" s="143">
        <v>1</v>
      </c>
      <c r="F2787" s="12" t="s">
        <v>2170</v>
      </c>
      <c r="G2787" s="38">
        <v>1096.73</v>
      </c>
      <c r="H2787" s="38">
        <v>932.25</v>
      </c>
      <c r="I2787" s="38">
        <v>767.71</v>
      </c>
      <c r="J2787" s="39"/>
      <c r="K2787" s="143"/>
      <c r="L2787" s="22">
        <v>6</v>
      </c>
      <c r="M2787" s="22" t="s">
        <v>12488</v>
      </c>
      <c r="N2787" s="20" t="s">
        <v>9485</v>
      </c>
      <c r="O2787" s="16" t="s">
        <v>12608</v>
      </c>
      <c r="P2787" s="143">
        <v>753</v>
      </c>
      <c r="Q2787" s="121" t="s">
        <v>14285</v>
      </c>
      <c r="R2787" s="16" t="s">
        <v>8904</v>
      </c>
      <c r="S2787" s="10" t="s">
        <v>1163</v>
      </c>
      <c r="T2787" s="28" t="s">
        <v>11787</v>
      </c>
      <c r="U2787" s="20" t="s">
        <v>5359</v>
      </c>
      <c r="V2787" s="16" t="s">
        <v>7525</v>
      </c>
      <c r="W2787" s="11" t="s">
        <v>14283</v>
      </c>
      <c r="X2787" s="174">
        <v>694.69</v>
      </c>
      <c r="Y2787" s="174">
        <v>932.25</v>
      </c>
    </row>
    <row r="2788" spans="1:25" ht="15" customHeight="1" x14ac:dyDescent="0.25">
      <c r="A2788" s="20" t="s">
        <v>7527</v>
      </c>
      <c r="B2788" s="14" t="s">
        <v>7528</v>
      </c>
      <c r="C2788" s="71" t="str">
        <f t="shared" si="59"/>
        <v>Product Info</v>
      </c>
      <c r="D2788" s="37" t="s">
        <v>7600</v>
      </c>
      <c r="E2788" s="143">
        <v>1</v>
      </c>
      <c r="F2788" s="12" t="s">
        <v>2170</v>
      </c>
      <c r="G2788" s="38">
        <v>852.9</v>
      </c>
      <c r="H2788" s="38">
        <v>724.99</v>
      </c>
      <c r="I2788" s="38">
        <v>597.03</v>
      </c>
      <c r="J2788" s="39"/>
      <c r="K2788" s="143"/>
      <c r="L2788" s="22">
        <v>4</v>
      </c>
      <c r="M2788" s="22" t="s">
        <v>12488</v>
      </c>
      <c r="N2788" s="20" t="s">
        <v>9345</v>
      </c>
      <c r="O2788" s="16" t="s">
        <v>12608</v>
      </c>
      <c r="P2788" s="143">
        <v>753</v>
      </c>
      <c r="Q2788" s="121" t="s">
        <v>14285</v>
      </c>
      <c r="R2788" s="16" t="s">
        <v>8904</v>
      </c>
      <c r="S2788" s="10" t="s">
        <v>1163</v>
      </c>
      <c r="T2788" s="28" t="s">
        <v>11788</v>
      </c>
      <c r="U2788" s="20" t="s">
        <v>5359</v>
      </c>
      <c r="V2788" s="16" t="s">
        <v>7527</v>
      </c>
      <c r="W2788" s="11" t="s">
        <v>14283</v>
      </c>
      <c r="X2788" s="174">
        <v>540.25</v>
      </c>
      <c r="Y2788" s="174">
        <v>724.99</v>
      </c>
    </row>
    <row r="2789" spans="1:25" ht="15" customHeight="1" x14ac:dyDescent="0.25">
      <c r="A2789" s="20" t="s">
        <v>7529</v>
      </c>
      <c r="B2789" s="14" t="s">
        <v>7530</v>
      </c>
      <c r="C2789" s="71" t="str">
        <f t="shared" si="59"/>
        <v>Product Info</v>
      </c>
      <c r="D2789" s="37" t="s">
        <v>7601</v>
      </c>
      <c r="E2789" s="143">
        <v>1</v>
      </c>
      <c r="F2789" s="12" t="s">
        <v>2170</v>
      </c>
      <c r="G2789" s="38">
        <v>1115.77</v>
      </c>
      <c r="H2789" s="38">
        <v>948.44</v>
      </c>
      <c r="I2789" s="38">
        <v>781.04</v>
      </c>
      <c r="J2789" s="39"/>
      <c r="K2789" s="143"/>
      <c r="L2789" s="22">
        <v>6</v>
      </c>
      <c r="M2789" s="22" t="s">
        <v>12488</v>
      </c>
      <c r="N2789" s="20" t="s">
        <v>9451</v>
      </c>
      <c r="O2789" s="16" t="s">
        <v>12608</v>
      </c>
      <c r="P2789" s="143">
        <v>753</v>
      </c>
      <c r="Q2789" s="121" t="s">
        <v>14285</v>
      </c>
      <c r="R2789" s="16" t="s">
        <v>8904</v>
      </c>
      <c r="S2789" s="10" t="s">
        <v>1163</v>
      </c>
      <c r="T2789" s="28" t="s">
        <v>11789</v>
      </c>
      <c r="U2789" s="20" t="s">
        <v>5359</v>
      </c>
      <c r="V2789" s="16" t="s">
        <v>7529</v>
      </c>
      <c r="W2789" s="11" t="s">
        <v>14283</v>
      </c>
      <c r="X2789" s="174">
        <v>706.75</v>
      </c>
      <c r="Y2789" s="174">
        <v>948.44</v>
      </c>
    </row>
    <row r="2790" spans="1:25" ht="15" customHeight="1" x14ac:dyDescent="0.25">
      <c r="A2790" s="20" t="s">
        <v>3525</v>
      </c>
      <c r="B2790" s="14" t="s">
        <v>3526</v>
      </c>
      <c r="C2790" s="71" t="str">
        <f t="shared" si="59"/>
        <v>Product Info</v>
      </c>
      <c r="D2790" s="37" t="s">
        <v>7602</v>
      </c>
      <c r="E2790" s="143">
        <v>1</v>
      </c>
      <c r="F2790" s="12" t="s">
        <v>2170</v>
      </c>
      <c r="G2790" s="38">
        <v>1057.24</v>
      </c>
      <c r="H2790" s="38">
        <v>898.69</v>
      </c>
      <c r="I2790" s="38">
        <v>740.07</v>
      </c>
      <c r="J2790" s="39"/>
      <c r="K2790" s="143"/>
      <c r="L2790" s="22">
        <v>5</v>
      </c>
      <c r="M2790" s="22" t="s">
        <v>12488</v>
      </c>
      <c r="N2790" s="20" t="s">
        <v>9345</v>
      </c>
      <c r="O2790" s="16" t="s">
        <v>12608</v>
      </c>
      <c r="P2790" s="143">
        <v>753</v>
      </c>
      <c r="Q2790" s="121" t="s">
        <v>14285</v>
      </c>
      <c r="R2790" s="16" t="s">
        <v>8904</v>
      </c>
      <c r="S2790" s="10" t="s">
        <v>1163</v>
      </c>
      <c r="T2790" s="28" t="s">
        <v>11790</v>
      </c>
      <c r="U2790" s="20" t="s">
        <v>5359</v>
      </c>
      <c r="V2790" s="16" t="s">
        <v>3525</v>
      </c>
      <c r="W2790" s="11" t="s">
        <v>14283</v>
      </c>
      <c r="X2790" s="174">
        <v>669.68</v>
      </c>
      <c r="Y2790" s="174">
        <v>898.69</v>
      </c>
    </row>
    <row r="2791" spans="1:25" ht="15" customHeight="1" x14ac:dyDescent="0.25">
      <c r="A2791" s="20" t="s">
        <v>3527</v>
      </c>
      <c r="B2791" s="14" t="s">
        <v>3528</v>
      </c>
      <c r="C2791" s="71" t="str">
        <f t="shared" si="59"/>
        <v>Product Info</v>
      </c>
      <c r="D2791" s="37" t="s">
        <v>7603</v>
      </c>
      <c r="E2791" s="143">
        <v>1</v>
      </c>
      <c r="F2791" s="12" t="s">
        <v>2170</v>
      </c>
      <c r="G2791" s="38">
        <v>1389.9</v>
      </c>
      <c r="H2791" s="38">
        <v>1181.46</v>
      </c>
      <c r="I2791" s="38">
        <v>972.93</v>
      </c>
      <c r="J2791" s="39"/>
      <c r="K2791" s="143"/>
      <c r="L2791" s="22">
        <v>6</v>
      </c>
      <c r="M2791" s="22" t="s">
        <v>12488</v>
      </c>
      <c r="N2791" s="20" t="s">
        <v>9451</v>
      </c>
      <c r="O2791" s="16" t="s">
        <v>12608</v>
      </c>
      <c r="P2791" s="143">
        <v>753</v>
      </c>
      <c r="Q2791" s="121" t="s">
        <v>14285</v>
      </c>
      <c r="R2791" s="16" t="s">
        <v>8904</v>
      </c>
      <c r="S2791" s="10" t="s">
        <v>1163</v>
      </c>
      <c r="T2791" s="28" t="s">
        <v>11791</v>
      </c>
      <c r="U2791" s="20" t="s">
        <v>5359</v>
      </c>
      <c r="V2791" s="16" t="s">
        <v>3527</v>
      </c>
      <c r="W2791" s="11" t="s">
        <v>14283</v>
      </c>
      <c r="X2791" s="174">
        <v>880.4</v>
      </c>
      <c r="Y2791" s="174">
        <v>1181.46</v>
      </c>
    </row>
    <row r="2792" spans="1:25" ht="15" customHeight="1" x14ac:dyDescent="0.25">
      <c r="A2792" s="20" t="s">
        <v>3529</v>
      </c>
      <c r="B2792" s="14" t="s">
        <v>3530</v>
      </c>
      <c r="C2792" s="71" t="str">
        <f t="shared" si="59"/>
        <v>Product Info</v>
      </c>
      <c r="D2792" s="37" t="s">
        <v>7604</v>
      </c>
      <c r="E2792" s="143">
        <v>1</v>
      </c>
      <c r="F2792" s="12" t="s">
        <v>2170</v>
      </c>
      <c r="G2792" s="38">
        <v>556.69000000000005</v>
      </c>
      <c r="H2792" s="38">
        <v>473.2</v>
      </c>
      <c r="I2792" s="38">
        <v>389.68</v>
      </c>
      <c r="J2792" s="39"/>
      <c r="K2792" s="12" t="s">
        <v>8905</v>
      </c>
      <c r="L2792" s="22">
        <v>3</v>
      </c>
      <c r="M2792" s="22" t="s">
        <v>12488</v>
      </c>
      <c r="N2792" s="20" t="s">
        <v>9345</v>
      </c>
      <c r="O2792" s="16" t="s">
        <v>12608</v>
      </c>
      <c r="P2792" s="143">
        <v>753</v>
      </c>
      <c r="Q2792" s="122" t="s">
        <v>12421</v>
      </c>
      <c r="R2792" s="16" t="s">
        <v>8904</v>
      </c>
      <c r="S2792" s="10" t="s">
        <v>1163</v>
      </c>
      <c r="T2792" s="28" t="s">
        <v>11792</v>
      </c>
      <c r="U2792" s="20" t="s">
        <v>5359</v>
      </c>
      <c r="V2792" s="16" t="s">
        <v>3529</v>
      </c>
      <c r="W2792" s="11" t="s">
        <v>14283</v>
      </c>
      <c r="X2792" s="174">
        <v>352.62</v>
      </c>
      <c r="Y2792" s="174">
        <v>473.2</v>
      </c>
    </row>
    <row r="2793" spans="1:25" ht="15" customHeight="1" x14ac:dyDescent="0.25">
      <c r="A2793" s="20" t="s">
        <v>3531</v>
      </c>
      <c r="B2793" s="14" t="s">
        <v>3532</v>
      </c>
      <c r="C2793" s="71" t="str">
        <f t="shared" si="59"/>
        <v>Product Info</v>
      </c>
      <c r="D2793" s="37" t="s">
        <v>7605</v>
      </c>
      <c r="E2793" s="143">
        <v>1</v>
      </c>
      <c r="F2793" s="12" t="s">
        <v>2170</v>
      </c>
      <c r="G2793" s="38">
        <v>629.97</v>
      </c>
      <c r="H2793" s="38">
        <v>535.49</v>
      </c>
      <c r="I2793" s="38">
        <v>440.98</v>
      </c>
      <c r="J2793" s="39"/>
      <c r="K2793" s="143"/>
      <c r="L2793" s="22">
        <v>6.49</v>
      </c>
      <c r="M2793" s="22" t="s">
        <v>12488</v>
      </c>
      <c r="N2793" s="20" t="s">
        <v>9393</v>
      </c>
      <c r="O2793" s="16" t="s">
        <v>12608</v>
      </c>
      <c r="P2793" s="143">
        <v>753</v>
      </c>
      <c r="Q2793" s="121" t="s">
        <v>14285</v>
      </c>
      <c r="R2793" s="16" t="s">
        <v>8904</v>
      </c>
      <c r="S2793" s="10" t="s">
        <v>1163</v>
      </c>
      <c r="T2793" s="28" t="s">
        <v>11793</v>
      </c>
      <c r="U2793" s="20" t="s">
        <v>5359</v>
      </c>
      <c r="V2793" s="16" t="s">
        <v>3531</v>
      </c>
      <c r="W2793" s="11" t="s">
        <v>14283</v>
      </c>
      <c r="X2793" s="174">
        <v>399.04</v>
      </c>
      <c r="Y2793" s="174">
        <v>535.49</v>
      </c>
    </row>
    <row r="2794" spans="1:25" ht="15" customHeight="1" x14ac:dyDescent="0.25">
      <c r="A2794" s="20" t="s">
        <v>5916</v>
      </c>
      <c r="B2794" s="14" t="s">
        <v>7890</v>
      </c>
      <c r="C2794" s="71" t="str">
        <f t="shared" si="59"/>
        <v>Product Info</v>
      </c>
      <c r="D2794" s="37" t="s">
        <v>7606</v>
      </c>
      <c r="E2794" s="143">
        <v>1</v>
      </c>
      <c r="F2794" s="12" t="s">
        <v>2170</v>
      </c>
      <c r="G2794" s="38">
        <v>639.74</v>
      </c>
      <c r="H2794" s="38">
        <v>543.79999999999995</v>
      </c>
      <c r="I2794" s="38">
        <v>447.82</v>
      </c>
      <c r="J2794" s="39"/>
      <c r="K2794" s="12" t="s">
        <v>8905</v>
      </c>
      <c r="L2794" s="22">
        <v>5.4349999999999996</v>
      </c>
      <c r="M2794" s="22" t="s">
        <v>12488</v>
      </c>
      <c r="N2794" s="20" t="s">
        <v>9486</v>
      </c>
      <c r="O2794" s="16" t="s">
        <v>12608</v>
      </c>
      <c r="P2794" s="143">
        <v>753</v>
      </c>
      <c r="Q2794" s="122" t="s">
        <v>12421</v>
      </c>
      <c r="R2794" s="16" t="s">
        <v>8904</v>
      </c>
      <c r="S2794" s="10" t="s">
        <v>1163</v>
      </c>
      <c r="T2794" s="28" t="s">
        <v>11794</v>
      </c>
      <c r="U2794" s="20" t="s">
        <v>5359</v>
      </c>
      <c r="V2794" s="16" t="s">
        <v>5916</v>
      </c>
      <c r="W2794" s="11" t="s">
        <v>14283</v>
      </c>
      <c r="X2794" s="174">
        <v>405.24</v>
      </c>
      <c r="Y2794" s="174">
        <v>543.79999999999995</v>
      </c>
    </row>
    <row r="2795" spans="1:25" ht="15" customHeight="1" x14ac:dyDescent="0.25">
      <c r="A2795" s="20" t="s">
        <v>7891</v>
      </c>
      <c r="B2795" s="14" t="s">
        <v>7892</v>
      </c>
      <c r="C2795" s="71" t="str">
        <f t="shared" si="59"/>
        <v>Product Info</v>
      </c>
      <c r="D2795" s="37" t="s">
        <v>7607</v>
      </c>
      <c r="E2795" s="143">
        <v>1</v>
      </c>
      <c r="F2795" s="12" t="s">
        <v>2170</v>
      </c>
      <c r="G2795" s="38">
        <v>721.1</v>
      </c>
      <c r="H2795" s="38">
        <v>612.96</v>
      </c>
      <c r="I2795" s="38">
        <v>504.77</v>
      </c>
      <c r="J2795" s="39"/>
      <c r="K2795" s="143"/>
      <c r="L2795" s="22">
        <v>5</v>
      </c>
      <c r="M2795" s="22" t="s">
        <v>12488</v>
      </c>
      <c r="N2795" s="20" t="s">
        <v>9324</v>
      </c>
      <c r="O2795" s="16" t="s">
        <v>12608</v>
      </c>
      <c r="P2795" s="143">
        <v>753</v>
      </c>
      <c r="Q2795" s="121" t="s">
        <v>14285</v>
      </c>
      <c r="R2795" s="16" t="s">
        <v>8904</v>
      </c>
      <c r="S2795" s="10" t="s">
        <v>1163</v>
      </c>
      <c r="T2795" s="28" t="s">
        <v>11795</v>
      </c>
      <c r="U2795" s="20" t="s">
        <v>5359</v>
      </c>
      <c r="V2795" s="16" t="s">
        <v>7891</v>
      </c>
      <c r="W2795" s="11" t="s">
        <v>14283</v>
      </c>
      <c r="X2795" s="174">
        <v>456.77</v>
      </c>
      <c r="Y2795" s="174">
        <v>612.96</v>
      </c>
    </row>
    <row r="2796" spans="1:25" ht="15" customHeight="1" x14ac:dyDescent="0.25">
      <c r="A2796" s="20" t="s">
        <v>7893</v>
      </c>
      <c r="B2796" s="14" t="s">
        <v>7894</v>
      </c>
      <c r="C2796" s="71" t="str">
        <f t="shared" si="59"/>
        <v>Product Info</v>
      </c>
      <c r="D2796" s="37" t="s">
        <v>7608</v>
      </c>
      <c r="E2796" s="143">
        <v>1</v>
      </c>
      <c r="F2796" s="12" t="s">
        <v>2170</v>
      </c>
      <c r="G2796" s="38">
        <v>852.36</v>
      </c>
      <c r="H2796" s="38">
        <v>724.53</v>
      </c>
      <c r="I2796" s="38">
        <v>596.65</v>
      </c>
      <c r="J2796" s="39"/>
      <c r="K2796" s="143"/>
      <c r="L2796" s="22">
        <v>4</v>
      </c>
      <c r="M2796" s="22" t="s">
        <v>12488</v>
      </c>
      <c r="N2796" s="20" t="s">
        <v>9345</v>
      </c>
      <c r="O2796" s="16" t="s">
        <v>12608</v>
      </c>
      <c r="P2796" s="143">
        <v>753</v>
      </c>
      <c r="Q2796" s="121" t="s">
        <v>14285</v>
      </c>
      <c r="R2796" s="16" t="s">
        <v>8904</v>
      </c>
      <c r="S2796" s="10" t="s">
        <v>1163</v>
      </c>
      <c r="T2796" s="28" t="s">
        <v>11796</v>
      </c>
      <c r="U2796" s="20" t="s">
        <v>5359</v>
      </c>
      <c r="V2796" s="16" t="s">
        <v>7893</v>
      </c>
      <c r="W2796" s="11" t="s">
        <v>14283</v>
      </c>
      <c r="X2796" s="174">
        <v>539.9</v>
      </c>
      <c r="Y2796" s="174">
        <v>724.53</v>
      </c>
    </row>
    <row r="2797" spans="1:25" ht="15" customHeight="1" x14ac:dyDescent="0.25">
      <c r="A2797" s="20" t="s">
        <v>7895</v>
      </c>
      <c r="B2797" s="14" t="s">
        <v>7896</v>
      </c>
      <c r="C2797" s="71" t="str">
        <f t="shared" si="59"/>
        <v>Product Info</v>
      </c>
      <c r="D2797" s="37" t="s">
        <v>7609</v>
      </c>
      <c r="E2797" s="143">
        <v>1</v>
      </c>
      <c r="F2797" s="12" t="s">
        <v>2170</v>
      </c>
      <c r="G2797" s="38">
        <v>930.86</v>
      </c>
      <c r="H2797" s="38">
        <v>791.26</v>
      </c>
      <c r="I2797" s="38">
        <v>651.6</v>
      </c>
      <c r="J2797" s="39"/>
      <c r="K2797" s="143"/>
      <c r="L2797" s="22">
        <v>6</v>
      </c>
      <c r="M2797" s="22" t="s">
        <v>12488</v>
      </c>
      <c r="N2797" s="20" t="s">
        <v>9442</v>
      </c>
      <c r="O2797" s="16" t="s">
        <v>12608</v>
      </c>
      <c r="P2797" s="143">
        <v>753</v>
      </c>
      <c r="Q2797" s="121" t="s">
        <v>14285</v>
      </c>
      <c r="R2797" s="16" t="s">
        <v>8904</v>
      </c>
      <c r="S2797" s="10" t="s">
        <v>1163</v>
      </c>
      <c r="T2797" s="28" t="s">
        <v>11797</v>
      </c>
      <c r="U2797" s="20" t="s">
        <v>5359</v>
      </c>
      <c r="V2797" s="16" t="s">
        <v>7895</v>
      </c>
      <c r="W2797" s="11" t="s">
        <v>14283</v>
      </c>
      <c r="X2797" s="174">
        <v>589.62</v>
      </c>
      <c r="Y2797" s="174">
        <v>791.26</v>
      </c>
    </row>
    <row r="2798" spans="1:25" ht="15" customHeight="1" x14ac:dyDescent="0.25">
      <c r="A2798" s="20" t="s">
        <v>7897</v>
      </c>
      <c r="B2798" s="14" t="s">
        <v>7898</v>
      </c>
      <c r="C2798" s="71" t="str">
        <f t="shared" si="59"/>
        <v>Product Info</v>
      </c>
      <c r="D2798" s="37" t="s">
        <v>2805</v>
      </c>
      <c r="E2798" s="143">
        <v>3</v>
      </c>
      <c r="F2798" s="12" t="s">
        <v>2170</v>
      </c>
      <c r="G2798" s="38">
        <v>85.37</v>
      </c>
      <c r="H2798" s="38">
        <v>72.569999999999993</v>
      </c>
      <c r="I2798" s="38">
        <v>59.76</v>
      </c>
      <c r="J2798" s="39"/>
      <c r="K2798" s="12" t="s">
        <v>8905</v>
      </c>
      <c r="L2798" s="22">
        <v>2.15</v>
      </c>
      <c r="M2798" s="22" t="s">
        <v>12488</v>
      </c>
      <c r="N2798" s="20" t="s">
        <v>9358</v>
      </c>
      <c r="O2798" s="16" t="s">
        <v>12608</v>
      </c>
      <c r="P2798" s="143">
        <v>753</v>
      </c>
      <c r="Q2798" s="122" t="s">
        <v>9227</v>
      </c>
      <c r="R2798" s="16" t="s">
        <v>8904</v>
      </c>
      <c r="S2798" s="10" t="s">
        <v>1163</v>
      </c>
      <c r="T2798" s="28" t="s">
        <v>11798</v>
      </c>
      <c r="U2798" s="20" t="s">
        <v>5359</v>
      </c>
      <c r="V2798" s="16" t="s">
        <v>7897</v>
      </c>
      <c r="W2798" s="11" t="s">
        <v>14283</v>
      </c>
      <c r="X2798" s="174">
        <v>54.08</v>
      </c>
      <c r="Y2798" s="174">
        <v>72.569999999999993</v>
      </c>
    </row>
    <row r="2799" spans="1:25" ht="15" customHeight="1" x14ac:dyDescent="0.25">
      <c r="A2799" s="20" t="s">
        <v>5375</v>
      </c>
      <c r="B2799" s="14" t="s">
        <v>5376</v>
      </c>
      <c r="C2799" s="71" t="str">
        <f t="shared" si="59"/>
        <v>Product Info</v>
      </c>
      <c r="D2799" s="37" t="s">
        <v>2174</v>
      </c>
      <c r="E2799" s="143">
        <v>3</v>
      </c>
      <c r="F2799" s="12" t="s">
        <v>2170</v>
      </c>
      <c r="G2799" s="38">
        <v>89</v>
      </c>
      <c r="H2799" s="38">
        <v>75.650000000000006</v>
      </c>
      <c r="I2799" s="38">
        <v>62.3</v>
      </c>
      <c r="J2799" s="39"/>
      <c r="K2799" s="143"/>
      <c r="L2799" s="22">
        <v>0</v>
      </c>
      <c r="M2799" s="22">
        <v>0</v>
      </c>
      <c r="N2799" s="20" t="s">
        <v>14489</v>
      </c>
      <c r="O2799" s="16">
        <v>0</v>
      </c>
      <c r="P2799" s="143">
        <v>753</v>
      </c>
      <c r="Q2799" s="121" t="s">
        <v>14285</v>
      </c>
      <c r="R2799" s="16" t="s">
        <v>8904</v>
      </c>
      <c r="S2799" s="10" t="s">
        <v>1163</v>
      </c>
      <c r="T2799" s="28" t="s">
        <v>11799</v>
      </c>
      <c r="U2799" s="20" t="s">
        <v>5359</v>
      </c>
      <c r="V2799" s="16" t="s">
        <v>5375</v>
      </c>
      <c r="W2799" s="11" t="s">
        <v>14283</v>
      </c>
      <c r="X2799" s="174">
        <v>56.38</v>
      </c>
      <c r="Y2799" s="174">
        <v>75.650000000000006</v>
      </c>
    </row>
    <row r="2800" spans="1:25" ht="15" customHeight="1" x14ac:dyDescent="0.25">
      <c r="A2800" s="20" t="s">
        <v>4415</v>
      </c>
      <c r="B2800" s="14" t="s">
        <v>4416</v>
      </c>
      <c r="C2800" s="71" t="str">
        <f t="shared" si="59"/>
        <v>Product Info</v>
      </c>
      <c r="D2800" s="37" t="s">
        <v>7958</v>
      </c>
      <c r="E2800" s="143">
        <v>1</v>
      </c>
      <c r="F2800" s="12" t="s">
        <v>2170</v>
      </c>
      <c r="G2800" s="38">
        <v>88.29</v>
      </c>
      <c r="H2800" s="38">
        <v>75.05</v>
      </c>
      <c r="I2800" s="38">
        <v>61.8</v>
      </c>
      <c r="J2800" s="39"/>
      <c r="K2800" s="143"/>
      <c r="L2800" s="22">
        <v>0</v>
      </c>
      <c r="M2800" s="22">
        <v>0</v>
      </c>
      <c r="N2800" s="20" t="s">
        <v>14489</v>
      </c>
      <c r="O2800" s="16">
        <v>0</v>
      </c>
      <c r="P2800" s="143">
        <v>753</v>
      </c>
      <c r="Q2800" s="122" t="s">
        <v>12421</v>
      </c>
      <c r="R2800" s="16" t="s">
        <v>8904</v>
      </c>
      <c r="S2800" s="10" t="s">
        <v>1163</v>
      </c>
      <c r="T2800" s="28" t="s">
        <v>11800</v>
      </c>
      <c r="U2800" s="20" t="s">
        <v>5359</v>
      </c>
      <c r="V2800" s="16" t="s">
        <v>4415</v>
      </c>
      <c r="W2800" s="11" t="s">
        <v>14283</v>
      </c>
      <c r="X2800" s="174">
        <v>55.92</v>
      </c>
      <c r="Y2800" s="174">
        <v>75.05</v>
      </c>
    </row>
    <row r="2801" spans="1:25" ht="15" customHeight="1" x14ac:dyDescent="0.25">
      <c r="A2801" s="20" t="s">
        <v>4417</v>
      </c>
      <c r="B2801" s="14" t="s">
        <v>4418</v>
      </c>
      <c r="C2801" s="71" t="str">
        <f t="shared" si="59"/>
        <v>Product Info</v>
      </c>
      <c r="D2801" s="37" t="s">
        <v>7610</v>
      </c>
      <c r="E2801" s="143">
        <v>3</v>
      </c>
      <c r="F2801" s="12" t="s">
        <v>2170</v>
      </c>
      <c r="G2801" s="38">
        <v>118.04</v>
      </c>
      <c r="H2801" s="38">
        <v>100.34</v>
      </c>
      <c r="I2801" s="38">
        <v>82.63</v>
      </c>
      <c r="J2801" s="39"/>
      <c r="K2801" s="12" t="s">
        <v>8905</v>
      </c>
      <c r="L2801" s="22">
        <v>2</v>
      </c>
      <c r="M2801" s="22" t="s">
        <v>12488</v>
      </c>
      <c r="N2801" s="20" t="s">
        <v>9358</v>
      </c>
      <c r="O2801" s="16" t="s">
        <v>13914</v>
      </c>
      <c r="P2801" s="143">
        <v>753</v>
      </c>
      <c r="Q2801" s="122" t="s">
        <v>9227</v>
      </c>
      <c r="R2801" s="16" t="s">
        <v>8904</v>
      </c>
      <c r="S2801" s="10" t="s">
        <v>1163</v>
      </c>
      <c r="T2801" s="28" t="s">
        <v>11801</v>
      </c>
      <c r="U2801" s="20" t="s">
        <v>5359</v>
      </c>
      <c r="V2801" s="16" t="s">
        <v>4417</v>
      </c>
      <c r="W2801" s="11" t="s">
        <v>14283</v>
      </c>
      <c r="X2801" s="174">
        <v>74.760000000000005</v>
      </c>
      <c r="Y2801" s="174">
        <v>100.34</v>
      </c>
    </row>
    <row r="2802" spans="1:25" ht="15" customHeight="1" x14ac:dyDescent="0.25">
      <c r="A2802" s="20" t="s">
        <v>4419</v>
      </c>
      <c r="B2802" s="14" t="s">
        <v>3967</v>
      </c>
      <c r="C2802" s="71" t="str">
        <f t="shared" si="59"/>
        <v>Product Info</v>
      </c>
      <c r="D2802" s="37" t="s">
        <v>2171</v>
      </c>
      <c r="E2802" s="143">
        <v>3</v>
      </c>
      <c r="F2802" s="12" t="s">
        <v>4992</v>
      </c>
      <c r="G2802" s="38">
        <v>121.81</v>
      </c>
      <c r="H2802" s="38">
        <v>103.55</v>
      </c>
      <c r="I2802" s="38">
        <v>85.27</v>
      </c>
      <c r="J2802" s="39"/>
      <c r="K2802" s="143"/>
      <c r="L2802" s="22">
        <v>0</v>
      </c>
      <c r="M2802" s="22">
        <v>0</v>
      </c>
      <c r="N2802" s="20" t="s">
        <v>14489</v>
      </c>
      <c r="O2802" s="16">
        <v>0</v>
      </c>
      <c r="P2802" s="143">
        <v>753</v>
      </c>
      <c r="Q2802" s="121" t="s">
        <v>14285</v>
      </c>
      <c r="R2802" s="16" t="s">
        <v>8904</v>
      </c>
      <c r="S2802" s="10" t="s">
        <v>1163</v>
      </c>
      <c r="T2802" s="28" t="s">
        <v>11802</v>
      </c>
      <c r="U2802" s="20" t="s">
        <v>5359</v>
      </c>
      <c r="V2802" s="16" t="s">
        <v>4419</v>
      </c>
      <c r="W2802" s="11" t="s">
        <v>14283</v>
      </c>
      <c r="X2802" s="174">
        <v>77.16</v>
      </c>
      <c r="Y2802" s="174">
        <v>103.55</v>
      </c>
    </row>
    <row r="2803" spans="1:25" ht="15" customHeight="1" x14ac:dyDescent="0.25">
      <c r="A2803" s="20" t="s">
        <v>3968</v>
      </c>
      <c r="B2803" s="14" t="s">
        <v>3969</v>
      </c>
      <c r="C2803" s="71" t="str">
        <f t="shared" si="59"/>
        <v>Product Info</v>
      </c>
      <c r="D2803" s="37" t="s">
        <v>2775</v>
      </c>
      <c r="E2803" s="143">
        <v>3</v>
      </c>
      <c r="F2803" s="12" t="s">
        <v>4992</v>
      </c>
      <c r="G2803" s="38">
        <v>121.19</v>
      </c>
      <c r="H2803" s="38">
        <v>103.01</v>
      </c>
      <c r="I2803" s="38">
        <v>84.83</v>
      </c>
      <c r="J2803" s="39"/>
      <c r="K2803" s="143"/>
      <c r="L2803" s="22">
        <v>0</v>
      </c>
      <c r="M2803" s="22">
        <v>0</v>
      </c>
      <c r="N2803" s="20" t="s">
        <v>14489</v>
      </c>
      <c r="O2803" s="16">
        <v>0</v>
      </c>
      <c r="P2803" s="143">
        <v>753</v>
      </c>
      <c r="Q2803" s="121" t="s">
        <v>14285</v>
      </c>
      <c r="R2803" s="16" t="s">
        <v>8904</v>
      </c>
      <c r="S2803" s="10" t="s">
        <v>1163</v>
      </c>
      <c r="T2803" s="28" t="s">
        <v>11803</v>
      </c>
      <c r="U2803" s="20" t="s">
        <v>5359</v>
      </c>
      <c r="V2803" s="16" t="s">
        <v>3968</v>
      </c>
      <c r="W2803" s="11" t="s">
        <v>14283</v>
      </c>
      <c r="X2803" s="174">
        <v>76.760000000000005</v>
      </c>
      <c r="Y2803" s="174">
        <v>103.01</v>
      </c>
    </row>
    <row r="2804" spans="1:25" ht="15" customHeight="1" x14ac:dyDescent="0.25">
      <c r="A2804" s="20" t="s">
        <v>3970</v>
      </c>
      <c r="B2804" s="14" t="s">
        <v>3971</v>
      </c>
      <c r="C2804" s="71" t="str">
        <f t="shared" si="59"/>
        <v>Product Info</v>
      </c>
      <c r="D2804" s="37" t="s">
        <v>7729</v>
      </c>
      <c r="E2804" s="143">
        <v>1</v>
      </c>
      <c r="F2804" s="12" t="s">
        <v>2170</v>
      </c>
      <c r="G2804" s="38">
        <v>110.77</v>
      </c>
      <c r="H2804" s="38">
        <v>94.16</v>
      </c>
      <c r="I2804" s="38">
        <v>77.540000000000006</v>
      </c>
      <c r="J2804" s="39"/>
      <c r="K2804" s="143"/>
      <c r="L2804" s="22">
        <v>0</v>
      </c>
      <c r="M2804" s="22">
        <v>0</v>
      </c>
      <c r="N2804" s="20" t="s">
        <v>14489</v>
      </c>
      <c r="O2804" s="16">
        <v>0</v>
      </c>
      <c r="P2804" s="143">
        <v>753</v>
      </c>
      <c r="Q2804" s="122" t="s">
        <v>12421</v>
      </c>
      <c r="R2804" s="16" t="s">
        <v>8904</v>
      </c>
      <c r="S2804" s="10" t="s">
        <v>1163</v>
      </c>
      <c r="T2804" s="28" t="s">
        <v>11804</v>
      </c>
      <c r="U2804" s="20" t="s">
        <v>5359</v>
      </c>
      <c r="V2804" s="16" t="s">
        <v>3970</v>
      </c>
      <c r="W2804" s="11" t="s">
        <v>14283</v>
      </c>
      <c r="X2804" s="174">
        <v>70.17</v>
      </c>
      <c r="Y2804" s="174">
        <v>94.16</v>
      </c>
    </row>
    <row r="2805" spans="1:25" ht="15" customHeight="1" x14ac:dyDescent="0.25">
      <c r="A2805" s="20" t="s">
        <v>3972</v>
      </c>
      <c r="B2805" s="14" t="s">
        <v>3973</v>
      </c>
      <c r="C2805" s="71" t="str">
        <f t="shared" si="59"/>
        <v>Product Info</v>
      </c>
      <c r="D2805" s="37" t="s">
        <v>2806</v>
      </c>
      <c r="E2805" s="143">
        <v>3</v>
      </c>
      <c r="F2805" s="12" t="s">
        <v>2170</v>
      </c>
      <c r="G2805" s="38">
        <v>115.03</v>
      </c>
      <c r="H2805" s="38">
        <v>97.78</v>
      </c>
      <c r="I2805" s="38">
        <v>80.52</v>
      </c>
      <c r="J2805" s="39"/>
      <c r="K2805" s="12" t="s">
        <v>8905</v>
      </c>
      <c r="L2805" s="22">
        <v>2.5</v>
      </c>
      <c r="M2805" s="22" t="s">
        <v>12488</v>
      </c>
      <c r="N2805" s="20" t="s">
        <v>9358</v>
      </c>
      <c r="O2805" s="16" t="s">
        <v>13914</v>
      </c>
      <c r="P2805" s="143">
        <v>753</v>
      </c>
      <c r="Q2805" s="122" t="s">
        <v>9227</v>
      </c>
      <c r="R2805" s="16" t="s">
        <v>8904</v>
      </c>
      <c r="S2805" s="10" t="s">
        <v>1163</v>
      </c>
      <c r="T2805" s="28" t="s">
        <v>11805</v>
      </c>
      <c r="U2805" s="20" t="s">
        <v>5359</v>
      </c>
      <c r="V2805" s="16" t="s">
        <v>3972</v>
      </c>
      <c r="W2805" s="11" t="s">
        <v>14283</v>
      </c>
      <c r="X2805" s="174">
        <v>72.849999999999994</v>
      </c>
      <c r="Y2805" s="174">
        <v>97.78</v>
      </c>
    </row>
    <row r="2806" spans="1:25" ht="15" customHeight="1" x14ac:dyDescent="0.25">
      <c r="A2806" s="20" t="s">
        <v>3974</v>
      </c>
      <c r="B2806" s="14" t="s">
        <v>3975</v>
      </c>
      <c r="C2806" s="71" t="str">
        <f t="shared" si="59"/>
        <v>Product Info</v>
      </c>
      <c r="D2806" s="37" t="s">
        <v>2773</v>
      </c>
      <c r="E2806" s="143">
        <v>3</v>
      </c>
      <c r="F2806" s="12" t="s">
        <v>2170</v>
      </c>
      <c r="G2806" s="38">
        <v>117.69</v>
      </c>
      <c r="H2806" s="38">
        <v>100.04</v>
      </c>
      <c r="I2806" s="38">
        <v>82.38</v>
      </c>
      <c r="J2806" s="39"/>
      <c r="K2806" s="143"/>
      <c r="L2806" s="22">
        <v>0</v>
      </c>
      <c r="M2806" s="22">
        <v>0</v>
      </c>
      <c r="N2806" s="20" t="s">
        <v>14489</v>
      </c>
      <c r="O2806" s="16">
        <v>0</v>
      </c>
      <c r="P2806" s="143">
        <v>753</v>
      </c>
      <c r="Q2806" s="121" t="s">
        <v>14285</v>
      </c>
      <c r="R2806" s="16" t="s">
        <v>8904</v>
      </c>
      <c r="S2806" s="10" t="s">
        <v>1163</v>
      </c>
      <c r="T2806" s="28" t="s">
        <v>11806</v>
      </c>
      <c r="U2806" s="20" t="s">
        <v>5359</v>
      </c>
      <c r="V2806" s="16" t="s">
        <v>3974</v>
      </c>
      <c r="W2806" s="11" t="s">
        <v>14283</v>
      </c>
      <c r="X2806" s="174">
        <v>74.540000000000006</v>
      </c>
      <c r="Y2806" s="174">
        <v>100.04</v>
      </c>
    </row>
    <row r="2807" spans="1:25" ht="15" customHeight="1" x14ac:dyDescent="0.25">
      <c r="A2807" s="20" t="s">
        <v>4005</v>
      </c>
      <c r="B2807" s="14" t="s">
        <v>4006</v>
      </c>
      <c r="C2807" s="71" t="str">
        <f t="shared" si="59"/>
        <v>Product Info</v>
      </c>
      <c r="D2807" s="37" t="s">
        <v>2793</v>
      </c>
      <c r="E2807" s="143">
        <v>3</v>
      </c>
      <c r="F2807" s="12" t="s">
        <v>2170</v>
      </c>
      <c r="G2807" s="38">
        <v>121.93</v>
      </c>
      <c r="H2807" s="38">
        <v>103.64</v>
      </c>
      <c r="I2807" s="38">
        <v>85.35</v>
      </c>
      <c r="J2807" s="39"/>
      <c r="K2807" s="143"/>
      <c r="L2807" s="22">
        <v>0</v>
      </c>
      <c r="M2807" s="22">
        <v>0</v>
      </c>
      <c r="N2807" s="20" t="s">
        <v>14489</v>
      </c>
      <c r="O2807" s="16">
        <v>0</v>
      </c>
      <c r="P2807" s="143">
        <v>753</v>
      </c>
      <c r="Q2807" s="121" t="s">
        <v>14285</v>
      </c>
      <c r="R2807" s="16" t="s">
        <v>8904</v>
      </c>
      <c r="S2807" s="10" t="s">
        <v>1163</v>
      </c>
      <c r="T2807" s="28" t="s">
        <v>11807</v>
      </c>
      <c r="U2807" s="20" t="s">
        <v>5359</v>
      </c>
      <c r="V2807" s="16" t="s">
        <v>4005</v>
      </c>
      <c r="W2807" s="11" t="s">
        <v>14283</v>
      </c>
      <c r="X2807" s="174">
        <v>77.23</v>
      </c>
      <c r="Y2807" s="174">
        <v>103.64</v>
      </c>
    </row>
    <row r="2808" spans="1:25" ht="15" customHeight="1" x14ac:dyDescent="0.25">
      <c r="A2808" s="20" t="s">
        <v>4007</v>
      </c>
      <c r="B2808" s="14" t="s">
        <v>4008</v>
      </c>
      <c r="C2808" s="71" t="str">
        <f t="shared" si="59"/>
        <v>Product Info</v>
      </c>
      <c r="D2808" s="37" t="s">
        <v>2172</v>
      </c>
      <c r="E2808" s="143">
        <v>3</v>
      </c>
      <c r="F2808" s="12" t="s">
        <v>2170</v>
      </c>
      <c r="G2808" s="38">
        <v>121.44</v>
      </c>
      <c r="H2808" s="38">
        <v>103.23</v>
      </c>
      <c r="I2808" s="38">
        <v>85.01</v>
      </c>
      <c r="J2808" s="39"/>
      <c r="K2808" s="143"/>
      <c r="L2808" s="22">
        <v>0</v>
      </c>
      <c r="M2808" s="22">
        <v>0</v>
      </c>
      <c r="N2808" s="20" t="s">
        <v>14489</v>
      </c>
      <c r="O2808" s="16">
        <v>0</v>
      </c>
      <c r="P2808" s="143">
        <v>753</v>
      </c>
      <c r="Q2808" s="121" t="s">
        <v>14285</v>
      </c>
      <c r="R2808" s="16" t="s">
        <v>8904</v>
      </c>
      <c r="S2808" s="10" t="s">
        <v>1163</v>
      </c>
      <c r="T2808" s="28" t="s">
        <v>11808</v>
      </c>
      <c r="U2808" s="20" t="s">
        <v>5359</v>
      </c>
      <c r="V2808" s="16" t="s">
        <v>4007</v>
      </c>
      <c r="W2808" s="11" t="s">
        <v>14283</v>
      </c>
      <c r="X2808" s="174">
        <v>76.92</v>
      </c>
      <c r="Y2808" s="174">
        <v>103.23</v>
      </c>
    </row>
    <row r="2809" spans="1:25" ht="15" customHeight="1" x14ac:dyDescent="0.25">
      <c r="A2809" s="20" t="s">
        <v>4009</v>
      </c>
      <c r="B2809" s="14" t="s">
        <v>4010</v>
      </c>
      <c r="C2809" s="71" t="str">
        <f t="shared" si="59"/>
        <v>Product Info</v>
      </c>
      <c r="D2809" s="37" t="s">
        <v>7732</v>
      </c>
      <c r="E2809" s="143">
        <v>1</v>
      </c>
      <c r="F2809" s="12" t="s">
        <v>4992</v>
      </c>
      <c r="G2809" s="38">
        <v>113.5</v>
      </c>
      <c r="H2809" s="38">
        <v>96.48</v>
      </c>
      <c r="I2809" s="38">
        <v>79.45</v>
      </c>
      <c r="J2809" s="39"/>
      <c r="K2809" s="143"/>
      <c r="L2809" s="22">
        <v>0</v>
      </c>
      <c r="M2809" s="22">
        <v>0</v>
      </c>
      <c r="N2809" s="20" t="s">
        <v>14489</v>
      </c>
      <c r="O2809" s="16">
        <v>0</v>
      </c>
      <c r="P2809" s="143">
        <v>753</v>
      </c>
      <c r="Q2809" s="122" t="s">
        <v>12421</v>
      </c>
      <c r="R2809" s="16" t="s">
        <v>8904</v>
      </c>
      <c r="S2809" s="10" t="s">
        <v>1163</v>
      </c>
      <c r="T2809" s="28" t="s">
        <v>11809</v>
      </c>
      <c r="U2809" s="20" t="s">
        <v>5359</v>
      </c>
      <c r="V2809" s="16" t="s">
        <v>4009</v>
      </c>
      <c r="W2809" s="11" t="s">
        <v>14283</v>
      </c>
      <c r="X2809" s="174">
        <v>71.89</v>
      </c>
      <c r="Y2809" s="174">
        <v>96.48</v>
      </c>
    </row>
    <row r="2810" spans="1:25" ht="15" customHeight="1" x14ac:dyDescent="0.25">
      <c r="A2810" s="20" t="s">
        <v>4011</v>
      </c>
      <c r="B2810" s="14" t="s">
        <v>4012</v>
      </c>
      <c r="C2810" s="71" t="str">
        <f t="shared" si="59"/>
        <v>Product Info</v>
      </c>
      <c r="D2810" s="37" t="s">
        <v>2820</v>
      </c>
      <c r="E2810" s="143">
        <v>3</v>
      </c>
      <c r="F2810" s="12" t="s">
        <v>2170</v>
      </c>
      <c r="G2810" s="38">
        <v>142.41</v>
      </c>
      <c r="H2810" s="38">
        <v>121.06</v>
      </c>
      <c r="I2810" s="38">
        <v>99.69</v>
      </c>
      <c r="J2810" s="39"/>
      <c r="K2810" s="12" t="s">
        <v>8905</v>
      </c>
      <c r="L2810" s="22">
        <v>2.5</v>
      </c>
      <c r="M2810" s="22" t="s">
        <v>12488</v>
      </c>
      <c r="N2810" s="20" t="s">
        <v>9248</v>
      </c>
      <c r="O2810" s="16" t="s">
        <v>12608</v>
      </c>
      <c r="P2810" s="143">
        <v>753</v>
      </c>
      <c r="Q2810" s="122" t="s">
        <v>9227</v>
      </c>
      <c r="R2810" s="16" t="s">
        <v>8904</v>
      </c>
      <c r="S2810" s="10" t="s">
        <v>1163</v>
      </c>
      <c r="T2810" s="28" t="s">
        <v>11810</v>
      </c>
      <c r="U2810" s="20" t="s">
        <v>5359</v>
      </c>
      <c r="V2810" s="16" t="s">
        <v>4011</v>
      </c>
      <c r="W2810" s="11" t="s">
        <v>14283</v>
      </c>
      <c r="X2810" s="174">
        <v>90.21</v>
      </c>
      <c r="Y2810" s="174">
        <v>121.06</v>
      </c>
    </row>
    <row r="2811" spans="1:25" ht="15" customHeight="1" x14ac:dyDescent="0.25">
      <c r="A2811" s="20" t="s">
        <v>4013</v>
      </c>
      <c r="B2811" s="14" t="s">
        <v>4014</v>
      </c>
      <c r="C2811" s="71" t="str">
        <f t="shared" si="59"/>
        <v>Product Info</v>
      </c>
      <c r="D2811" s="37" t="s">
        <v>2771</v>
      </c>
      <c r="E2811" s="143">
        <v>3</v>
      </c>
      <c r="F2811" s="12" t="s">
        <v>4992</v>
      </c>
      <c r="G2811" s="38">
        <v>144.69</v>
      </c>
      <c r="H2811" s="38">
        <v>122.99</v>
      </c>
      <c r="I2811" s="38">
        <v>101.28</v>
      </c>
      <c r="J2811" s="39"/>
      <c r="K2811" s="143"/>
      <c r="L2811" s="22">
        <v>0</v>
      </c>
      <c r="M2811" s="22">
        <v>0</v>
      </c>
      <c r="N2811" s="20" t="s">
        <v>14489</v>
      </c>
      <c r="O2811" s="16">
        <v>0</v>
      </c>
      <c r="P2811" s="143">
        <v>753</v>
      </c>
      <c r="Q2811" s="121" t="s">
        <v>14285</v>
      </c>
      <c r="R2811" s="16" t="s">
        <v>8904</v>
      </c>
      <c r="S2811" s="10" t="s">
        <v>1163</v>
      </c>
      <c r="T2811" s="28" t="s">
        <v>11811</v>
      </c>
      <c r="U2811" s="20" t="s">
        <v>5359</v>
      </c>
      <c r="V2811" s="16" t="s">
        <v>4013</v>
      </c>
      <c r="W2811" s="11" t="s">
        <v>14283</v>
      </c>
      <c r="X2811" s="174">
        <v>91.65</v>
      </c>
      <c r="Y2811" s="174">
        <v>122.99</v>
      </c>
    </row>
    <row r="2812" spans="1:25" ht="15" customHeight="1" x14ac:dyDescent="0.25">
      <c r="A2812" s="20" t="s">
        <v>4015</v>
      </c>
      <c r="B2812" s="14" t="s">
        <v>4016</v>
      </c>
      <c r="C2812" s="71" t="str">
        <f t="shared" si="59"/>
        <v>Product Info</v>
      </c>
      <c r="D2812" s="37" t="s">
        <v>2175</v>
      </c>
      <c r="E2812" s="143">
        <v>3</v>
      </c>
      <c r="F2812" s="12" t="s">
        <v>2170</v>
      </c>
      <c r="G2812" s="38">
        <v>148.94</v>
      </c>
      <c r="H2812" s="38">
        <v>126.61</v>
      </c>
      <c r="I2812" s="38">
        <v>104.26</v>
      </c>
      <c r="J2812" s="39"/>
      <c r="K2812" s="143"/>
      <c r="L2812" s="22">
        <v>0</v>
      </c>
      <c r="M2812" s="22">
        <v>0</v>
      </c>
      <c r="N2812" s="20" t="s">
        <v>14489</v>
      </c>
      <c r="O2812" s="16">
        <v>0</v>
      </c>
      <c r="P2812" s="143">
        <v>753</v>
      </c>
      <c r="Q2812" s="121" t="s">
        <v>14285</v>
      </c>
      <c r="R2812" s="16" t="s">
        <v>8904</v>
      </c>
      <c r="S2812" s="10" t="s">
        <v>1163</v>
      </c>
      <c r="T2812" s="28" t="s">
        <v>11812</v>
      </c>
      <c r="U2812" s="20" t="s">
        <v>5359</v>
      </c>
      <c r="V2812" s="16" t="s">
        <v>4015</v>
      </c>
      <c r="W2812" s="11" t="s">
        <v>14283</v>
      </c>
      <c r="X2812" s="174">
        <v>94.34</v>
      </c>
      <c r="Y2812" s="174">
        <v>126.61</v>
      </c>
    </row>
    <row r="2813" spans="1:25" ht="15" customHeight="1" x14ac:dyDescent="0.25">
      <c r="A2813" s="20" t="s">
        <v>4017</v>
      </c>
      <c r="B2813" s="14" t="s">
        <v>4018</v>
      </c>
      <c r="C2813" s="71" t="str">
        <f t="shared" si="59"/>
        <v>Product Info</v>
      </c>
      <c r="D2813" s="37" t="s">
        <v>2774</v>
      </c>
      <c r="E2813" s="143">
        <v>3</v>
      </c>
      <c r="F2813" s="12" t="s">
        <v>2170</v>
      </c>
      <c r="G2813" s="38">
        <v>146.07</v>
      </c>
      <c r="H2813" s="38">
        <v>124.17</v>
      </c>
      <c r="I2813" s="38">
        <v>102.25</v>
      </c>
      <c r="J2813" s="39"/>
      <c r="K2813" s="143"/>
      <c r="L2813" s="22">
        <v>0</v>
      </c>
      <c r="M2813" s="22">
        <v>0</v>
      </c>
      <c r="N2813" s="20" t="s">
        <v>14489</v>
      </c>
      <c r="O2813" s="16">
        <v>0</v>
      </c>
      <c r="P2813" s="143">
        <v>753</v>
      </c>
      <c r="Q2813" s="121" t="s">
        <v>14285</v>
      </c>
      <c r="R2813" s="16" t="s">
        <v>8904</v>
      </c>
      <c r="S2813" s="10" t="s">
        <v>1163</v>
      </c>
      <c r="T2813" s="28" t="s">
        <v>11813</v>
      </c>
      <c r="U2813" s="20" t="s">
        <v>5359</v>
      </c>
      <c r="V2813" s="16" t="s">
        <v>4017</v>
      </c>
      <c r="W2813" s="11" t="s">
        <v>14283</v>
      </c>
      <c r="X2813" s="174">
        <v>92.52</v>
      </c>
      <c r="Y2813" s="174">
        <v>124.17</v>
      </c>
    </row>
    <row r="2814" spans="1:25" ht="15" customHeight="1" x14ac:dyDescent="0.25">
      <c r="A2814" s="20" t="s">
        <v>12662</v>
      </c>
      <c r="B2814" s="16" t="s">
        <v>12663</v>
      </c>
      <c r="C2814" s="71" t="str">
        <f t="shared" si="59"/>
        <v>Product Info</v>
      </c>
      <c r="D2814" s="37" t="s">
        <v>12922</v>
      </c>
      <c r="E2814" s="143">
        <v>3</v>
      </c>
      <c r="F2814" s="12" t="s">
        <v>4992</v>
      </c>
      <c r="G2814" s="38">
        <v>253.29</v>
      </c>
      <c r="H2814" s="38">
        <v>215.3</v>
      </c>
      <c r="I2814" s="38">
        <v>177.3</v>
      </c>
      <c r="J2814" s="39"/>
      <c r="K2814" s="143"/>
      <c r="L2814" s="22">
        <v>0</v>
      </c>
      <c r="M2814" s="22">
        <v>0</v>
      </c>
      <c r="N2814" s="20" t="s">
        <v>14489</v>
      </c>
      <c r="O2814" s="16">
        <v>0</v>
      </c>
      <c r="P2814" s="143">
        <v>753</v>
      </c>
      <c r="Q2814" s="121" t="s">
        <v>14285</v>
      </c>
      <c r="R2814" s="16" t="s">
        <v>8904</v>
      </c>
      <c r="S2814" s="10" t="s">
        <v>1163</v>
      </c>
      <c r="T2814" s="28" t="s">
        <v>12976</v>
      </c>
      <c r="U2814" s="20" t="s">
        <v>5359</v>
      </c>
      <c r="V2814" s="16" t="s">
        <v>12662</v>
      </c>
      <c r="W2814" s="11" t="s">
        <v>14283</v>
      </c>
      <c r="X2814" s="174">
        <v>160.44</v>
      </c>
      <c r="Y2814" s="174">
        <v>215.3</v>
      </c>
    </row>
    <row r="2815" spans="1:25" ht="15" customHeight="1" x14ac:dyDescent="0.25">
      <c r="A2815" s="20" t="s">
        <v>4019</v>
      </c>
      <c r="B2815" s="14" t="s">
        <v>4020</v>
      </c>
      <c r="C2815" s="71" t="str">
        <f t="shared" si="59"/>
        <v>Product Info</v>
      </c>
      <c r="D2815" s="37" t="s">
        <v>7735</v>
      </c>
      <c r="E2815" s="143">
        <v>1</v>
      </c>
      <c r="F2815" s="12" t="s">
        <v>4992</v>
      </c>
      <c r="G2815" s="38">
        <v>129.5</v>
      </c>
      <c r="H2815" s="38">
        <v>110.08</v>
      </c>
      <c r="I2815" s="38">
        <v>90.65</v>
      </c>
      <c r="J2815" s="39"/>
      <c r="K2815" s="143"/>
      <c r="L2815" s="22">
        <v>0</v>
      </c>
      <c r="M2815" s="22">
        <v>0</v>
      </c>
      <c r="N2815" s="20" t="s">
        <v>14489</v>
      </c>
      <c r="O2815" s="16" t="s">
        <v>12608</v>
      </c>
      <c r="P2815" s="143">
        <v>753</v>
      </c>
      <c r="Q2815" s="122" t="s">
        <v>12421</v>
      </c>
      <c r="R2815" s="16" t="s">
        <v>8904</v>
      </c>
      <c r="S2815" s="10" t="s">
        <v>1163</v>
      </c>
      <c r="T2815" s="28" t="s">
        <v>11814</v>
      </c>
      <c r="U2815" s="20" t="s">
        <v>5359</v>
      </c>
      <c r="V2815" s="16" t="s">
        <v>4019</v>
      </c>
      <c r="W2815" s="11" t="s">
        <v>14283</v>
      </c>
      <c r="X2815" s="174">
        <v>82.03</v>
      </c>
      <c r="Y2815" s="174">
        <v>110.08</v>
      </c>
    </row>
    <row r="2816" spans="1:25" ht="15" customHeight="1" x14ac:dyDescent="0.25">
      <c r="A2816" s="20" t="s">
        <v>4501</v>
      </c>
      <c r="B2816" s="14" t="s">
        <v>1440</v>
      </c>
      <c r="C2816" s="71" t="str">
        <f t="shared" si="59"/>
        <v>Product Info</v>
      </c>
      <c r="D2816" s="37" t="s">
        <v>2807</v>
      </c>
      <c r="E2816" s="143">
        <v>3</v>
      </c>
      <c r="F2816" s="12" t="s">
        <v>2170</v>
      </c>
      <c r="G2816" s="38">
        <v>133.56</v>
      </c>
      <c r="H2816" s="38">
        <v>113.53</v>
      </c>
      <c r="I2816" s="38">
        <v>93.49</v>
      </c>
      <c r="J2816" s="39"/>
      <c r="K2816" s="12" t="s">
        <v>8905</v>
      </c>
      <c r="L2816" s="22">
        <v>3.2280000000000002</v>
      </c>
      <c r="M2816" s="22" t="s">
        <v>12488</v>
      </c>
      <c r="N2816" s="20" t="s">
        <v>9487</v>
      </c>
      <c r="O2816" s="16" t="s">
        <v>12608</v>
      </c>
      <c r="P2816" s="143">
        <v>753</v>
      </c>
      <c r="Q2816" s="122" t="s">
        <v>9227</v>
      </c>
      <c r="R2816" s="16" t="s">
        <v>8904</v>
      </c>
      <c r="S2816" s="10" t="s">
        <v>1163</v>
      </c>
      <c r="T2816" s="28" t="s">
        <v>11815</v>
      </c>
      <c r="U2816" s="20" t="s">
        <v>5359</v>
      </c>
      <c r="V2816" s="16" t="s">
        <v>4501</v>
      </c>
      <c r="W2816" s="11" t="s">
        <v>14283</v>
      </c>
      <c r="X2816" s="174">
        <v>84.6</v>
      </c>
      <c r="Y2816" s="174">
        <v>113.53</v>
      </c>
    </row>
    <row r="2817" spans="1:25" ht="15" customHeight="1" x14ac:dyDescent="0.25">
      <c r="A2817" s="20" t="s">
        <v>1441</v>
      </c>
      <c r="B2817" s="14" t="s">
        <v>1442</v>
      </c>
      <c r="C2817" s="71" t="str">
        <f t="shared" si="59"/>
        <v>Product Info</v>
      </c>
      <c r="D2817" s="37" t="s">
        <v>2796</v>
      </c>
      <c r="E2817" s="143">
        <v>3</v>
      </c>
      <c r="F2817" s="12" t="s">
        <v>2170</v>
      </c>
      <c r="G2817" s="38">
        <v>143.84</v>
      </c>
      <c r="H2817" s="38">
        <v>122.27</v>
      </c>
      <c r="I2817" s="38">
        <v>100.69</v>
      </c>
      <c r="J2817" s="39"/>
      <c r="K2817" s="143"/>
      <c r="L2817" s="22">
        <v>0</v>
      </c>
      <c r="M2817" s="22">
        <v>0</v>
      </c>
      <c r="N2817" s="20" t="s">
        <v>14489</v>
      </c>
      <c r="O2817" s="16">
        <v>0</v>
      </c>
      <c r="P2817" s="143">
        <v>753</v>
      </c>
      <c r="Q2817" s="121" t="s">
        <v>14285</v>
      </c>
      <c r="R2817" s="16" t="s">
        <v>8904</v>
      </c>
      <c r="S2817" s="10" t="s">
        <v>1163</v>
      </c>
      <c r="T2817" s="28" t="s">
        <v>11816</v>
      </c>
      <c r="U2817" s="20" t="s">
        <v>5359</v>
      </c>
      <c r="V2817" s="16" t="s">
        <v>1441</v>
      </c>
      <c r="W2817" s="11" t="s">
        <v>14283</v>
      </c>
      <c r="X2817" s="174">
        <v>91.11</v>
      </c>
      <c r="Y2817" s="174">
        <v>122.27</v>
      </c>
    </row>
    <row r="2818" spans="1:25" ht="15" customHeight="1" x14ac:dyDescent="0.25">
      <c r="A2818" s="20" t="s">
        <v>4619</v>
      </c>
      <c r="B2818" s="14" t="s">
        <v>4620</v>
      </c>
      <c r="C2818" s="71" t="str">
        <f t="shared" si="59"/>
        <v>Product Info</v>
      </c>
      <c r="D2818" s="37" t="s">
        <v>2799</v>
      </c>
      <c r="E2818" s="143">
        <v>3</v>
      </c>
      <c r="F2818" s="12" t="s">
        <v>2170</v>
      </c>
      <c r="G2818" s="38">
        <v>151.84</v>
      </c>
      <c r="H2818" s="38">
        <v>129.07</v>
      </c>
      <c r="I2818" s="38">
        <v>106.29</v>
      </c>
      <c r="J2818" s="39"/>
      <c r="K2818" s="143"/>
      <c r="L2818" s="22">
        <v>0</v>
      </c>
      <c r="M2818" s="22">
        <v>0</v>
      </c>
      <c r="N2818" s="20" t="s">
        <v>14489</v>
      </c>
      <c r="O2818" s="16">
        <v>0</v>
      </c>
      <c r="P2818" s="143">
        <v>753</v>
      </c>
      <c r="Q2818" s="121" t="s">
        <v>14285</v>
      </c>
      <c r="R2818" s="16" t="s">
        <v>8904</v>
      </c>
      <c r="S2818" s="10" t="s">
        <v>1163</v>
      </c>
      <c r="T2818" s="28" t="s">
        <v>11817</v>
      </c>
      <c r="U2818" s="20" t="s">
        <v>5359</v>
      </c>
      <c r="V2818" s="16" t="s">
        <v>4619</v>
      </c>
      <c r="W2818" s="11" t="s">
        <v>14283</v>
      </c>
      <c r="X2818" s="174">
        <v>96.17</v>
      </c>
      <c r="Y2818" s="174">
        <v>129.07</v>
      </c>
    </row>
    <row r="2819" spans="1:25" ht="15" customHeight="1" x14ac:dyDescent="0.25">
      <c r="A2819" s="20" t="s">
        <v>4621</v>
      </c>
      <c r="B2819" s="14" t="s">
        <v>4622</v>
      </c>
      <c r="C2819" s="71" t="str">
        <f t="shared" si="59"/>
        <v>Product Info</v>
      </c>
      <c r="D2819" s="37" t="s">
        <v>7733</v>
      </c>
      <c r="E2819" s="143">
        <v>1</v>
      </c>
      <c r="F2819" s="12" t="s">
        <v>4992</v>
      </c>
      <c r="G2819" s="38">
        <v>135.80000000000001</v>
      </c>
      <c r="H2819" s="38">
        <v>115.43</v>
      </c>
      <c r="I2819" s="38">
        <v>95.06</v>
      </c>
      <c r="J2819" s="39"/>
      <c r="K2819" s="143"/>
      <c r="L2819" s="22">
        <v>0</v>
      </c>
      <c r="M2819" s="22">
        <v>0</v>
      </c>
      <c r="N2819" s="20" t="s">
        <v>14489</v>
      </c>
      <c r="O2819" s="16">
        <v>0</v>
      </c>
      <c r="P2819" s="143">
        <v>753</v>
      </c>
      <c r="Q2819" s="122" t="s">
        <v>12421</v>
      </c>
      <c r="R2819" s="16" t="s">
        <v>8904</v>
      </c>
      <c r="S2819" s="10" t="s">
        <v>1163</v>
      </c>
      <c r="T2819" s="28" t="s">
        <v>11818</v>
      </c>
      <c r="U2819" s="20" t="s">
        <v>5359</v>
      </c>
      <c r="V2819" s="16" t="s">
        <v>4621</v>
      </c>
      <c r="W2819" s="11" t="s">
        <v>14283</v>
      </c>
      <c r="X2819" s="174">
        <v>86.02</v>
      </c>
      <c r="Y2819" s="174">
        <v>115.43</v>
      </c>
    </row>
    <row r="2820" spans="1:25" ht="15" customHeight="1" x14ac:dyDescent="0.25">
      <c r="A2820" s="20" t="s">
        <v>4623</v>
      </c>
      <c r="B2820" s="14" t="s">
        <v>4624</v>
      </c>
      <c r="C2820" s="71" t="str">
        <f t="shared" si="59"/>
        <v>Product Info</v>
      </c>
      <c r="D2820" s="37" t="s">
        <v>7611</v>
      </c>
      <c r="E2820" s="143">
        <v>3</v>
      </c>
      <c r="F2820" s="12" t="s">
        <v>2170</v>
      </c>
      <c r="G2820" s="38">
        <v>175.59</v>
      </c>
      <c r="H2820" s="38">
        <v>149.25</v>
      </c>
      <c r="I2820" s="38">
        <v>122.91</v>
      </c>
      <c r="J2820" s="39"/>
      <c r="K2820" s="12" t="s">
        <v>8905</v>
      </c>
      <c r="L2820" s="22">
        <v>3.8849999999999998</v>
      </c>
      <c r="M2820" s="22" t="s">
        <v>12488</v>
      </c>
      <c r="N2820" s="20" t="s">
        <v>9359</v>
      </c>
      <c r="O2820" s="16" t="s">
        <v>12608</v>
      </c>
      <c r="P2820" s="143">
        <v>753</v>
      </c>
      <c r="Q2820" s="122" t="s">
        <v>9227</v>
      </c>
      <c r="R2820" s="16" t="s">
        <v>8904</v>
      </c>
      <c r="S2820" s="10" t="s">
        <v>1163</v>
      </c>
      <c r="T2820" s="28" t="s">
        <v>11819</v>
      </c>
      <c r="U2820" s="20" t="s">
        <v>5359</v>
      </c>
      <c r="V2820" s="16" t="s">
        <v>4623</v>
      </c>
      <c r="W2820" s="11" t="s">
        <v>14283</v>
      </c>
      <c r="X2820" s="174">
        <v>111.22</v>
      </c>
      <c r="Y2820" s="174">
        <v>149.25</v>
      </c>
    </row>
    <row r="2821" spans="1:25" ht="15" customHeight="1" x14ac:dyDescent="0.25">
      <c r="A2821" s="20" t="s">
        <v>4625</v>
      </c>
      <c r="B2821" s="14" t="s">
        <v>4626</v>
      </c>
      <c r="C2821" s="71" t="str">
        <f t="shared" si="59"/>
        <v>Product Info</v>
      </c>
      <c r="D2821" s="37" t="s">
        <v>7382</v>
      </c>
      <c r="E2821" s="143">
        <v>3</v>
      </c>
      <c r="F2821" s="12" t="s">
        <v>2170</v>
      </c>
      <c r="G2821" s="38">
        <v>185.27</v>
      </c>
      <c r="H2821" s="38">
        <v>157.49</v>
      </c>
      <c r="I2821" s="38">
        <v>129.69</v>
      </c>
      <c r="J2821" s="39"/>
      <c r="K2821" s="143"/>
      <c r="L2821" s="22">
        <v>0</v>
      </c>
      <c r="M2821" s="22">
        <v>0</v>
      </c>
      <c r="N2821" s="20" t="s">
        <v>14489</v>
      </c>
      <c r="O2821" s="16">
        <v>0</v>
      </c>
      <c r="P2821" s="143">
        <v>753</v>
      </c>
      <c r="Q2821" s="121" t="s">
        <v>14285</v>
      </c>
      <c r="R2821" s="16" t="s">
        <v>8904</v>
      </c>
      <c r="S2821" s="10" t="s">
        <v>1163</v>
      </c>
      <c r="T2821" s="28" t="s">
        <v>11820</v>
      </c>
      <c r="U2821" s="20" t="s">
        <v>5359</v>
      </c>
      <c r="V2821" s="16" t="s">
        <v>4625</v>
      </c>
      <c r="W2821" s="11" t="s">
        <v>14283</v>
      </c>
      <c r="X2821" s="174">
        <v>117.35</v>
      </c>
      <c r="Y2821" s="174">
        <v>157.49</v>
      </c>
    </row>
    <row r="2822" spans="1:25" ht="15" customHeight="1" x14ac:dyDescent="0.25">
      <c r="A2822" s="20" t="s">
        <v>4627</v>
      </c>
      <c r="B2822" s="14" t="s">
        <v>4628</v>
      </c>
      <c r="C2822" s="71" t="str">
        <f t="shared" ref="C2822:C2885" si="60">HYPERLINK(T2822,U2822)</f>
        <v>Product Info</v>
      </c>
      <c r="D2822" s="37" t="s">
        <v>2798</v>
      </c>
      <c r="E2822" s="143">
        <v>3</v>
      </c>
      <c r="F2822" s="12" t="s">
        <v>2170</v>
      </c>
      <c r="G2822" s="38">
        <v>193.27</v>
      </c>
      <c r="H2822" s="38">
        <v>164.29</v>
      </c>
      <c r="I2822" s="38">
        <v>135.29</v>
      </c>
      <c r="J2822" s="39"/>
      <c r="K2822" s="143"/>
      <c r="L2822" s="22">
        <v>0</v>
      </c>
      <c r="M2822" s="22">
        <v>0</v>
      </c>
      <c r="N2822" s="20" t="s">
        <v>14489</v>
      </c>
      <c r="O2822" s="16">
        <v>0</v>
      </c>
      <c r="P2822" s="143">
        <v>753</v>
      </c>
      <c r="Q2822" s="121" t="s">
        <v>14285</v>
      </c>
      <c r="R2822" s="16" t="s">
        <v>8904</v>
      </c>
      <c r="S2822" s="10" t="s">
        <v>1163</v>
      </c>
      <c r="T2822" s="28" t="s">
        <v>11821</v>
      </c>
      <c r="U2822" s="20" t="s">
        <v>5359</v>
      </c>
      <c r="V2822" s="16" t="s">
        <v>4627</v>
      </c>
      <c r="W2822" s="11" t="s">
        <v>14283</v>
      </c>
      <c r="X2822" s="174">
        <v>122.42</v>
      </c>
      <c r="Y2822" s="174">
        <v>164.29</v>
      </c>
    </row>
    <row r="2823" spans="1:25" ht="15" customHeight="1" x14ac:dyDescent="0.25">
      <c r="A2823" s="20" t="s">
        <v>2324</v>
      </c>
      <c r="B2823" s="14" t="s">
        <v>2325</v>
      </c>
      <c r="C2823" s="71" t="str">
        <f t="shared" si="60"/>
        <v>Product Info</v>
      </c>
      <c r="D2823" s="37" t="s">
        <v>6781</v>
      </c>
      <c r="E2823" s="143">
        <v>3</v>
      </c>
      <c r="F2823" s="12" t="s">
        <v>4992</v>
      </c>
      <c r="G2823" s="38">
        <v>217.44</v>
      </c>
      <c r="H2823" s="38">
        <v>184.83</v>
      </c>
      <c r="I2823" s="38">
        <v>152.21</v>
      </c>
      <c r="J2823" s="39"/>
      <c r="K2823" s="143"/>
      <c r="L2823" s="22">
        <v>0</v>
      </c>
      <c r="M2823" s="22">
        <v>0</v>
      </c>
      <c r="N2823" s="20" t="s">
        <v>14489</v>
      </c>
      <c r="O2823" s="16">
        <v>0</v>
      </c>
      <c r="P2823" s="143">
        <v>753</v>
      </c>
      <c r="Q2823" s="121" t="s">
        <v>14285</v>
      </c>
      <c r="R2823" s="16" t="s">
        <v>8904</v>
      </c>
      <c r="S2823" s="10" t="s">
        <v>1163</v>
      </c>
      <c r="T2823" s="28" t="s">
        <v>11822</v>
      </c>
      <c r="U2823" s="20" t="s">
        <v>5359</v>
      </c>
      <c r="V2823" s="16" t="s">
        <v>2324</v>
      </c>
      <c r="W2823" s="11" t="s">
        <v>14283</v>
      </c>
      <c r="X2823" s="174">
        <v>137.74</v>
      </c>
      <c r="Y2823" s="174">
        <v>184.83</v>
      </c>
    </row>
    <row r="2824" spans="1:25" ht="15" customHeight="1" x14ac:dyDescent="0.25">
      <c r="A2824" s="20" t="s">
        <v>4629</v>
      </c>
      <c r="B2824" s="14" t="s">
        <v>4630</v>
      </c>
      <c r="C2824" s="71" t="str">
        <f t="shared" si="60"/>
        <v>Product Info</v>
      </c>
      <c r="D2824" s="37" t="s">
        <v>7736</v>
      </c>
      <c r="E2824" s="143">
        <v>1</v>
      </c>
      <c r="F2824" s="12" t="s">
        <v>4992</v>
      </c>
      <c r="G2824" s="38">
        <v>156</v>
      </c>
      <c r="H2824" s="38">
        <v>132.6</v>
      </c>
      <c r="I2824" s="38">
        <v>109.2</v>
      </c>
      <c r="J2824" s="39"/>
      <c r="K2824" s="143"/>
      <c r="L2824" s="22">
        <v>0</v>
      </c>
      <c r="M2824" s="22">
        <v>0</v>
      </c>
      <c r="N2824" s="20" t="s">
        <v>14489</v>
      </c>
      <c r="O2824" s="16">
        <v>0</v>
      </c>
      <c r="P2824" s="143">
        <v>753</v>
      </c>
      <c r="Q2824" s="122" t="s">
        <v>12421</v>
      </c>
      <c r="R2824" s="16" t="s">
        <v>8904</v>
      </c>
      <c r="S2824" s="10" t="s">
        <v>1163</v>
      </c>
      <c r="T2824" s="28" t="s">
        <v>11823</v>
      </c>
      <c r="U2824" s="20" t="s">
        <v>5359</v>
      </c>
      <c r="V2824" s="16" t="s">
        <v>4629</v>
      </c>
      <c r="W2824" s="11" t="s">
        <v>14283</v>
      </c>
      <c r="X2824" s="174">
        <v>98.81</v>
      </c>
      <c r="Y2824" s="174">
        <v>132.6</v>
      </c>
    </row>
    <row r="2825" spans="1:25" ht="15" customHeight="1" x14ac:dyDescent="0.25">
      <c r="A2825" s="20" t="s">
        <v>4631</v>
      </c>
      <c r="B2825" s="14" t="s">
        <v>4632</v>
      </c>
      <c r="C2825" s="71" t="str">
        <f t="shared" si="60"/>
        <v>Product Info</v>
      </c>
      <c r="D2825" s="37" t="s">
        <v>7612</v>
      </c>
      <c r="E2825" s="143">
        <v>3</v>
      </c>
      <c r="F2825" s="12" t="s">
        <v>2170</v>
      </c>
      <c r="G2825" s="38">
        <v>207.4</v>
      </c>
      <c r="H2825" s="38">
        <v>176.3</v>
      </c>
      <c r="I2825" s="38">
        <v>145.18</v>
      </c>
      <c r="J2825" s="39"/>
      <c r="K2825" s="143"/>
      <c r="L2825" s="22">
        <v>3.5</v>
      </c>
      <c r="M2825" s="22" t="s">
        <v>12488</v>
      </c>
      <c r="N2825" s="20" t="s">
        <v>9359</v>
      </c>
      <c r="O2825" s="16" t="s">
        <v>12608</v>
      </c>
      <c r="P2825" s="143">
        <v>753</v>
      </c>
      <c r="Q2825" s="122" t="s">
        <v>12421</v>
      </c>
      <c r="R2825" s="16" t="s">
        <v>8904</v>
      </c>
      <c r="S2825" s="10" t="s">
        <v>1163</v>
      </c>
      <c r="T2825" s="28" t="s">
        <v>11824</v>
      </c>
      <c r="U2825" s="20" t="s">
        <v>5359</v>
      </c>
      <c r="V2825" s="16" t="s">
        <v>4631</v>
      </c>
      <c r="W2825" s="11" t="s">
        <v>14283</v>
      </c>
      <c r="X2825" s="174">
        <v>131.37</v>
      </c>
      <c r="Y2825" s="174">
        <v>176.3</v>
      </c>
    </row>
    <row r="2826" spans="1:25" ht="15" customHeight="1" x14ac:dyDescent="0.25">
      <c r="A2826" s="20" t="s">
        <v>4633</v>
      </c>
      <c r="B2826" s="14" t="s">
        <v>4634</v>
      </c>
      <c r="C2826" s="71" t="str">
        <f t="shared" si="60"/>
        <v>Product Info</v>
      </c>
      <c r="D2826" s="37" t="s">
        <v>7734</v>
      </c>
      <c r="E2826" s="143">
        <v>1</v>
      </c>
      <c r="F2826" s="12" t="s">
        <v>4992</v>
      </c>
      <c r="G2826" s="38">
        <v>204.07</v>
      </c>
      <c r="H2826" s="38">
        <v>173.47</v>
      </c>
      <c r="I2826" s="38">
        <v>142.85</v>
      </c>
      <c r="J2826" s="39"/>
      <c r="K2826" s="143"/>
      <c r="L2826" s="22">
        <v>0</v>
      </c>
      <c r="M2826" s="22">
        <v>0</v>
      </c>
      <c r="N2826" s="20" t="s">
        <v>14489</v>
      </c>
      <c r="O2826" s="16">
        <v>0</v>
      </c>
      <c r="P2826" s="143">
        <v>753</v>
      </c>
      <c r="Q2826" s="122" t="s">
        <v>12421</v>
      </c>
      <c r="R2826" s="16" t="s">
        <v>8904</v>
      </c>
      <c r="S2826" s="10" t="s">
        <v>1163</v>
      </c>
      <c r="T2826" s="28" t="s">
        <v>11825</v>
      </c>
      <c r="U2826" s="20" t="s">
        <v>5359</v>
      </c>
      <c r="V2826" s="16" t="s">
        <v>4633</v>
      </c>
      <c r="W2826" s="11" t="s">
        <v>14283</v>
      </c>
      <c r="X2826" s="174">
        <v>129.26</v>
      </c>
      <c r="Y2826" s="174">
        <v>173.47</v>
      </c>
    </row>
    <row r="2827" spans="1:25" ht="15" customHeight="1" x14ac:dyDescent="0.25">
      <c r="A2827" s="20" t="s">
        <v>4635</v>
      </c>
      <c r="B2827" s="14" t="s">
        <v>4636</v>
      </c>
      <c r="C2827" s="71" t="str">
        <f t="shared" si="60"/>
        <v>Product Info</v>
      </c>
      <c r="D2827" s="37" t="s">
        <v>7613</v>
      </c>
      <c r="E2827" s="143">
        <v>3</v>
      </c>
      <c r="F2827" s="12" t="s">
        <v>2170</v>
      </c>
      <c r="G2827" s="38">
        <v>264.04000000000002</v>
      </c>
      <c r="H2827" s="38">
        <v>224.44</v>
      </c>
      <c r="I2827" s="38">
        <v>184.83</v>
      </c>
      <c r="J2827" s="39"/>
      <c r="K2827" s="143"/>
      <c r="L2827" s="22">
        <v>1.52</v>
      </c>
      <c r="M2827" s="22" t="s">
        <v>12488</v>
      </c>
      <c r="N2827" s="20" t="s">
        <v>9488</v>
      </c>
      <c r="O2827" s="16" t="s">
        <v>12608</v>
      </c>
      <c r="P2827" s="143">
        <v>753</v>
      </c>
      <c r="Q2827" s="122" t="s">
        <v>12421</v>
      </c>
      <c r="R2827" s="16" t="s">
        <v>8904</v>
      </c>
      <c r="S2827" s="10" t="s">
        <v>1163</v>
      </c>
      <c r="T2827" s="28" t="s">
        <v>11826</v>
      </c>
      <c r="U2827" s="20" t="s">
        <v>5359</v>
      </c>
      <c r="V2827" s="16" t="s">
        <v>4635</v>
      </c>
      <c r="W2827" s="11" t="s">
        <v>14283</v>
      </c>
      <c r="X2827" s="174">
        <v>167.25</v>
      </c>
      <c r="Y2827" s="174">
        <v>224.44</v>
      </c>
    </row>
    <row r="2828" spans="1:25" ht="15" customHeight="1" x14ac:dyDescent="0.25">
      <c r="A2828" s="20" t="s">
        <v>4637</v>
      </c>
      <c r="B2828" s="14" t="s">
        <v>4638</v>
      </c>
      <c r="C2828" s="71" t="str">
        <f t="shared" si="60"/>
        <v>Product Info</v>
      </c>
      <c r="D2828" s="37" t="s">
        <v>7737</v>
      </c>
      <c r="E2828" s="143">
        <v>1</v>
      </c>
      <c r="F2828" s="12" t="s">
        <v>4992</v>
      </c>
      <c r="G2828" s="38">
        <v>259.74</v>
      </c>
      <c r="H2828" s="38">
        <v>220.79</v>
      </c>
      <c r="I2828" s="38">
        <v>181.82</v>
      </c>
      <c r="J2828" s="39"/>
      <c r="K2828" s="143"/>
      <c r="L2828" s="22">
        <v>0</v>
      </c>
      <c r="M2828" s="22">
        <v>0</v>
      </c>
      <c r="N2828" s="20" t="s">
        <v>14489</v>
      </c>
      <c r="O2828" s="16">
        <v>0</v>
      </c>
      <c r="P2828" s="143">
        <v>753</v>
      </c>
      <c r="Q2828" s="122" t="s">
        <v>12421</v>
      </c>
      <c r="R2828" s="16" t="s">
        <v>8904</v>
      </c>
      <c r="S2828" s="10" t="s">
        <v>1163</v>
      </c>
      <c r="T2828" s="28" t="s">
        <v>11827</v>
      </c>
      <c r="U2828" s="20" t="s">
        <v>5359</v>
      </c>
      <c r="V2828" s="16" t="s">
        <v>4637</v>
      </c>
      <c r="W2828" s="11" t="s">
        <v>14283</v>
      </c>
      <c r="X2828" s="174">
        <v>164.52</v>
      </c>
      <c r="Y2828" s="174">
        <v>220.79</v>
      </c>
    </row>
    <row r="2829" spans="1:25" ht="15" customHeight="1" x14ac:dyDescent="0.25">
      <c r="A2829" s="20" t="s">
        <v>4639</v>
      </c>
      <c r="B2829" s="14" t="s">
        <v>5093</v>
      </c>
      <c r="C2829" s="71" t="str">
        <f t="shared" si="60"/>
        <v>Product Info</v>
      </c>
      <c r="D2829" s="37" t="s">
        <v>7614</v>
      </c>
      <c r="E2829" s="143">
        <v>3</v>
      </c>
      <c r="F2829" s="12" t="s">
        <v>4992</v>
      </c>
      <c r="G2829" s="38">
        <v>201.51</v>
      </c>
      <c r="H2829" s="38">
        <v>171.29</v>
      </c>
      <c r="I2829" s="38">
        <v>141.06</v>
      </c>
      <c r="J2829" s="39"/>
      <c r="K2829" s="12" t="s">
        <v>8905</v>
      </c>
      <c r="L2829" s="22">
        <v>2.5</v>
      </c>
      <c r="M2829" s="22" t="s">
        <v>12488</v>
      </c>
      <c r="N2829" s="20" t="s">
        <v>9358</v>
      </c>
      <c r="O2829" s="16" t="s">
        <v>12608</v>
      </c>
      <c r="P2829" s="143">
        <v>753</v>
      </c>
      <c r="Q2829" s="122" t="s">
        <v>14461</v>
      </c>
      <c r="R2829" s="16" t="s">
        <v>8904</v>
      </c>
      <c r="S2829" s="10" t="s">
        <v>1163</v>
      </c>
      <c r="T2829" s="28" t="s">
        <v>11828</v>
      </c>
      <c r="U2829" s="20" t="s">
        <v>5359</v>
      </c>
      <c r="V2829" s="16" t="s">
        <v>4639</v>
      </c>
      <c r="W2829" s="11" t="s">
        <v>14283</v>
      </c>
      <c r="X2829" s="174">
        <v>127.64</v>
      </c>
      <c r="Y2829" s="174">
        <v>171.29</v>
      </c>
    </row>
    <row r="2830" spans="1:25" ht="15" customHeight="1" x14ac:dyDescent="0.25">
      <c r="A2830" s="20" t="s">
        <v>4304</v>
      </c>
      <c r="B2830" s="14" t="s">
        <v>4305</v>
      </c>
      <c r="C2830" s="71" t="str">
        <f t="shared" si="60"/>
        <v>Product Info</v>
      </c>
      <c r="D2830" s="37" t="s">
        <v>7954</v>
      </c>
      <c r="E2830" s="143">
        <v>1</v>
      </c>
      <c r="F2830" s="12" t="s">
        <v>4992</v>
      </c>
      <c r="G2830" s="38">
        <v>190.03</v>
      </c>
      <c r="H2830" s="38">
        <v>161.53</v>
      </c>
      <c r="I2830" s="38">
        <v>133.02000000000001</v>
      </c>
      <c r="J2830" s="39"/>
      <c r="K2830" s="143"/>
      <c r="L2830" s="22">
        <v>0</v>
      </c>
      <c r="M2830" s="22">
        <v>0</v>
      </c>
      <c r="N2830" s="20" t="s">
        <v>14489</v>
      </c>
      <c r="O2830" s="16">
        <v>0</v>
      </c>
      <c r="P2830" s="143">
        <v>753</v>
      </c>
      <c r="Q2830" s="121" t="s">
        <v>14285</v>
      </c>
      <c r="R2830" s="16" t="s">
        <v>8904</v>
      </c>
      <c r="S2830" s="10" t="s">
        <v>1163</v>
      </c>
      <c r="T2830" s="28" t="s">
        <v>11829</v>
      </c>
      <c r="U2830" s="20" t="s">
        <v>5359</v>
      </c>
      <c r="V2830" s="16" t="s">
        <v>4304</v>
      </c>
      <c r="W2830" s="11" t="s">
        <v>14283</v>
      </c>
      <c r="X2830" s="174">
        <v>120.37</v>
      </c>
      <c r="Y2830" s="174">
        <v>161.53</v>
      </c>
    </row>
    <row r="2831" spans="1:25" ht="15" customHeight="1" x14ac:dyDescent="0.25">
      <c r="A2831" s="20" t="s">
        <v>13682</v>
      </c>
      <c r="B2831" s="16" t="s">
        <v>13683</v>
      </c>
      <c r="C2831" s="71" t="str">
        <f t="shared" si="60"/>
        <v>Product Info</v>
      </c>
      <c r="D2831" s="145" t="s">
        <v>14890</v>
      </c>
      <c r="E2831" s="143">
        <v>0</v>
      </c>
      <c r="F2831" s="12" t="s">
        <v>4992</v>
      </c>
      <c r="G2831" s="38">
        <v>9.31</v>
      </c>
      <c r="H2831" s="38">
        <v>7.92</v>
      </c>
      <c r="I2831" s="38">
        <v>6.52</v>
      </c>
      <c r="J2831" s="39"/>
      <c r="K2831" s="143"/>
      <c r="L2831" s="22">
        <v>4</v>
      </c>
      <c r="M2831" s="22" t="s">
        <v>12488</v>
      </c>
      <c r="N2831" s="20" t="s">
        <v>14489</v>
      </c>
      <c r="O2831" s="16" t="s">
        <v>13912</v>
      </c>
      <c r="P2831" s="143">
        <v>819</v>
      </c>
      <c r="Q2831" s="122" t="s">
        <v>9227</v>
      </c>
      <c r="R2831" s="16" t="s">
        <v>8904</v>
      </c>
      <c r="S2831" s="10" t="s">
        <v>1163</v>
      </c>
      <c r="T2831" s="28" t="s">
        <v>13879</v>
      </c>
      <c r="U2831" s="20" t="s">
        <v>5359</v>
      </c>
      <c r="V2831" s="16" t="s">
        <v>14102</v>
      </c>
      <c r="W2831" s="16" t="s">
        <v>13938</v>
      </c>
      <c r="X2831" s="174">
        <v>6.26</v>
      </c>
      <c r="Y2831" s="174">
        <v>7.92</v>
      </c>
    </row>
    <row r="2832" spans="1:25" ht="15" customHeight="1" x14ac:dyDescent="0.25">
      <c r="A2832" s="20" t="s">
        <v>4306</v>
      </c>
      <c r="B2832" s="14" t="s">
        <v>4307</v>
      </c>
      <c r="C2832" s="71" t="str">
        <f t="shared" si="60"/>
        <v>Product Info</v>
      </c>
      <c r="D2832" s="37" t="s">
        <v>7615</v>
      </c>
      <c r="E2832" s="143">
        <v>3</v>
      </c>
      <c r="F2832" s="12" t="s">
        <v>4992</v>
      </c>
      <c r="G2832" s="38">
        <v>284.64</v>
      </c>
      <c r="H2832" s="38">
        <v>241.96</v>
      </c>
      <c r="I2832" s="38">
        <v>199.25</v>
      </c>
      <c r="J2832" s="39"/>
      <c r="K2832" s="12" t="s">
        <v>8905</v>
      </c>
      <c r="L2832" s="22">
        <v>4.88</v>
      </c>
      <c r="M2832" s="22" t="s">
        <v>12488</v>
      </c>
      <c r="N2832" s="20" t="s">
        <v>9420</v>
      </c>
      <c r="O2832" s="16" t="s">
        <v>12608</v>
      </c>
      <c r="P2832" s="143">
        <v>753</v>
      </c>
      <c r="Q2832" s="122" t="s">
        <v>9227</v>
      </c>
      <c r="R2832" s="16" t="s">
        <v>8904</v>
      </c>
      <c r="S2832" s="10" t="s">
        <v>1163</v>
      </c>
      <c r="T2832" s="28" t="s">
        <v>11830</v>
      </c>
      <c r="U2832" s="20" t="s">
        <v>5359</v>
      </c>
      <c r="V2832" s="16" t="s">
        <v>4306</v>
      </c>
      <c r="W2832" s="11" t="s">
        <v>14283</v>
      </c>
      <c r="X2832" s="174">
        <v>180.31</v>
      </c>
      <c r="Y2832" s="174">
        <v>241.96</v>
      </c>
    </row>
    <row r="2833" spans="1:25" ht="15" customHeight="1" x14ac:dyDescent="0.25">
      <c r="A2833" s="20" t="s">
        <v>2326</v>
      </c>
      <c r="B2833" s="14" t="s">
        <v>2327</v>
      </c>
      <c r="C2833" s="71" t="str">
        <f t="shared" si="60"/>
        <v>Product Info</v>
      </c>
      <c r="D2833" s="37" t="s">
        <v>6782</v>
      </c>
      <c r="E2833" s="143">
        <v>3</v>
      </c>
      <c r="F2833" s="12" t="s">
        <v>4992</v>
      </c>
      <c r="G2833" s="38">
        <v>327.01</v>
      </c>
      <c r="H2833" s="38">
        <v>277.97000000000003</v>
      </c>
      <c r="I2833" s="38">
        <v>228.91</v>
      </c>
      <c r="J2833" s="39"/>
      <c r="K2833" s="143"/>
      <c r="L2833" s="22">
        <v>0</v>
      </c>
      <c r="M2833" s="22">
        <v>0</v>
      </c>
      <c r="N2833" s="20" t="s">
        <v>14489</v>
      </c>
      <c r="O2833" s="16">
        <v>0</v>
      </c>
      <c r="P2833" s="143">
        <v>753</v>
      </c>
      <c r="Q2833" s="121" t="s">
        <v>14285</v>
      </c>
      <c r="R2833" s="16" t="s">
        <v>8904</v>
      </c>
      <c r="S2833" s="10" t="s">
        <v>1163</v>
      </c>
      <c r="T2833" s="28" t="s">
        <v>11831</v>
      </c>
      <c r="U2833" s="20" t="s">
        <v>5359</v>
      </c>
      <c r="V2833" s="16" t="s">
        <v>2326</v>
      </c>
      <c r="W2833" s="11" t="s">
        <v>14283</v>
      </c>
      <c r="X2833" s="174">
        <v>207.14</v>
      </c>
      <c r="Y2833" s="174">
        <v>277.97000000000003</v>
      </c>
    </row>
    <row r="2834" spans="1:25" ht="15" customHeight="1" x14ac:dyDescent="0.25">
      <c r="A2834" s="20" t="s">
        <v>4308</v>
      </c>
      <c r="B2834" s="14" t="s">
        <v>4309</v>
      </c>
      <c r="C2834" s="71" t="str">
        <f t="shared" si="60"/>
        <v>Product Info</v>
      </c>
      <c r="D2834" s="37" t="s">
        <v>7957</v>
      </c>
      <c r="E2834" s="143">
        <v>1</v>
      </c>
      <c r="F2834" s="12" t="s">
        <v>4992</v>
      </c>
      <c r="G2834" s="38">
        <v>241.2</v>
      </c>
      <c r="H2834" s="38">
        <v>205.03</v>
      </c>
      <c r="I2834" s="38">
        <v>168.84</v>
      </c>
      <c r="J2834" s="39"/>
      <c r="K2834" s="143"/>
      <c r="L2834" s="22">
        <v>0</v>
      </c>
      <c r="M2834" s="22">
        <v>0</v>
      </c>
      <c r="N2834" s="20" t="s">
        <v>14489</v>
      </c>
      <c r="O2834" s="16">
        <v>0</v>
      </c>
      <c r="P2834" s="143">
        <v>753</v>
      </c>
      <c r="Q2834" s="122" t="s">
        <v>12421</v>
      </c>
      <c r="R2834" s="16" t="s">
        <v>8904</v>
      </c>
      <c r="S2834" s="10" t="s">
        <v>1163</v>
      </c>
      <c r="T2834" s="28" t="s">
        <v>11832</v>
      </c>
      <c r="U2834" s="20" t="s">
        <v>5359</v>
      </c>
      <c r="V2834" s="16" t="s">
        <v>4308</v>
      </c>
      <c r="W2834" s="11" t="s">
        <v>14283</v>
      </c>
      <c r="X2834" s="174">
        <v>152.78</v>
      </c>
      <c r="Y2834" s="174">
        <v>205.03</v>
      </c>
    </row>
    <row r="2835" spans="1:25" ht="15" customHeight="1" x14ac:dyDescent="0.25">
      <c r="A2835" s="20" t="s">
        <v>4310</v>
      </c>
      <c r="B2835" s="14" t="s">
        <v>4311</v>
      </c>
      <c r="C2835" s="71" t="str">
        <f t="shared" si="60"/>
        <v>Product Info</v>
      </c>
      <c r="D2835" s="37" t="s">
        <v>7616</v>
      </c>
      <c r="E2835" s="143">
        <v>3</v>
      </c>
      <c r="F2835" s="12" t="s">
        <v>4992</v>
      </c>
      <c r="G2835" s="38">
        <v>257.54000000000002</v>
      </c>
      <c r="H2835" s="38">
        <v>218.92</v>
      </c>
      <c r="I2835" s="38">
        <v>180.28</v>
      </c>
      <c r="J2835" s="39"/>
      <c r="K2835" s="12" t="s">
        <v>8905</v>
      </c>
      <c r="L2835" s="22">
        <v>2.19</v>
      </c>
      <c r="M2835" s="22" t="s">
        <v>12488</v>
      </c>
      <c r="N2835" s="20" t="s">
        <v>9489</v>
      </c>
      <c r="O2835" s="16" t="s">
        <v>12608</v>
      </c>
      <c r="P2835" s="143">
        <v>753</v>
      </c>
      <c r="Q2835" s="122" t="s">
        <v>9227</v>
      </c>
      <c r="R2835" s="16" t="s">
        <v>8904</v>
      </c>
      <c r="S2835" s="10" t="s">
        <v>1163</v>
      </c>
      <c r="T2835" s="28" t="s">
        <v>11833</v>
      </c>
      <c r="U2835" s="20" t="s">
        <v>5359</v>
      </c>
      <c r="V2835" s="16" t="s">
        <v>4310</v>
      </c>
      <c r="W2835" s="11" t="s">
        <v>14283</v>
      </c>
      <c r="X2835" s="174">
        <v>163.13</v>
      </c>
      <c r="Y2835" s="174">
        <v>218.92</v>
      </c>
    </row>
    <row r="2836" spans="1:25" ht="15" customHeight="1" x14ac:dyDescent="0.25">
      <c r="A2836" s="20" t="s">
        <v>4312</v>
      </c>
      <c r="B2836" s="14" t="s">
        <v>5426</v>
      </c>
      <c r="C2836" s="71" t="str">
        <f t="shared" si="60"/>
        <v>Product Info</v>
      </c>
      <c r="D2836" s="37" t="s">
        <v>2794</v>
      </c>
      <c r="E2836" s="143">
        <v>3</v>
      </c>
      <c r="F2836" s="12" t="s">
        <v>4992</v>
      </c>
      <c r="G2836" s="38">
        <v>274.08999999999997</v>
      </c>
      <c r="H2836" s="38">
        <v>232.98</v>
      </c>
      <c r="I2836" s="38">
        <v>191.86</v>
      </c>
      <c r="J2836" s="39"/>
      <c r="K2836" s="143"/>
      <c r="L2836" s="22">
        <v>0</v>
      </c>
      <c r="M2836" s="22">
        <v>0</v>
      </c>
      <c r="N2836" s="20" t="s">
        <v>14489</v>
      </c>
      <c r="O2836" s="16">
        <v>0</v>
      </c>
      <c r="P2836" s="143">
        <v>753</v>
      </c>
      <c r="Q2836" s="121" t="s">
        <v>14285</v>
      </c>
      <c r="R2836" s="16" t="s">
        <v>8904</v>
      </c>
      <c r="S2836" s="10" t="s">
        <v>1163</v>
      </c>
      <c r="T2836" s="28" t="s">
        <v>11834</v>
      </c>
      <c r="U2836" s="20" t="s">
        <v>5359</v>
      </c>
      <c r="V2836" s="16" t="s">
        <v>4312</v>
      </c>
      <c r="W2836" s="11" t="s">
        <v>14283</v>
      </c>
      <c r="X2836" s="174">
        <v>173.61</v>
      </c>
      <c r="Y2836" s="174">
        <v>232.98</v>
      </c>
    </row>
    <row r="2837" spans="1:25" ht="15" customHeight="1" x14ac:dyDescent="0.25">
      <c r="A2837" s="20" t="s">
        <v>5427</v>
      </c>
      <c r="B2837" s="14" t="s">
        <v>5428</v>
      </c>
      <c r="C2837" s="71" t="str">
        <f t="shared" si="60"/>
        <v>Product Info</v>
      </c>
      <c r="D2837" s="37" t="s">
        <v>7955</v>
      </c>
      <c r="E2837" s="143">
        <v>1</v>
      </c>
      <c r="F2837" s="12" t="s">
        <v>4992</v>
      </c>
      <c r="G2837" s="38">
        <v>215.93</v>
      </c>
      <c r="H2837" s="38">
        <v>183.55</v>
      </c>
      <c r="I2837" s="38">
        <v>151.15</v>
      </c>
      <c r="J2837" s="39"/>
      <c r="K2837" s="143"/>
      <c r="L2837" s="22">
        <v>0</v>
      </c>
      <c r="M2837" s="22">
        <v>0</v>
      </c>
      <c r="N2837" s="20" t="s">
        <v>14489</v>
      </c>
      <c r="O2837" s="16">
        <v>0</v>
      </c>
      <c r="P2837" s="143">
        <v>753</v>
      </c>
      <c r="Q2837" s="121" t="s">
        <v>14285</v>
      </c>
      <c r="R2837" s="16" t="s">
        <v>8904</v>
      </c>
      <c r="S2837" s="10" t="s">
        <v>1163</v>
      </c>
      <c r="T2837" s="28" t="s">
        <v>11835</v>
      </c>
      <c r="U2837" s="20" t="s">
        <v>5359</v>
      </c>
      <c r="V2837" s="16" t="s">
        <v>5427</v>
      </c>
      <c r="W2837" s="11" t="s">
        <v>14283</v>
      </c>
      <c r="X2837" s="174">
        <v>136.78</v>
      </c>
      <c r="Y2837" s="174">
        <v>183.55</v>
      </c>
    </row>
    <row r="2838" spans="1:25" ht="15" customHeight="1" x14ac:dyDescent="0.25">
      <c r="A2838" s="20" t="s">
        <v>7808</v>
      </c>
      <c r="B2838" s="14" t="s">
        <v>7809</v>
      </c>
      <c r="C2838" s="71" t="str">
        <f t="shared" si="60"/>
        <v>Product Info</v>
      </c>
      <c r="D2838" s="37" t="s">
        <v>7617</v>
      </c>
      <c r="E2838" s="143">
        <v>3</v>
      </c>
      <c r="F2838" s="12" t="s">
        <v>4992</v>
      </c>
      <c r="G2838" s="38">
        <v>353.03</v>
      </c>
      <c r="H2838" s="38">
        <v>300.08999999999997</v>
      </c>
      <c r="I2838" s="38">
        <v>247.12</v>
      </c>
      <c r="J2838" s="39"/>
      <c r="K2838" s="12" t="s">
        <v>8905</v>
      </c>
      <c r="L2838" s="22">
        <v>5.0999999999999996</v>
      </c>
      <c r="M2838" s="22" t="s">
        <v>14396</v>
      </c>
      <c r="N2838" s="20" t="s">
        <v>9490</v>
      </c>
      <c r="O2838" s="16" t="s">
        <v>12608</v>
      </c>
      <c r="P2838" s="143">
        <v>753</v>
      </c>
      <c r="Q2838" s="122" t="s">
        <v>9227</v>
      </c>
      <c r="R2838" s="16" t="s">
        <v>8904</v>
      </c>
      <c r="S2838" s="10" t="s">
        <v>1163</v>
      </c>
      <c r="T2838" s="28" t="s">
        <v>11836</v>
      </c>
      <c r="U2838" s="20" t="s">
        <v>5359</v>
      </c>
      <c r="V2838" s="16" t="s">
        <v>7808</v>
      </c>
      <c r="W2838" s="11" t="s">
        <v>14283</v>
      </c>
      <c r="X2838" s="174">
        <v>223.61</v>
      </c>
      <c r="Y2838" s="174">
        <v>300.08999999999997</v>
      </c>
    </row>
    <row r="2839" spans="1:25" ht="15" customHeight="1" x14ac:dyDescent="0.25">
      <c r="A2839" s="20" t="s">
        <v>7810</v>
      </c>
      <c r="B2839" s="14" t="s">
        <v>7811</v>
      </c>
      <c r="C2839" s="71" t="str">
        <f t="shared" si="60"/>
        <v>Product Info</v>
      </c>
      <c r="D2839" s="37" t="s">
        <v>2314</v>
      </c>
      <c r="E2839" s="143">
        <v>3</v>
      </c>
      <c r="F2839" s="12" t="s">
        <v>4992</v>
      </c>
      <c r="G2839" s="38">
        <v>360.7</v>
      </c>
      <c r="H2839" s="38">
        <v>306.61</v>
      </c>
      <c r="I2839" s="38">
        <v>252.49</v>
      </c>
      <c r="J2839" s="39"/>
      <c r="K2839" s="143"/>
      <c r="L2839" s="22">
        <v>0</v>
      </c>
      <c r="M2839" s="22">
        <v>0</v>
      </c>
      <c r="N2839" s="20" t="s">
        <v>14489</v>
      </c>
      <c r="O2839" s="16">
        <v>0</v>
      </c>
      <c r="P2839" s="143">
        <v>753</v>
      </c>
      <c r="Q2839" s="121" t="s">
        <v>14285</v>
      </c>
      <c r="R2839" s="16" t="s">
        <v>8904</v>
      </c>
      <c r="S2839" s="10" t="s">
        <v>1163</v>
      </c>
      <c r="T2839" s="28" t="s">
        <v>11837</v>
      </c>
      <c r="U2839" s="20" t="s">
        <v>5359</v>
      </c>
      <c r="V2839" s="16" t="s">
        <v>7810</v>
      </c>
      <c r="W2839" s="11" t="s">
        <v>14283</v>
      </c>
      <c r="X2839" s="174">
        <v>228.48</v>
      </c>
      <c r="Y2839" s="174">
        <v>306.61</v>
      </c>
    </row>
    <row r="2840" spans="1:25" ht="15" customHeight="1" x14ac:dyDescent="0.25">
      <c r="A2840" s="20" t="s">
        <v>7812</v>
      </c>
      <c r="B2840" s="14" t="s">
        <v>7813</v>
      </c>
      <c r="C2840" s="71" t="str">
        <f t="shared" si="60"/>
        <v>Product Info</v>
      </c>
      <c r="D2840" s="37" t="s">
        <v>2772</v>
      </c>
      <c r="E2840" s="143">
        <v>3</v>
      </c>
      <c r="F2840" s="12" t="s">
        <v>4992</v>
      </c>
      <c r="G2840" s="38">
        <v>367.21</v>
      </c>
      <c r="H2840" s="38">
        <v>312.14</v>
      </c>
      <c r="I2840" s="38">
        <v>257.05</v>
      </c>
      <c r="J2840" s="39"/>
      <c r="K2840" s="143"/>
      <c r="L2840" s="22">
        <v>0</v>
      </c>
      <c r="M2840" s="22">
        <v>0</v>
      </c>
      <c r="N2840" s="20" t="s">
        <v>14489</v>
      </c>
      <c r="O2840" s="16">
        <v>0</v>
      </c>
      <c r="P2840" s="143">
        <v>753</v>
      </c>
      <c r="Q2840" s="121" t="s">
        <v>14285</v>
      </c>
      <c r="R2840" s="16" t="s">
        <v>8904</v>
      </c>
      <c r="S2840" s="10" t="s">
        <v>1163</v>
      </c>
      <c r="T2840" s="28" t="s">
        <v>11838</v>
      </c>
      <c r="U2840" s="20" t="s">
        <v>5359</v>
      </c>
      <c r="V2840" s="16" t="s">
        <v>7812</v>
      </c>
      <c r="W2840" s="11" t="s">
        <v>14283</v>
      </c>
      <c r="X2840" s="174">
        <v>232.6</v>
      </c>
      <c r="Y2840" s="174">
        <v>312.14</v>
      </c>
    </row>
    <row r="2841" spans="1:25" ht="15" customHeight="1" x14ac:dyDescent="0.25">
      <c r="A2841" s="20" t="s">
        <v>12664</v>
      </c>
      <c r="B2841" s="16" t="s">
        <v>12665</v>
      </c>
      <c r="C2841" s="71" t="str">
        <f t="shared" si="60"/>
        <v>Product Info</v>
      </c>
      <c r="D2841" s="37" t="s">
        <v>12923</v>
      </c>
      <c r="E2841" s="143">
        <v>3</v>
      </c>
      <c r="F2841" s="12" t="s">
        <v>4992</v>
      </c>
      <c r="G2841" s="38">
        <v>392.3</v>
      </c>
      <c r="H2841" s="38">
        <v>333.47</v>
      </c>
      <c r="I2841" s="38">
        <v>274.61</v>
      </c>
      <c r="J2841" s="39"/>
      <c r="K2841" s="143"/>
      <c r="L2841" s="22">
        <v>0</v>
      </c>
      <c r="M2841" s="22">
        <v>0</v>
      </c>
      <c r="N2841" s="20" t="s">
        <v>14489</v>
      </c>
      <c r="O2841" s="16">
        <v>0</v>
      </c>
      <c r="P2841" s="143">
        <v>753</v>
      </c>
      <c r="Q2841" s="121" t="s">
        <v>14285</v>
      </c>
      <c r="R2841" s="16" t="s">
        <v>8904</v>
      </c>
      <c r="S2841" s="10" t="s">
        <v>1163</v>
      </c>
      <c r="T2841" s="28" t="s">
        <v>12975</v>
      </c>
      <c r="U2841" s="20" t="s">
        <v>5359</v>
      </c>
      <c r="V2841" s="16" t="s">
        <v>12664</v>
      </c>
      <c r="W2841" s="11" t="s">
        <v>14283</v>
      </c>
      <c r="X2841" s="174">
        <v>248.49</v>
      </c>
      <c r="Y2841" s="174">
        <v>333.47</v>
      </c>
    </row>
    <row r="2842" spans="1:25" ht="15" customHeight="1" x14ac:dyDescent="0.25">
      <c r="A2842" s="20" t="s">
        <v>7814</v>
      </c>
      <c r="B2842" s="14" t="s">
        <v>3920</v>
      </c>
      <c r="C2842" s="71" t="str">
        <f t="shared" si="60"/>
        <v>Product Info</v>
      </c>
      <c r="D2842" s="37" t="s">
        <v>7730</v>
      </c>
      <c r="E2842" s="143">
        <v>1</v>
      </c>
      <c r="F2842" s="12" t="s">
        <v>4992</v>
      </c>
      <c r="G2842" s="38">
        <v>303.29000000000002</v>
      </c>
      <c r="H2842" s="38">
        <v>257.8</v>
      </c>
      <c r="I2842" s="38">
        <v>212.3</v>
      </c>
      <c r="J2842" s="39"/>
      <c r="K2842" s="143"/>
      <c r="L2842" s="22">
        <v>0</v>
      </c>
      <c r="M2842" s="22">
        <v>0</v>
      </c>
      <c r="N2842" s="20" t="s">
        <v>14489</v>
      </c>
      <c r="O2842" s="16">
        <v>0</v>
      </c>
      <c r="P2842" s="143">
        <v>753</v>
      </c>
      <c r="Q2842" s="122" t="s">
        <v>12421</v>
      </c>
      <c r="R2842" s="16" t="s">
        <v>8904</v>
      </c>
      <c r="S2842" s="10" t="s">
        <v>1163</v>
      </c>
      <c r="T2842" s="28" t="s">
        <v>11839</v>
      </c>
      <c r="U2842" s="20" t="s">
        <v>5359</v>
      </c>
      <c r="V2842" s="16" t="s">
        <v>7814</v>
      </c>
      <c r="W2842" s="11" t="s">
        <v>14283</v>
      </c>
      <c r="X2842" s="174">
        <v>192.12</v>
      </c>
      <c r="Y2842" s="174">
        <v>257.8</v>
      </c>
    </row>
    <row r="2843" spans="1:25" ht="15" customHeight="1" x14ac:dyDescent="0.25">
      <c r="A2843" s="20" t="s">
        <v>6138</v>
      </c>
      <c r="B2843" s="14" t="s">
        <v>5092</v>
      </c>
      <c r="C2843" s="71" t="str">
        <f t="shared" si="60"/>
        <v>Product Info</v>
      </c>
      <c r="D2843" s="37" t="s">
        <v>4340</v>
      </c>
      <c r="E2843" s="143">
        <v>1</v>
      </c>
      <c r="F2843" s="12" t="s">
        <v>4992</v>
      </c>
      <c r="G2843" s="38">
        <v>342.54</v>
      </c>
      <c r="H2843" s="38">
        <v>291.17</v>
      </c>
      <c r="I2843" s="38">
        <v>239.78</v>
      </c>
      <c r="J2843" s="39"/>
      <c r="K2843" s="143"/>
      <c r="L2843" s="22">
        <v>0</v>
      </c>
      <c r="M2843" s="22">
        <v>0</v>
      </c>
      <c r="N2843" s="20" t="s">
        <v>14489</v>
      </c>
      <c r="O2843" s="16">
        <v>0</v>
      </c>
      <c r="P2843" s="143">
        <v>753</v>
      </c>
      <c r="Q2843" s="121" t="s">
        <v>14285</v>
      </c>
      <c r="R2843" s="16" t="s">
        <v>8904</v>
      </c>
      <c r="S2843" s="10" t="s">
        <v>1163</v>
      </c>
      <c r="T2843" s="28" t="s">
        <v>11840</v>
      </c>
      <c r="U2843" s="20" t="s">
        <v>5359</v>
      </c>
      <c r="V2843" s="16" t="s">
        <v>6138</v>
      </c>
      <c r="W2843" s="11" t="s">
        <v>14283</v>
      </c>
      <c r="X2843" s="174">
        <v>216.98</v>
      </c>
      <c r="Y2843" s="174">
        <v>291.17</v>
      </c>
    </row>
    <row r="2844" spans="1:25" ht="15" customHeight="1" x14ac:dyDescent="0.25">
      <c r="A2844" s="20" t="s">
        <v>3921</v>
      </c>
      <c r="B2844" s="14" t="s">
        <v>3922</v>
      </c>
      <c r="C2844" s="71" t="str">
        <f t="shared" si="60"/>
        <v>Product Info</v>
      </c>
      <c r="D2844" s="37" t="s">
        <v>5774</v>
      </c>
      <c r="E2844" s="143">
        <v>3</v>
      </c>
      <c r="F2844" s="12" t="s">
        <v>4992</v>
      </c>
      <c r="G2844" s="38">
        <v>369.67</v>
      </c>
      <c r="H2844" s="38">
        <v>314.23</v>
      </c>
      <c r="I2844" s="38">
        <v>258.77</v>
      </c>
      <c r="J2844" s="39"/>
      <c r="K2844" s="143"/>
      <c r="L2844" s="22">
        <v>7</v>
      </c>
      <c r="M2844" s="22" t="s">
        <v>12488</v>
      </c>
      <c r="N2844" s="20" t="s">
        <v>9491</v>
      </c>
      <c r="O2844" s="16" t="s">
        <v>12608</v>
      </c>
      <c r="P2844" s="143">
        <v>753</v>
      </c>
      <c r="Q2844" s="122" t="s">
        <v>12421</v>
      </c>
      <c r="R2844" s="16" t="s">
        <v>8904</v>
      </c>
      <c r="S2844" s="10" t="s">
        <v>1163</v>
      </c>
      <c r="T2844" s="28" t="s">
        <v>11841</v>
      </c>
      <c r="U2844" s="20" t="s">
        <v>5359</v>
      </c>
      <c r="V2844" s="16" t="s">
        <v>3921</v>
      </c>
      <c r="W2844" s="11" t="s">
        <v>14283</v>
      </c>
      <c r="X2844" s="174">
        <v>234.15</v>
      </c>
      <c r="Y2844" s="174">
        <v>314.23</v>
      </c>
    </row>
    <row r="2845" spans="1:25" ht="15" customHeight="1" x14ac:dyDescent="0.25">
      <c r="A2845" s="20" t="s">
        <v>3923</v>
      </c>
      <c r="B2845" s="14" t="s">
        <v>3924</v>
      </c>
      <c r="C2845" s="71" t="str">
        <f t="shared" si="60"/>
        <v>Product Info</v>
      </c>
      <c r="D2845" s="37" t="s">
        <v>7956</v>
      </c>
      <c r="E2845" s="143">
        <v>1</v>
      </c>
      <c r="F2845" s="12" t="s">
        <v>4992</v>
      </c>
      <c r="G2845" s="38">
        <v>308.73</v>
      </c>
      <c r="H2845" s="38">
        <v>262.43</v>
      </c>
      <c r="I2845" s="38">
        <v>216.11</v>
      </c>
      <c r="J2845" s="39"/>
      <c r="K2845" s="143"/>
      <c r="L2845" s="22">
        <v>0</v>
      </c>
      <c r="M2845" s="22">
        <v>0</v>
      </c>
      <c r="N2845" s="20" t="s">
        <v>14489</v>
      </c>
      <c r="O2845" s="16">
        <v>0</v>
      </c>
      <c r="P2845" s="143">
        <v>753</v>
      </c>
      <c r="Q2845" s="121" t="s">
        <v>14285</v>
      </c>
      <c r="R2845" s="16" t="s">
        <v>8904</v>
      </c>
      <c r="S2845" s="10" t="s">
        <v>1163</v>
      </c>
      <c r="T2845" s="28" t="s">
        <v>11842</v>
      </c>
      <c r="U2845" s="20" t="s">
        <v>5359</v>
      </c>
      <c r="V2845" s="16" t="s">
        <v>3923</v>
      </c>
      <c r="W2845" s="11" t="s">
        <v>14283</v>
      </c>
      <c r="X2845" s="174">
        <v>195.56</v>
      </c>
      <c r="Y2845" s="174">
        <v>262.43</v>
      </c>
    </row>
    <row r="2846" spans="1:25" ht="15" customHeight="1" x14ac:dyDescent="0.25">
      <c r="A2846" s="20" t="s">
        <v>3925</v>
      </c>
      <c r="B2846" s="14" t="s">
        <v>3926</v>
      </c>
      <c r="C2846" s="71" t="str">
        <f t="shared" si="60"/>
        <v>Product Info</v>
      </c>
      <c r="D2846" s="37" t="s">
        <v>5775</v>
      </c>
      <c r="E2846" s="143">
        <v>3</v>
      </c>
      <c r="F2846" s="12" t="s">
        <v>4992</v>
      </c>
      <c r="G2846" s="38">
        <v>471.61</v>
      </c>
      <c r="H2846" s="38">
        <v>400.89</v>
      </c>
      <c r="I2846" s="38">
        <v>330.13</v>
      </c>
      <c r="J2846" s="39"/>
      <c r="K2846" s="12" t="s">
        <v>8905</v>
      </c>
      <c r="L2846" s="22">
        <v>9</v>
      </c>
      <c r="M2846" s="22" t="s">
        <v>12488</v>
      </c>
      <c r="N2846" s="20" t="s">
        <v>9492</v>
      </c>
      <c r="O2846" s="16" t="s">
        <v>12608</v>
      </c>
      <c r="P2846" s="143">
        <v>753</v>
      </c>
      <c r="Q2846" s="122" t="s">
        <v>14461</v>
      </c>
      <c r="R2846" s="16" t="s">
        <v>8904</v>
      </c>
      <c r="S2846" s="10" t="s">
        <v>1163</v>
      </c>
      <c r="T2846" s="28" t="s">
        <v>11843</v>
      </c>
      <c r="U2846" s="20" t="s">
        <v>5359</v>
      </c>
      <c r="V2846" s="16" t="s">
        <v>3925</v>
      </c>
      <c r="W2846" s="11" t="s">
        <v>14283</v>
      </c>
      <c r="X2846" s="174">
        <v>298.72000000000003</v>
      </c>
      <c r="Y2846" s="174">
        <v>400.89</v>
      </c>
    </row>
    <row r="2847" spans="1:25" ht="15" customHeight="1" x14ac:dyDescent="0.25">
      <c r="A2847" s="20" t="s">
        <v>2328</v>
      </c>
      <c r="B2847" s="14" t="s">
        <v>2329</v>
      </c>
      <c r="C2847" s="71" t="str">
        <f t="shared" si="60"/>
        <v>Product Info</v>
      </c>
      <c r="D2847" s="37" t="s">
        <v>4341</v>
      </c>
      <c r="E2847" s="143">
        <v>3</v>
      </c>
      <c r="F2847" s="12" t="s">
        <v>4992</v>
      </c>
      <c r="G2847" s="38">
        <v>526.97</v>
      </c>
      <c r="H2847" s="38">
        <v>447.94</v>
      </c>
      <c r="I2847" s="38">
        <v>368.88</v>
      </c>
      <c r="J2847" s="39"/>
      <c r="K2847" s="143"/>
      <c r="L2847" s="22">
        <v>0</v>
      </c>
      <c r="M2847" s="22">
        <v>0</v>
      </c>
      <c r="N2847" s="20" t="s">
        <v>14489</v>
      </c>
      <c r="O2847" s="16">
        <v>0</v>
      </c>
      <c r="P2847" s="143">
        <v>753</v>
      </c>
      <c r="Q2847" s="121" t="s">
        <v>14285</v>
      </c>
      <c r="R2847" s="16" t="s">
        <v>8904</v>
      </c>
      <c r="S2847" s="10" t="s">
        <v>1163</v>
      </c>
      <c r="T2847" s="28" t="s">
        <v>11844</v>
      </c>
      <c r="U2847" s="20" t="s">
        <v>5359</v>
      </c>
      <c r="V2847" s="16" t="s">
        <v>2328</v>
      </c>
      <c r="W2847" s="11" t="s">
        <v>14283</v>
      </c>
      <c r="X2847" s="174">
        <v>333.8</v>
      </c>
      <c r="Y2847" s="174">
        <v>447.94</v>
      </c>
    </row>
    <row r="2848" spans="1:25" ht="15" customHeight="1" x14ac:dyDescent="0.25">
      <c r="A2848" s="20" t="s">
        <v>3927</v>
      </c>
      <c r="B2848" s="14" t="s">
        <v>3928</v>
      </c>
      <c r="C2848" s="71" t="str">
        <f t="shared" si="60"/>
        <v>Product Info</v>
      </c>
      <c r="D2848" s="37" t="s">
        <v>7731</v>
      </c>
      <c r="E2848" s="143">
        <v>1</v>
      </c>
      <c r="F2848" s="12" t="s">
        <v>4992</v>
      </c>
      <c r="G2848" s="38">
        <v>386.04</v>
      </c>
      <c r="H2848" s="38">
        <v>328.15</v>
      </c>
      <c r="I2848" s="38">
        <v>270.23</v>
      </c>
      <c r="J2848" s="39"/>
      <c r="K2848" s="143"/>
      <c r="L2848" s="22">
        <v>0</v>
      </c>
      <c r="M2848" s="22">
        <v>0</v>
      </c>
      <c r="N2848" s="20" t="s">
        <v>14489</v>
      </c>
      <c r="O2848" s="16">
        <v>0</v>
      </c>
      <c r="P2848" s="143">
        <v>753</v>
      </c>
      <c r="Q2848" s="122" t="s">
        <v>12421</v>
      </c>
      <c r="R2848" s="16" t="s">
        <v>8904</v>
      </c>
      <c r="S2848" s="10" t="s">
        <v>1163</v>
      </c>
      <c r="T2848" s="28" t="s">
        <v>11845</v>
      </c>
      <c r="U2848" s="20" t="s">
        <v>5359</v>
      </c>
      <c r="V2848" s="16" t="s">
        <v>3927</v>
      </c>
      <c r="W2848" s="11" t="s">
        <v>14283</v>
      </c>
      <c r="X2848" s="174">
        <v>244.53</v>
      </c>
      <c r="Y2848" s="174">
        <v>328.15</v>
      </c>
    </row>
    <row r="2849" spans="1:25" ht="15" customHeight="1" x14ac:dyDescent="0.25">
      <c r="A2849" s="20" t="s">
        <v>1364</v>
      </c>
      <c r="B2849" s="14" t="s">
        <v>2330</v>
      </c>
      <c r="C2849" s="71" t="str">
        <f t="shared" si="60"/>
        <v>Product Info</v>
      </c>
      <c r="D2849" s="37" t="s">
        <v>1365</v>
      </c>
      <c r="E2849" s="143">
        <v>1</v>
      </c>
      <c r="F2849" s="12" t="s">
        <v>4992</v>
      </c>
      <c r="G2849" s="38">
        <v>440.91</v>
      </c>
      <c r="H2849" s="38">
        <v>374.79</v>
      </c>
      <c r="I2849" s="38">
        <v>308.64</v>
      </c>
      <c r="J2849" s="39"/>
      <c r="K2849" s="143"/>
      <c r="L2849" s="22">
        <v>0</v>
      </c>
      <c r="M2849" s="22">
        <v>0</v>
      </c>
      <c r="N2849" s="20" t="s">
        <v>14489</v>
      </c>
      <c r="O2849" s="16">
        <v>0</v>
      </c>
      <c r="P2849" s="143">
        <v>753</v>
      </c>
      <c r="Q2849" s="121" t="s">
        <v>14285</v>
      </c>
      <c r="R2849" s="16" t="s">
        <v>8904</v>
      </c>
      <c r="S2849" s="10" t="s">
        <v>1163</v>
      </c>
      <c r="T2849" s="28" t="s">
        <v>11846</v>
      </c>
      <c r="U2849" s="20" t="s">
        <v>5359</v>
      </c>
      <c r="V2849" s="16" t="s">
        <v>1364</v>
      </c>
      <c r="W2849" s="11" t="s">
        <v>14283</v>
      </c>
      <c r="X2849" s="174">
        <v>279.27999999999997</v>
      </c>
      <c r="Y2849" s="174">
        <v>374.79</v>
      </c>
    </row>
    <row r="2850" spans="1:25" ht="15" customHeight="1" x14ac:dyDescent="0.25">
      <c r="A2850" s="20" t="s">
        <v>5471</v>
      </c>
      <c r="B2850" s="14" t="s">
        <v>5472</v>
      </c>
      <c r="C2850" s="71" t="str">
        <f t="shared" si="60"/>
        <v>Product Info</v>
      </c>
      <c r="D2850" s="37" t="s">
        <v>4955</v>
      </c>
      <c r="E2850" s="143">
        <v>3</v>
      </c>
      <c r="F2850" s="12" t="s">
        <v>4992</v>
      </c>
      <c r="G2850" s="38">
        <v>573.36</v>
      </c>
      <c r="H2850" s="38">
        <v>487.37</v>
      </c>
      <c r="I2850" s="38">
        <v>401.35</v>
      </c>
      <c r="J2850" s="39"/>
      <c r="K2850" s="143"/>
      <c r="L2850" s="22">
        <v>0</v>
      </c>
      <c r="M2850" s="22">
        <v>0</v>
      </c>
      <c r="N2850" s="20" t="s">
        <v>14489</v>
      </c>
      <c r="O2850" s="16">
        <v>0</v>
      </c>
      <c r="P2850" s="143">
        <v>753</v>
      </c>
      <c r="Q2850" s="121" t="s">
        <v>14285</v>
      </c>
      <c r="R2850" s="16" t="s">
        <v>8904</v>
      </c>
      <c r="S2850" s="10" t="s">
        <v>1163</v>
      </c>
      <c r="T2850" s="28" t="s">
        <v>11847</v>
      </c>
      <c r="U2850" s="20" t="s">
        <v>5359</v>
      </c>
      <c r="V2850" s="16" t="s">
        <v>8574</v>
      </c>
      <c r="W2850" s="11" t="s">
        <v>14283</v>
      </c>
      <c r="X2850" s="174">
        <v>363.18</v>
      </c>
      <c r="Y2850" s="174">
        <v>487.37</v>
      </c>
    </row>
    <row r="2851" spans="1:25" ht="15" customHeight="1" x14ac:dyDescent="0.25">
      <c r="A2851" s="20" t="s">
        <v>3929</v>
      </c>
      <c r="B2851" s="14" t="s">
        <v>3930</v>
      </c>
      <c r="C2851" s="71" t="str">
        <f t="shared" si="60"/>
        <v>Product Info</v>
      </c>
      <c r="D2851" s="37" t="s">
        <v>5776</v>
      </c>
      <c r="E2851" s="143">
        <v>3</v>
      </c>
      <c r="F2851" s="12" t="s">
        <v>4992</v>
      </c>
      <c r="G2851" s="38">
        <v>77.86</v>
      </c>
      <c r="H2851" s="38">
        <v>66.180000000000007</v>
      </c>
      <c r="I2851" s="38">
        <v>54.5</v>
      </c>
      <c r="J2851" s="39"/>
      <c r="K2851" s="12" t="s">
        <v>8905</v>
      </c>
      <c r="L2851" s="22">
        <v>1.86</v>
      </c>
      <c r="M2851" s="22" t="s">
        <v>12488</v>
      </c>
      <c r="N2851" s="20" t="s">
        <v>9358</v>
      </c>
      <c r="O2851" s="16" t="s">
        <v>12608</v>
      </c>
      <c r="P2851" s="143">
        <v>753</v>
      </c>
      <c r="Q2851" s="122" t="s">
        <v>9227</v>
      </c>
      <c r="R2851" s="16" t="s">
        <v>8904</v>
      </c>
      <c r="S2851" s="10" t="s">
        <v>1163</v>
      </c>
      <c r="T2851" s="28" t="s">
        <v>11848</v>
      </c>
      <c r="U2851" s="20" t="s">
        <v>5359</v>
      </c>
      <c r="V2851" s="16" t="s">
        <v>3929</v>
      </c>
      <c r="W2851" s="11" t="s">
        <v>14283</v>
      </c>
      <c r="X2851" s="174">
        <v>49.32</v>
      </c>
      <c r="Y2851" s="174">
        <v>66.180000000000007</v>
      </c>
    </row>
    <row r="2852" spans="1:25" ht="15" customHeight="1" x14ac:dyDescent="0.25">
      <c r="A2852" s="20" t="s">
        <v>3931</v>
      </c>
      <c r="B2852" s="14" t="s">
        <v>3932</v>
      </c>
      <c r="C2852" s="71" t="str">
        <f t="shared" si="60"/>
        <v>Product Info</v>
      </c>
      <c r="D2852" s="37" t="s">
        <v>2176</v>
      </c>
      <c r="E2852" s="143">
        <v>3</v>
      </c>
      <c r="F2852" s="12" t="s">
        <v>4992</v>
      </c>
      <c r="G2852" s="38">
        <v>81.540000000000006</v>
      </c>
      <c r="H2852" s="38">
        <v>69.31</v>
      </c>
      <c r="I2852" s="38">
        <v>57.08</v>
      </c>
      <c r="J2852" s="39"/>
      <c r="K2852" s="143"/>
      <c r="L2852" s="22">
        <v>0</v>
      </c>
      <c r="M2852" s="22">
        <v>0</v>
      </c>
      <c r="N2852" s="20" t="s">
        <v>14489</v>
      </c>
      <c r="O2852" s="16">
        <v>0</v>
      </c>
      <c r="P2852" s="143">
        <v>753</v>
      </c>
      <c r="Q2852" s="121" t="s">
        <v>14285</v>
      </c>
      <c r="R2852" s="16" t="s">
        <v>8904</v>
      </c>
      <c r="S2852" s="10" t="s">
        <v>1163</v>
      </c>
      <c r="T2852" s="28" t="s">
        <v>11849</v>
      </c>
      <c r="U2852" s="20" t="s">
        <v>5359</v>
      </c>
      <c r="V2852" s="16" t="s">
        <v>3931</v>
      </c>
      <c r="W2852" s="11" t="s">
        <v>14283</v>
      </c>
      <c r="X2852" s="174">
        <v>51.66</v>
      </c>
      <c r="Y2852" s="174">
        <v>69.31</v>
      </c>
    </row>
    <row r="2853" spans="1:25" ht="15" customHeight="1" x14ac:dyDescent="0.25">
      <c r="A2853" s="20" t="s">
        <v>3933</v>
      </c>
      <c r="B2853" s="14" t="s">
        <v>3934</v>
      </c>
      <c r="C2853" s="71" t="str">
        <f t="shared" si="60"/>
        <v>Product Info</v>
      </c>
      <c r="D2853" s="37" t="s">
        <v>2795</v>
      </c>
      <c r="E2853" s="143">
        <v>3</v>
      </c>
      <c r="F2853" s="12" t="s">
        <v>4992</v>
      </c>
      <c r="G2853" s="38">
        <v>83.01</v>
      </c>
      <c r="H2853" s="38">
        <v>70.56</v>
      </c>
      <c r="I2853" s="38">
        <v>58.11</v>
      </c>
      <c r="J2853" s="39"/>
      <c r="K2853" s="143"/>
      <c r="L2853" s="22">
        <v>0</v>
      </c>
      <c r="M2853" s="22">
        <v>0</v>
      </c>
      <c r="N2853" s="20" t="s">
        <v>14489</v>
      </c>
      <c r="O2853" s="16">
        <v>0</v>
      </c>
      <c r="P2853" s="143">
        <v>753</v>
      </c>
      <c r="Q2853" s="121" t="s">
        <v>14285</v>
      </c>
      <c r="R2853" s="16" t="s">
        <v>8904</v>
      </c>
      <c r="S2853" s="10" t="s">
        <v>1163</v>
      </c>
      <c r="T2853" s="28" t="s">
        <v>11850</v>
      </c>
      <c r="U2853" s="20" t="s">
        <v>5359</v>
      </c>
      <c r="V2853" s="16" t="s">
        <v>3933</v>
      </c>
      <c r="W2853" s="11" t="s">
        <v>14283</v>
      </c>
      <c r="X2853" s="174">
        <v>52.59</v>
      </c>
      <c r="Y2853" s="174">
        <v>70.56</v>
      </c>
    </row>
    <row r="2854" spans="1:25" ht="15" customHeight="1" x14ac:dyDescent="0.25">
      <c r="A2854" s="20" t="s">
        <v>2310</v>
      </c>
      <c r="B2854" s="14" t="s">
        <v>2311</v>
      </c>
      <c r="C2854" s="71" t="str">
        <f t="shared" si="60"/>
        <v>Product Info</v>
      </c>
      <c r="D2854" s="37" t="s">
        <v>5777</v>
      </c>
      <c r="E2854" s="143">
        <v>3</v>
      </c>
      <c r="F2854" s="12" t="s">
        <v>4992</v>
      </c>
      <c r="G2854" s="38">
        <v>85.37</v>
      </c>
      <c r="H2854" s="38">
        <v>72.569999999999993</v>
      </c>
      <c r="I2854" s="38">
        <v>59.76</v>
      </c>
      <c r="J2854" s="39"/>
      <c r="K2854" s="12" t="s">
        <v>8905</v>
      </c>
      <c r="L2854" s="22">
        <v>2</v>
      </c>
      <c r="M2854" s="22" t="s">
        <v>12488</v>
      </c>
      <c r="N2854" s="20" t="s">
        <v>9358</v>
      </c>
      <c r="O2854" s="16" t="s">
        <v>13914</v>
      </c>
      <c r="P2854" s="143">
        <v>753</v>
      </c>
      <c r="Q2854" s="122" t="s">
        <v>9227</v>
      </c>
      <c r="R2854" s="16" t="s">
        <v>8904</v>
      </c>
      <c r="S2854" s="10" t="s">
        <v>1163</v>
      </c>
      <c r="T2854" s="28" t="s">
        <v>11851</v>
      </c>
      <c r="U2854" s="20" t="s">
        <v>5359</v>
      </c>
      <c r="V2854" s="16" t="s">
        <v>2310</v>
      </c>
      <c r="W2854" s="11" t="s">
        <v>14283</v>
      </c>
      <c r="X2854" s="174">
        <v>54.08</v>
      </c>
      <c r="Y2854" s="174">
        <v>72.569999999999993</v>
      </c>
    </row>
    <row r="2855" spans="1:25" ht="15" customHeight="1" x14ac:dyDescent="0.25">
      <c r="A2855" s="20" t="s">
        <v>14235</v>
      </c>
      <c r="B2855" s="37" t="s">
        <v>14236</v>
      </c>
      <c r="C2855" s="71" t="str">
        <f t="shared" si="60"/>
        <v>Product Info</v>
      </c>
      <c r="D2855" s="145" t="s">
        <v>14891</v>
      </c>
      <c r="E2855" s="143">
        <v>0</v>
      </c>
      <c r="F2855" s="143" t="s">
        <v>4992</v>
      </c>
      <c r="G2855" s="38">
        <v>336.79</v>
      </c>
      <c r="H2855" s="38">
        <v>286.27999999999997</v>
      </c>
      <c r="I2855" s="38">
        <v>235.75</v>
      </c>
      <c r="J2855" s="39"/>
      <c r="K2855" s="143"/>
      <c r="L2855" s="22">
        <v>8</v>
      </c>
      <c r="M2855" s="22" t="s">
        <v>12488</v>
      </c>
      <c r="N2855" s="20" t="s">
        <v>13077</v>
      </c>
      <c r="O2855" s="16" t="s">
        <v>13912</v>
      </c>
      <c r="P2855" s="143">
        <v>751</v>
      </c>
      <c r="Q2855" s="122" t="s">
        <v>12421</v>
      </c>
      <c r="R2855" s="16" t="s">
        <v>8904</v>
      </c>
      <c r="S2855" s="10" t="s">
        <v>1163</v>
      </c>
      <c r="T2855" s="15" t="s">
        <v>14299</v>
      </c>
      <c r="U2855" s="20" t="s">
        <v>5359</v>
      </c>
      <c r="V2855" s="20" t="s">
        <v>14235</v>
      </c>
      <c r="W2855" s="20" t="s">
        <v>14284</v>
      </c>
      <c r="X2855" s="174">
        <v>212.18</v>
      </c>
      <c r="Y2855" s="174">
        <v>263.37759999999997</v>
      </c>
    </row>
    <row r="2856" spans="1:25" ht="15" customHeight="1" x14ac:dyDescent="0.25">
      <c r="A2856" s="20" t="s">
        <v>2312</v>
      </c>
      <c r="B2856" s="14" t="s">
        <v>2313</v>
      </c>
      <c r="C2856" s="71" t="str">
        <f t="shared" si="60"/>
        <v>Product Info</v>
      </c>
      <c r="D2856" s="37" t="s">
        <v>2173</v>
      </c>
      <c r="E2856" s="143">
        <v>3</v>
      </c>
      <c r="F2856" s="12" t="s">
        <v>4992</v>
      </c>
      <c r="G2856" s="38">
        <v>88.47</v>
      </c>
      <c r="H2856" s="38">
        <v>75.2</v>
      </c>
      <c r="I2856" s="38">
        <v>61.93</v>
      </c>
      <c r="J2856" s="39"/>
      <c r="K2856" s="143"/>
      <c r="L2856" s="22">
        <v>0</v>
      </c>
      <c r="M2856" s="22">
        <v>0</v>
      </c>
      <c r="N2856" s="20" t="s">
        <v>14489</v>
      </c>
      <c r="O2856" s="16">
        <v>0</v>
      </c>
      <c r="P2856" s="143">
        <v>753</v>
      </c>
      <c r="Q2856" s="121" t="s">
        <v>14285</v>
      </c>
      <c r="R2856" s="16" t="s">
        <v>8904</v>
      </c>
      <c r="S2856" s="10" t="s">
        <v>1163</v>
      </c>
      <c r="T2856" s="28" t="s">
        <v>11852</v>
      </c>
      <c r="U2856" s="20" t="s">
        <v>5359</v>
      </c>
      <c r="V2856" s="16" t="s">
        <v>2312</v>
      </c>
      <c r="W2856" s="11" t="s">
        <v>14283</v>
      </c>
      <c r="X2856" s="174">
        <v>56.04</v>
      </c>
      <c r="Y2856" s="174">
        <v>75.2</v>
      </c>
    </row>
    <row r="2857" spans="1:25" ht="15" customHeight="1" x14ac:dyDescent="0.25">
      <c r="A2857" s="20" t="s">
        <v>2178</v>
      </c>
      <c r="B2857" s="14" t="s">
        <v>2179</v>
      </c>
      <c r="C2857" s="71" t="str">
        <f t="shared" si="60"/>
        <v>Product Info</v>
      </c>
      <c r="D2857" s="37" t="s">
        <v>2177</v>
      </c>
      <c r="E2857" s="143">
        <v>3</v>
      </c>
      <c r="F2857" s="12" t="s">
        <v>4992</v>
      </c>
      <c r="G2857" s="38">
        <v>89.83</v>
      </c>
      <c r="H2857" s="38">
        <v>76.36</v>
      </c>
      <c r="I2857" s="38">
        <v>62.88</v>
      </c>
      <c r="J2857" s="39"/>
      <c r="K2857" s="143"/>
      <c r="L2857" s="22">
        <v>0.82499999999999996</v>
      </c>
      <c r="M2857" s="22" t="s">
        <v>14396</v>
      </c>
      <c r="N2857" s="20" t="s">
        <v>9358</v>
      </c>
      <c r="O2857" s="16" t="s">
        <v>13914</v>
      </c>
      <c r="P2857" s="143">
        <v>753</v>
      </c>
      <c r="Q2857" s="121" t="s">
        <v>14285</v>
      </c>
      <c r="R2857" s="16" t="s">
        <v>8904</v>
      </c>
      <c r="S2857" s="10" t="s">
        <v>1163</v>
      </c>
      <c r="T2857" s="28" t="s">
        <v>11853</v>
      </c>
      <c r="U2857" s="20" t="s">
        <v>5359</v>
      </c>
      <c r="V2857" s="16" t="s">
        <v>2178</v>
      </c>
      <c r="W2857" s="11" t="s">
        <v>14283</v>
      </c>
      <c r="X2857" s="174">
        <v>56.9</v>
      </c>
      <c r="Y2857" s="174">
        <v>76.36</v>
      </c>
    </row>
    <row r="2858" spans="1:25" ht="15" customHeight="1" x14ac:dyDescent="0.25">
      <c r="A2858" s="20" t="s">
        <v>2180</v>
      </c>
      <c r="B2858" s="14" t="s">
        <v>2181</v>
      </c>
      <c r="C2858" s="71" t="str">
        <f t="shared" si="60"/>
        <v>Product Info</v>
      </c>
      <c r="D2858" s="37" t="s">
        <v>5778</v>
      </c>
      <c r="E2858" s="143">
        <v>3</v>
      </c>
      <c r="F2858" s="12" t="s">
        <v>4992</v>
      </c>
      <c r="G2858" s="38">
        <v>112.13</v>
      </c>
      <c r="H2858" s="38">
        <v>95.31</v>
      </c>
      <c r="I2858" s="38">
        <v>78.489999999999995</v>
      </c>
      <c r="J2858" s="39"/>
      <c r="K2858" s="12" t="s">
        <v>8905</v>
      </c>
      <c r="L2858" s="22">
        <v>2.5</v>
      </c>
      <c r="M2858" s="22" t="s">
        <v>12488</v>
      </c>
      <c r="N2858" s="20" t="s">
        <v>9493</v>
      </c>
      <c r="O2858" s="16" t="s">
        <v>12608</v>
      </c>
      <c r="P2858" s="143">
        <v>753</v>
      </c>
      <c r="Q2858" s="122" t="s">
        <v>9227</v>
      </c>
      <c r="R2858" s="16" t="s">
        <v>8904</v>
      </c>
      <c r="S2858" s="10" t="s">
        <v>1163</v>
      </c>
      <c r="T2858" s="28" t="s">
        <v>11854</v>
      </c>
      <c r="U2858" s="20" t="s">
        <v>5359</v>
      </c>
      <c r="V2858" s="16" t="s">
        <v>2180</v>
      </c>
      <c r="W2858" s="11" t="s">
        <v>14283</v>
      </c>
      <c r="X2858" s="174">
        <v>71.02</v>
      </c>
      <c r="Y2858" s="174">
        <v>95.31</v>
      </c>
    </row>
    <row r="2859" spans="1:25" ht="15" customHeight="1" x14ac:dyDescent="0.25">
      <c r="A2859" s="20" t="s">
        <v>2182</v>
      </c>
      <c r="B2859" s="14" t="s">
        <v>2183</v>
      </c>
      <c r="C2859" s="71" t="str">
        <f t="shared" si="60"/>
        <v>Product Info</v>
      </c>
      <c r="D2859" s="37" t="s">
        <v>6044</v>
      </c>
      <c r="E2859" s="143">
        <v>3</v>
      </c>
      <c r="F2859" s="12" t="s">
        <v>4992</v>
      </c>
      <c r="G2859" s="38">
        <v>119.1</v>
      </c>
      <c r="H2859" s="38">
        <v>101.24</v>
      </c>
      <c r="I2859" s="38">
        <v>83.37</v>
      </c>
      <c r="J2859" s="39"/>
      <c r="K2859" s="143"/>
      <c r="L2859" s="22">
        <v>0</v>
      </c>
      <c r="M2859" s="22">
        <v>0</v>
      </c>
      <c r="N2859" s="20" t="s">
        <v>14489</v>
      </c>
      <c r="O2859" s="16">
        <v>0</v>
      </c>
      <c r="P2859" s="143">
        <v>753</v>
      </c>
      <c r="Q2859" s="121" t="s">
        <v>14285</v>
      </c>
      <c r="R2859" s="16" t="s">
        <v>8904</v>
      </c>
      <c r="S2859" s="10" t="s">
        <v>1163</v>
      </c>
      <c r="T2859" s="28" t="s">
        <v>11855</v>
      </c>
      <c r="U2859" s="20" t="s">
        <v>5359</v>
      </c>
      <c r="V2859" s="16" t="s">
        <v>2182</v>
      </c>
      <c r="W2859" s="11" t="s">
        <v>14283</v>
      </c>
      <c r="X2859" s="174">
        <v>75.44</v>
      </c>
      <c r="Y2859" s="174">
        <v>101.24</v>
      </c>
    </row>
    <row r="2860" spans="1:25" ht="15" customHeight="1" x14ac:dyDescent="0.25">
      <c r="A2860" s="20" t="s">
        <v>2184</v>
      </c>
      <c r="B2860" s="14" t="s">
        <v>2185</v>
      </c>
      <c r="C2860" s="71" t="str">
        <f t="shared" si="60"/>
        <v>Product Info</v>
      </c>
      <c r="D2860" s="37" t="s">
        <v>2797</v>
      </c>
      <c r="E2860" s="143">
        <v>3</v>
      </c>
      <c r="F2860" s="12" t="s">
        <v>4992</v>
      </c>
      <c r="G2860" s="38">
        <v>122.73</v>
      </c>
      <c r="H2860" s="38">
        <v>104.32</v>
      </c>
      <c r="I2860" s="38">
        <v>85.91</v>
      </c>
      <c r="J2860" s="39"/>
      <c r="K2860" s="143"/>
      <c r="L2860" s="22">
        <v>0</v>
      </c>
      <c r="M2860" s="22">
        <v>0</v>
      </c>
      <c r="N2860" s="20" t="s">
        <v>14489</v>
      </c>
      <c r="O2860" s="16">
        <v>0</v>
      </c>
      <c r="P2860" s="143">
        <v>753</v>
      </c>
      <c r="Q2860" s="121" t="s">
        <v>14285</v>
      </c>
      <c r="R2860" s="16" t="s">
        <v>8904</v>
      </c>
      <c r="S2860" s="10" t="s">
        <v>1163</v>
      </c>
      <c r="T2860" s="28" t="s">
        <v>11856</v>
      </c>
      <c r="U2860" s="20" t="s">
        <v>5359</v>
      </c>
      <c r="V2860" s="16" t="s">
        <v>2184</v>
      </c>
      <c r="W2860" s="11" t="s">
        <v>14283</v>
      </c>
      <c r="X2860" s="174">
        <v>77.739999999999995</v>
      </c>
      <c r="Y2860" s="174">
        <v>104.32</v>
      </c>
    </row>
    <row r="2861" spans="1:25" ht="15" customHeight="1" x14ac:dyDescent="0.25">
      <c r="A2861" s="20" t="s">
        <v>2186</v>
      </c>
      <c r="B2861" s="14" t="s">
        <v>2187</v>
      </c>
      <c r="C2861" s="71" t="str">
        <f t="shared" si="60"/>
        <v>Product Info</v>
      </c>
      <c r="D2861" s="37" t="s">
        <v>5779</v>
      </c>
      <c r="E2861" s="143">
        <v>3</v>
      </c>
      <c r="F2861" s="12" t="s">
        <v>4992</v>
      </c>
      <c r="G2861" s="38">
        <v>133.56</v>
      </c>
      <c r="H2861" s="38">
        <v>113.53</v>
      </c>
      <c r="I2861" s="38">
        <v>93.49</v>
      </c>
      <c r="J2861" s="39"/>
      <c r="K2861" s="12" t="s">
        <v>8905</v>
      </c>
      <c r="L2861" s="22">
        <v>3.28</v>
      </c>
      <c r="M2861" s="22" t="s">
        <v>12488</v>
      </c>
      <c r="N2861" s="20" t="s">
        <v>9358</v>
      </c>
      <c r="O2861" s="16" t="s">
        <v>12608</v>
      </c>
      <c r="P2861" s="143">
        <v>753</v>
      </c>
      <c r="Q2861" s="122" t="s">
        <v>9227</v>
      </c>
      <c r="R2861" s="16" t="s">
        <v>8904</v>
      </c>
      <c r="S2861" s="10" t="s">
        <v>1163</v>
      </c>
      <c r="T2861" s="28" t="s">
        <v>11857</v>
      </c>
      <c r="U2861" s="20" t="s">
        <v>5359</v>
      </c>
      <c r="V2861" s="16" t="s">
        <v>2186</v>
      </c>
      <c r="W2861" s="11" t="s">
        <v>14283</v>
      </c>
      <c r="X2861" s="174">
        <v>84.6</v>
      </c>
      <c r="Y2861" s="174">
        <v>113.53</v>
      </c>
    </row>
    <row r="2862" spans="1:25" ht="15" customHeight="1" x14ac:dyDescent="0.25">
      <c r="A2862" s="20" t="s">
        <v>2188</v>
      </c>
      <c r="B2862" s="14" t="s">
        <v>2189</v>
      </c>
      <c r="C2862" s="71" t="str">
        <f t="shared" si="60"/>
        <v>Product Info</v>
      </c>
      <c r="D2862" s="37" t="s">
        <v>2800</v>
      </c>
      <c r="E2862" s="143">
        <v>3</v>
      </c>
      <c r="F2862" s="12" t="s">
        <v>4992</v>
      </c>
      <c r="G2862" s="38">
        <v>172.03</v>
      </c>
      <c r="H2862" s="38">
        <v>146.22999999999999</v>
      </c>
      <c r="I2862" s="38">
        <v>120.42</v>
      </c>
      <c r="J2862" s="39"/>
      <c r="K2862" s="143"/>
      <c r="L2862" s="22">
        <v>0</v>
      </c>
      <c r="M2862" s="22">
        <v>0</v>
      </c>
      <c r="N2862" s="20" t="s">
        <v>14489</v>
      </c>
      <c r="O2862" s="16">
        <v>0</v>
      </c>
      <c r="P2862" s="143">
        <v>753</v>
      </c>
      <c r="Q2862" s="121" t="s">
        <v>14285</v>
      </c>
      <c r="R2862" s="16" t="s">
        <v>8904</v>
      </c>
      <c r="S2862" s="10" t="s">
        <v>1163</v>
      </c>
      <c r="T2862" s="28" t="s">
        <v>11858</v>
      </c>
      <c r="U2862" s="20" t="s">
        <v>5359</v>
      </c>
      <c r="V2862" s="16" t="s">
        <v>2188</v>
      </c>
      <c r="W2862" s="11" t="s">
        <v>14283</v>
      </c>
      <c r="X2862" s="174">
        <v>108.96</v>
      </c>
      <c r="Y2862" s="174">
        <v>146.22999999999999</v>
      </c>
    </row>
    <row r="2863" spans="1:25" ht="15" customHeight="1" x14ac:dyDescent="0.25">
      <c r="A2863" s="20" t="s">
        <v>2190</v>
      </c>
      <c r="B2863" s="14" t="s">
        <v>2191</v>
      </c>
      <c r="C2863" s="71" t="str">
        <f t="shared" si="60"/>
        <v>Product Info</v>
      </c>
      <c r="D2863" s="37" t="s">
        <v>5780</v>
      </c>
      <c r="E2863" s="143">
        <v>3</v>
      </c>
      <c r="F2863" s="12" t="s">
        <v>4992</v>
      </c>
      <c r="G2863" s="38">
        <v>170.23</v>
      </c>
      <c r="H2863" s="38">
        <v>144.69999999999999</v>
      </c>
      <c r="I2863" s="38">
        <v>119.16</v>
      </c>
      <c r="J2863" s="39"/>
      <c r="K2863" s="143"/>
      <c r="L2863" s="22">
        <v>0</v>
      </c>
      <c r="M2863" s="22" t="s">
        <v>12488</v>
      </c>
      <c r="N2863" s="20" t="s">
        <v>14489</v>
      </c>
      <c r="O2863" s="16" t="s">
        <v>4992</v>
      </c>
      <c r="P2863" s="143">
        <v>753</v>
      </c>
      <c r="Q2863" s="121" t="s">
        <v>14285</v>
      </c>
      <c r="R2863" s="16" t="s">
        <v>8904</v>
      </c>
      <c r="S2863" s="10" t="s">
        <v>1163</v>
      </c>
      <c r="T2863" s="28" t="s">
        <v>11859</v>
      </c>
      <c r="U2863" s="20" t="s">
        <v>5359</v>
      </c>
      <c r="V2863" s="16" t="s">
        <v>2190</v>
      </c>
      <c r="W2863" s="11" t="s">
        <v>14283</v>
      </c>
      <c r="X2863" s="174">
        <v>107.83</v>
      </c>
      <c r="Y2863" s="174">
        <v>144.69999999999999</v>
      </c>
    </row>
    <row r="2864" spans="1:25" ht="15" customHeight="1" x14ac:dyDescent="0.25">
      <c r="A2864" s="20" t="s">
        <v>12520</v>
      </c>
      <c r="B2864" s="29" t="s">
        <v>13298</v>
      </c>
      <c r="C2864" s="71" t="str">
        <f t="shared" si="60"/>
        <v>Product Info</v>
      </c>
      <c r="D2864" s="37" t="s">
        <v>13326</v>
      </c>
      <c r="E2864" s="143">
        <v>3</v>
      </c>
      <c r="F2864" s="12" t="s">
        <v>4992</v>
      </c>
      <c r="G2864" s="38">
        <v>220.66</v>
      </c>
      <c r="H2864" s="38">
        <v>187.57</v>
      </c>
      <c r="I2864" s="38">
        <v>154.46</v>
      </c>
      <c r="J2864" s="39"/>
      <c r="K2864" s="143"/>
      <c r="L2864" s="22">
        <v>0</v>
      </c>
      <c r="M2864" s="22">
        <v>0</v>
      </c>
      <c r="N2864" s="20" t="s">
        <v>14489</v>
      </c>
      <c r="O2864" s="16">
        <v>0</v>
      </c>
      <c r="P2864" s="143">
        <v>753</v>
      </c>
      <c r="Q2864" s="121" t="s">
        <v>14285</v>
      </c>
      <c r="R2864" s="16" t="s">
        <v>8904</v>
      </c>
      <c r="S2864" s="10" t="s">
        <v>1163</v>
      </c>
      <c r="T2864" s="15" t="s">
        <v>13299</v>
      </c>
      <c r="U2864" s="20" t="s">
        <v>5359</v>
      </c>
      <c r="V2864" s="11" t="s">
        <v>12520</v>
      </c>
      <c r="W2864" s="11" t="s">
        <v>14283</v>
      </c>
      <c r="X2864" s="174">
        <v>139.01</v>
      </c>
      <c r="Y2864" s="174">
        <v>187.57</v>
      </c>
    </row>
    <row r="2865" spans="1:25" ht="15" customHeight="1" x14ac:dyDescent="0.25">
      <c r="A2865" s="20" t="s">
        <v>1026</v>
      </c>
      <c r="B2865" s="14" t="s">
        <v>1027</v>
      </c>
      <c r="C2865" s="71" t="str">
        <f t="shared" si="60"/>
        <v>Product Info</v>
      </c>
      <c r="D2865" s="37" t="s">
        <v>2910</v>
      </c>
      <c r="E2865" s="143">
        <v>3</v>
      </c>
      <c r="F2865" s="12" t="s">
        <v>4992</v>
      </c>
      <c r="G2865" s="38">
        <v>236.6</v>
      </c>
      <c r="H2865" s="38">
        <v>201.12</v>
      </c>
      <c r="I2865" s="38">
        <v>165.62</v>
      </c>
      <c r="J2865" s="39"/>
      <c r="K2865" s="143"/>
      <c r="L2865" s="22">
        <v>0</v>
      </c>
      <c r="M2865" s="22">
        <v>0</v>
      </c>
      <c r="N2865" s="20" t="s">
        <v>14489</v>
      </c>
      <c r="O2865" s="16">
        <v>0</v>
      </c>
      <c r="P2865" s="143">
        <v>753</v>
      </c>
      <c r="Q2865" s="121" t="s">
        <v>14285</v>
      </c>
      <c r="R2865" s="16" t="s">
        <v>8904</v>
      </c>
      <c r="S2865" s="10" t="s">
        <v>1163</v>
      </c>
      <c r="T2865" s="28" t="s">
        <v>11860</v>
      </c>
      <c r="U2865" s="20" t="s">
        <v>5359</v>
      </c>
      <c r="V2865" s="16" t="s">
        <v>1026</v>
      </c>
      <c r="W2865" s="11" t="s">
        <v>14283</v>
      </c>
      <c r="X2865" s="174">
        <v>149.06</v>
      </c>
      <c r="Y2865" s="174">
        <v>201.12</v>
      </c>
    </row>
    <row r="2866" spans="1:25" ht="15" customHeight="1" x14ac:dyDescent="0.25">
      <c r="A2866" s="20" t="s">
        <v>1022</v>
      </c>
      <c r="B2866" s="14" t="s">
        <v>1023</v>
      </c>
      <c r="C2866" s="71" t="str">
        <f t="shared" si="60"/>
        <v>Product Info</v>
      </c>
      <c r="D2866" s="37" t="s">
        <v>2908</v>
      </c>
      <c r="E2866" s="143">
        <v>3</v>
      </c>
      <c r="F2866" s="12" t="s">
        <v>4992</v>
      </c>
      <c r="G2866" s="38">
        <v>172.79</v>
      </c>
      <c r="H2866" s="38">
        <v>146.87</v>
      </c>
      <c r="I2866" s="38">
        <v>120.95</v>
      </c>
      <c r="J2866" s="39"/>
      <c r="K2866" s="143"/>
      <c r="L2866" s="22">
        <v>0</v>
      </c>
      <c r="M2866" s="22">
        <v>0</v>
      </c>
      <c r="N2866" s="20" t="s">
        <v>14489</v>
      </c>
      <c r="O2866" s="16">
        <v>0</v>
      </c>
      <c r="P2866" s="143">
        <v>753</v>
      </c>
      <c r="Q2866" s="121" t="s">
        <v>14285</v>
      </c>
      <c r="R2866" s="16" t="s">
        <v>8904</v>
      </c>
      <c r="S2866" s="10" t="s">
        <v>1163</v>
      </c>
      <c r="T2866" s="28" t="s">
        <v>11861</v>
      </c>
      <c r="U2866" s="20" t="s">
        <v>5359</v>
      </c>
      <c r="V2866" s="16" t="s">
        <v>1022</v>
      </c>
      <c r="W2866" s="11" t="s">
        <v>14283</v>
      </c>
      <c r="X2866" s="174">
        <v>109.45</v>
      </c>
      <c r="Y2866" s="174">
        <v>146.87</v>
      </c>
    </row>
    <row r="2867" spans="1:25" ht="15" customHeight="1" x14ac:dyDescent="0.25">
      <c r="A2867" s="20" t="s">
        <v>1024</v>
      </c>
      <c r="B2867" s="14" t="s">
        <v>1025</v>
      </c>
      <c r="C2867" s="71" t="str">
        <f t="shared" si="60"/>
        <v>Product Info</v>
      </c>
      <c r="D2867" s="37" t="s">
        <v>2909</v>
      </c>
      <c r="E2867" s="143">
        <v>3</v>
      </c>
      <c r="F2867" s="12" t="s">
        <v>4992</v>
      </c>
      <c r="G2867" s="38">
        <v>262.29000000000002</v>
      </c>
      <c r="H2867" s="38">
        <v>222.95</v>
      </c>
      <c r="I2867" s="38">
        <v>183.6</v>
      </c>
      <c r="J2867" s="39"/>
      <c r="K2867" s="143"/>
      <c r="L2867" s="22">
        <v>0</v>
      </c>
      <c r="M2867" s="22">
        <v>0</v>
      </c>
      <c r="N2867" s="20" t="s">
        <v>14489</v>
      </c>
      <c r="O2867" s="16">
        <v>0</v>
      </c>
      <c r="P2867" s="143">
        <v>753</v>
      </c>
      <c r="Q2867" s="121" t="s">
        <v>14285</v>
      </c>
      <c r="R2867" s="16" t="s">
        <v>8904</v>
      </c>
      <c r="S2867" s="10" t="s">
        <v>1163</v>
      </c>
      <c r="T2867" s="28" t="s">
        <v>11862</v>
      </c>
      <c r="U2867" s="20" t="s">
        <v>5359</v>
      </c>
      <c r="V2867" s="16" t="s">
        <v>1024</v>
      </c>
      <c r="W2867" s="11" t="s">
        <v>14283</v>
      </c>
      <c r="X2867" s="174">
        <v>166.14</v>
      </c>
      <c r="Y2867" s="174">
        <v>222.95</v>
      </c>
    </row>
    <row r="2868" spans="1:25" ht="15" customHeight="1" x14ac:dyDescent="0.25">
      <c r="A2868" s="20" t="s">
        <v>13722</v>
      </c>
      <c r="B2868" s="16" t="s">
        <v>13727</v>
      </c>
      <c r="C2868" s="71" t="str">
        <f t="shared" si="60"/>
        <v>Product Info</v>
      </c>
      <c r="D2868" s="37" t="s">
        <v>14429</v>
      </c>
      <c r="E2868" s="143">
        <v>3</v>
      </c>
      <c r="F2868" s="12" t="s">
        <v>4992</v>
      </c>
      <c r="G2868" s="38">
        <v>345.24</v>
      </c>
      <c r="H2868" s="38">
        <v>293.47000000000003</v>
      </c>
      <c r="I2868" s="38">
        <v>241.67</v>
      </c>
      <c r="J2868" s="39"/>
      <c r="K2868" s="143"/>
      <c r="L2868" s="22">
        <v>0</v>
      </c>
      <c r="M2868" s="22">
        <v>0</v>
      </c>
      <c r="N2868" s="20" t="s">
        <v>14489</v>
      </c>
      <c r="O2868" s="16">
        <v>0</v>
      </c>
      <c r="P2868" s="143">
        <v>753</v>
      </c>
      <c r="Q2868" s="121" t="s">
        <v>14285</v>
      </c>
      <c r="R2868" s="16" t="s">
        <v>8904</v>
      </c>
      <c r="S2868" s="10" t="s">
        <v>1163</v>
      </c>
      <c r="T2868" s="28" t="s">
        <v>13730</v>
      </c>
      <c r="U2868" s="20" t="s">
        <v>5359</v>
      </c>
      <c r="V2868" s="16" t="s">
        <v>13943</v>
      </c>
      <c r="W2868" s="16" t="s">
        <v>14283</v>
      </c>
      <c r="X2868" s="174">
        <v>217.5</v>
      </c>
      <c r="Y2868" s="174">
        <v>293.47000000000003</v>
      </c>
    </row>
    <row r="2869" spans="1:25" ht="15" customHeight="1" x14ac:dyDescent="0.25">
      <c r="A2869" s="20" t="s">
        <v>1028</v>
      </c>
      <c r="B2869" s="14" t="s">
        <v>2082</v>
      </c>
      <c r="C2869" s="71" t="str">
        <f t="shared" si="60"/>
        <v>Product Info</v>
      </c>
      <c r="D2869" s="37" t="s">
        <v>4060</v>
      </c>
      <c r="E2869" s="143">
        <v>3</v>
      </c>
      <c r="F2869" s="12" t="s">
        <v>4992</v>
      </c>
      <c r="G2869" s="38">
        <v>458.01</v>
      </c>
      <c r="H2869" s="38">
        <v>389.33</v>
      </c>
      <c r="I2869" s="38">
        <v>320.61</v>
      </c>
      <c r="J2869" s="39"/>
      <c r="K2869" s="143"/>
      <c r="L2869" s="22">
        <v>0</v>
      </c>
      <c r="M2869" s="22">
        <v>0</v>
      </c>
      <c r="N2869" s="20" t="s">
        <v>14489</v>
      </c>
      <c r="O2869" s="16">
        <v>0</v>
      </c>
      <c r="P2869" s="143">
        <v>753</v>
      </c>
      <c r="Q2869" s="121" t="s">
        <v>14285</v>
      </c>
      <c r="R2869" s="16" t="s">
        <v>8904</v>
      </c>
      <c r="S2869" s="10" t="s">
        <v>1163</v>
      </c>
      <c r="T2869" s="28" t="s">
        <v>11863</v>
      </c>
      <c r="U2869" s="20" t="s">
        <v>5359</v>
      </c>
      <c r="V2869" s="16" t="s">
        <v>1028</v>
      </c>
      <c r="W2869" s="11" t="s">
        <v>14283</v>
      </c>
      <c r="X2869" s="174">
        <v>290.11</v>
      </c>
      <c r="Y2869" s="174">
        <v>389.33</v>
      </c>
    </row>
    <row r="2870" spans="1:25" ht="15" customHeight="1" x14ac:dyDescent="0.25">
      <c r="A2870" s="20" t="s">
        <v>2083</v>
      </c>
      <c r="B2870" s="14" t="s">
        <v>2084</v>
      </c>
      <c r="C2870" s="71" t="str">
        <f t="shared" si="60"/>
        <v>Product Info</v>
      </c>
      <c r="D2870" s="37" t="s">
        <v>4061</v>
      </c>
      <c r="E2870" s="143">
        <v>3</v>
      </c>
      <c r="F2870" s="12" t="s">
        <v>4992</v>
      </c>
      <c r="G2870" s="38">
        <v>256.37</v>
      </c>
      <c r="H2870" s="38">
        <v>217.92</v>
      </c>
      <c r="I2870" s="38">
        <v>179.46</v>
      </c>
      <c r="J2870" s="39"/>
      <c r="K2870" s="143"/>
      <c r="L2870" s="22">
        <v>0</v>
      </c>
      <c r="M2870" s="22">
        <v>0</v>
      </c>
      <c r="N2870" s="20" t="s">
        <v>14489</v>
      </c>
      <c r="O2870" s="16">
        <v>0</v>
      </c>
      <c r="P2870" s="143">
        <v>753</v>
      </c>
      <c r="Q2870" s="121" t="s">
        <v>14285</v>
      </c>
      <c r="R2870" s="16" t="s">
        <v>8904</v>
      </c>
      <c r="S2870" s="10" t="s">
        <v>1163</v>
      </c>
      <c r="T2870" s="28" t="s">
        <v>11864</v>
      </c>
      <c r="U2870" s="20" t="s">
        <v>5359</v>
      </c>
      <c r="V2870" s="16" t="s">
        <v>2083</v>
      </c>
      <c r="W2870" s="11" t="s">
        <v>14283</v>
      </c>
      <c r="X2870" s="174">
        <v>162.38999999999999</v>
      </c>
      <c r="Y2870" s="174">
        <v>217.92</v>
      </c>
    </row>
    <row r="2871" spans="1:25" ht="15" customHeight="1" x14ac:dyDescent="0.25">
      <c r="A2871" s="20" t="s">
        <v>2085</v>
      </c>
      <c r="B2871" s="14" t="s">
        <v>2086</v>
      </c>
      <c r="C2871" s="71" t="str">
        <f t="shared" si="60"/>
        <v>Product Info</v>
      </c>
      <c r="D2871" s="37" t="s">
        <v>4062</v>
      </c>
      <c r="E2871" s="143">
        <v>3</v>
      </c>
      <c r="F2871" s="12" t="s">
        <v>4992</v>
      </c>
      <c r="G2871" s="38">
        <v>326.64</v>
      </c>
      <c r="H2871" s="38">
        <v>277.66000000000003</v>
      </c>
      <c r="I2871" s="38">
        <v>228.65</v>
      </c>
      <c r="J2871" s="39"/>
      <c r="K2871" s="143"/>
      <c r="L2871" s="22">
        <v>0</v>
      </c>
      <c r="M2871" s="22">
        <v>0</v>
      </c>
      <c r="N2871" s="20" t="s">
        <v>14489</v>
      </c>
      <c r="O2871" s="16">
        <v>0</v>
      </c>
      <c r="P2871" s="143">
        <v>753</v>
      </c>
      <c r="Q2871" s="121" t="s">
        <v>14285</v>
      </c>
      <c r="R2871" s="16" t="s">
        <v>8904</v>
      </c>
      <c r="S2871" s="10" t="s">
        <v>1163</v>
      </c>
      <c r="T2871" s="28" t="s">
        <v>11865</v>
      </c>
      <c r="U2871" s="20" t="s">
        <v>5359</v>
      </c>
      <c r="V2871" s="16" t="s">
        <v>2085</v>
      </c>
      <c r="W2871" s="11" t="s">
        <v>14283</v>
      </c>
      <c r="X2871" s="174">
        <v>206.9</v>
      </c>
      <c r="Y2871" s="174">
        <v>277.66000000000003</v>
      </c>
    </row>
    <row r="2872" spans="1:25" ht="15" customHeight="1" x14ac:dyDescent="0.25">
      <c r="A2872" s="20" t="s">
        <v>1030</v>
      </c>
      <c r="B2872" s="14" t="s">
        <v>1031</v>
      </c>
      <c r="C2872" s="71" t="str">
        <f t="shared" si="60"/>
        <v>Product Info</v>
      </c>
      <c r="D2872" s="37" t="s">
        <v>4064</v>
      </c>
      <c r="E2872" s="143">
        <v>3</v>
      </c>
      <c r="F2872" s="12" t="s">
        <v>4992</v>
      </c>
      <c r="G2872" s="38">
        <v>465.81</v>
      </c>
      <c r="H2872" s="38">
        <v>395.96</v>
      </c>
      <c r="I2872" s="38">
        <v>326.07</v>
      </c>
      <c r="J2872" s="39"/>
      <c r="K2872" s="143"/>
      <c r="L2872" s="22">
        <v>8.1999999999999993</v>
      </c>
      <c r="M2872" s="22" t="s">
        <v>12488</v>
      </c>
      <c r="N2872" s="20" t="s">
        <v>9494</v>
      </c>
      <c r="O2872" s="16" t="s">
        <v>13912</v>
      </c>
      <c r="P2872" s="143">
        <v>753</v>
      </c>
      <c r="Q2872" s="121" t="s">
        <v>14285</v>
      </c>
      <c r="R2872" s="16" t="s">
        <v>8904</v>
      </c>
      <c r="S2872" s="10" t="s">
        <v>1163</v>
      </c>
      <c r="T2872" s="28" t="s">
        <v>11866</v>
      </c>
      <c r="U2872" s="20" t="s">
        <v>5359</v>
      </c>
      <c r="V2872" s="16" t="s">
        <v>1030</v>
      </c>
      <c r="W2872" s="11" t="s">
        <v>14283</v>
      </c>
      <c r="X2872" s="174">
        <v>295.06</v>
      </c>
      <c r="Y2872" s="174">
        <v>395.96</v>
      </c>
    </row>
    <row r="2873" spans="1:25" ht="15" customHeight="1" x14ac:dyDescent="0.25">
      <c r="A2873" s="20" t="s">
        <v>2087</v>
      </c>
      <c r="B2873" s="14" t="s">
        <v>1029</v>
      </c>
      <c r="C2873" s="71" t="str">
        <f t="shared" si="60"/>
        <v>Product Info</v>
      </c>
      <c r="D2873" s="37" t="s">
        <v>4063</v>
      </c>
      <c r="E2873" s="143">
        <v>3</v>
      </c>
      <c r="F2873" s="12" t="s">
        <v>4992</v>
      </c>
      <c r="G2873" s="38">
        <v>468.9</v>
      </c>
      <c r="H2873" s="38">
        <v>398.58</v>
      </c>
      <c r="I2873" s="38">
        <v>328.23</v>
      </c>
      <c r="J2873" s="39"/>
      <c r="K2873" s="143"/>
      <c r="L2873" s="22">
        <v>0</v>
      </c>
      <c r="M2873" s="22">
        <v>0</v>
      </c>
      <c r="N2873" s="20" t="s">
        <v>14489</v>
      </c>
      <c r="O2873" s="16">
        <v>0</v>
      </c>
      <c r="P2873" s="143">
        <v>753</v>
      </c>
      <c r="Q2873" s="121" t="s">
        <v>14285</v>
      </c>
      <c r="R2873" s="16" t="s">
        <v>8904</v>
      </c>
      <c r="S2873" s="10" t="s">
        <v>1163</v>
      </c>
      <c r="T2873" s="28" t="s">
        <v>11867</v>
      </c>
      <c r="U2873" s="20" t="s">
        <v>5359</v>
      </c>
      <c r="V2873" s="16" t="s">
        <v>2087</v>
      </c>
      <c r="W2873" s="11" t="s">
        <v>14283</v>
      </c>
      <c r="X2873" s="174">
        <v>297.01</v>
      </c>
      <c r="Y2873" s="174">
        <v>398.58</v>
      </c>
    </row>
    <row r="2874" spans="1:25" ht="15" customHeight="1" x14ac:dyDescent="0.25">
      <c r="A2874" s="20" t="s">
        <v>1032</v>
      </c>
      <c r="B2874" s="14" t="s">
        <v>1033</v>
      </c>
      <c r="C2874" s="71" t="str">
        <f t="shared" si="60"/>
        <v>Product Info</v>
      </c>
      <c r="D2874" s="37" t="s">
        <v>2907</v>
      </c>
      <c r="E2874" s="143">
        <v>3</v>
      </c>
      <c r="F2874" s="12" t="s">
        <v>4992</v>
      </c>
      <c r="G2874" s="38">
        <v>611.91</v>
      </c>
      <c r="H2874" s="38">
        <v>520.15</v>
      </c>
      <c r="I2874" s="38">
        <v>428.34</v>
      </c>
      <c r="J2874" s="39"/>
      <c r="K2874" s="143"/>
      <c r="L2874" s="22">
        <v>0</v>
      </c>
      <c r="M2874" s="22">
        <v>0</v>
      </c>
      <c r="N2874" s="20" t="s">
        <v>14489</v>
      </c>
      <c r="O2874" s="16">
        <v>0</v>
      </c>
      <c r="P2874" s="143">
        <v>753</v>
      </c>
      <c r="Q2874" s="121" t="s">
        <v>14285</v>
      </c>
      <c r="R2874" s="16" t="s">
        <v>8904</v>
      </c>
      <c r="S2874" s="10" t="s">
        <v>1163</v>
      </c>
      <c r="T2874" s="28" t="s">
        <v>11868</v>
      </c>
      <c r="U2874" s="20" t="s">
        <v>5359</v>
      </c>
      <c r="V2874" s="16" t="s">
        <v>1032</v>
      </c>
      <c r="W2874" s="11" t="s">
        <v>14283</v>
      </c>
      <c r="X2874" s="174">
        <v>387.6</v>
      </c>
      <c r="Y2874" s="174">
        <v>520.15</v>
      </c>
    </row>
    <row r="2875" spans="1:25" ht="15" customHeight="1" x14ac:dyDescent="0.25">
      <c r="A2875" s="20" t="s">
        <v>5254</v>
      </c>
      <c r="B2875" s="14" t="s">
        <v>5255</v>
      </c>
      <c r="C2875" s="71" t="str">
        <f t="shared" si="60"/>
        <v>Product Info</v>
      </c>
      <c r="D2875" s="37" t="s">
        <v>5256</v>
      </c>
      <c r="E2875" s="143">
        <v>1</v>
      </c>
      <c r="F2875" s="12" t="s">
        <v>4992</v>
      </c>
      <c r="G2875" s="38">
        <v>93.37</v>
      </c>
      <c r="H2875" s="38">
        <f t="shared" ref="H2875:H2888" si="61">I2875</f>
        <v>65.36</v>
      </c>
      <c r="I2875" s="38">
        <v>65.36</v>
      </c>
      <c r="J2875" s="39"/>
      <c r="K2875" s="143"/>
      <c r="L2875" s="22">
        <v>0.33</v>
      </c>
      <c r="M2875" s="22" t="s">
        <v>12488</v>
      </c>
      <c r="N2875" s="20" t="s">
        <v>8844</v>
      </c>
      <c r="O2875" s="16" t="s">
        <v>12608</v>
      </c>
      <c r="P2875" s="143" t="s">
        <v>12555</v>
      </c>
      <c r="Q2875" s="121" t="s">
        <v>14285</v>
      </c>
      <c r="R2875" s="16" t="s">
        <v>8904</v>
      </c>
      <c r="S2875" s="10" t="s">
        <v>194</v>
      </c>
      <c r="T2875" s="28" t="s">
        <v>11869</v>
      </c>
      <c r="U2875" s="20" t="s">
        <v>5359</v>
      </c>
      <c r="V2875" s="16" t="s">
        <v>5254</v>
      </c>
      <c r="W2875" s="11" t="s">
        <v>14433</v>
      </c>
      <c r="X2875" s="174">
        <v>51</v>
      </c>
      <c r="Y2875" s="174">
        <v>65.36</v>
      </c>
    </row>
    <row r="2876" spans="1:25" ht="15" customHeight="1" x14ac:dyDescent="0.25">
      <c r="A2876" s="20" t="s">
        <v>5257</v>
      </c>
      <c r="B2876" s="14" t="s">
        <v>5258</v>
      </c>
      <c r="C2876" s="71" t="str">
        <f t="shared" si="60"/>
        <v>Product Info</v>
      </c>
      <c r="D2876" s="37" t="s">
        <v>5259</v>
      </c>
      <c r="E2876" s="143">
        <v>1</v>
      </c>
      <c r="F2876" s="12" t="s">
        <v>4992</v>
      </c>
      <c r="G2876" s="38">
        <v>56.59</v>
      </c>
      <c r="H2876" s="38">
        <f t="shared" si="61"/>
        <v>39.61</v>
      </c>
      <c r="I2876" s="38">
        <v>39.61</v>
      </c>
      <c r="J2876" s="39"/>
      <c r="K2876" s="143"/>
      <c r="L2876" s="22">
        <v>0</v>
      </c>
      <c r="M2876" s="22">
        <v>0</v>
      </c>
      <c r="N2876" s="20" t="s">
        <v>14489</v>
      </c>
      <c r="O2876" s="16">
        <v>0</v>
      </c>
      <c r="P2876" s="143" t="s">
        <v>12555</v>
      </c>
      <c r="Q2876" s="121" t="s">
        <v>14285</v>
      </c>
      <c r="R2876" s="16" t="s">
        <v>8904</v>
      </c>
      <c r="S2876" s="10" t="s">
        <v>194</v>
      </c>
      <c r="T2876" s="28" t="s">
        <v>11870</v>
      </c>
      <c r="U2876" s="20" t="s">
        <v>5359</v>
      </c>
      <c r="V2876" s="16" t="s">
        <v>5257</v>
      </c>
      <c r="W2876" s="11" t="s">
        <v>14433</v>
      </c>
      <c r="X2876" s="174">
        <v>30.9</v>
      </c>
      <c r="Y2876" s="174">
        <v>39.61</v>
      </c>
    </row>
    <row r="2877" spans="1:25" ht="15" customHeight="1" x14ac:dyDescent="0.25">
      <c r="A2877" s="20" t="s">
        <v>5260</v>
      </c>
      <c r="B2877" s="14" t="s">
        <v>5652</v>
      </c>
      <c r="C2877" s="71" t="str">
        <f t="shared" si="60"/>
        <v>Product Info</v>
      </c>
      <c r="D2877" s="37" t="s">
        <v>5653</v>
      </c>
      <c r="E2877" s="143">
        <v>1</v>
      </c>
      <c r="F2877" s="12" t="s">
        <v>4992</v>
      </c>
      <c r="G2877" s="38">
        <v>98.64</v>
      </c>
      <c r="H2877" s="38">
        <f t="shared" si="61"/>
        <v>69.05</v>
      </c>
      <c r="I2877" s="38">
        <v>69.05</v>
      </c>
      <c r="J2877" s="39"/>
      <c r="K2877" s="143"/>
      <c r="L2877" s="22">
        <v>0</v>
      </c>
      <c r="M2877" s="22">
        <v>0</v>
      </c>
      <c r="N2877" s="20" t="s">
        <v>14489</v>
      </c>
      <c r="O2877" s="16">
        <v>0</v>
      </c>
      <c r="P2877" s="143" t="s">
        <v>12555</v>
      </c>
      <c r="Q2877" s="121" t="s">
        <v>14285</v>
      </c>
      <c r="R2877" s="16" t="s">
        <v>8904</v>
      </c>
      <c r="S2877" s="10" t="s">
        <v>194</v>
      </c>
      <c r="T2877" s="28" t="s">
        <v>11871</v>
      </c>
      <c r="U2877" s="20" t="s">
        <v>5359</v>
      </c>
      <c r="V2877" s="16" t="s">
        <v>5260</v>
      </c>
      <c r="W2877" s="11" t="s">
        <v>14433</v>
      </c>
      <c r="X2877" s="174">
        <v>53.89</v>
      </c>
      <c r="Y2877" s="174">
        <v>69.05</v>
      </c>
    </row>
    <row r="2878" spans="1:25" ht="15" customHeight="1" x14ac:dyDescent="0.25">
      <c r="A2878" s="20" t="s">
        <v>5654</v>
      </c>
      <c r="B2878" s="14" t="s">
        <v>5655</v>
      </c>
      <c r="C2878" s="71" t="str">
        <f t="shared" si="60"/>
        <v>Product Info</v>
      </c>
      <c r="D2878" s="37" t="s">
        <v>5656</v>
      </c>
      <c r="E2878" s="143">
        <v>1</v>
      </c>
      <c r="F2878" s="12" t="s">
        <v>4992</v>
      </c>
      <c r="G2878" s="38">
        <v>65.77</v>
      </c>
      <c r="H2878" s="38">
        <f t="shared" si="61"/>
        <v>46.04</v>
      </c>
      <c r="I2878" s="38">
        <v>46.04</v>
      </c>
      <c r="J2878" s="39"/>
      <c r="K2878" s="143"/>
      <c r="L2878" s="22">
        <v>0</v>
      </c>
      <c r="M2878" s="22">
        <v>0</v>
      </c>
      <c r="N2878" s="20" t="s">
        <v>14489</v>
      </c>
      <c r="O2878" s="16">
        <v>0</v>
      </c>
      <c r="P2878" s="143" t="s">
        <v>12555</v>
      </c>
      <c r="Q2878" s="121" t="s">
        <v>14285</v>
      </c>
      <c r="R2878" s="16" t="s">
        <v>8904</v>
      </c>
      <c r="S2878" s="10" t="s">
        <v>194</v>
      </c>
      <c r="T2878" s="28" t="s">
        <v>11872</v>
      </c>
      <c r="U2878" s="20" t="s">
        <v>5359</v>
      </c>
      <c r="V2878" s="16" t="s">
        <v>5654</v>
      </c>
      <c r="W2878" s="11" t="s">
        <v>14433</v>
      </c>
      <c r="X2878" s="174">
        <v>35.93</v>
      </c>
      <c r="Y2878" s="174">
        <v>46.04</v>
      </c>
    </row>
    <row r="2879" spans="1:25" ht="15" customHeight="1" x14ac:dyDescent="0.25">
      <c r="A2879" s="20" t="s">
        <v>3139</v>
      </c>
      <c r="B2879" s="14" t="s">
        <v>3140</v>
      </c>
      <c r="C2879" s="71" t="str">
        <f t="shared" si="60"/>
        <v>Product Info</v>
      </c>
      <c r="D2879" s="37" t="s">
        <v>3141</v>
      </c>
      <c r="E2879" s="143">
        <v>250</v>
      </c>
      <c r="F2879" s="12" t="s">
        <v>4992</v>
      </c>
      <c r="G2879" s="38">
        <v>0.43</v>
      </c>
      <c r="H2879" s="38">
        <f t="shared" si="61"/>
        <v>0.3</v>
      </c>
      <c r="I2879" s="38">
        <v>0.3</v>
      </c>
      <c r="J2879" s="39"/>
      <c r="K2879" s="143"/>
      <c r="L2879" s="22">
        <v>2.9199999999999999E-3</v>
      </c>
      <c r="M2879" s="22" t="s">
        <v>12488</v>
      </c>
      <c r="N2879" s="20" t="s">
        <v>9495</v>
      </c>
      <c r="O2879" s="16" t="s">
        <v>12608</v>
      </c>
      <c r="P2879" s="143" t="s">
        <v>12555</v>
      </c>
      <c r="Q2879" s="121" t="s">
        <v>14285</v>
      </c>
      <c r="R2879" s="16" t="s">
        <v>8904</v>
      </c>
      <c r="S2879" s="10" t="s">
        <v>194</v>
      </c>
      <c r="T2879" s="28" t="s">
        <v>11873</v>
      </c>
      <c r="U2879" s="20" t="s">
        <v>5359</v>
      </c>
      <c r="V2879" s="16" t="s">
        <v>3139</v>
      </c>
      <c r="W2879" s="11" t="s">
        <v>14433</v>
      </c>
      <c r="X2879" s="174">
        <v>0.24</v>
      </c>
      <c r="Y2879" s="174">
        <v>0.3</v>
      </c>
    </row>
    <row r="2880" spans="1:25" ht="15" customHeight="1" x14ac:dyDescent="0.25">
      <c r="A2880" s="20" t="s">
        <v>6119</v>
      </c>
      <c r="B2880" s="14" t="s">
        <v>6120</v>
      </c>
      <c r="C2880" s="71" t="str">
        <f t="shared" si="60"/>
        <v>Product Info</v>
      </c>
      <c r="D2880" s="37" t="s">
        <v>6121</v>
      </c>
      <c r="E2880" s="143">
        <v>250</v>
      </c>
      <c r="F2880" s="12" t="s">
        <v>4992</v>
      </c>
      <c r="G2880" s="38">
        <v>0.69</v>
      </c>
      <c r="H2880" s="38">
        <f t="shared" si="61"/>
        <v>0.48</v>
      </c>
      <c r="I2880" s="38">
        <v>0.48</v>
      </c>
      <c r="J2880" s="39"/>
      <c r="K2880" s="143"/>
      <c r="L2880" s="22">
        <v>4.1999999999999997E-3</v>
      </c>
      <c r="M2880" s="22" t="s">
        <v>12488</v>
      </c>
      <c r="N2880" s="20" t="s">
        <v>9495</v>
      </c>
      <c r="O2880" s="16" t="s">
        <v>12608</v>
      </c>
      <c r="P2880" s="143" t="s">
        <v>12555</v>
      </c>
      <c r="Q2880" s="121" t="s">
        <v>14285</v>
      </c>
      <c r="R2880" s="16" t="s">
        <v>8904</v>
      </c>
      <c r="S2880" s="10" t="s">
        <v>194</v>
      </c>
      <c r="T2880" s="28" t="s">
        <v>11874</v>
      </c>
      <c r="U2880" s="20" t="s">
        <v>5359</v>
      </c>
      <c r="V2880" s="16" t="s">
        <v>6119</v>
      </c>
      <c r="W2880" s="11" t="s">
        <v>14433</v>
      </c>
      <c r="X2880" s="174">
        <v>0.38</v>
      </c>
      <c r="Y2880" s="174">
        <v>0.48</v>
      </c>
    </row>
    <row r="2881" spans="1:25" ht="15" customHeight="1" x14ac:dyDescent="0.25">
      <c r="A2881" s="20" t="s">
        <v>6122</v>
      </c>
      <c r="B2881" s="14" t="s">
        <v>6123</v>
      </c>
      <c r="C2881" s="71" t="str">
        <f t="shared" si="60"/>
        <v>Product Info</v>
      </c>
      <c r="D2881" s="37" t="s">
        <v>6124</v>
      </c>
      <c r="E2881" s="143">
        <v>250</v>
      </c>
      <c r="F2881" s="12" t="s">
        <v>4992</v>
      </c>
      <c r="G2881" s="38">
        <v>0.67</v>
      </c>
      <c r="H2881" s="38">
        <f t="shared" si="61"/>
        <v>0.47</v>
      </c>
      <c r="I2881" s="38">
        <v>0.47</v>
      </c>
      <c r="J2881" s="39"/>
      <c r="K2881" s="143"/>
      <c r="L2881" s="22">
        <v>4.1999999999999997E-3</v>
      </c>
      <c r="M2881" s="22" t="s">
        <v>12488</v>
      </c>
      <c r="N2881" s="20" t="s">
        <v>9495</v>
      </c>
      <c r="O2881" s="16" t="s">
        <v>12608</v>
      </c>
      <c r="P2881" s="143" t="s">
        <v>12555</v>
      </c>
      <c r="Q2881" s="121" t="s">
        <v>14285</v>
      </c>
      <c r="R2881" s="16" t="s">
        <v>8904</v>
      </c>
      <c r="S2881" s="10" t="s">
        <v>194</v>
      </c>
      <c r="T2881" s="28" t="s">
        <v>11875</v>
      </c>
      <c r="U2881" s="20" t="s">
        <v>5359</v>
      </c>
      <c r="V2881" s="16" t="s">
        <v>6122</v>
      </c>
      <c r="W2881" s="11" t="s">
        <v>14433</v>
      </c>
      <c r="X2881" s="174">
        <v>0.37</v>
      </c>
      <c r="Y2881" s="174">
        <v>0.47</v>
      </c>
    </row>
    <row r="2882" spans="1:25" ht="15" customHeight="1" x14ac:dyDescent="0.25">
      <c r="A2882" s="20" t="s">
        <v>5956</v>
      </c>
      <c r="B2882" s="14" t="s">
        <v>5957</v>
      </c>
      <c r="C2882" s="71" t="str">
        <f t="shared" si="60"/>
        <v>Product Info</v>
      </c>
      <c r="D2882" s="37" t="s">
        <v>5958</v>
      </c>
      <c r="E2882" s="143">
        <v>200</v>
      </c>
      <c r="F2882" s="12" t="s">
        <v>4992</v>
      </c>
      <c r="G2882" s="38">
        <v>0.66</v>
      </c>
      <c r="H2882" s="38">
        <f t="shared" si="61"/>
        <v>0.46</v>
      </c>
      <c r="I2882" s="38">
        <v>0.46</v>
      </c>
      <c r="J2882" s="39"/>
      <c r="K2882" s="143"/>
      <c r="L2882" s="22">
        <v>6.0000000000000001E-3</v>
      </c>
      <c r="M2882" s="22" t="s">
        <v>12488</v>
      </c>
      <c r="N2882" s="20" t="s">
        <v>8845</v>
      </c>
      <c r="O2882" s="16" t="s">
        <v>12608</v>
      </c>
      <c r="P2882" s="143" t="s">
        <v>12555</v>
      </c>
      <c r="Q2882" s="121" t="s">
        <v>14285</v>
      </c>
      <c r="R2882" s="16" t="s">
        <v>8904</v>
      </c>
      <c r="S2882" s="10" t="s">
        <v>194</v>
      </c>
      <c r="T2882" s="28" t="s">
        <v>11876</v>
      </c>
      <c r="U2882" s="20" t="s">
        <v>5359</v>
      </c>
      <c r="V2882" s="16" t="s">
        <v>5956</v>
      </c>
      <c r="W2882" s="11" t="s">
        <v>14433</v>
      </c>
      <c r="X2882" s="174">
        <v>0.36</v>
      </c>
      <c r="Y2882" s="174">
        <v>0.46</v>
      </c>
    </row>
    <row r="2883" spans="1:25" ht="15" customHeight="1" x14ac:dyDescent="0.25">
      <c r="A2883" s="20" t="s">
        <v>5959</v>
      </c>
      <c r="B2883" s="14" t="s">
        <v>5960</v>
      </c>
      <c r="C2883" s="71" t="str">
        <f t="shared" si="60"/>
        <v>Product Info</v>
      </c>
      <c r="D2883" s="37" t="s">
        <v>5961</v>
      </c>
      <c r="E2883" s="143">
        <v>1</v>
      </c>
      <c r="F2883" s="12" t="s">
        <v>4992</v>
      </c>
      <c r="G2883" s="38">
        <v>0.59</v>
      </c>
      <c r="H2883" s="38">
        <f t="shared" si="61"/>
        <v>0.41</v>
      </c>
      <c r="I2883" s="38">
        <v>0.41</v>
      </c>
      <c r="J2883" s="39"/>
      <c r="K2883" s="143"/>
      <c r="L2883" s="22">
        <v>4.4000000000000003E-3</v>
      </c>
      <c r="M2883" s="22" t="s">
        <v>12488</v>
      </c>
      <c r="N2883" s="20" t="s">
        <v>8846</v>
      </c>
      <c r="O2883" s="16" t="s">
        <v>12608</v>
      </c>
      <c r="P2883" s="143" t="s">
        <v>12555</v>
      </c>
      <c r="Q2883" s="121" t="s">
        <v>14285</v>
      </c>
      <c r="R2883" s="16" t="s">
        <v>8904</v>
      </c>
      <c r="S2883" s="10" t="s">
        <v>194</v>
      </c>
      <c r="T2883" s="28" t="s">
        <v>11877</v>
      </c>
      <c r="U2883" s="20" t="s">
        <v>5359</v>
      </c>
      <c r="V2883" s="16" t="s">
        <v>5959</v>
      </c>
      <c r="W2883" s="11" t="s">
        <v>14433</v>
      </c>
      <c r="X2883" s="174">
        <v>0.32</v>
      </c>
      <c r="Y2883" s="174">
        <v>0.41</v>
      </c>
    </row>
    <row r="2884" spans="1:25" ht="15" customHeight="1" x14ac:dyDescent="0.25">
      <c r="A2884" s="20" t="s">
        <v>2532</v>
      </c>
      <c r="B2884" s="14" t="s">
        <v>2533</v>
      </c>
      <c r="C2884" s="71" t="str">
        <f t="shared" si="60"/>
        <v>Product Info</v>
      </c>
      <c r="D2884" s="37" t="s">
        <v>2534</v>
      </c>
      <c r="E2884" s="143">
        <v>1</v>
      </c>
      <c r="F2884" s="12" t="s">
        <v>4992</v>
      </c>
      <c r="G2884" s="38">
        <v>6.64</v>
      </c>
      <c r="H2884" s="38">
        <f t="shared" si="61"/>
        <v>4.6500000000000004</v>
      </c>
      <c r="I2884" s="38">
        <v>4.6500000000000004</v>
      </c>
      <c r="J2884" s="39"/>
      <c r="K2884" s="143"/>
      <c r="L2884" s="22">
        <v>0</v>
      </c>
      <c r="M2884" s="22">
        <v>0</v>
      </c>
      <c r="N2884" s="20" t="s">
        <v>14489</v>
      </c>
      <c r="O2884" s="16" t="s">
        <v>4992</v>
      </c>
      <c r="P2884" s="143" t="s">
        <v>12555</v>
      </c>
      <c r="Q2884" s="121" t="s">
        <v>14285</v>
      </c>
      <c r="R2884" s="16" t="s">
        <v>8904</v>
      </c>
      <c r="S2884" s="10" t="s">
        <v>194</v>
      </c>
      <c r="T2884" s="28" t="s">
        <v>11878</v>
      </c>
      <c r="U2884" s="20" t="s">
        <v>5359</v>
      </c>
      <c r="V2884" s="16" t="s">
        <v>2532</v>
      </c>
      <c r="W2884" s="11" t="s">
        <v>14433</v>
      </c>
      <c r="X2884" s="174">
        <v>3.62</v>
      </c>
      <c r="Y2884" s="174">
        <v>4.6500000000000004</v>
      </c>
    </row>
    <row r="2885" spans="1:25" ht="15" customHeight="1" x14ac:dyDescent="0.25">
      <c r="A2885" s="20" t="s">
        <v>5649</v>
      </c>
      <c r="B2885" s="14" t="s">
        <v>5650</v>
      </c>
      <c r="C2885" s="71" t="str">
        <f t="shared" si="60"/>
        <v>Product Info</v>
      </c>
      <c r="D2885" s="37" t="s">
        <v>5651</v>
      </c>
      <c r="E2885" s="143">
        <v>10000</v>
      </c>
      <c r="F2885" s="12" t="s">
        <v>4992</v>
      </c>
      <c r="G2885" s="38">
        <v>7.0000000000000007E-2</v>
      </c>
      <c r="H2885" s="38">
        <f t="shared" si="61"/>
        <v>0.05</v>
      </c>
      <c r="I2885" s="38">
        <v>0.05</v>
      </c>
      <c r="J2885" s="39"/>
      <c r="K2885" s="143"/>
      <c r="L2885" s="22">
        <v>0</v>
      </c>
      <c r="M2885" s="22" t="s">
        <v>2170</v>
      </c>
      <c r="N2885" s="20" t="s">
        <v>14489</v>
      </c>
      <c r="O2885" s="16">
        <v>0</v>
      </c>
      <c r="P2885" s="143" t="s">
        <v>12555</v>
      </c>
      <c r="Q2885" s="121" t="s">
        <v>14285</v>
      </c>
      <c r="R2885" s="16" t="s">
        <v>8904</v>
      </c>
      <c r="S2885" s="10" t="s">
        <v>194</v>
      </c>
      <c r="T2885" s="28" t="s">
        <v>11879</v>
      </c>
      <c r="U2885" s="20" t="s">
        <v>5359</v>
      </c>
      <c r="V2885" s="16" t="s">
        <v>5649</v>
      </c>
      <c r="W2885" s="11" t="s">
        <v>14433</v>
      </c>
      <c r="X2885" s="174">
        <v>0.04</v>
      </c>
      <c r="Y2885" s="174">
        <v>0.05</v>
      </c>
    </row>
    <row r="2886" spans="1:25" ht="15" customHeight="1" x14ac:dyDescent="0.25">
      <c r="A2886" s="20" t="s">
        <v>5939</v>
      </c>
      <c r="B2886" s="14" t="s">
        <v>5940</v>
      </c>
      <c r="C2886" s="71" t="str">
        <f t="shared" ref="C2886:C2949" si="62">HYPERLINK(T2886,U2886)</f>
        <v>Product Info</v>
      </c>
      <c r="D2886" s="37" t="s">
        <v>5941</v>
      </c>
      <c r="E2886" s="143">
        <v>5000</v>
      </c>
      <c r="F2886" s="12" t="s">
        <v>4992</v>
      </c>
      <c r="G2886" s="38">
        <v>0.23</v>
      </c>
      <c r="H2886" s="38">
        <f t="shared" si="61"/>
        <v>0.16</v>
      </c>
      <c r="I2886" s="38">
        <v>0.16</v>
      </c>
      <c r="J2886" s="39"/>
      <c r="K2886" s="143"/>
      <c r="L2886" s="22">
        <v>0</v>
      </c>
      <c r="M2886" s="22" t="s">
        <v>2170</v>
      </c>
      <c r="N2886" s="20" t="s">
        <v>14489</v>
      </c>
      <c r="O2886" s="16" t="s">
        <v>12608</v>
      </c>
      <c r="P2886" s="143" t="s">
        <v>12555</v>
      </c>
      <c r="Q2886" s="121" t="s">
        <v>14285</v>
      </c>
      <c r="R2886" s="16" t="s">
        <v>8904</v>
      </c>
      <c r="S2886" s="10" t="s">
        <v>194</v>
      </c>
      <c r="T2886" s="28" t="s">
        <v>11880</v>
      </c>
      <c r="U2886" s="20" t="s">
        <v>5359</v>
      </c>
      <c r="V2886" s="16" t="s">
        <v>5939</v>
      </c>
      <c r="W2886" s="11" t="s">
        <v>14433</v>
      </c>
      <c r="X2886" s="174">
        <v>0.13</v>
      </c>
      <c r="Y2886" s="174">
        <v>0.16</v>
      </c>
    </row>
    <row r="2887" spans="1:25" ht="15" customHeight="1" x14ac:dyDescent="0.25">
      <c r="A2887" s="20" t="s">
        <v>5942</v>
      </c>
      <c r="B2887" s="14" t="s">
        <v>5943</v>
      </c>
      <c r="C2887" s="71" t="str">
        <f t="shared" si="62"/>
        <v>Product Info</v>
      </c>
      <c r="D2887" s="37" t="s">
        <v>5944</v>
      </c>
      <c r="E2887" s="143">
        <v>10000</v>
      </c>
      <c r="F2887" s="12" t="s">
        <v>4992</v>
      </c>
      <c r="G2887" s="38">
        <v>7.0000000000000007E-2</v>
      </c>
      <c r="H2887" s="38">
        <f t="shared" si="61"/>
        <v>0.05</v>
      </c>
      <c r="I2887" s="38">
        <v>0.05</v>
      </c>
      <c r="J2887" s="39"/>
      <c r="K2887" s="143"/>
      <c r="L2887" s="22">
        <v>0</v>
      </c>
      <c r="M2887" s="22" t="s">
        <v>2170</v>
      </c>
      <c r="N2887" s="20" t="s">
        <v>14489</v>
      </c>
      <c r="O2887" s="16">
        <v>0</v>
      </c>
      <c r="P2887" s="143" t="s">
        <v>12555</v>
      </c>
      <c r="Q2887" s="121" t="s">
        <v>14285</v>
      </c>
      <c r="R2887" s="16" t="s">
        <v>8904</v>
      </c>
      <c r="S2887" s="10" t="s">
        <v>194</v>
      </c>
      <c r="T2887" s="28" t="s">
        <v>11881</v>
      </c>
      <c r="U2887" s="20" t="s">
        <v>5359</v>
      </c>
      <c r="V2887" s="20" t="s">
        <v>13915</v>
      </c>
      <c r="W2887" s="11" t="s">
        <v>14433</v>
      </c>
      <c r="X2887" s="174">
        <v>0.04</v>
      </c>
      <c r="Y2887" s="174">
        <v>0.05</v>
      </c>
    </row>
    <row r="2888" spans="1:25" ht="15" customHeight="1" x14ac:dyDescent="0.25">
      <c r="A2888" s="20" t="s">
        <v>5945</v>
      </c>
      <c r="B2888" s="14" t="s">
        <v>5946</v>
      </c>
      <c r="C2888" s="71" t="str">
        <f t="shared" si="62"/>
        <v>Product Info</v>
      </c>
      <c r="D2888" s="37" t="s">
        <v>5947</v>
      </c>
      <c r="E2888" s="143">
        <v>5000</v>
      </c>
      <c r="F2888" s="12" t="s">
        <v>4992</v>
      </c>
      <c r="G2888" s="38">
        <v>0.26</v>
      </c>
      <c r="H2888" s="38">
        <f t="shared" si="61"/>
        <v>0.18</v>
      </c>
      <c r="I2888" s="38">
        <v>0.18</v>
      </c>
      <c r="J2888" s="39"/>
      <c r="K2888" s="143"/>
      <c r="L2888" s="22">
        <v>0</v>
      </c>
      <c r="M2888" s="22" t="s">
        <v>2170</v>
      </c>
      <c r="N2888" s="20" t="s">
        <v>14489</v>
      </c>
      <c r="O2888" s="16" t="s">
        <v>6692</v>
      </c>
      <c r="P2888" s="143" t="s">
        <v>12555</v>
      </c>
      <c r="Q2888" s="121" t="s">
        <v>14285</v>
      </c>
      <c r="R2888" s="16" t="s">
        <v>8904</v>
      </c>
      <c r="S2888" s="10" t="s">
        <v>194</v>
      </c>
      <c r="T2888" s="28" t="s">
        <v>11882</v>
      </c>
      <c r="U2888" s="20" t="s">
        <v>5359</v>
      </c>
      <c r="V2888" s="16" t="s">
        <v>5945</v>
      </c>
      <c r="W2888" s="11" t="s">
        <v>14433</v>
      </c>
      <c r="X2888" s="174">
        <v>0.14000000000000001</v>
      </c>
      <c r="Y2888" s="174">
        <v>0.18</v>
      </c>
    </row>
    <row r="2889" spans="1:25" ht="15" customHeight="1" x14ac:dyDescent="0.25">
      <c r="A2889" s="20" t="s">
        <v>13909</v>
      </c>
      <c r="B2889" s="16" t="s">
        <v>13910</v>
      </c>
      <c r="C2889" s="71" t="str">
        <f t="shared" si="62"/>
        <v>Product Info</v>
      </c>
      <c r="D2889" s="145" t="s">
        <v>14892</v>
      </c>
      <c r="E2889" s="143">
        <v>4</v>
      </c>
      <c r="F2889" s="12" t="s">
        <v>4992</v>
      </c>
      <c r="G2889" s="38">
        <v>37.67</v>
      </c>
      <c r="H2889" s="38">
        <v>32.020000000000003</v>
      </c>
      <c r="I2889" s="38">
        <v>26.37</v>
      </c>
      <c r="J2889" s="39"/>
      <c r="K2889" s="143"/>
      <c r="L2889" s="22">
        <v>4.4999999999999998E-2</v>
      </c>
      <c r="M2889" s="22" t="s">
        <v>12488</v>
      </c>
      <c r="N2889" s="20" t="s">
        <v>14258</v>
      </c>
      <c r="O2889" s="16" t="s">
        <v>13912</v>
      </c>
      <c r="P2889" s="143">
        <v>760</v>
      </c>
      <c r="Q2889" s="121" t="s">
        <v>14285</v>
      </c>
      <c r="R2889" s="16" t="s">
        <v>8904</v>
      </c>
      <c r="S2889" s="10" t="s">
        <v>1163</v>
      </c>
      <c r="T2889" s="28" t="s">
        <v>13911</v>
      </c>
      <c r="U2889" s="20" t="s">
        <v>5359</v>
      </c>
      <c r="V2889" s="16" t="s">
        <v>14055</v>
      </c>
      <c r="W2889" s="20" t="s">
        <v>14432</v>
      </c>
      <c r="X2889" s="174">
        <v>24.26</v>
      </c>
      <c r="Y2889" s="174">
        <v>32.020000000000003</v>
      </c>
    </row>
    <row r="2890" spans="1:25" ht="15" customHeight="1" x14ac:dyDescent="0.25">
      <c r="A2890" s="20" t="s">
        <v>6110</v>
      </c>
      <c r="B2890" s="14" t="s">
        <v>6111</v>
      </c>
      <c r="C2890" s="71" t="str">
        <f t="shared" si="62"/>
        <v>Product Info</v>
      </c>
      <c r="D2890" s="37" t="s">
        <v>6112</v>
      </c>
      <c r="E2890" s="143">
        <v>2500</v>
      </c>
      <c r="F2890" s="12" t="s">
        <v>4992</v>
      </c>
      <c r="G2890" s="38">
        <v>0.36</v>
      </c>
      <c r="H2890" s="38">
        <f t="shared" ref="H2890:H2898" si="63">I2890</f>
        <v>0.25</v>
      </c>
      <c r="I2890" s="38">
        <v>0.25</v>
      </c>
      <c r="J2890" s="39"/>
      <c r="K2890" s="143"/>
      <c r="L2890" s="22">
        <v>0</v>
      </c>
      <c r="M2890" s="22" t="s">
        <v>2170</v>
      </c>
      <c r="N2890" s="20" t="s">
        <v>14489</v>
      </c>
      <c r="O2890" s="16" t="s">
        <v>6692</v>
      </c>
      <c r="P2890" s="143" t="s">
        <v>12555</v>
      </c>
      <c r="Q2890" s="121" t="s">
        <v>14285</v>
      </c>
      <c r="R2890" s="16" t="s">
        <v>8904</v>
      </c>
      <c r="S2890" s="10" t="s">
        <v>194</v>
      </c>
      <c r="T2890" s="28" t="s">
        <v>11883</v>
      </c>
      <c r="U2890" s="20" t="s">
        <v>5359</v>
      </c>
      <c r="V2890" s="16" t="s">
        <v>6110</v>
      </c>
      <c r="W2890" s="11" t="s">
        <v>14433</v>
      </c>
      <c r="X2890" s="174">
        <v>0.2</v>
      </c>
      <c r="Y2890" s="174">
        <v>0.25</v>
      </c>
    </row>
    <row r="2891" spans="1:25" ht="15" customHeight="1" x14ac:dyDescent="0.25">
      <c r="A2891" s="20" t="s">
        <v>6113</v>
      </c>
      <c r="B2891" s="14" t="s">
        <v>6114</v>
      </c>
      <c r="C2891" s="71" t="str">
        <f t="shared" si="62"/>
        <v>Product Info</v>
      </c>
      <c r="D2891" s="37" t="s">
        <v>6115</v>
      </c>
      <c r="E2891" s="143">
        <v>5000</v>
      </c>
      <c r="F2891" s="12" t="s">
        <v>4992</v>
      </c>
      <c r="G2891" s="38">
        <v>7.0000000000000007E-2</v>
      </c>
      <c r="H2891" s="38">
        <f t="shared" si="63"/>
        <v>0.05</v>
      </c>
      <c r="I2891" s="38">
        <v>0.05</v>
      </c>
      <c r="J2891" s="39"/>
      <c r="K2891" s="143"/>
      <c r="L2891" s="22">
        <v>0</v>
      </c>
      <c r="M2891" s="22" t="s">
        <v>2170</v>
      </c>
      <c r="N2891" s="20" t="s">
        <v>14489</v>
      </c>
      <c r="O2891" s="16">
        <v>0</v>
      </c>
      <c r="P2891" s="143" t="s">
        <v>12555</v>
      </c>
      <c r="Q2891" s="121" t="s">
        <v>14285</v>
      </c>
      <c r="R2891" s="16" t="s">
        <v>8904</v>
      </c>
      <c r="S2891" s="10" t="s">
        <v>194</v>
      </c>
      <c r="T2891" s="28" t="s">
        <v>11884</v>
      </c>
      <c r="U2891" s="20" t="s">
        <v>5359</v>
      </c>
      <c r="V2891" s="16" t="s">
        <v>6113</v>
      </c>
      <c r="W2891" s="11" t="s">
        <v>14433</v>
      </c>
      <c r="X2891" s="174">
        <v>0.04</v>
      </c>
      <c r="Y2891" s="174">
        <v>0.05</v>
      </c>
    </row>
    <row r="2892" spans="1:25" ht="15" customHeight="1" x14ac:dyDescent="0.25">
      <c r="A2892" s="20" t="s">
        <v>6116</v>
      </c>
      <c r="B2892" s="14" t="s">
        <v>6117</v>
      </c>
      <c r="C2892" s="71" t="str">
        <f t="shared" si="62"/>
        <v>Product Info</v>
      </c>
      <c r="D2892" s="37" t="s">
        <v>6118</v>
      </c>
      <c r="E2892" s="143">
        <v>2500</v>
      </c>
      <c r="F2892" s="12" t="s">
        <v>4992</v>
      </c>
      <c r="G2892" s="38">
        <v>0.1</v>
      </c>
      <c r="H2892" s="38">
        <f t="shared" si="63"/>
        <v>7.0000000000000007E-2</v>
      </c>
      <c r="I2892" s="38">
        <v>7.0000000000000007E-2</v>
      </c>
      <c r="J2892" s="39"/>
      <c r="K2892" s="143"/>
      <c r="L2892" s="22">
        <v>0</v>
      </c>
      <c r="M2892" s="22" t="s">
        <v>2170</v>
      </c>
      <c r="N2892" s="20" t="s">
        <v>14489</v>
      </c>
      <c r="O2892" s="16" t="s">
        <v>6692</v>
      </c>
      <c r="P2892" s="143" t="s">
        <v>12555</v>
      </c>
      <c r="Q2892" s="121" t="s">
        <v>14285</v>
      </c>
      <c r="R2892" s="16" t="s">
        <v>8904</v>
      </c>
      <c r="S2892" s="10" t="s">
        <v>194</v>
      </c>
      <c r="T2892" s="28" t="s">
        <v>11885</v>
      </c>
      <c r="U2892" s="20" t="s">
        <v>5359</v>
      </c>
      <c r="V2892" s="16" t="s">
        <v>6116</v>
      </c>
      <c r="W2892" s="11" t="s">
        <v>14433</v>
      </c>
      <c r="X2892" s="174">
        <v>0.06</v>
      </c>
      <c r="Y2892" s="174">
        <v>7.0000000000000007E-2</v>
      </c>
    </row>
    <row r="2893" spans="1:25" ht="15" customHeight="1" x14ac:dyDescent="0.25">
      <c r="A2893" s="20" t="s">
        <v>2535</v>
      </c>
      <c r="B2893" s="14" t="s">
        <v>2536</v>
      </c>
      <c r="C2893" s="71" t="str">
        <f t="shared" si="62"/>
        <v>Product Info</v>
      </c>
      <c r="D2893" s="37" t="s">
        <v>2537</v>
      </c>
      <c r="E2893" s="143">
        <v>1000</v>
      </c>
      <c r="F2893" s="12" t="s">
        <v>4992</v>
      </c>
      <c r="G2893" s="38">
        <v>0.24</v>
      </c>
      <c r="H2893" s="38">
        <f t="shared" si="63"/>
        <v>0.17</v>
      </c>
      <c r="I2893" s="38">
        <v>0.17</v>
      </c>
      <c r="J2893" s="39"/>
      <c r="K2893" s="143"/>
      <c r="L2893" s="22">
        <v>0</v>
      </c>
      <c r="M2893" s="22" t="s">
        <v>2170</v>
      </c>
      <c r="N2893" s="20" t="s">
        <v>14489</v>
      </c>
      <c r="O2893" s="16" t="s">
        <v>6692</v>
      </c>
      <c r="P2893" s="143" t="s">
        <v>12555</v>
      </c>
      <c r="Q2893" s="121" t="s">
        <v>14285</v>
      </c>
      <c r="R2893" s="16" t="s">
        <v>8904</v>
      </c>
      <c r="S2893" s="10" t="s">
        <v>194</v>
      </c>
      <c r="T2893" s="28" t="s">
        <v>11886</v>
      </c>
      <c r="U2893" s="20" t="s">
        <v>5359</v>
      </c>
      <c r="V2893" s="16" t="s">
        <v>2535</v>
      </c>
      <c r="W2893" s="11" t="s">
        <v>14433</v>
      </c>
      <c r="X2893" s="174">
        <v>0.14000000000000001</v>
      </c>
      <c r="Y2893" s="174">
        <v>0.17</v>
      </c>
    </row>
    <row r="2894" spans="1:25" ht="15" customHeight="1" x14ac:dyDescent="0.25">
      <c r="A2894" s="20" t="s">
        <v>2538</v>
      </c>
      <c r="B2894" s="14" t="s">
        <v>2539</v>
      </c>
      <c r="C2894" s="71" t="str">
        <f t="shared" si="62"/>
        <v>Product Info</v>
      </c>
      <c r="D2894" s="37" t="s">
        <v>2540</v>
      </c>
      <c r="E2894" s="143">
        <v>2500</v>
      </c>
      <c r="F2894" s="12" t="s">
        <v>4992</v>
      </c>
      <c r="G2894" s="38">
        <v>0.14000000000000001</v>
      </c>
      <c r="H2894" s="38">
        <f t="shared" si="63"/>
        <v>0.1</v>
      </c>
      <c r="I2894" s="38">
        <v>0.1</v>
      </c>
      <c r="J2894" s="39"/>
      <c r="K2894" s="143"/>
      <c r="L2894" s="22">
        <v>0</v>
      </c>
      <c r="M2894" s="22" t="s">
        <v>2170</v>
      </c>
      <c r="N2894" s="20" t="s">
        <v>14489</v>
      </c>
      <c r="O2894" s="16">
        <v>0</v>
      </c>
      <c r="P2894" s="143" t="s">
        <v>12555</v>
      </c>
      <c r="Q2894" s="121" t="s">
        <v>14285</v>
      </c>
      <c r="R2894" s="16" t="s">
        <v>8904</v>
      </c>
      <c r="S2894" s="10" t="s">
        <v>194</v>
      </c>
      <c r="T2894" s="28" t="s">
        <v>11887</v>
      </c>
      <c r="U2894" s="20" t="s">
        <v>5359</v>
      </c>
      <c r="V2894" s="16" t="s">
        <v>2538</v>
      </c>
      <c r="W2894" s="11" t="s">
        <v>14433</v>
      </c>
      <c r="X2894" s="174">
        <v>0.08</v>
      </c>
      <c r="Y2894" s="174">
        <v>0.1</v>
      </c>
    </row>
    <row r="2895" spans="1:25" ht="15" customHeight="1" x14ac:dyDescent="0.25">
      <c r="A2895" s="20" t="s">
        <v>2541</v>
      </c>
      <c r="B2895" s="14" t="s">
        <v>6125</v>
      </c>
      <c r="C2895" s="71" t="str">
        <f t="shared" si="62"/>
        <v>Product Info</v>
      </c>
      <c r="D2895" s="37" t="s">
        <v>6126</v>
      </c>
      <c r="E2895" s="143">
        <v>500</v>
      </c>
      <c r="F2895" s="12" t="s">
        <v>4992</v>
      </c>
      <c r="G2895" s="38">
        <v>0.94</v>
      </c>
      <c r="H2895" s="38">
        <f t="shared" si="63"/>
        <v>0.66</v>
      </c>
      <c r="I2895" s="38">
        <v>0.66</v>
      </c>
      <c r="J2895" s="39"/>
      <c r="K2895" s="143"/>
      <c r="L2895" s="22">
        <v>0</v>
      </c>
      <c r="M2895" s="22" t="s">
        <v>2170</v>
      </c>
      <c r="N2895" s="20" t="s">
        <v>14489</v>
      </c>
      <c r="O2895" s="16" t="s">
        <v>6692</v>
      </c>
      <c r="P2895" s="143" t="s">
        <v>12555</v>
      </c>
      <c r="Q2895" s="121" t="s">
        <v>14285</v>
      </c>
      <c r="R2895" s="16" t="s">
        <v>8904</v>
      </c>
      <c r="S2895" s="10" t="s">
        <v>194</v>
      </c>
      <c r="T2895" s="28" t="s">
        <v>11888</v>
      </c>
      <c r="U2895" s="20" t="s">
        <v>5359</v>
      </c>
      <c r="V2895" s="16" t="s">
        <v>2541</v>
      </c>
      <c r="W2895" s="11" t="s">
        <v>14433</v>
      </c>
      <c r="X2895" s="174">
        <v>0.51</v>
      </c>
      <c r="Y2895" s="174">
        <v>0.66</v>
      </c>
    </row>
    <row r="2896" spans="1:25" ht="15" customHeight="1" x14ac:dyDescent="0.25">
      <c r="A2896" s="20" t="s">
        <v>6127</v>
      </c>
      <c r="B2896" s="14" t="s">
        <v>6128</v>
      </c>
      <c r="C2896" s="71" t="str">
        <f t="shared" si="62"/>
        <v>Product Info</v>
      </c>
      <c r="D2896" s="37" t="s">
        <v>6129</v>
      </c>
      <c r="E2896" s="143">
        <v>1000</v>
      </c>
      <c r="F2896" s="12" t="s">
        <v>4992</v>
      </c>
      <c r="G2896" s="38">
        <v>0.28999999999999998</v>
      </c>
      <c r="H2896" s="38">
        <f t="shared" si="63"/>
        <v>0.2</v>
      </c>
      <c r="I2896" s="38">
        <v>0.2</v>
      </c>
      <c r="J2896" s="39"/>
      <c r="K2896" s="143"/>
      <c r="L2896" s="22">
        <v>0</v>
      </c>
      <c r="M2896" s="22" t="s">
        <v>2170</v>
      </c>
      <c r="N2896" s="20" t="s">
        <v>14489</v>
      </c>
      <c r="O2896" s="16">
        <v>0</v>
      </c>
      <c r="P2896" s="143" t="s">
        <v>12555</v>
      </c>
      <c r="Q2896" s="121" t="s">
        <v>14285</v>
      </c>
      <c r="R2896" s="16" t="s">
        <v>8904</v>
      </c>
      <c r="S2896" s="10" t="s">
        <v>194</v>
      </c>
      <c r="T2896" s="28" t="s">
        <v>11889</v>
      </c>
      <c r="U2896" s="20" t="s">
        <v>5359</v>
      </c>
      <c r="V2896" s="16" t="s">
        <v>6127</v>
      </c>
      <c r="W2896" s="11" t="s">
        <v>14433</v>
      </c>
      <c r="X2896" s="174">
        <v>0.16</v>
      </c>
      <c r="Y2896" s="174">
        <v>0.2</v>
      </c>
    </row>
    <row r="2897" spans="1:25" ht="15" customHeight="1" x14ac:dyDescent="0.25">
      <c r="A2897" s="20" t="s">
        <v>6130</v>
      </c>
      <c r="B2897" s="14" t="s">
        <v>6131</v>
      </c>
      <c r="C2897" s="71" t="str">
        <f t="shared" si="62"/>
        <v>Product Info</v>
      </c>
      <c r="D2897" s="37" t="s">
        <v>6132</v>
      </c>
      <c r="E2897" s="143">
        <v>1000</v>
      </c>
      <c r="F2897" s="12" t="s">
        <v>4992</v>
      </c>
      <c r="G2897" s="38">
        <v>0.43</v>
      </c>
      <c r="H2897" s="38">
        <f t="shared" si="63"/>
        <v>0.3</v>
      </c>
      <c r="I2897" s="38">
        <v>0.3</v>
      </c>
      <c r="J2897" s="39"/>
      <c r="K2897" s="143"/>
      <c r="L2897" s="22">
        <v>0</v>
      </c>
      <c r="M2897" s="22" t="s">
        <v>2170</v>
      </c>
      <c r="N2897" s="20" t="s">
        <v>14489</v>
      </c>
      <c r="O2897" s="16">
        <v>0</v>
      </c>
      <c r="P2897" s="143" t="s">
        <v>12555</v>
      </c>
      <c r="Q2897" s="121" t="s">
        <v>14285</v>
      </c>
      <c r="R2897" s="16" t="s">
        <v>8904</v>
      </c>
      <c r="S2897" s="10" t="s">
        <v>194</v>
      </c>
      <c r="T2897" s="28" t="s">
        <v>11890</v>
      </c>
      <c r="U2897" s="20" t="s">
        <v>5359</v>
      </c>
      <c r="V2897" s="16" t="s">
        <v>6130</v>
      </c>
      <c r="W2897" s="11" t="s">
        <v>14433</v>
      </c>
      <c r="X2897" s="174">
        <v>0.24</v>
      </c>
      <c r="Y2897" s="174">
        <v>0.3</v>
      </c>
    </row>
    <row r="2898" spans="1:25" ht="15" customHeight="1" x14ac:dyDescent="0.25">
      <c r="A2898" s="20" t="s">
        <v>6133</v>
      </c>
      <c r="B2898" s="14" t="s">
        <v>6134</v>
      </c>
      <c r="C2898" s="71" t="str">
        <f t="shared" si="62"/>
        <v>Product Info</v>
      </c>
      <c r="D2898" s="37" t="s">
        <v>6135</v>
      </c>
      <c r="E2898" s="143">
        <v>1000</v>
      </c>
      <c r="F2898" s="12" t="s">
        <v>4992</v>
      </c>
      <c r="G2898" s="38">
        <v>0.64</v>
      </c>
      <c r="H2898" s="38">
        <f t="shared" si="63"/>
        <v>0.45</v>
      </c>
      <c r="I2898" s="38">
        <v>0.45</v>
      </c>
      <c r="J2898" s="39"/>
      <c r="K2898" s="143"/>
      <c r="L2898" s="22">
        <v>0</v>
      </c>
      <c r="M2898" s="22" t="s">
        <v>2170</v>
      </c>
      <c r="N2898" s="20" t="s">
        <v>14489</v>
      </c>
      <c r="O2898" s="16" t="s">
        <v>6692</v>
      </c>
      <c r="P2898" s="143" t="s">
        <v>12555</v>
      </c>
      <c r="Q2898" s="121" t="s">
        <v>14285</v>
      </c>
      <c r="R2898" s="16" t="s">
        <v>8904</v>
      </c>
      <c r="S2898" s="10" t="s">
        <v>194</v>
      </c>
      <c r="T2898" s="28" t="s">
        <v>11891</v>
      </c>
      <c r="U2898" s="20" t="s">
        <v>5359</v>
      </c>
      <c r="V2898" s="16" t="s">
        <v>6133</v>
      </c>
      <c r="W2898" s="11" t="s">
        <v>14433</v>
      </c>
      <c r="X2898" s="174">
        <v>0.35</v>
      </c>
      <c r="Y2898" s="174">
        <v>0.45</v>
      </c>
    </row>
    <row r="2899" spans="1:25" ht="15" customHeight="1" x14ac:dyDescent="0.25">
      <c r="A2899" s="20" t="s">
        <v>13952</v>
      </c>
      <c r="B2899" s="29" t="s">
        <v>14314</v>
      </c>
      <c r="C2899" s="71" t="str">
        <f t="shared" si="62"/>
        <v>Product Info</v>
      </c>
      <c r="D2899" s="145" t="s">
        <v>14893</v>
      </c>
      <c r="E2899" s="143">
        <v>50</v>
      </c>
      <c r="F2899" s="143" t="s">
        <v>12513</v>
      </c>
      <c r="G2899" s="38">
        <v>14.44</v>
      </c>
      <c r="H2899" s="38">
        <v>12.28</v>
      </c>
      <c r="I2899" s="38">
        <v>10.11</v>
      </c>
      <c r="J2899" s="39"/>
      <c r="K2899" s="143"/>
      <c r="L2899" s="22">
        <v>0.66</v>
      </c>
      <c r="M2899" s="22" t="s">
        <v>12487</v>
      </c>
      <c r="N2899" s="20" t="s">
        <v>14257</v>
      </c>
      <c r="O2899" s="16" t="s">
        <v>13912</v>
      </c>
      <c r="P2899" s="143">
        <v>760</v>
      </c>
      <c r="Q2899" s="121" t="s">
        <v>14285</v>
      </c>
      <c r="R2899" s="16" t="s">
        <v>8904</v>
      </c>
      <c r="S2899" s="10" t="s">
        <v>1163</v>
      </c>
      <c r="T2899" s="28" t="s">
        <v>14312</v>
      </c>
      <c r="U2899" s="20" t="s">
        <v>5359</v>
      </c>
      <c r="V2899" s="20" t="s">
        <v>13952</v>
      </c>
      <c r="W2899" s="20" t="s">
        <v>14432</v>
      </c>
      <c r="X2899" s="174">
        <v>9.3000000000000007</v>
      </c>
      <c r="Y2899" s="174">
        <v>12.28</v>
      </c>
    </row>
    <row r="2900" spans="1:25" ht="15" customHeight="1" x14ac:dyDescent="0.25">
      <c r="A2900" s="20" t="s">
        <v>13942</v>
      </c>
      <c r="B2900" s="29" t="s">
        <v>14313</v>
      </c>
      <c r="C2900" s="71" t="str">
        <f t="shared" si="62"/>
        <v>Product Info</v>
      </c>
      <c r="D2900" s="145" t="s">
        <v>14894</v>
      </c>
      <c r="E2900" s="143">
        <v>165</v>
      </c>
      <c r="F2900" s="143" t="s">
        <v>6692</v>
      </c>
      <c r="G2900" s="38">
        <v>12</v>
      </c>
      <c r="H2900" s="38">
        <v>10.199999999999999</v>
      </c>
      <c r="I2900" s="38">
        <v>8.4</v>
      </c>
      <c r="J2900" s="39"/>
      <c r="K2900" s="143"/>
      <c r="L2900" s="22">
        <v>0.66</v>
      </c>
      <c r="M2900" s="22" t="s">
        <v>12487</v>
      </c>
      <c r="N2900" s="20" t="s">
        <v>14257</v>
      </c>
      <c r="O2900" s="16" t="s">
        <v>13912</v>
      </c>
      <c r="P2900" s="143">
        <v>760</v>
      </c>
      <c r="Q2900" s="121" t="s">
        <v>14285</v>
      </c>
      <c r="R2900" s="16" t="s">
        <v>8904</v>
      </c>
      <c r="S2900" s="10" t="s">
        <v>1163</v>
      </c>
      <c r="T2900" s="28" t="s">
        <v>14311</v>
      </c>
      <c r="U2900" s="20" t="s">
        <v>5359</v>
      </c>
      <c r="V2900" s="20" t="s">
        <v>13942</v>
      </c>
      <c r="W2900" s="20" t="s">
        <v>14432</v>
      </c>
      <c r="X2900" s="174">
        <v>7.73</v>
      </c>
      <c r="Y2900" s="174">
        <v>10.199999999999999</v>
      </c>
    </row>
    <row r="2901" spans="1:25" ht="15" customHeight="1" x14ac:dyDescent="0.25">
      <c r="A2901" s="20" t="s">
        <v>2931</v>
      </c>
      <c r="B2901" s="14" t="s">
        <v>7865</v>
      </c>
      <c r="C2901" s="71" t="str">
        <f t="shared" si="62"/>
        <v>Product Info</v>
      </c>
      <c r="D2901" s="37" t="s">
        <v>7866</v>
      </c>
      <c r="E2901" s="143">
        <v>2500</v>
      </c>
      <c r="F2901" s="12" t="s">
        <v>4992</v>
      </c>
      <c r="G2901" s="38">
        <v>0.34</v>
      </c>
      <c r="H2901" s="38">
        <f t="shared" ref="H2901:H2920" si="64">I2901</f>
        <v>0.24</v>
      </c>
      <c r="I2901" s="38">
        <v>0.24</v>
      </c>
      <c r="J2901" s="39"/>
      <c r="K2901" s="143"/>
      <c r="L2901" s="22">
        <v>0</v>
      </c>
      <c r="M2901" s="22" t="s">
        <v>2170</v>
      </c>
      <c r="N2901" s="20" t="s">
        <v>14489</v>
      </c>
      <c r="O2901" s="16">
        <v>0</v>
      </c>
      <c r="P2901" s="143" t="s">
        <v>12555</v>
      </c>
      <c r="Q2901" s="121" t="s">
        <v>14285</v>
      </c>
      <c r="R2901" s="16" t="s">
        <v>8904</v>
      </c>
      <c r="S2901" s="10" t="s">
        <v>194</v>
      </c>
      <c r="T2901" s="28" t="s">
        <v>11892</v>
      </c>
      <c r="U2901" s="20" t="s">
        <v>5359</v>
      </c>
      <c r="V2901" s="16" t="s">
        <v>2931</v>
      </c>
      <c r="W2901" s="11" t="s">
        <v>14433</v>
      </c>
      <c r="X2901" s="174">
        <v>0.19</v>
      </c>
      <c r="Y2901" s="174">
        <v>0.24</v>
      </c>
    </row>
    <row r="2902" spans="1:25" ht="15" customHeight="1" x14ac:dyDescent="0.25">
      <c r="A2902" s="20" t="s">
        <v>7867</v>
      </c>
      <c r="B2902" s="14" t="s">
        <v>7868</v>
      </c>
      <c r="C2902" s="71" t="str">
        <f t="shared" si="62"/>
        <v>Product Info</v>
      </c>
      <c r="D2902" s="37" t="s">
        <v>7869</v>
      </c>
      <c r="E2902" s="143">
        <v>1000</v>
      </c>
      <c r="F2902" s="12" t="s">
        <v>4992</v>
      </c>
      <c r="G2902" s="38">
        <v>0.37</v>
      </c>
      <c r="H2902" s="38">
        <f t="shared" si="64"/>
        <v>0.26</v>
      </c>
      <c r="I2902" s="38">
        <v>0.26</v>
      </c>
      <c r="J2902" s="39"/>
      <c r="K2902" s="143"/>
      <c r="L2902" s="22">
        <v>0</v>
      </c>
      <c r="M2902" s="22" t="s">
        <v>2170</v>
      </c>
      <c r="N2902" s="20" t="s">
        <v>14489</v>
      </c>
      <c r="O2902" s="16" t="s">
        <v>6692</v>
      </c>
      <c r="P2902" s="143" t="s">
        <v>12555</v>
      </c>
      <c r="Q2902" s="121" t="s">
        <v>14285</v>
      </c>
      <c r="R2902" s="16" t="s">
        <v>8904</v>
      </c>
      <c r="S2902" s="10" t="s">
        <v>194</v>
      </c>
      <c r="T2902" s="28" t="s">
        <v>11893</v>
      </c>
      <c r="U2902" s="20" t="s">
        <v>5359</v>
      </c>
      <c r="V2902" s="16" t="s">
        <v>7867</v>
      </c>
      <c r="W2902" s="11" t="s">
        <v>14433</v>
      </c>
      <c r="X2902" s="174">
        <v>0.21</v>
      </c>
      <c r="Y2902" s="174">
        <v>0.26</v>
      </c>
    </row>
    <row r="2903" spans="1:25" ht="15" customHeight="1" x14ac:dyDescent="0.25">
      <c r="A2903" s="20" t="s">
        <v>7870</v>
      </c>
      <c r="B2903" s="14" t="s">
        <v>7871</v>
      </c>
      <c r="C2903" s="71" t="str">
        <f t="shared" si="62"/>
        <v>Product Info</v>
      </c>
      <c r="D2903" s="37" t="s">
        <v>7872</v>
      </c>
      <c r="E2903" s="143">
        <v>2500</v>
      </c>
      <c r="F2903" s="12" t="s">
        <v>4992</v>
      </c>
      <c r="G2903" s="38">
        <v>0.27</v>
      </c>
      <c r="H2903" s="38">
        <f t="shared" si="64"/>
        <v>0.19</v>
      </c>
      <c r="I2903" s="38">
        <v>0.19</v>
      </c>
      <c r="J2903" s="39"/>
      <c r="K2903" s="143"/>
      <c r="L2903" s="22">
        <v>0</v>
      </c>
      <c r="M2903" s="22">
        <v>0</v>
      </c>
      <c r="N2903" s="20" t="s">
        <v>14489</v>
      </c>
      <c r="O2903" s="16">
        <v>0</v>
      </c>
      <c r="P2903" s="143" t="s">
        <v>12555</v>
      </c>
      <c r="Q2903" s="121" t="s">
        <v>14285</v>
      </c>
      <c r="R2903" s="16" t="s">
        <v>8904</v>
      </c>
      <c r="S2903" s="10" t="s">
        <v>194</v>
      </c>
      <c r="T2903" s="28" t="s">
        <v>11894</v>
      </c>
      <c r="U2903" s="20" t="s">
        <v>5359</v>
      </c>
      <c r="V2903" s="16" t="s">
        <v>7870</v>
      </c>
      <c r="W2903" s="11" t="s">
        <v>14433</v>
      </c>
      <c r="X2903" s="174">
        <v>0.15</v>
      </c>
      <c r="Y2903" s="174">
        <v>0.19</v>
      </c>
    </row>
    <row r="2904" spans="1:25" ht="15" customHeight="1" x14ac:dyDescent="0.25">
      <c r="A2904" s="20" t="s">
        <v>7873</v>
      </c>
      <c r="B2904" s="14" t="s">
        <v>7874</v>
      </c>
      <c r="C2904" s="71" t="str">
        <f t="shared" si="62"/>
        <v>Product Info</v>
      </c>
      <c r="D2904" s="37" t="s">
        <v>7875</v>
      </c>
      <c r="E2904" s="143">
        <v>1000</v>
      </c>
      <c r="F2904" s="12" t="s">
        <v>4992</v>
      </c>
      <c r="G2904" s="38">
        <v>0.63</v>
      </c>
      <c r="H2904" s="38">
        <f t="shared" si="64"/>
        <v>0.44</v>
      </c>
      <c r="I2904" s="38">
        <v>0.44</v>
      </c>
      <c r="J2904" s="39"/>
      <c r="K2904" s="143"/>
      <c r="L2904" s="22">
        <v>0</v>
      </c>
      <c r="M2904" s="22">
        <v>0</v>
      </c>
      <c r="N2904" s="20" t="s">
        <v>14489</v>
      </c>
      <c r="O2904" s="16">
        <v>0</v>
      </c>
      <c r="P2904" s="143" t="s">
        <v>12555</v>
      </c>
      <c r="Q2904" s="121" t="s">
        <v>14285</v>
      </c>
      <c r="R2904" s="16" t="s">
        <v>8904</v>
      </c>
      <c r="S2904" s="10" t="s">
        <v>194</v>
      </c>
      <c r="T2904" s="28" t="s">
        <v>11895</v>
      </c>
      <c r="U2904" s="20" t="s">
        <v>5359</v>
      </c>
      <c r="V2904" s="16" t="s">
        <v>7873</v>
      </c>
      <c r="W2904" s="11" t="s">
        <v>14433</v>
      </c>
      <c r="X2904" s="174">
        <v>0.34</v>
      </c>
      <c r="Y2904" s="174">
        <v>0.44</v>
      </c>
    </row>
    <row r="2905" spans="1:25" ht="15" customHeight="1" x14ac:dyDescent="0.25">
      <c r="A2905" s="20" t="s">
        <v>6958</v>
      </c>
      <c r="B2905" s="14" t="s">
        <v>6959</v>
      </c>
      <c r="C2905" s="71" t="str">
        <f t="shared" si="62"/>
        <v>Product Info</v>
      </c>
      <c r="D2905" s="37" t="s">
        <v>6960</v>
      </c>
      <c r="E2905" s="143">
        <v>1</v>
      </c>
      <c r="F2905" s="12" t="s">
        <v>4992</v>
      </c>
      <c r="G2905" s="38">
        <v>134.31</v>
      </c>
      <c r="H2905" s="38">
        <f t="shared" si="64"/>
        <v>94.02</v>
      </c>
      <c r="I2905" s="38">
        <v>94.02</v>
      </c>
      <c r="J2905" s="39"/>
      <c r="K2905" s="143"/>
      <c r="L2905" s="22">
        <v>0</v>
      </c>
      <c r="M2905" s="22">
        <v>0</v>
      </c>
      <c r="N2905" s="20" t="s">
        <v>14489</v>
      </c>
      <c r="O2905" s="16">
        <v>0</v>
      </c>
      <c r="P2905" s="143" t="s">
        <v>12555</v>
      </c>
      <c r="Q2905" s="121" t="s">
        <v>14285</v>
      </c>
      <c r="R2905" s="16" t="s">
        <v>8904</v>
      </c>
      <c r="S2905" s="10" t="s">
        <v>194</v>
      </c>
      <c r="T2905" s="28" t="s">
        <v>11896</v>
      </c>
      <c r="U2905" s="20" t="s">
        <v>5359</v>
      </c>
      <c r="V2905" s="16" t="s">
        <v>6958</v>
      </c>
      <c r="W2905" s="11" t="s">
        <v>14433</v>
      </c>
      <c r="X2905" s="174">
        <v>73.37</v>
      </c>
      <c r="Y2905" s="174">
        <v>94.02</v>
      </c>
    </row>
    <row r="2906" spans="1:25" ht="15" customHeight="1" x14ac:dyDescent="0.25">
      <c r="A2906" s="20" t="s">
        <v>5261</v>
      </c>
      <c r="B2906" s="14" t="s">
        <v>1284</v>
      </c>
      <c r="C2906" s="71" t="str">
        <f t="shared" si="62"/>
        <v>Product Info</v>
      </c>
      <c r="D2906" s="37" t="s">
        <v>5262</v>
      </c>
      <c r="E2906" s="143">
        <v>1</v>
      </c>
      <c r="F2906" s="12" t="s">
        <v>4992</v>
      </c>
      <c r="G2906" s="38">
        <v>215.61</v>
      </c>
      <c r="H2906" s="38">
        <f t="shared" si="64"/>
        <v>150.93</v>
      </c>
      <c r="I2906" s="38">
        <v>150.93</v>
      </c>
      <c r="J2906" s="39"/>
      <c r="K2906" s="143"/>
      <c r="L2906" s="22">
        <v>0.26</v>
      </c>
      <c r="M2906" s="22" t="s">
        <v>12488</v>
      </c>
      <c r="N2906" s="20" t="s">
        <v>8847</v>
      </c>
      <c r="O2906" s="16" t="s">
        <v>12608</v>
      </c>
      <c r="P2906" s="143" t="s">
        <v>12555</v>
      </c>
      <c r="Q2906" s="121" t="s">
        <v>14285</v>
      </c>
      <c r="R2906" s="16" t="s">
        <v>8904</v>
      </c>
      <c r="S2906" s="10" t="s">
        <v>194</v>
      </c>
      <c r="T2906" s="28" t="s">
        <v>11898</v>
      </c>
      <c r="U2906" s="20" t="s">
        <v>5359</v>
      </c>
      <c r="V2906" s="16" t="s">
        <v>5261</v>
      </c>
      <c r="W2906" s="11" t="s">
        <v>14433</v>
      </c>
      <c r="X2906" s="174">
        <v>117.78</v>
      </c>
      <c r="Y2906" s="174">
        <v>150.93</v>
      </c>
    </row>
    <row r="2907" spans="1:25" ht="15" customHeight="1" x14ac:dyDescent="0.25">
      <c r="A2907" s="20" t="s">
        <v>5962</v>
      </c>
      <c r="B2907" s="14" t="s">
        <v>5963</v>
      </c>
      <c r="C2907" s="71" t="str">
        <f t="shared" si="62"/>
        <v>Product Info</v>
      </c>
      <c r="D2907" s="37" t="s">
        <v>6663</v>
      </c>
      <c r="E2907" s="143">
        <v>1</v>
      </c>
      <c r="F2907" s="12" t="s">
        <v>4992</v>
      </c>
      <c r="G2907" s="38">
        <v>291.3</v>
      </c>
      <c r="H2907" s="38">
        <f t="shared" si="64"/>
        <v>203.91</v>
      </c>
      <c r="I2907" s="38">
        <v>203.91</v>
      </c>
      <c r="J2907" s="39"/>
      <c r="K2907" s="143"/>
      <c r="L2907" s="22">
        <v>0</v>
      </c>
      <c r="M2907" s="22">
        <v>0</v>
      </c>
      <c r="N2907" s="20" t="s">
        <v>14489</v>
      </c>
      <c r="O2907" s="16">
        <v>0</v>
      </c>
      <c r="P2907" s="143" t="s">
        <v>12555</v>
      </c>
      <c r="Q2907" s="121" t="s">
        <v>14285</v>
      </c>
      <c r="R2907" s="16" t="s">
        <v>8904</v>
      </c>
      <c r="S2907" s="10" t="s">
        <v>194</v>
      </c>
      <c r="T2907" s="28" t="s">
        <v>11899</v>
      </c>
      <c r="U2907" s="20" t="s">
        <v>5359</v>
      </c>
      <c r="V2907" s="16" t="s">
        <v>5962</v>
      </c>
      <c r="W2907" s="11" t="s">
        <v>14433</v>
      </c>
      <c r="X2907" s="174">
        <v>198.91</v>
      </c>
      <c r="Y2907" s="174">
        <v>203.91</v>
      </c>
    </row>
    <row r="2908" spans="1:25" ht="15" customHeight="1" x14ac:dyDescent="0.25">
      <c r="A2908" s="20" t="s">
        <v>6570</v>
      </c>
      <c r="B2908" s="14" t="s">
        <v>1285</v>
      </c>
      <c r="C2908" s="71" t="str">
        <f t="shared" si="62"/>
        <v>Product Info</v>
      </c>
      <c r="D2908" s="37" t="s">
        <v>6571</v>
      </c>
      <c r="E2908" s="143">
        <v>1</v>
      </c>
      <c r="F2908" s="12" t="s">
        <v>2170</v>
      </c>
      <c r="G2908" s="38">
        <v>53.41</v>
      </c>
      <c r="H2908" s="38">
        <f t="shared" si="64"/>
        <v>37.39</v>
      </c>
      <c r="I2908" s="38">
        <v>37.39</v>
      </c>
      <c r="J2908" s="39"/>
      <c r="K2908" s="143"/>
      <c r="L2908" s="22">
        <v>0.2</v>
      </c>
      <c r="M2908" s="22" t="s">
        <v>12488</v>
      </c>
      <c r="N2908" s="20" t="s">
        <v>8848</v>
      </c>
      <c r="O2908" s="16" t="s">
        <v>13914</v>
      </c>
      <c r="P2908" s="143" t="s">
        <v>12555</v>
      </c>
      <c r="Q2908" s="122" t="s">
        <v>9227</v>
      </c>
      <c r="R2908" s="16" t="s">
        <v>8904</v>
      </c>
      <c r="S2908" s="10" t="s">
        <v>194</v>
      </c>
      <c r="T2908" s="28" t="s">
        <v>11900</v>
      </c>
      <c r="U2908" s="20" t="s">
        <v>5359</v>
      </c>
      <c r="V2908" s="16" t="s">
        <v>6570</v>
      </c>
      <c r="W2908" s="11" t="s">
        <v>14433</v>
      </c>
      <c r="X2908" s="174">
        <v>29.18</v>
      </c>
      <c r="Y2908" s="174">
        <v>37.39</v>
      </c>
    </row>
    <row r="2909" spans="1:25" ht="15" customHeight="1" x14ac:dyDescent="0.25">
      <c r="A2909" s="20" t="s">
        <v>3850</v>
      </c>
      <c r="B2909" s="14" t="s">
        <v>3851</v>
      </c>
      <c r="C2909" s="71" t="str">
        <f t="shared" si="62"/>
        <v>Product Info</v>
      </c>
      <c r="D2909" s="37" t="s">
        <v>9166</v>
      </c>
      <c r="E2909" s="143">
        <v>1</v>
      </c>
      <c r="F2909" s="12" t="s">
        <v>4992</v>
      </c>
      <c r="G2909" s="38">
        <v>7215.44</v>
      </c>
      <c r="H2909" s="38">
        <f t="shared" si="64"/>
        <v>5050.8100000000004</v>
      </c>
      <c r="I2909" s="38">
        <v>5050.8100000000004</v>
      </c>
      <c r="J2909" s="39"/>
      <c r="K2909" s="143"/>
      <c r="L2909" s="22">
        <v>0</v>
      </c>
      <c r="M2909" s="22">
        <v>0</v>
      </c>
      <c r="N2909" s="20" t="s">
        <v>14489</v>
      </c>
      <c r="O2909" s="16">
        <v>0</v>
      </c>
      <c r="P2909" s="143">
        <v>710</v>
      </c>
      <c r="Q2909" s="121" t="s">
        <v>14285</v>
      </c>
      <c r="R2909" s="16" t="s">
        <v>8904</v>
      </c>
      <c r="S2909" s="10" t="s">
        <v>194</v>
      </c>
      <c r="T2909" s="28" t="s">
        <v>12584</v>
      </c>
      <c r="U2909" s="20" t="s">
        <v>5359</v>
      </c>
      <c r="V2909" s="16" t="s">
        <v>3850</v>
      </c>
      <c r="W2909" s="11"/>
      <c r="X2909" s="174">
        <v>3961.03</v>
      </c>
      <c r="Y2909" s="174">
        <v>5050.8100000000004</v>
      </c>
    </row>
    <row r="2910" spans="1:25" ht="15" customHeight="1" x14ac:dyDescent="0.25">
      <c r="A2910" s="20" t="s">
        <v>5869</v>
      </c>
      <c r="B2910" s="14" t="s">
        <v>4572</v>
      </c>
      <c r="C2910" s="71" t="str">
        <f t="shared" si="62"/>
        <v>Product Info</v>
      </c>
      <c r="D2910" s="37" t="s">
        <v>5840</v>
      </c>
      <c r="E2910" s="143">
        <v>1</v>
      </c>
      <c r="F2910" s="12" t="s">
        <v>4992</v>
      </c>
      <c r="G2910" s="38">
        <v>102.96</v>
      </c>
      <c r="H2910" s="38">
        <f t="shared" si="64"/>
        <v>72.069999999999993</v>
      </c>
      <c r="I2910" s="38">
        <v>72.069999999999993</v>
      </c>
      <c r="J2910" s="39"/>
      <c r="K2910" s="143"/>
      <c r="L2910" s="22">
        <v>0</v>
      </c>
      <c r="M2910" s="22">
        <v>0</v>
      </c>
      <c r="N2910" s="20" t="s">
        <v>14489</v>
      </c>
      <c r="O2910" s="16">
        <v>0</v>
      </c>
      <c r="P2910" s="143" t="s">
        <v>12555</v>
      </c>
      <c r="Q2910" s="121" t="s">
        <v>14285</v>
      </c>
      <c r="R2910" s="16" t="s">
        <v>8904</v>
      </c>
      <c r="S2910" s="10" t="s">
        <v>194</v>
      </c>
      <c r="T2910" s="28" t="s">
        <v>11901</v>
      </c>
      <c r="U2910" s="20" t="s">
        <v>5359</v>
      </c>
      <c r="V2910" s="16" t="s">
        <v>5869</v>
      </c>
      <c r="W2910" s="11" t="s">
        <v>14433</v>
      </c>
      <c r="X2910" s="174">
        <v>56.24</v>
      </c>
      <c r="Y2910" s="174">
        <v>72.069999999999993</v>
      </c>
    </row>
    <row r="2911" spans="1:25" ht="15" customHeight="1" x14ac:dyDescent="0.25">
      <c r="A2911" s="20" t="s">
        <v>6568</v>
      </c>
      <c r="B2911" s="14" t="s">
        <v>1286</v>
      </c>
      <c r="C2911" s="71" t="str">
        <f t="shared" si="62"/>
        <v>Product Info</v>
      </c>
      <c r="D2911" s="37" t="s">
        <v>6569</v>
      </c>
      <c r="E2911" s="143">
        <v>1</v>
      </c>
      <c r="F2911" s="12" t="s">
        <v>4992</v>
      </c>
      <c r="G2911" s="38">
        <v>84.91</v>
      </c>
      <c r="H2911" s="38">
        <f t="shared" si="64"/>
        <v>59.44</v>
      </c>
      <c r="I2911" s="38">
        <v>59.44</v>
      </c>
      <c r="J2911" s="39"/>
      <c r="K2911" s="143"/>
      <c r="L2911" s="22">
        <v>0.92200000000000004</v>
      </c>
      <c r="M2911" s="22" t="s">
        <v>12488</v>
      </c>
      <c r="N2911" s="20" t="s">
        <v>8849</v>
      </c>
      <c r="O2911" s="16" t="s">
        <v>12608</v>
      </c>
      <c r="P2911" s="143" t="s">
        <v>12555</v>
      </c>
      <c r="Q2911" s="121" t="s">
        <v>14285</v>
      </c>
      <c r="R2911" s="16" t="s">
        <v>8904</v>
      </c>
      <c r="S2911" s="10" t="s">
        <v>194</v>
      </c>
      <c r="T2911" s="28" t="s">
        <v>11902</v>
      </c>
      <c r="U2911" s="20" t="s">
        <v>5359</v>
      </c>
      <c r="V2911" s="16" t="s">
        <v>6568</v>
      </c>
      <c r="W2911" s="11" t="s">
        <v>14433</v>
      </c>
      <c r="X2911" s="174">
        <v>46.38</v>
      </c>
      <c r="Y2911" s="174">
        <v>59.44</v>
      </c>
    </row>
    <row r="2912" spans="1:25" ht="15" customHeight="1" x14ac:dyDescent="0.25">
      <c r="A2912" s="20" t="s">
        <v>5044</v>
      </c>
      <c r="B2912" s="14" t="s">
        <v>1287</v>
      </c>
      <c r="C2912" s="71" t="str">
        <f t="shared" si="62"/>
        <v>Product Info</v>
      </c>
      <c r="D2912" s="37" t="s">
        <v>5045</v>
      </c>
      <c r="E2912" s="143">
        <v>1</v>
      </c>
      <c r="F2912" s="12" t="s">
        <v>4992</v>
      </c>
      <c r="G2912" s="38">
        <v>60.93</v>
      </c>
      <c r="H2912" s="38">
        <f t="shared" si="64"/>
        <v>42.65</v>
      </c>
      <c r="I2912" s="38">
        <v>42.65</v>
      </c>
      <c r="J2912" s="39"/>
      <c r="K2912" s="143"/>
      <c r="L2912" s="22">
        <v>0</v>
      </c>
      <c r="M2912" s="22">
        <v>0</v>
      </c>
      <c r="N2912" s="20" t="s">
        <v>14489</v>
      </c>
      <c r="O2912" s="16">
        <v>0</v>
      </c>
      <c r="P2912" s="143" t="s">
        <v>12555</v>
      </c>
      <c r="Q2912" s="121" t="s">
        <v>14285</v>
      </c>
      <c r="R2912" s="16" t="s">
        <v>8904</v>
      </c>
      <c r="S2912" s="10" t="s">
        <v>194</v>
      </c>
      <c r="T2912" s="28" t="s">
        <v>11903</v>
      </c>
      <c r="U2912" s="20" t="s">
        <v>5359</v>
      </c>
      <c r="V2912" s="16" t="s">
        <v>5044</v>
      </c>
      <c r="W2912" s="11" t="s">
        <v>14433</v>
      </c>
      <c r="X2912" s="174">
        <v>33.28</v>
      </c>
      <c r="Y2912" s="174">
        <v>42.65</v>
      </c>
    </row>
    <row r="2913" spans="1:25" ht="15" customHeight="1" x14ac:dyDescent="0.25">
      <c r="A2913" s="20" t="s">
        <v>8576</v>
      </c>
      <c r="B2913" s="14" t="s">
        <v>14287</v>
      </c>
      <c r="C2913" s="71" t="str">
        <f t="shared" si="62"/>
        <v>Product Info</v>
      </c>
      <c r="D2913" s="37" t="s">
        <v>9165</v>
      </c>
      <c r="E2913" s="143">
        <v>1</v>
      </c>
      <c r="F2913" s="12" t="s">
        <v>4992</v>
      </c>
      <c r="G2913" s="38">
        <v>1497.19</v>
      </c>
      <c r="H2913" s="38">
        <f t="shared" si="64"/>
        <v>1048.03</v>
      </c>
      <c r="I2913" s="38">
        <v>1048.03</v>
      </c>
      <c r="J2913" s="39"/>
      <c r="K2913" s="143"/>
      <c r="L2913" s="22">
        <v>0</v>
      </c>
      <c r="M2913" s="22">
        <v>0</v>
      </c>
      <c r="N2913" s="20" t="s">
        <v>14489</v>
      </c>
      <c r="O2913" s="16">
        <v>0</v>
      </c>
      <c r="P2913" s="143" t="s">
        <v>12555</v>
      </c>
      <c r="Q2913" s="121" t="s">
        <v>14285</v>
      </c>
      <c r="R2913" s="16" t="s">
        <v>8904</v>
      </c>
      <c r="S2913" s="10" t="s">
        <v>194</v>
      </c>
      <c r="T2913" s="28" t="s">
        <v>12575</v>
      </c>
      <c r="U2913" s="20" t="s">
        <v>5359</v>
      </c>
      <c r="V2913" s="16" t="s">
        <v>8576</v>
      </c>
      <c r="W2913" s="11" t="s">
        <v>14433</v>
      </c>
      <c r="X2913" s="174">
        <v>1022.32</v>
      </c>
      <c r="Y2913" s="174">
        <v>1048.03</v>
      </c>
    </row>
    <row r="2914" spans="1:25" ht="15" customHeight="1" x14ac:dyDescent="0.25">
      <c r="A2914" s="20" t="s">
        <v>2352</v>
      </c>
      <c r="B2914" s="14" t="s">
        <v>2353</v>
      </c>
      <c r="C2914" s="71" t="str">
        <f t="shared" si="62"/>
        <v>Product Info</v>
      </c>
      <c r="D2914" s="37" t="s">
        <v>2354</v>
      </c>
      <c r="E2914" s="143">
        <v>1</v>
      </c>
      <c r="F2914" s="12" t="s">
        <v>4992</v>
      </c>
      <c r="G2914" s="38">
        <v>138.13999999999999</v>
      </c>
      <c r="H2914" s="38">
        <f t="shared" si="64"/>
        <v>96.7</v>
      </c>
      <c r="I2914" s="38">
        <v>96.7</v>
      </c>
      <c r="J2914" s="39"/>
      <c r="K2914" s="143"/>
      <c r="L2914" s="22">
        <v>1</v>
      </c>
      <c r="M2914" s="22" t="s">
        <v>12488</v>
      </c>
      <c r="N2914" s="20" t="s">
        <v>8826</v>
      </c>
      <c r="O2914" s="16" t="s">
        <v>12608</v>
      </c>
      <c r="P2914" s="143" t="s">
        <v>12555</v>
      </c>
      <c r="Q2914" s="121" t="s">
        <v>14285</v>
      </c>
      <c r="R2914" s="16" t="s">
        <v>8904</v>
      </c>
      <c r="S2914" s="10" t="s">
        <v>194</v>
      </c>
      <c r="T2914" s="28" t="s">
        <v>11904</v>
      </c>
      <c r="U2914" s="20" t="s">
        <v>5359</v>
      </c>
      <c r="V2914" s="16" t="s">
        <v>2352</v>
      </c>
      <c r="W2914" s="11" t="s">
        <v>14433</v>
      </c>
      <c r="X2914" s="174">
        <v>75.459999999999994</v>
      </c>
      <c r="Y2914" s="174">
        <v>96.7</v>
      </c>
    </row>
    <row r="2915" spans="1:25" ht="15" customHeight="1" x14ac:dyDescent="0.25">
      <c r="A2915" s="20" t="s">
        <v>2159</v>
      </c>
      <c r="B2915" s="14" t="s">
        <v>1288</v>
      </c>
      <c r="C2915" s="71" t="str">
        <f t="shared" si="62"/>
        <v>Product Info</v>
      </c>
      <c r="D2915" s="37" t="s">
        <v>2160</v>
      </c>
      <c r="E2915" s="143">
        <v>1</v>
      </c>
      <c r="F2915" s="12" t="s">
        <v>4992</v>
      </c>
      <c r="G2915" s="38">
        <v>323.81</v>
      </c>
      <c r="H2915" s="38">
        <f t="shared" si="64"/>
        <v>226.67</v>
      </c>
      <c r="I2915" s="38">
        <v>226.67</v>
      </c>
      <c r="J2915" s="39"/>
      <c r="K2915" s="143"/>
      <c r="L2915" s="22">
        <v>0</v>
      </c>
      <c r="M2915" s="22">
        <v>0</v>
      </c>
      <c r="N2915" s="20" t="s">
        <v>14489</v>
      </c>
      <c r="O2915" s="16">
        <v>0</v>
      </c>
      <c r="P2915" s="143" t="s">
        <v>12555</v>
      </c>
      <c r="Q2915" s="121" t="s">
        <v>14285</v>
      </c>
      <c r="R2915" s="16" t="s">
        <v>8904</v>
      </c>
      <c r="S2915" s="10" t="s">
        <v>194</v>
      </c>
      <c r="T2915" s="28" t="s">
        <v>11905</v>
      </c>
      <c r="U2915" s="20" t="s">
        <v>5359</v>
      </c>
      <c r="V2915" s="16" t="s">
        <v>2159</v>
      </c>
      <c r="W2915" s="11" t="s">
        <v>14433</v>
      </c>
      <c r="X2915" s="174">
        <v>176.89</v>
      </c>
      <c r="Y2915" s="174">
        <v>226.67</v>
      </c>
    </row>
    <row r="2916" spans="1:25" ht="15" customHeight="1" x14ac:dyDescent="0.25">
      <c r="A2916" s="20" t="s">
        <v>2144</v>
      </c>
      <c r="B2916" s="14" t="s">
        <v>1289</v>
      </c>
      <c r="C2916" s="71" t="str">
        <f t="shared" si="62"/>
        <v>Product Info</v>
      </c>
      <c r="D2916" s="37" t="s">
        <v>1085</v>
      </c>
      <c r="E2916" s="143">
        <v>1</v>
      </c>
      <c r="F2916" s="12" t="s">
        <v>4992</v>
      </c>
      <c r="G2916" s="38">
        <v>169.39</v>
      </c>
      <c r="H2916" s="38">
        <f t="shared" si="64"/>
        <v>118.57</v>
      </c>
      <c r="I2916" s="38">
        <v>118.57</v>
      </c>
      <c r="J2916" s="39"/>
      <c r="K2916" s="143"/>
      <c r="L2916" s="22">
        <v>0</v>
      </c>
      <c r="M2916" s="22">
        <v>0</v>
      </c>
      <c r="N2916" s="20" t="s">
        <v>14489</v>
      </c>
      <c r="O2916" s="16">
        <v>0</v>
      </c>
      <c r="P2916" s="143" t="s">
        <v>12555</v>
      </c>
      <c r="Q2916" s="121" t="s">
        <v>14285</v>
      </c>
      <c r="R2916" s="16" t="s">
        <v>8904</v>
      </c>
      <c r="S2916" s="10" t="s">
        <v>194</v>
      </c>
      <c r="T2916" s="28" t="s">
        <v>11906</v>
      </c>
      <c r="U2916" s="20" t="s">
        <v>5359</v>
      </c>
      <c r="V2916" s="16" t="s">
        <v>2144</v>
      </c>
      <c r="W2916" s="11" t="s">
        <v>14433</v>
      </c>
      <c r="X2916" s="174">
        <v>92.53</v>
      </c>
      <c r="Y2916" s="174">
        <v>118.57</v>
      </c>
    </row>
    <row r="2917" spans="1:25" ht="15" customHeight="1" x14ac:dyDescent="0.25">
      <c r="A2917" s="20" t="s">
        <v>1086</v>
      </c>
      <c r="B2917" s="14" t="s">
        <v>1290</v>
      </c>
      <c r="C2917" s="71" t="str">
        <f t="shared" si="62"/>
        <v>Product Info</v>
      </c>
      <c r="D2917" s="37" t="s">
        <v>1087</v>
      </c>
      <c r="E2917" s="143">
        <v>1</v>
      </c>
      <c r="F2917" s="12" t="s">
        <v>4992</v>
      </c>
      <c r="G2917" s="38">
        <v>206.29</v>
      </c>
      <c r="H2917" s="38">
        <f t="shared" si="64"/>
        <v>144.4</v>
      </c>
      <c r="I2917" s="38">
        <v>144.4</v>
      </c>
      <c r="J2917" s="39"/>
      <c r="K2917" s="143"/>
      <c r="L2917" s="22">
        <v>0</v>
      </c>
      <c r="M2917" s="22">
        <v>0</v>
      </c>
      <c r="N2917" s="20" t="s">
        <v>14489</v>
      </c>
      <c r="O2917" s="16">
        <v>0</v>
      </c>
      <c r="P2917" s="143" t="s">
        <v>12555</v>
      </c>
      <c r="Q2917" s="121" t="s">
        <v>14285</v>
      </c>
      <c r="R2917" s="16" t="s">
        <v>8904</v>
      </c>
      <c r="S2917" s="10" t="s">
        <v>194</v>
      </c>
      <c r="T2917" s="28" t="s">
        <v>11907</v>
      </c>
      <c r="U2917" s="20" t="s">
        <v>5359</v>
      </c>
      <c r="V2917" s="16" t="s">
        <v>1086</v>
      </c>
      <c r="W2917" s="11" t="s">
        <v>14433</v>
      </c>
      <c r="X2917" s="174">
        <v>112.69</v>
      </c>
      <c r="Y2917" s="174">
        <v>144.4</v>
      </c>
    </row>
    <row r="2918" spans="1:25" ht="15" customHeight="1" x14ac:dyDescent="0.25">
      <c r="A2918" s="20" t="s">
        <v>3011</v>
      </c>
      <c r="B2918" s="14" t="s">
        <v>1291</v>
      </c>
      <c r="C2918" s="71" t="str">
        <f t="shared" si="62"/>
        <v>Product Info</v>
      </c>
      <c r="D2918" s="37" t="s">
        <v>3012</v>
      </c>
      <c r="E2918" s="143">
        <v>1</v>
      </c>
      <c r="F2918" s="12" t="s">
        <v>4992</v>
      </c>
      <c r="G2918" s="38">
        <v>202.79</v>
      </c>
      <c r="H2918" s="38">
        <f t="shared" si="64"/>
        <v>141.94999999999999</v>
      </c>
      <c r="I2918" s="38">
        <v>141.94999999999999</v>
      </c>
      <c r="J2918" s="39"/>
      <c r="K2918" s="143"/>
      <c r="L2918" s="22">
        <v>0</v>
      </c>
      <c r="M2918" s="22">
        <v>0</v>
      </c>
      <c r="N2918" s="20" t="s">
        <v>14489</v>
      </c>
      <c r="O2918" s="16">
        <v>0</v>
      </c>
      <c r="P2918" s="143" t="s">
        <v>12555</v>
      </c>
      <c r="Q2918" s="121" t="s">
        <v>14285</v>
      </c>
      <c r="R2918" s="16" t="s">
        <v>8904</v>
      </c>
      <c r="S2918" s="10" t="s">
        <v>194</v>
      </c>
      <c r="T2918" s="28" t="s">
        <v>11908</v>
      </c>
      <c r="U2918" s="20" t="s">
        <v>5359</v>
      </c>
      <c r="V2918" s="16" t="s">
        <v>3011</v>
      </c>
      <c r="W2918" s="11" t="s">
        <v>14433</v>
      </c>
      <c r="X2918" s="174">
        <v>110.78</v>
      </c>
      <c r="Y2918" s="174">
        <v>141.94999999999999</v>
      </c>
    </row>
    <row r="2919" spans="1:25" ht="15" customHeight="1" x14ac:dyDescent="0.25">
      <c r="A2919" s="20" t="s">
        <v>3013</v>
      </c>
      <c r="B2919" s="14" t="s">
        <v>1292</v>
      </c>
      <c r="C2919" s="71" t="str">
        <f t="shared" si="62"/>
        <v>Product Info</v>
      </c>
      <c r="D2919" s="37" t="s">
        <v>3014</v>
      </c>
      <c r="E2919" s="143">
        <v>1</v>
      </c>
      <c r="F2919" s="12" t="s">
        <v>4992</v>
      </c>
      <c r="G2919" s="38">
        <v>248.34</v>
      </c>
      <c r="H2919" s="38">
        <f t="shared" si="64"/>
        <v>173.84</v>
      </c>
      <c r="I2919" s="38">
        <v>173.84</v>
      </c>
      <c r="J2919" s="39"/>
      <c r="K2919" s="143"/>
      <c r="L2919" s="22">
        <v>0</v>
      </c>
      <c r="M2919" s="22">
        <v>0</v>
      </c>
      <c r="N2919" s="20" t="s">
        <v>14489</v>
      </c>
      <c r="O2919" s="16">
        <v>0</v>
      </c>
      <c r="P2919" s="143" t="s">
        <v>12555</v>
      </c>
      <c r="Q2919" s="121" t="s">
        <v>14285</v>
      </c>
      <c r="R2919" s="16" t="s">
        <v>8904</v>
      </c>
      <c r="S2919" s="10" t="s">
        <v>194</v>
      </c>
      <c r="T2919" s="28" t="s">
        <v>11909</v>
      </c>
      <c r="U2919" s="20" t="s">
        <v>5359</v>
      </c>
      <c r="V2919" s="16" t="s">
        <v>3013</v>
      </c>
      <c r="W2919" s="11" t="s">
        <v>14433</v>
      </c>
      <c r="X2919" s="174">
        <v>152.61000000000001</v>
      </c>
      <c r="Y2919" s="174">
        <v>173.84</v>
      </c>
    </row>
    <row r="2920" spans="1:25" ht="15" customHeight="1" x14ac:dyDescent="0.25">
      <c r="A2920" s="20" t="s">
        <v>13064</v>
      </c>
      <c r="B2920" s="10" t="s">
        <v>13307</v>
      </c>
      <c r="C2920" s="71" t="str">
        <f t="shared" si="62"/>
        <v>Product Info</v>
      </c>
      <c r="D2920" s="37" t="s">
        <v>13158</v>
      </c>
      <c r="E2920" s="143">
        <v>1</v>
      </c>
      <c r="F2920" s="12" t="s">
        <v>4992</v>
      </c>
      <c r="G2920" s="38">
        <v>589.92999999999995</v>
      </c>
      <c r="H2920" s="38">
        <f t="shared" si="64"/>
        <v>412.95</v>
      </c>
      <c r="I2920" s="38">
        <v>412.95</v>
      </c>
      <c r="J2920" s="39"/>
      <c r="K2920" s="12"/>
      <c r="L2920" s="22">
        <v>1.335</v>
      </c>
      <c r="M2920" s="22" t="s">
        <v>12488</v>
      </c>
      <c r="N2920" s="20" t="s">
        <v>14276</v>
      </c>
      <c r="O2920" s="16" t="s">
        <v>13912</v>
      </c>
      <c r="P2920" s="143" t="s">
        <v>12555</v>
      </c>
      <c r="Q2920" s="121" t="s">
        <v>14285</v>
      </c>
      <c r="R2920" s="16" t="s">
        <v>8904</v>
      </c>
      <c r="S2920" s="10" t="s">
        <v>194</v>
      </c>
      <c r="T2920" s="15" t="s">
        <v>13157</v>
      </c>
      <c r="U2920" s="20" t="s">
        <v>5359</v>
      </c>
      <c r="V2920" s="14" t="s">
        <v>13064</v>
      </c>
      <c r="W2920" s="11" t="s">
        <v>14433</v>
      </c>
      <c r="X2920" s="174">
        <v>330.36</v>
      </c>
      <c r="Y2920" s="174">
        <v>412.95</v>
      </c>
    </row>
    <row r="2921" spans="1:25" ht="15" customHeight="1" x14ac:dyDescent="0.25">
      <c r="A2921" s="20" t="s">
        <v>1293</v>
      </c>
      <c r="B2921" s="14" t="s">
        <v>1294</v>
      </c>
      <c r="C2921" s="71" t="str">
        <f t="shared" si="62"/>
        <v>Product Info</v>
      </c>
      <c r="D2921" s="37" t="s">
        <v>183</v>
      </c>
      <c r="E2921" s="143">
        <v>1</v>
      </c>
      <c r="F2921" s="12" t="s">
        <v>4992</v>
      </c>
      <c r="G2921" s="38">
        <v>82.04</v>
      </c>
      <c r="H2921" s="38">
        <v>69.739999999999995</v>
      </c>
      <c r="I2921" s="38">
        <v>57.43</v>
      </c>
      <c r="J2921" s="39"/>
      <c r="K2921" s="143"/>
      <c r="L2921" s="22">
        <v>0.56000000000000005</v>
      </c>
      <c r="M2921" s="22" t="s">
        <v>14394</v>
      </c>
      <c r="N2921" s="20" t="s">
        <v>8851</v>
      </c>
      <c r="O2921" s="16" t="s">
        <v>12608</v>
      </c>
      <c r="P2921" s="143">
        <v>761</v>
      </c>
      <c r="Q2921" s="122" t="s">
        <v>9227</v>
      </c>
      <c r="R2921" s="16" t="s">
        <v>8904</v>
      </c>
      <c r="S2921" s="10" t="s">
        <v>1163</v>
      </c>
      <c r="T2921" s="28" t="s">
        <v>11910</v>
      </c>
      <c r="U2921" s="20" t="s">
        <v>5359</v>
      </c>
      <c r="V2921" s="16" t="s">
        <v>1293</v>
      </c>
      <c r="W2921" s="11" t="s">
        <v>14283</v>
      </c>
      <c r="X2921" s="174">
        <v>53.53</v>
      </c>
      <c r="Y2921" s="174">
        <v>69.739999999999995</v>
      </c>
    </row>
    <row r="2922" spans="1:25" ht="15" customHeight="1" x14ac:dyDescent="0.25">
      <c r="A2922" s="20" t="s">
        <v>6036</v>
      </c>
      <c r="B2922" s="14" t="s">
        <v>6037</v>
      </c>
      <c r="C2922" s="71" t="str">
        <f t="shared" si="62"/>
        <v>Product Info</v>
      </c>
      <c r="D2922" s="37" t="s">
        <v>5781</v>
      </c>
      <c r="E2922" s="143">
        <v>3</v>
      </c>
      <c r="F2922" s="12" t="s">
        <v>2170</v>
      </c>
      <c r="G2922" s="38">
        <v>51.81</v>
      </c>
      <c r="H2922" s="38">
        <v>44.04</v>
      </c>
      <c r="I2922" s="38">
        <v>36.270000000000003</v>
      </c>
      <c r="J2922" s="39">
        <v>100</v>
      </c>
      <c r="K2922" s="143"/>
      <c r="L2922" s="22">
        <v>1.081</v>
      </c>
      <c r="M2922" s="22" t="s">
        <v>12488</v>
      </c>
      <c r="N2922" s="20" t="s">
        <v>8850</v>
      </c>
      <c r="O2922" s="16" t="s">
        <v>12608</v>
      </c>
      <c r="P2922" s="143">
        <v>752</v>
      </c>
      <c r="Q2922" s="122" t="s">
        <v>14461</v>
      </c>
      <c r="R2922" s="16" t="s">
        <v>8904</v>
      </c>
      <c r="S2922" s="10" t="s">
        <v>1163</v>
      </c>
      <c r="T2922" s="28" t="s">
        <v>11911</v>
      </c>
      <c r="U2922" s="20" t="s">
        <v>5359</v>
      </c>
      <c r="V2922" s="16" t="s">
        <v>6036</v>
      </c>
      <c r="W2922" s="11" t="s">
        <v>14283</v>
      </c>
      <c r="X2922" s="174">
        <v>32.81</v>
      </c>
      <c r="Y2922" s="174">
        <v>44.04</v>
      </c>
    </row>
    <row r="2923" spans="1:25" ht="15" customHeight="1" x14ac:dyDescent="0.25">
      <c r="A2923" s="20" t="s">
        <v>6038</v>
      </c>
      <c r="B2923" s="14" t="s">
        <v>7779</v>
      </c>
      <c r="C2923" s="71" t="str">
        <f t="shared" si="62"/>
        <v>Product Info</v>
      </c>
      <c r="D2923" s="37" t="s">
        <v>5782</v>
      </c>
      <c r="E2923" s="143">
        <v>3</v>
      </c>
      <c r="F2923" s="12" t="s">
        <v>2170</v>
      </c>
      <c r="G2923" s="38">
        <v>62.57</v>
      </c>
      <c r="H2923" s="38">
        <v>53.19</v>
      </c>
      <c r="I2923" s="38">
        <v>43.8</v>
      </c>
      <c r="J2923" s="39">
        <v>100</v>
      </c>
      <c r="K2923" s="143"/>
      <c r="L2923" s="22">
        <v>13</v>
      </c>
      <c r="M2923" s="22" t="s">
        <v>12488</v>
      </c>
      <c r="N2923" s="20" t="s">
        <v>9496</v>
      </c>
      <c r="O2923" s="16" t="s">
        <v>12608</v>
      </c>
      <c r="P2923" s="143">
        <v>752</v>
      </c>
      <c r="Q2923" s="122" t="s">
        <v>9227</v>
      </c>
      <c r="R2923" s="16" t="s">
        <v>8904</v>
      </c>
      <c r="S2923" s="10" t="s">
        <v>1163</v>
      </c>
      <c r="T2923" s="28" t="s">
        <v>11912</v>
      </c>
      <c r="U2923" s="20" t="s">
        <v>5359</v>
      </c>
      <c r="V2923" s="16" t="s">
        <v>6038</v>
      </c>
      <c r="W2923" s="11" t="s">
        <v>14283</v>
      </c>
      <c r="X2923" s="174">
        <v>39.630000000000003</v>
      </c>
      <c r="Y2923" s="174">
        <v>53.19</v>
      </c>
    </row>
    <row r="2924" spans="1:25" ht="15" customHeight="1" x14ac:dyDescent="0.25">
      <c r="A2924" s="20" t="s">
        <v>7780</v>
      </c>
      <c r="B2924" s="14" t="s">
        <v>7781</v>
      </c>
      <c r="C2924" s="71" t="str">
        <f t="shared" si="62"/>
        <v>Product Info</v>
      </c>
      <c r="D2924" s="37" t="s">
        <v>5783</v>
      </c>
      <c r="E2924" s="143">
        <v>3</v>
      </c>
      <c r="F2924" s="12" t="s">
        <v>2170</v>
      </c>
      <c r="G2924" s="38">
        <v>67.94</v>
      </c>
      <c r="H2924" s="38">
        <v>57.75</v>
      </c>
      <c r="I2924" s="38">
        <v>47.56</v>
      </c>
      <c r="J2924" s="39">
        <v>102</v>
      </c>
      <c r="K2924" s="143"/>
      <c r="L2924" s="22">
        <v>14</v>
      </c>
      <c r="M2924" s="22" t="s">
        <v>12488</v>
      </c>
      <c r="N2924" s="20" t="s">
        <v>9496</v>
      </c>
      <c r="O2924" s="16" t="s">
        <v>12608</v>
      </c>
      <c r="P2924" s="143">
        <v>752</v>
      </c>
      <c r="Q2924" s="122" t="s">
        <v>12421</v>
      </c>
      <c r="R2924" s="16" t="s">
        <v>8904</v>
      </c>
      <c r="S2924" s="10" t="s">
        <v>1163</v>
      </c>
      <c r="T2924" s="28" t="s">
        <v>11913</v>
      </c>
      <c r="U2924" s="20" t="s">
        <v>5359</v>
      </c>
      <c r="V2924" s="16" t="s">
        <v>7780</v>
      </c>
      <c r="W2924" s="11" t="s">
        <v>14283</v>
      </c>
      <c r="X2924" s="174">
        <v>43.04</v>
      </c>
      <c r="Y2924" s="174">
        <v>57.75</v>
      </c>
    </row>
    <row r="2925" spans="1:25" ht="15" customHeight="1" x14ac:dyDescent="0.25">
      <c r="A2925" s="20" t="s">
        <v>5843</v>
      </c>
      <c r="B2925" s="14" t="s">
        <v>5844</v>
      </c>
      <c r="C2925" s="71" t="str">
        <f t="shared" si="62"/>
        <v>Product Info</v>
      </c>
      <c r="D2925" s="37" t="s">
        <v>5845</v>
      </c>
      <c r="E2925" s="143">
        <v>3</v>
      </c>
      <c r="F2925" s="12" t="s">
        <v>4992</v>
      </c>
      <c r="G2925" s="38">
        <v>104.26</v>
      </c>
      <c r="H2925" s="38">
        <v>88.62</v>
      </c>
      <c r="I2925" s="38">
        <v>72.98</v>
      </c>
      <c r="J2925" s="39">
        <v>100</v>
      </c>
      <c r="K2925" s="143"/>
      <c r="L2925" s="22">
        <v>0</v>
      </c>
      <c r="M2925" s="22">
        <v>0</v>
      </c>
      <c r="N2925" s="20" t="s">
        <v>14489</v>
      </c>
      <c r="O2925" s="16">
        <v>0</v>
      </c>
      <c r="P2925" s="143">
        <v>752</v>
      </c>
      <c r="Q2925" s="121" t="s">
        <v>14285</v>
      </c>
      <c r="R2925" s="16" t="s">
        <v>8904</v>
      </c>
      <c r="S2925" s="10" t="s">
        <v>1163</v>
      </c>
      <c r="T2925" s="28" t="s">
        <v>11914</v>
      </c>
      <c r="U2925" s="20" t="s">
        <v>5359</v>
      </c>
      <c r="V2925" s="16" t="s">
        <v>5843</v>
      </c>
      <c r="W2925" s="11" t="s">
        <v>14283</v>
      </c>
      <c r="X2925" s="174">
        <v>66.040000000000006</v>
      </c>
      <c r="Y2925" s="174">
        <v>88.62</v>
      </c>
    </row>
    <row r="2926" spans="1:25" ht="15" customHeight="1" x14ac:dyDescent="0.25">
      <c r="A2926" s="20" t="s">
        <v>2557</v>
      </c>
      <c r="B2926" s="14" t="s">
        <v>2559</v>
      </c>
      <c r="C2926" s="71" t="str">
        <f t="shared" si="62"/>
        <v>Product Info</v>
      </c>
      <c r="D2926" s="37" t="s">
        <v>2558</v>
      </c>
      <c r="E2926" s="143">
        <v>1</v>
      </c>
      <c r="F2926" s="12" t="s">
        <v>4992</v>
      </c>
      <c r="G2926" s="38">
        <v>92.3</v>
      </c>
      <c r="H2926" s="38">
        <v>78.459999999999994</v>
      </c>
      <c r="I2926" s="38">
        <v>64.61</v>
      </c>
      <c r="J2926" s="39"/>
      <c r="K2926" s="143"/>
      <c r="L2926" s="22">
        <v>0.24</v>
      </c>
      <c r="M2926" s="22" t="s">
        <v>12487</v>
      </c>
      <c r="N2926" s="20" t="s">
        <v>14489</v>
      </c>
      <c r="O2926" s="16" t="s">
        <v>12608</v>
      </c>
      <c r="P2926" s="143">
        <v>755</v>
      </c>
      <c r="Q2926" s="121" t="s">
        <v>14285</v>
      </c>
      <c r="R2926" s="16" t="s">
        <v>8904</v>
      </c>
      <c r="S2926" s="10" t="s">
        <v>1163</v>
      </c>
      <c r="T2926" s="28" t="s">
        <v>11915</v>
      </c>
      <c r="U2926" s="20" t="s">
        <v>5359</v>
      </c>
      <c r="V2926" s="16" t="s">
        <v>2557</v>
      </c>
      <c r="W2926" s="11"/>
      <c r="X2926" s="174">
        <v>60.81</v>
      </c>
      <c r="Y2926" s="174">
        <v>78.459999999999994</v>
      </c>
    </row>
    <row r="2927" spans="1:25" ht="15" customHeight="1" x14ac:dyDescent="0.25">
      <c r="A2927" s="20" t="s">
        <v>855</v>
      </c>
      <c r="B2927" s="14" t="s">
        <v>856</v>
      </c>
      <c r="C2927" s="71" t="str">
        <f t="shared" si="62"/>
        <v>Product Info</v>
      </c>
      <c r="D2927" s="37" t="s">
        <v>857</v>
      </c>
      <c r="E2927" s="143">
        <v>1</v>
      </c>
      <c r="F2927" s="12" t="s">
        <v>4992</v>
      </c>
      <c r="G2927" s="38">
        <v>3057.06</v>
      </c>
      <c r="H2927" s="38">
        <v>2598.59</v>
      </c>
      <c r="I2927" s="38">
        <v>2139.94</v>
      </c>
      <c r="J2927" s="39">
        <v>20</v>
      </c>
      <c r="K2927" s="143"/>
      <c r="L2927" s="22">
        <v>16</v>
      </c>
      <c r="M2927" s="22" t="s">
        <v>12488</v>
      </c>
      <c r="N2927" s="20" t="s">
        <v>9323</v>
      </c>
      <c r="O2927" s="16" t="s">
        <v>12608</v>
      </c>
      <c r="P2927" s="143">
        <v>748</v>
      </c>
      <c r="Q2927" s="121" t="s">
        <v>14285</v>
      </c>
      <c r="R2927" s="16" t="s">
        <v>8904</v>
      </c>
      <c r="S2927" s="10" t="s">
        <v>1163</v>
      </c>
      <c r="T2927" s="28" t="s">
        <v>10626</v>
      </c>
      <c r="U2927" s="20" t="s">
        <v>5359</v>
      </c>
      <c r="V2927" s="16" t="s">
        <v>855</v>
      </c>
      <c r="W2927" s="11" t="s">
        <v>14399</v>
      </c>
      <c r="X2927" s="174">
        <v>1994.07</v>
      </c>
      <c r="Y2927" s="174">
        <v>2598.59</v>
      </c>
    </row>
    <row r="2928" spans="1:25" ht="15" customHeight="1" x14ac:dyDescent="0.25">
      <c r="A2928" s="20" t="s">
        <v>858</v>
      </c>
      <c r="B2928" s="14" t="s">
        <v>859</v>
      </c>
      <c r="C2928" s="71" t="str">
        <f t="shared" si="62"/>
        <v>Product Info</v>
      </c>
      <c r="D2928" s="37" t="s">
        <v>860</v>
      </c>
      <c r="E2928" s="143">
        <v>1</v>
      </c>
      <c r="F2928" s="12" t="s">
        <v>4992</v>
      </c>
      <c r="G2928" s="38">
        <v>3267.89</v>
      </c>
      <c r="H2928" s="38">
        <v>2777.8</v>
      </c>
      <c r="I2928" s="38">
        <v>2287.52</v>
      </c>
      <c r="J2928" s="39">
        <v>20</v>
      </c>
      <c r="K2928" s="143"/>
      <c r="L2928" s="22">
        <v>0</v>
      </c>
      <c r="M2928" s="22">
        <v>0</v>
      </c>
      <c r="N2928" s="20" t="s">
        <v>14489</v>
      </c>
      <c r="O2928" s="16">
        <v>0</v>
      </c>
      <c r="P2928" s="143">
        <v>748</v>
      </c>
      <c r="Q2928" s="121" t="s">
        <v>14285</v>
      </c>
      <c r="R2928" s="16" t="s">
        <v>8904</v>
      </c>
      <c r="S2928" s="10" t="s">
        <v>1163</v>
      </c>
      <c r="T2928" s="28" t="s">
        <v>11916</v>
      </c>
      <c r="U2928" s="20" t="s">
        <v>5359</v>
      </c>
      <c r="V2928" s="16" t="s">
        <v>858</v>
      </c>
      <c r="W2928" s="11" t="s">
        <v>14399</v>
      </c>
      <c r="X2928" s="174">
        <v>2131.58</v>
      </c>
      <c r="Y2928" s="174">
        <v>2777.8</v>
      </c>
    </row>
    <row r="2929" spans="1:25" ht="15" customHeight="1" x14ac:dyDescent="0.25">
      <c r="A2929" s="20" t="s">
        <v>861</v>
      </c>
      <c r="B2929" s="14" t="s">
        <v>862</v>
      </c>
      <c r="C2929" s="71" t="str">
        <f t="shared" si="62"/>
        <v>Product Info</v>
      </c>
      <c r="D2929" s="37" t="s">
        <v>863</v>
      </c>
      <c r="E2929" s="143">
        <v>1</v>
      </c>
      <c r="F2929" s="12" t="s">
        <v>4992</v>
      </c>
      <c r="G2929" s="38">
        <v>3425.04</v>
      </c>
      <c r="H2929" s="38">
        <v>2911.39</v>
      </c>
      <c r="I2929" s="38">
        <v>2397.5300000000002</v>
      </c>
      <c r="J2929" s="39">
        <v>20</v>
      </c>
      <c r="K2929" s="143"/>
      <c r="L2929" s="22">
        <v>16</v>
      </c>
      <c r="M2929" s="22" t="s">
        <v>12488</v>
      </c>
      <c r="N2929" s="20" t="s">
        <v>9323</v>
      </c>
      <c r="O2929" s="16" t="s">
        <v>12608</v>
      </c>
      <c r="P2929" s="143">
        <v>748</v>
      </c>
      <c r="Q2929" s="121" t="s">
        <v>14285</v>
      </c>
      <c r="R2929" s="16" t="s">
        <v>8904</v>
      </c>
      <c r="S2929" s="10" t="s">
        <v>1163</v>
      </c>
      <c r="T2929" s="28" t="s">
        <v>11917</v>
      </c>
      <c r="U2929" s="20" t="s">
        <v>5359</v>
      </c>
      <c r="V2929" s="16" t="s">
        <v>861</v>
      </c>
      <c r="W2929" s="11" t="s">
        <v>14399</v>
      </c>
      <c r="X2929" s="174">
        <v>2234.1</v>
      </c>
      <c r="Y2929" s="174">
        <v>2911.39</v>
      </c>
    </row>
    <row r="2930" spans="1:25" ht="15" customHeight="1" x14ac:dyDescent="0.25">
      <c r="A2930" s="20" t="s">
        <v>7994</v>
      </c>
      <c r="B2930" s="14" t="s">
        <v>7995</v>
      </c>
      <c r="C2930" s="71" t="str">
        <f t="shared" si="62"/>
        <v>Product Info</v>
      </c>
      <c r="D2930" s="37" t="s">
        <v>7996</v>
      </c>
      <c r="E2930" s="143">
        <v>5</v>
      </c>
      <c r="F2930" s="12" t="s">
        <v>2170</v>
      </c>
      <c r="G2930" s="38">
        <v>54.93</v>
      </c>
      <c r="H2930" s="38">
        <f t="shared" ref="H2930:H2952" si="65">I2930</f>
        <v>38.450000000000003</v>
      </c>
      <c r="I2930" s="38">
        <v>38.450000000000003</v>
      </c>
      <c r="J2930" s="39"/>
      <c r="K2930" s="143"/>
      <c r="L2930" s="22">
        <v>0</v>
      </c>
      <c r="M2930" s="22" t="s">
        <v>12487</v>
      </c>
      <c r="N2930" s="20" t="s">
        <v>14489</v>
      </c>
      <c r="O2930" s="16">
        <v>0</v>
      </c>
      <c r="P2930" s="143" t="s">
        <v>12555</v>
      </c>
      <c r="Q2930" s="121" t="s">
        <v>14285</v>
      </c>
      <c r="R2930" s="16" t="s">
        <v>8904</v>
      </c>
      <c r="S2930" s="10" t="s">
        <v>194</v>
      </c>
      <c r="T2930" s="28" t="s">
        <v>11918</v>
      </c>
      <c r="U2930" s="20" t="s">
        <v>5359</v>
      </c>
      <c r="V2930" s="16" t="s">
        <v>7994</v>
      </c>
      <c r="W2930" s="11" t="s">
        <v>14433</v>
      </c>
      <c r="X2930" s="174">
        <v>30</v>
      </c>
      <c r="Y2930" s="174">
        <v>38.450000000000003</v>
      </c>
    </row>
    <row r="2931" spans="1:25" ht="15" customHeight="1" x14ac:dyDescent="0.25">
      <c r="A2931" s="20" t="s">
        <v>7997</v>
      </c>
      <c r="B2931" s="14" t="s">
        <v>7998</v>
      </c>
      <c r="C2931" s="71" t="str">
        <f t="shared" si="62"/>
        <v>Product Info</v>
      </c>
      <c r="D2931" s="37" t="s">
        <v>7999</v>
      </c>
      <c r="E2931" s="143">
        <v>5</v>
      </c>
      <c r="F2931" s="12" t="s">
        <v>2170</v>
      </c>
      <c r="G2931" s="38">
        <v>55.46</v>
      </c>
      <c r="H2931" s="38">
        <f t="shared" si="65"/>
        <v>38.82</v>
      </c>
      <c r="I2931" s="38">
        <v>38.82</v>
      </c>
      <c r="J2931" s="39"/>
      <c r="K2931" s="143"/>
      <c r="L2931" s="22">
        <v>0.26</v>
      </c>
      <c r="M2931" s="22" t="s">
        <v>12488</v>
      </c>
      <c r="N2931" s="20" t="s">
        <v>8852</v>
      </c>
      <c r="O2931" s="16" t="s">
        <v>12608</v>
      </c>
      <c r="P2931" s="143">
        <v>533</v>
      </c>
      <c r="Q2931" s="121" t="s">
        <v>14285</v>
      </c>
      <c r="R2931" s="16" t="s">
        <v>8904</v>
      </c>
      <c r="S2931" s="10" t="s">
        <v>194</v>
      </c>
      <c r="T2931" s="28" t="s">
        <v>11919</v>
      </c>
      <c r="U2931" s="20" t="s">
        <v>5359</v>
      </c>
      <c r="V2931" s="16" t="s">
        <v>7997</v>
      </c>
      <c r="W2931" s="11"/>
      <c r="X2931" s="174">
        <v>30.45</v>
      </c>
      <c r="Y2931" s="174">
        <v>38.82</v>
      </c>
    </row>
    <row r="2932" spans="1:25" ht="15" customHeight="1" x14ac:dyDescent="0.25">
      <c r="A2932" s="20" t="s">
        <v>8000</v>
      </c>
      <c r="B2932" s="14" t="s">
        <v>8001</v>
      </c>
      <c r="C2932" s="71" t="str">
        <f t="shared" si="62"/>
        <v>Product Info</v>
      </c>
      <c r="D2932" s="37" t="s">
        <v>8002</v>
      </c>
      <c r="E2932" s="143">
        <v>5</v>
      </c>
      <c r="F2932" s="12" t="s">
        <v>2170</v>
      </c>
      <c r="G2932" s="38">
        <v>50.41</v>
      </c>
      <c r="H2932" s="38">
        <f t="shared" si="65"/>
        <v>35.29</v>
      </c>
      <c r="I2932" s="38">
        <v>35.29</v>
      </c>
      <c r="J2932" s="39"/>
      <c r="K2932" s="143"/>
      <c r="L2932" s="22">
        <v>0.245</v>
      </c>
      <c r="M2932" s="22" t="s">
        <v>12488</v>
      </c>
      <c r="N2932" s="20" t="s">
        <v>8853</v>
      </c>
      <c r="O2932" s="16" t="s">
        <v>12608</v>
      </c>
      <c r="P2932" s="143">
        <v>533</v>
      </c>
      <c r="Q2932" s="121" t="s">
        <v>14285</v>
      </c>
      <c r="R2932" s="16" t="s">
        <v>8904</v>
      </c>
      <c r="S2932" s="10" t="s">
        <v>194</v>
      </c>
      <c r="T2932" s="28" t="s">
        <v>11920</v>
      </c>
      <c r="U2932" s="20" t="s">
        <v>5359</v>
      </c>
      <c r="V2932" s="16" t="s">
        <v>8000</v>
      </c>
      <c r="W2932" s="11"/>
      <c r="X2932" s="174">
        <v>27.67</v>
      </c>
      <c r="Y2932" s="174">
        <v>35.29</v>
      </c>
    </row>
    <row r="2933" spans="1:25" ht="15" customHeight="1" x14ac:dyDescent="0.25">
      <c r="A2933" s="20" t="s">
        <v>6105</v>
      </c>
      <c r="B2933" s="14" t="s">
        <v>6106</v>
      </c>
      <c r="C2933" s="71" t="str">
        <f t="shared" si="62"/>
        <v>Product Info</v>
      </c>
      <c r="D2933" s="37" t="s">
        <v>6107</v>
      </c>
      <c r="E2933" s="143">
        <v>5</v>
      </c>
      <c r="F2933" s="12" t="s">
        <v>2170</v>
      </c>
      <c r="G2933" s="38">
        <v>58.23</v>
      </c>
      <c r="H2933" s="38">
        <f t="shared" si="65"/>
        <v>40.76</v>
      </c>
      <c r="I2933" s="38">
        <v>40.76</v>
      </c>
      <c r="J2933" s="39"/>
      <c r="K2933" s="143"/>
      <c r="L2933" s="22">
        <v>0</v>
      </c>
      <c r="M2933" s="22" t="s">
        <v>12487</v>
      </c>
      <c r="N2933" s="20" t="s">
        <v>14489</v>
      </c>
      <c r="O2933" s="16">
        <v>0</v>
      </c>
      <c r="P2933" s="143" t="s">
        <v>12555</v>
      </c>
      <c r="Q2933" s="121" t="s">
        <v>14285</v>
      </c>
      <c r="R2933" s="16" t="s">
        <v>8904</v>
      </c>
      <c r="S2933" s="10" t="s">
        <v>194</v>
      </c>
      <c r="T2933" s="28" t="s">
        <v>11921</v>
      </c>
      <c r="U2933" s="20" t="s">
        <v>5359</v>
      </c>
      <c r="V2933" s="16" t="s">
        <v>6105</v>
      </c>
      <c r="W2933" s="11" t="s">
        <v>14433</v>
      </c>
      <c r="X2933" s="174">
        <v>31.81</v>
      </c>
      <c r="Y2933" s="174">
        <v>40.76</v>
      </c>
    </row>
    <row r="2934" spans="1:25" ht="15" customHeight="1" x14ac:dyDescent="0.25">
      <c r="A2934" s="20" t="s">
        <v>6108</v>
      </c>
      <c r="B2934" s="14" t="s">
        <v>6109</v>
      </c>
      <c r="C2934" s="71" t="str">
        <f t="shared" si="62"/>
        <v>Product Info</v>
      </c>
      <c r="D2934" s="37" t="s">
        <v>3053</v>
      </c>
      <c r="E2934" s="143">
        <v>5</v>
      </c>
      <c r="F2934" s="12" t="s">
        <v>2170</v>
      </c>
      <c r="G2934" s="38">
        <v>58.23</v>
      </c>
      <c r="H2934" s="38">
        <f t="shared" si="65"/>
        <v>40.76</v>
      </c>
      <c r="I2934" s="38">
        <v>40.76</v>
      </c>
      <c r="J2934" s="39"/>
      <c r="K2934" s="143"/>
      <c r="L2934" s="22">
        <v>0</v>
      </c>
      <c r="M2934" s="22" t="s">
        <v>12487</v>
      </c>
      <c r="N2934" s="20" t="s">
        <v>14489</v>
      </c>
      <c r="O2934" s="16" t="s">
        <v>12608</v>
      </c>
      <c r="P2934" s="143" t="s">
        <v>12555</v>
      </c>
      <c r="Q2934" s="121" t="s">
        <v>14285</v>
      </c>
      <c r="R2934" s="16" t="s">
        <v>8904</v>
      </c>
      <c r="S2934" s="10" t="s">
        <v>194</v>
      </c>
      <c r="T2934" s="28" t="s">
        <v>11922</v>
      </c>
      <c r="U2934" s="20" t="s">
        <v>5359</v>
      </c>
      <c r="V2934" s="16" t="s">
        <v>6108</v>
      </c>
      <c r="W2934" s="11" t="s">
        <v>14433</v>
      </c>
      <c r="X2934" s="174">
        <v>31.81</v>
      </c>
      <c r="Y2934" s="174">
        <v>40.76</v>
      </c>
    </row>
    <row r="2935" spans="1:25" ht="15" customHeight="1" x14ac:dyDescent="0.25">
      <c r="A2935" s="20" t="s">
        <v>3054</v>
      </c>
      <c r="B2935" s="14" t="s">
        <v>3055</v>
      </c>
      <c r="C2935" s="71" t="str">
        <f t="shared" si="62"/>
        <v>Product Info</v>
      </c>
      <c r="D2935" s="37" t="s">
        <v>3056</v>
      </c>
      <c r="E2935" s="143">
        <v>1</v>
      </c>
      <c r="F2935" s="12" t="s">
        <v>4992</v>
      </c>
      <c r="G2935" s="38">
        <v>609.37</v>
      </c>
      <c r="H2935" s="38">
        <f t="shared" si="65"/>
        <v>426.56</v>
      </c>
      <c r="I2935" s="38">
        <v>426.56</v>
      </c>
      <c r="J2935" s="39"/>
      <c r="K2935" s="143"/>
      <c r="L2935" s="22">
        <v>8.2949999999999999</v>
      </c>
      <c r="M2935" s="22" t="s">
        <v>12488</v>
      </c>
      <c r="N2935" s="20" t="s">
        <v>8855</v>
      </c>
      <c r="O2935" s="16" t="s">
        <v>12608</v>
      </c>
      <c r="P2935" s="143" t="s">
        <v>12555</v>
      </c>
      <c r="Q2935" s="121" t="s">
        <v>14285</v>
      </c>
      <c r="R2935" s="16" t="s">
        <v>8904</v>
      </c>
      <c r="S2935" s="10" t="s">
        <v>194</v>
      </c>
      <c r="T2935" s="28" t="s">
        <v>11923</v>
      </c>
      <c r="U2935" s="20" t="s">
        <v>5359</v>
      </c>
      <c r="V2935" s="16" t="s">
        <v>3054</v>
      </c>
      <c r="W2935" s="11" t="s">
        <v>14433</v>
      </c>
      <c r="X2935" s="174">
        <v>332.88</v>
      </c>
      <c r="Y2935" s="174">
        <v>426.56</v>
      </c>
    </row>
    <row r="2936" spans="1:25" ht="15" customHeight="1" x14ac:dyDescent="0.25">
      <c r="A2936" s="20" t="s">
        <v>3070</v>
      </c>
      <c r="B2936" s="14" t="s">
        <v>3071</v>
      </c>
      <c r="C2936" s="71" t="str">
        <f t="shared" si="62"/>
        <v>Product Info</v>
      </c>
      <c r="D2936" s="37" t="s">
        <v>3072</v>
      </c>
      <c r="E2936" s="143">
        <v>5</v>
      </c>
      <c r="F2936" s="12" t="s">
        <v>2170</v>
      </c>
      <c r="G2936" s="38">
        <v>51.1</v>
      </c>
      <c r="H2936" s="38">
        <f t="shared" si="65"/>
        <v>35.770000000000003</v>
      </c>
      <c r="I2936" s="38">
        <v>35.770000000000003</v>
      </c>
      <c r="J2936" s="39"/>
      <c r="K2936" s="143"/>
      <c r="L2936" s="22">
        <v>0.29699999999999999</v>
      </c>
      <c r="M2936" s="22" t="s">
        <v>12488</v>
      </c>
      <c r="N2936" s="20" t="s">
        <v>8856</v>
      </c>
      <c r="O2936" s="16" t="s">
        <v>12608</v>
      </c>
      <c r="P2936" s="143">
        <v>533</v>
      </c>
      <c r="Q2936" s="121" t="s">
        <v>14285</v>
      </c>
      <c r="R2936" s="16" t="s">
        <v>8904</v>
      </c>
      <c r="S2936" s="10" t="s">
        <v>194</v>
      </c>
      <c r="T2936" s="28" t="s">
        <v>11924</v>
      </c>
      <c r="U2936" s="20" t="s">
        <v>5359</v>
      </c>
      <c r="V2936" s="16" t="s">
        <v>3070</v>
      </c>
      <c r="W2936" s="11"/>
      <c r="X2936" s="174">
        <v>28.06</v>
      </c>
      <c r="Y2936" s="174">
        <v>35.770000000000003</v>
      </c>
    </row>
    <row r="2937" spans="1:25" ht="15" customHeight="1" x14ac:dyDescent="0.25">
      <c r="A2937" s="20" t="s">
        <v>3073</v>
      </c>
      <c r="B2937" s="14" t="s">
        <v>3074</v>
      </c>
      <c r="C2937" s="71" t="str">
        <f t="shared" si="62"/>
        <v>Product Info</v>
      </c>
      <c r="D2937" s="37" t="s">
        <v>3075</v>
      </c>
      <c r="E2937" s="143">
        <v>5</v>
      </c>
      <c r="F2937" s="12" t="s">
        <v>2170</v>
      </c>
      <c r="G2937" s="38">
        <v>47.77</v>
      </c>
      <c r="H2937" s="38">
        <f t="shared" si="65"/>
        <v>33.44</v>
      </c>
      <c r="I2937" s="38">
        <v>33.44</v>
      </c>
      <c r="J2937" s="39"/>
      <c r="K2937" s="143"/>
      <c r="L2937" s="22">
        <v>0.255</v>
      </c>
      <c r="M2937" s="22" t="s">
        <v>12488</v>
      </c>
      <c r="N2937" s="20" t="s">
        <v>8857</v>
      </c>
      <c r="O2937" s="16" t="s">
        <v>13914</v>
      </c>
      <c r="P2937" s="143" t="s">
        <v>12555</v>
      </c>
      <c r="Q2937" s="121" t="s">
        <v>14285</v>
      </c>
      <c r="R2937" s="16" t="s">
        <v>8904</v>
      </c>
      <c r="S2937" s="10" t="s">
        <v>194</v>
      </c>
      <c r="T2937" s="28" t="s">
        <v>11925</v>
      </c>
      <c r="U2937" s="20" t="s">
        <v>5359</v>
      </c>
      <c r="V2937" s="16" t="s">
        <v>3073</v>
      </c>
      <c r="W2937" s="11" t="s">
        <v>14433</v>
      </c>
      <c r="X2937" s="174">
        <v>26.1</v>
      </c>
      <c r="Y2937" s="174">
        <v>33.44</v>
      </c>
    </row>
    <row r="2938" spans="1:25" ht="15" customHeight="1" x14ac:dyDescent="0.25">
      <c r="A2938" s="20" t="s">
        <v>4134</v>
      </c>
      <c r="B2938" s="14" t="s">
        <v>4135</v>
      </c>
      <c r="C2938" s="71" t="str">
        <f t="shared" si="62"/>
        <v>Product Info</v>
      </c>
      <c r="D2938" s="37" t="s">
        <v>4136</v>
      </c>
      <c r="E2938" s="143">
        <v>5</v>
      </c>
      <c r="F2938" s="12" t="s">
        <v>2170</v>
      </c>
      <c r="G2938" s="38">
        <v>46.24</v>
      </c>
      <c r="H2938" s="38">
        <f t="shared" si="65"/>
        <v>32.369999999999997</v>
      </c>
      <c r="I2938" s="38">
        <v>32.369999999999997</v>
      </c>
      <c r="J2938" s="39"/>
      <c r="K2938" s="143"/>
      <c r="L2938" s="22">
        <v>0.26</v>
      </c>
      <c r="M2938" s="22" t="s">
        <v>12488</v>
      </c>
      <c r="N2938" s="20" t="s">
        <v>8852</v>
      </c>
      <c r="O2938" s="16" t="s">
        <v>12608</v>
      </c>
      <c r="P2938" s="143" t="s">
        <v>12555</v>
      </c>
      <c r="Q2938" s="121" t="s">
        <v>14285</v>
      </c>
      <c r="R2938" s="16" t="s">
        <v>8904</v>
      </c>
      <c r="S2938" s="10" t="s">
        <v>194</v>
      </c>
      <c r="T2938" s="28" t="s">
        <v>11926</v>
      </c>
      <c r="U2938" s="20" t="s">
        <v>5359</v>
      </c>
      <c r="V2938" s="16" t="s">
        <v>4134</v>
      </c>
      <c r="W2938" s="11" t="s">
        <v>14433</v>
      </c>
      <c r="X2938" s="174">
        <v>25.26</v>
      </c>
      <c r="Y2938" s="174">
        <v>32.369999999999997</v>
      </c>
    </row>
    <row r="2939" spans="1:25" ht="15" customHeight="1" x14ac:dyDescent="0.25">
      <c r="A2939" s="20" t="s">
        <v>6100</v>
      </c>
      <c r="B2939" s="14" t="s">
        <v>6101</v>
      </c>
      <c r="C2939" s="71" t="str">
        <f t="shared" si="62"/>
        <v>Product Info</v>
      </c>
      <c r="D2939" s="37" t="s">
        <v>1295</v>
      </c>
      <c r="E2939" s="143">
        <v>8</v>
      </c>
      <c r="F2939" s="12" t="s">
        <v>4992</v>
      </c>
      <c r="G2939" s="38">
        <v>89.89</v>
      </c>
      <c r="H2939" s="38">
        <f t="shared" si="65"/>
        <v>62.92</v>
      </c>
      <c r="I2939" s="38">
        <v>62.92</v>
      </c>
      <c r="J2939" s="39"/>
      <c r="K2939" s="143"/>
      <c r="L2939" s="22">
        <v>0.5</v>
      </c>
      <c r="M2939" s="22" t="s">
        <v>12488</v>
      </c>
      <c r="N2939" s="20" t="s">
        <v>8858</v>
      </c>
      <c r="O2939" s="16" t="s">
        <v>12608</v>
      </c>
      <c r="P2939" s="143">
        <v>760</v>
      </c>
      <c r="Q2939" s="121" t="s">
        <v>14285</v>
      </c>
      <c r="R2939" s="16" t="s">
        <v>8904</v>
      </c>
      <c r="S2939" s="10" t="s">
        <v>194</v>
      </c>
      <c r="T2939" s="28" t="s">
        <v>11927</v>
      </c>
      <c r="U2939" s="20" t="s">
        <v>5359</v>
      </c>
      <c r="V2939" s="16" t="s">
        <v>6100</v>
      </c>
      <c r="W2939" s="20" t="s">
        <v>14432</v>
      </c>
      <c r="X2939" s="174">
        <v>48.38</v>
      </c>
      <c r="Y2939" s="174">
        <v>62.92</v>
      </c>
    </row>
    <row r="2940" spans="1:25" ht="15" customHeight="1" x14ac:dyDescent="0.25">
      <c r="A2940" s="20" t="s">
        <v>2390</v>
      </c>
      <c r="B2940" s="14" t="s">
        <v>3485</v>
      </c>
      <c r="C2940" s="71" t="str">
        <f t="shared" si="62"/>
        <v>Product Info</v>
      </c>
      <c r="D2940" s="37" t="s">
        <v>3486</v>
      </c>
      <c r="E2940" s="143">
        <v>4</v>
      </c>
      <c r="F2940" s="12" t="s">
        <v>4992</v>
      </c>
      <c r="G2940" s="38">
        <v>133.13</v>
      </c>
      <c r="H2940" s="38">
        <f t="shared" si="65"/>
        <v>93.19</v>
      </c>
      <c r="I2940" s="38">
        <v>93.19</v>
      </c>
      <c r="J2940" s="39"/>
      <c r="K2940" s="143"/>
      <c r="L2940" s="22">
        <v>1.2</v>
      </c>
      <c r="M2940" s="22" t="s">
        <v>14396</v>
      </c>
      <c r="N2940" s="20" t="s">
        <v>8854</v>
      </c>
      <c r="O2940" s="16" t="s">
        <v>13914</v>
      </c>
      <c r="P2940" s="143">
        <v>760</v>
      </c>
      <c r="Q2940" s="121" t="s">
        <v>14285</v>
      </c>
      <c r="R2940" s="16" t="s">
        <v>8904</v>
      </c>
      <c r="S2940" s="10" t="s">
        <v>194</v>
      </c>
      <c r="T2940" s="28" t="s">
        <v>11928</v>
      </c>
      <c r="U2940" s="20" t="s">
        <v>5359</v>
      </c>
      <c r="V2940" s="16" t="s">
        <v>2390</v>
      </c>
      <c r="W2940" s="20" t="s">
        <v>14432</v>
      </c>
      <c r="X2940" s="174">
        <v>71.66</v>
      </c>
      <c r="Y2940" s="174">
        <v>93.19</v>
      </c>
    </row>
    <row r="2941" spans="1:25" ht="15" customHeight="1" x14ac:dyDescent="0.25">
      <c r="A2941" s="20" t="s">
        <v>5244</v>
      </c>
      <c r="B2941" s="14" t="s">
        <v>5245</v>
      </c>
      <c r="C2941" s="71" t="str">
        <f t="shared" si="62"/>
        <v>Product Info</v>
      </c>
      <c r="D2941" s="37" t="s">
        <v>5246</v>
      </c>
      <c r="E2941" s="143">
        <v>2</v>
      </c>
      <c r="F2941" s="12" t="s">
        <v>4992</v>
      </c>
      <c r="G2941" s="38">
        <v>311.7</v>
      </c>
      <c r="H2941" s="38">
        <f t="shared" si="65"/>
        <v>218.19</v>
      </c>
      <c r="I2941" s="38">
        <v>218.19</v>
      </c>
      <c r="J2941" s="39"/>
      <c r="K2941" s="143"/>
      <c r="L2941" s="22">
        <v>2</v>
      </c>
      <c r="M2941" s="22" t="s">
        <v>12488</v>
      </c>
      <c r="N2941" s="20" t="s">
        <v>8859</v>
      </c>
      <c r="O2941" s="16" t="s">
        <v>12608</v>
      </c>
      <c r="P2941" s="143">
        <v>760</v>
      </c>
      <c r="Q2941" s="121" t="s">
        <v>14285</v>
      </c>
      <c r="R2941" s="16" t="s">
        <v>8904</v>
      </c>
      <c r="S2941" s="10" t="s">
        <v>194</v>
      </c>
      <c r="T2941" s="28" t="s">
        <v>11929</v>
      </c>
      <c r="U2941" s="20" t="s">
        <v>5359</v>
      </c>
      <c r="V2941" s="16" t="s">
        <v>5244</v>
      </c>
      <c r="W2941" s="20" t="s">
        <v>14432</v>
      </c>
      <c r="X2941" s="174">
        <v>167.78</v>
      </c>
      <c r="Y2941" s="174">
        <v>218.19</v>
      </c>
    </row>
    <row r="2942" spans="1:25" ht="15" customHeight="1" x14ac:dyDescent="0.25">
      <c r="A2942" s="20" t="s">
        <v>7782</v>
      </c>
      <c r="B2942" s="14" t="s">
        <v>7783</v>
      </c>
      <c r="C2942" s="71" t="str">
        <f t="shared" si="62"/>
        <v>Product Info</v>
      </c>
      <c r="D2942" s="37" t="s">
        <v>6646</v>
      </c>
      <c r="E2942" s="143">
        <v>100</v>
      </c>
      <c r="F2942" s="12" t="s">
        <v>6692</v>
      </c>
      <c r="G2942" s="38">
        <v>11.21</v>
      </c>
      <c r="H2942" s="38">
        <f t="shared" si="65"/>
        <v>7.85</v>
      </c>
      <c r="I2942" s="38">
        <v>7.85</v>
      </c>
      <c r="J2942" s="39"/>
      <c r="K2942" s="12" t="s">
        <v>8905</v>
      </c>
      <c r="L2942" s="22">
        <v>2.5000000000000001E-2</v>
      </c>
      <c r="M2942" s="22" t="s">
        <v>12488</v>
      </c>
      <c r="N2942" s="20" t="s">
        <v>9245</v>
      </c>
      <c r="O2942" s="16" t="s">
        <v>12608</v>
      </c>
      <c r="P2942" s="143">
        <v>760</v>
      </c>
      <c r="Q2942" s="122" t="s">
        <v>14461</v>
      </c>
      <c r="R2942" s="16" t="s">
        <v>8904</v>
      </c>
      <c r="S2942" s="10" t="s">
        <v>194</v>
      </c>
      <c r="T2942" s="28" t="s">
        <v>11930</v>
      </c>
      <c r="U2942" s="20" t="s">
        <v>5359</v>
      </c>
      <c r="V2942" s="16" t="s">
        <v>7782</v>
      </c>
      <c r="W2942" s="20" t="s">
        <v>14432</v>
      </c>
      <c r="X2942" s="174">
        <v>6.04</v>
      </c>
      <c r="Y2942" s="174">
        <v>7.85</v>
      </c>
    </row>
    <row r="2943" spans="1:25" ht="15" customHeight="1" x14ac:dyDescent="0.25">
      <c r="A2943" s="20" t="s">
        <v>7784</v>
      </c>
      <c r="B2943" s="14" t="s">
        <v>7785</v>
      </c>
      <c r="C2943" s="71" t="str">
        <f t="shared" si="62"/>
        <v>Product Info</v>
      </c>
      <c r="D2943" s="37" t="s">
        <v>6359</v>
      </c>
      <c r="E2943" s="143">
        <v>200</v>
      </c>
      <c r="F2943" s="12" t="s">
        <v>6692</v>
      </c>
      <c r="G2943" s="38">
        <v>5.76</v>
      </c>
      <c r="H2943" s="38">
        <f t="shared" si="65"/>
        <v>4.03</v>
      </c>
      <c r="I2943" s="38">
        <v>4.03</v>
      </c>
      <c r="J2943" s="39"/>
      <c r="K2943" s="12"/>
      <c r="L2943" s="22">
        <v>2.7400000000000001E-2</v>
      </c>
      <c r="M2943" s="22" t="s">
        <v>12488</v>
      </c>
      <c r="N2943" s="20" t="s">
        <v>9497</v>
      </c>
      <c r="O2943" s="16" t="s">
        <v>12608</v>
      </c>
      <c r="P2943" s="143">
        <v>760</v>
      </c>
      <c r="Q2943" s="122" t="s">
        <v>9227</v>
      </c>
      <c r="R2943" s="16" t="s">
        <v>8904</v>
      </c>
      <c r="S2943" s="10" t="s">
        <v>194</v>
      </c>
      <c r="T2943" s="28" t="s">
        <v>11931</v>
      </c>
      <c r="U2943" s="20" t="s">
        <v>5359</v>
      </c>
      <c r="V2943" s="16" t="s">
        <v>7784</v>
      </c>
      <c r="W2943" s="20" t="s">
        <v>14432</v>
      </c>
      <c r="X2943" s="174">
        <v>3.1</v>
      </c>
      <c r="Y2943" s="174">
        <v>4.03</v>
      </c>
    </row>
    <row r="2944" spans="1:25" ht="15" customHeight="1" x14ac:dyDescent="0.25">
      <c r="A2944" s="20" t="s">
        <v>7786</v>
      </c>
      <c r="B2944" s="14" t="s">
        <v>7787</v>
      </c>
      <c r="C2944" s="71" t="str">
        <f t="shared" si="62"/>
        <v>Product Info</v>
      </c>
      <c r="D2944" s="37" t="s">
        <v>6360</v>
      </c>
      <c r="E2944" s="143">
        <v>100</v>
      </c>
      <c r="F2944" s="12" t="s">
        <v>6692</v>
      </c>
      <c r="G2944" s="38">
        <v>6.96</v>
      </c>
      <c r="H2944" s="38">
        <f t="shared" si="65"/>
        <v>4.87</v>
      </c>
      <c r="I2944" s="38">
        <v>4.87</v>
      </c>
      <c r="J2944" s="39"/>
      <c r="K2944" s="12" t="s">
        <v>8905</v>
      </c>
      <c r="L2944" s="22">
        <v>0.14360000000000001</v>
      </c>
      <c r="M2944" s="22" t="s">
        <v>12488</v>
      </c>
      <c r="N2944" s="20" t="s">
        <v>9236</v>
      </c>
      <c r="O2944" s="16" t="s">
        <v>12608</v>
      </c>
      <c r="P2944" s="143">
        <v>760</v>
      </c>
      <c r="Q2944" s="122" t="s">
        <v>9227</v>
      </c>
      <c r="R2944" s="16" t="s">
        <v>8904</v>
      </c>
      <c r="S2944" s="10" t="s">
        <v>194</v>
      </c>
      <c r="T2944" s="28" t="s">
        <v>11932</v>
      </c>
      <c r="U2944" s="20" t="s">
        <v>5359</v>
      </c>
      <c r="V2944" s="16" t="s">
        <v>7786</v>
      </c>
      <c r="W2944" s="20" t="s">
        <v>14432</v>
      </c>
      <c r="X2944" s="174">
        <v>3.74</v>
      </c>
      <c r="Y2944" s="174">
        <v>4.87</v>
      </c>
    </row>
    <row r="2945" spans="1:25" ht="15" customHeight="1" x14ac:dyDescent="0.25">
      <c r="A2945" s="20" t="s">
        <v>7788</v>
      </c>
      <c r="B2945" s="14" t="s">
        <v>7789</v>
      </c>
      <c r="C2945" s="71" t="str">
        <f t="shared" si="62"/>
        <v>Product Info</v>
      </c>
      <c r="D2945" s="37" t="s">
        <v>6361</v>
      </c>
      <c r="E2945" s="143">
        <v>20</v>
      </c>
      <c r="F2945" s="12" t="s">
        <v>2170</v>
      </c>
      <c r="G2945" s="38">
        <v>76.040000000000006</v>
      </c>
      <c r="H2945" s="38">
        <f t="shared" si="65"/>
        <v>53.23</v>
      </c>
      <c r="I2945" s="38">
        <v>53.23</v>
      </c>
      <c r="J2945" s="39">
        <v>40</v>
      </c>
      <c r="K2945" s="143"/>
      <c r="L2945" s="22">
        <v>1.1825000000000001</v>
      </c>
      <c r="M2945" s="22" t="s">
        <v>12488</v>
      </c>
      <c r="N2945" s="20" t="s">
        <v>9393</v>
      </c>
      <c r="O2945" s="16" t="s">
        <v>12608</v>
      </c>
      <c r="P2945" s="143">
        <v>755</v>
      </c>
      <c r="Q2945" s="121" t="s">
        <v>14285</v>
      </c>
      <c r="R2945" s="16" t="s">
        <v>8904</v>
      </c>
      <c r="S2945" s="10" t="s">
        <v>194</v>
      </c>
      <c r="T2945" s="28" t="s">
        <v>11933</v>
      </c>
      <c r="U2945" s="20" t="s">
        <v>5359</v>
      </c>
      <c r="V2945" s="16" t="s">
        <v>7788</v>
      </c>
      <c r="W2945" s="11" t="s">
        <v>14433</v>
      </c>
      <c r="X2945" s="174">
        <v>41.74</v>
      </c>
      <c r="Y2945" s="174">
        <v>53.23</v>
      </c>
    </row>
    <row r="2946" spans="1:25" ht="15" customHeight="1" x14ac:dyDescent="0.25">
      <c r="A2946" s="20" t="s">
        <v>7790</v>
      </c>
      <c r="B2946" s="14" t="s">
        <v>7791</v>
      </c>
      <c r="C2946" s="71" t="str">
        <f t="shared" si="62"/>
        <v>Product Info</v>
      </c>
      <c r="D2946" s="37" t="s">
        <v>6362</v>
      </c>
      <c r="E2946" s="143">
        <v>15</v>
      </c>
      <c r="F2946" s="12" t="s">
        <v>2170</v>
      </c>
      <c r="G2946" s="38">
        <v>84.31</v>
      </c>
      <c r="H2946" s="38">
        <f t="shared" si="65"/>
        <v>59.02</v>
      </c>
      <c r="I2946" s="38">
        <v>59.02</v>
      </c>
      <c r="J2946" s="39">
        <v>30</v>
      </c>
      <c r="K2946" s="143"/>
      <c r="L2946" s="22">
        <v>1.3029999999999999</v>
      </c>
      <c r="M2946" s="22" t="s">
        <v>12488</v>
      </c>
      <c r="N2946" s="20" t="s">
        <v>9393</v>
      </c>
      <c r="O2946" s="16" t="s">
        <v>12608</v>
      </c>
      <c r="P2946" s="143">
        <v>755</v>
      </c>
      <c r="Q2946" s="122" t="s">
        <v>12421</v>
      </c>
      <c r="R2946" s="16" t="s">
        <v>8904</v>
      </c>
      <c r="S2946" s="10" t="s">
        <v>194</v>
      </c>
      <c r="T2946" s="28" t="s">
        <v>11934</v>
      </c>
      <c r="U2946" s="20" t="s">
        <v>5359</v>
      </c>
      <c r="V2946" s="16" t="s">
        <v>7790</v>
      </c>
      <c r="W2946" s="11" t="s">
        <v>14433</v>
      </c>
      <c r="X2946" s="174">
        <v>52.07</v>
      </c>
      <c r="Y2946" s="174">
        <v>59.02</v>
      </c>
    </row>
    <row r="2947" spans="1:25" ht="15" customHeight="1" x14ac:dyDescent="0.25">
      <c r="A2947" s="20" t="s">
        <v>7792</v>
      </c>
      <c r="B2947" s="14" t="s">
        <v>7793</v>
      </c>
      <c r="C2947" s="71" t="str">
        <f t="shared" si="62"/>
        <v>Product Info</v>
      </c>
      <c r="D2947" s="37" t="s">
        <v>6363</v>
      </c>
      <c r="E2947" s="143">
        <v>10</v>
      </c>
      <c r="F2947" s="12" t="s">
        <v>2170</v>
      </c>
      <c r="G2947" s="38">
        <v>109.17</v>
      </c>
      <c r="H2947" s="38">
        <f t="shared" si="65"/>
        <v>76.42</v>
      </c>
      <c r="I2947" s="38">
        <v>76.42</v>
      </c>
      <c r="J2947" s="39">
        <v>30</v>
      </c>
      <c r="K2947" s="143"/>
      <c r="L2947" s="22">
        <v>11</v>
      </c>
      <c r="M2947" s="22" t="s">
        <v>12488</v>
      </c>
      <c r="N2947" s="20" t="s">
        <v>9464</v>
      </c>
      <c r="O2947" s="16" t="s">
        <v>12608</v>
      </c>
      <c r="P2947" s="143">
        <v>755</v>
      </c>
      <c r="Q2947" s="122" t="s">
        <v>12421</v>
      </c>
      <c r="R2947" s="16" t="s">
        <v>8904</v>
      </c>
      <c r="S2947" s="10" t="s">
        <v>194</v>
      </c>
      <c r="T2947" s="28" t="s">
        <v>11935</v>
      </c>
      <c r="U2947" s="20" t="s">
        <v>5359</v>
      </c>
      <c r="V2947" s="16" t="s">
        <v>7792</v>
      </c>
      <c r="W2947" s="11" t="s">
        <v>14433</v>
      </c>
      <c r="X2947" s="174">
        <v>59.93</v>
      </c>
      <c r="Y2947" s="174">
        <v>76.42</v>
      </c>
    </row>
    <row r="2948" spans="1:25" ht="15" customHeight="1" x14ac:dyDescent="0.25">
      <c r="A2948" s="20" t="s">
        <v>7794</v>
      </c>
      <c r="B2948" s="14" t="s">
        <v>873</v>
      </c>
      <c r="C2948" s="71" t="str">
        <f t="shared" si="62"/>
        <v>Product Info</v>
      </c>
      <c r="D2948" s="37" t="s">
        <v>6364</v>
      </c>
      <c r="E2948" s="143">
        <v>5</v>
      </c>
      <c r="F2948" s="12" t="s">
        <v>2170</v>
      </c>
      <c r="G2948" s="38">
        <v>199.33</v>
      </c>
      <c r="H2948" s="38">
        <f t="shared" si="65"/>
        <v>139.53</v>
      </c>
      <c r="I2948" s="38">
        <v>139.53</v>
      </c>
      <c r="J2948" s="39">
        <v>25</v>
      </c>
      <c r="K2948" s="143"/>
      <c r="L2948" s="22">
        <v>4</v>
      </c>
      <c r="M2948" s="22" t="s">
        <v>12488</v>
      </c>
      <c r="N2948" s="20" t="s">
        <v>9345</v>
      </c>
      <c r="O2948" s="16" t="s">
        <v>12608</v>
      </c>
      <c r="P2948" s="143">
        <v>755</v>
      </c>
      <c r="Q2948" s="122" t="s">
        <v>9227</v>
      </c>
      <c r="R2948" s="16" t="s">
        <v>8904</v>
      </c>
      <c r="S2948" s="10" t="s">
        <v>194</v>
      </c>
      <c r="T2948" s="28" t="s">
        <v>11936</v>
      </c>
      <c r="U2948" s="20" t="s">
        <v>5359</v>
      </c>
      <c r="V2948" s="16" t="s">
        <v>7794</v>
      </c>
      <c r="W2948" s="11" t="s">
        <v>14433</v>
      </c>
      <c r="X2948" s="174">
        <v>109.42</v>
      </c>
      <c r="Y2948" s="174">
        <v>139.53</v>
      </c>
    </row>
    <row r="2949" spans="1:25" ht="15" customHeight="1" x14ac:dyDescent="0.25">
      <c r="A2949" s="20" t="s">
        <v>874</v>
      </c>
      <c r="B2949" s="14" t="s">
        <v>875</v>
      </c>
      <c r="C2949" s="71" t="str">
        <f t="shared" si="62"/>
        <v>Product Info</v>
      </c>
      <c r="D2949" s="37" t="s">
        <v>6365</v>
      </c>
      <c r="E2949" s="143">
        <v>1</v>
      </c>
      <c r="F2949" s="12" t="s">
        <v>2170</v>
      </c>
      <c r="G2949" s="38">
        <v>120.13</v>
      </c>
      <c r="H2949" s="38">
        <f t="shared" si="65"/>
        <v>84.09</v>
      </c>
      <c r="I2949" s="38">
        <v>84.09</v>
      </c>
      <c r="J2949" s="39">
        <v>25</v>
      </c>
      <c r="K2949" s="12" t="s">
        <v>8905</v>
      </c>
      <c r="L2949" s="22">
        <v>3</v>
      </c>
      <c r="M2949" s="22" t="s">
        <v>12488</v>
      </c>
      <c r="N2949" s="20" t="s">
        <v>9420</v>
      </c>
      <c r="O2949" s="16" t="s">
        <v>12608</v>
      </c>
      <c r="P2949" s="143">
        <v>755</v>
      </c>
      <c r="Q2949" s="122" t="s">
        <v>12421</v>
      </c>
      <c r="R2949" s="16" t="s">
        <v>8904</v>
      </c>
      <c r="S2949" s="10" t="s">
        <v>194</v>
      </c>
      <c r="T2949" s="28" t="s">
        <v>11937</v>
      </c>
      <c r="U2949" s="20" t="s">
        <v>5359</v>
      </c>
      <c r="V2949" s="16" t="s">
        <v>874</v>
      </c>
      <c r="W2949" s="11" t="s">
        <v>14433</v>
      </c>
      <c r="X2949" s="174">
        <v>65.95</v>
      </c>
      <c r="Y2949" s="174">
        <v>84.09</v>
      </c>
    </row>
    <row r="2950" spans="1:25" ht="15" customHeight="1" x14ac:dyDescent="0.25">
      <c r="A2950" s="20" t="s">
        <v>876</v>
      </c>
      <c r="B2950" s="14" t="s">
        <v>877</v>
      </c>
      <c r="C2950" s="71" t="str">
        <f t="shared" ref="C2950:C3013" si="66">HYPERLINK(T2950,U2950)</f>
        <v>Product Info</v>
      </c>
      <c r="D2950" s="37" t="s">
        <v>6366</v>
      </c>
      <c r="E2950" s="143">
        <v>1</v>
      </c>
      <c r="F2950" s="12" t="s">
        <v>2170</v>
      </c>
      <c r="G2950" s="38">
        <v>139.63999999999999</v>
      </c>
      <c r="H2950" s="38">
        <f t="shared" si="65"/>
        <v>97.75</v>
      </c>
      <c r="I2950" s="38">
        <v>97.75</v>
      </c>
      <c r="J2950" s="39">
        <v>25</v>
      </c>
      <c r="K2950" s="143" t="s">
        <v>8905</v>
      </c>
      <c r="L2950" s="22">
        <v>10</v>
      </c>
      <c r="M2950" s="22" t="s">
        <v>12488</v>
      </c>
      <c r="N2950" s="20" t="s">
        <v>9345</v>
      </c>
      <c r="O2950" s="16" t="s">
        <v>12608</v>
      </c>
      <c r="P2950" s="143">
        <v>755</v>
      </c>
      <c r="Q2950" s="122" t="s">
        <v>12421</v>
      </c>
      <c r="R2950" s="16" t="s">
        <v>8904</v>
      </c>
      <c r="S2950" s="10" t="s">
        <v>194</v>
      </c>
      <c r="T2950" s="28" t="s">
        <v>11938</v>
      </c>
      <c r="U2950" s="20" t="s">
        <v>5359</v>
      </c>
      <c r="V2950" s="16" t="s">
        <v>876</v>
      </c>
      <c r="W2950" s="11" t="s">
        <v>14433</v>
      </c>
      <c r="X2950" s="174">
        <v>76.66</v>
      </c>
      <c r="Y2950" s="174">
        <v>97.75</v>
      </c>
    </row>
    <row r="2951" spans="1:25" ht="15" customHeight="1" x14ac:dyDescent="0.25">
      <c r="A2951" s="20" t="s">
        <v>878</v>
      </c>
      <c r="B2951" s="14" t="s">
        <v>879</v>
      </c>
      <c r="C2951" s="71" t="str">
        <f t="shared" si="66"/>
        <v>Product Info</v>
      </c>
      <c r="D2951" s="37" t="s">
        <v>6367</v>
      </c>
      <c r="E2951" s="143">
        <v>1</v>
      </c>
      <c r="F2951" s="12" t="s">
        <v>2170</v>
      </c>
      <c r="G2951" s="38">
        <v>247.16</v>
      </c>
      <c r="H2951" s="38">
        <f t="shared" si="65"/>
        <v>173.01</v>
      </c>
      <c r="I2951" s="38">
        <v>173.01</v>
      </c>
      <c r="J2951" s="39">
        <v>25</v>
      </c>
      <c r="K2951" s="143"/>
      <c r="L2951" s="22">
        <v>11</v>
      </c>
      <c r="M2951" s="22" t="s">
        <v>12488</v>
      </c>
      <c r="N2951" s="20" t="s">
        <v>9345</v>
      </c>
      <c r="O2951" s="16" t="s">
        <v>12608</v>
      </c>
      <c r="P2951" s="143">
        <v>755</v>
      </c>
      <c r="Q2951" s="121" t="s">
        <v>14285</v>
      </c>
      <c r="R2951" s="16" t="s">
        <v>8904</v>
      </c>
      <c r="S2951" s="10" t="s">
        <v>194</v>
      </c>
      <c r="T2951" s="28" t="s">
        <v>11939</v>
      </c>
      <c r="U2951" s="20" t="s">
        <v>5359</v>
      </c>
      <c r="V2951" s="16" t="s">
        <v>878</v>
      </c>
      <c r="W2951" s="11" t="s">
        <v>14433</v>
      </c>
      <c r="X2951" s="174">
        <v>135.68</v>
      </c>
      <c r="Y2951" s="174">
        <v>173.01</v>
      </c>
    </row>
    <row r="2952" spans="1:25" ht="15" customHeight="1" x14ac:dyDescent="0.25">
      <c r="A2952" s="20" t="s">
        <v>880</v>
      </c>
      <c r="B2952" s="14" t="s">
        <v>881</v>
      </c>
      <c r="C2952" s="71" t="str">
        <f t="shared" si="66"/>
        <v>Product Info</v>
      </c>
      <c r="D2952" s="37" t="s">
        <v>6368</v>
      </c>
      <c r="E2952" s="143">
        <v>1</v>
      </c>
      <c r="F2952" s="12" t="s">
        <v>2170</v>
      </c>
      <c r="G2952" s="38">
        <v>271.02999999999997</v>
      </c>
      <c r="H2952" s="38">
        <f t="shared" si="65"/>
        <v>189.72</v>
      </c>
      <c r="I2952" s="38">
        <v>189.72</v>
      </c>
      <c r="J2952" s="39"/>
      <c r="K2952" s="143"/>
      <c r="L2952" s="22">
        <v>14</v>
      </c>
      <c r="M2952" s="22" t="s">
        <v>12488</v>
      </c>
      <c r="N2952" s="20" t="s">
        <v>9324</v>
      </c>
      <c r="O2952" s="16" t="s">
        <v>12608</v>
      </c>
      <c r="P2952" s="143">
        <v>755</v>
      </c>
      <c r="Q2952" s="121" t="s">
        <v>14285</v>
      </c>
      <c r="R2952" s="16" t="s">
        <v>8904</v>
      </c>
      <c r="S2952" s="10" t="s">
        <v>194</v>
      </c>
      <c r="T2952" s="28" t="s">
        <v>11940</v>
      </c>
      <c r="U2952" s="20" t="s">
        <v>5359</v>
      </c>
      <c r="V2952" s="16" t="s">
        <v>880</v>
      </c>
      <c r="W2952" s="11" t="s">
        <v>14433</v>
      </c>
      <c r="X2952" s="174">
        <v>148.78</v>
      </c>
      <c r="Y2952" s="174">
        <v>189.72</v>
      </c>
    </row>
    <row r="2953" spans="1:25" ht="15" customHeight="1" x14ac:dyDescent="0.25">
      <c r="A2953" s="20" t="s">
        <v>12646</v>
      </c>
      <c r="B2953" s="29" t="s">
        <v>13293</v>
      </c>
      <c r="C2953" s="71" t="str">
        <f t="shared" si="66"/>
        <v>Product Info</v>
      </c>
      <c r="D2953" s="37" t="s">
        <v>13327</v>
      </c>
      <c r="E2953" s="143">
        <v>1</v>
      </c>
      <c r="F2953" s="12" t="s">
        <v>4992</v>
      </c>
      <c r="G2953" s="38">
        <v>222.19</v>
      </c>
      <c r="H2953" s="38">
        <v>188.86</v>
      </c>
      <c r="I2953" s="38">
        <v>155.53</v>
      </c>
      <c r="J2953" s="39"/>
      <c r="K2953" s="143"/>
      <c r="L2953" s="22">
        <v>0</v>
      </c>
      <c r="M2953" s="22" t="s">
        <v>14396</v>
      </c>
      <c r="N2953" s="20" t="s">
        <v>14489</v>
      </c>
      <c r="O2953" s="16" t="s">
        <v>13914</v>
      </c>
      <c r="P2953" s="143">
        <v>753</v>
      </c>
      <c r="Q2953" s="121" t="s">
        <v>14285</v>
      </c>
      <c r="R2953" s="16" t="s">
        <v>8904</v>
      </c>
      <c r="S2953" s="10" t="s">
        <v>1163</v>
      </c>
      <c r="T2953" s="15" t="s">
        <v>13295</v>
      </c>
      <c r="U2953" s="20" t="s">
        <v>5359</v>
      </c>
      <c r="V2953" s="11" t="s">
        <v>12646</v>
      </c>
      <c r="W2953" s="11" t="s">
        <v>14283</v>
      </c>
      <c r="X2953" s="174">
        <v>130.52000000000001</v>
      </c>
      <c r="Y2953" s="174">
        <v>188.86</v>
      </c>
    </row>
    <row r="2954" spans="1:25" ht="15" customHeight="1" x14ac:dyDescent="0.25">
      <c r="A2954" s="20" t="s">
        <v>12647</v>
      </c>
      <c r="B2954" s="29" t="s">
        <v>13294</v>
      </c>
      <c r="C2954" s="71" t="str">
        <f t="shared" si="66"/>
        <v>Product Info</v>
      </c>
      <c r="D2954" s="37" t="s">
        <v>13328</v>
      </c>
      <c r="E2954" s="143">
        <v>1</v>
      </c>
      <c r="F2954" s="12" t="s">
        <v>4992</v>
      </c>
      <c r="G2954" s="38">
        <v>224.5</v>
      </c>
      <c r="H2954" s="38">
        <v>190.83</v>
      </c>
      <c r="I2954" s="38">
        <v>157.15</v>
      </c>
      <c r="J2954" s="39"/>
      <c r="K2954" s="143"/>
      <c r="L2954" s="22">
        <v>0</v>
      </c>
      <c r="M2954" s="22" t="s">
        <v>12488</v>
      </c>
      <c r="N2954" s="20" t="s">
        <v>14489</v>
      </c>
      <c r="O2954" s="16" t="s">
        <v>12608</v>
      </c>
      <c r="P2954" s="143">
        <v>753</v>
      </c>
      <c r="Q2954" s="121" t="s">
        <v>14285</v>
      </c>
      <c r="R2954" s="16" t="s">
        <v>8904</v>
      </c>
      <c r="S2954" s="10" t="s">
        <v>1163</v>
      </c>
      <c r="T2954" s="15" t="s">
        <v>13296</v>
      </c>
      <c r="U2954" s="20" t="s">
        <v>5359</v>
      </c>
      <c r="V2954" s="11" t="s">
        <v>12647</v>
      </c>
      <c r="W2954" s="11" t="s">
        <v>14283</v>
      </c>
      <c r="X2954" s="174">
        <v>158.03</v>
      </c>
      <c r="Y2954" s="174">
        <v>190.83</v>
      </c>
    </row>
    <row r="2955" spans="1:25" ht="15" customHeight="1" x14ac:dyDescent="0.25">
      <c r="A2955" s="20" t="s">
        <v>12571</v>
      </c>
      <c r="B2955" s="29" t="s">
        <v>12572</v>
      </c>
      <c r="C2955" s="71" t="str">
        <f t="shared" si="66"/>
        <v>Product Info</v>
      </c>
      <c r="D2955" s="37" t="s">
        <v>12573</v>
      </c>
      <c r="E2955" s="143">
        <v>1</v>
      </c>
      <c r="F2955" s="12" t="s">
        <v>4992</v>
      </c>
      <c r="G2955" s="38">
        <v>272.95999999999998</v>
      </c>
      <c r="H2955" s="38">
        <v>232.02</v>
      </c>
      <c r="I2955" s="38">
        <v>191.07</v>
      </c>
      <c r="J2955" s="39"/>
      <c r="K2955" s="143"/>
      <c r="L2955" s="22">
        <v>0</v>
      </c>
      <c r="M2955" s="22" t="s">
        <v>14396</v>
      </c>
      <c r="N2955" s="20" t="s">
        <v>14489</v>
      </c>
      <c r="O2955" s="16" t="s">
        <v>13914</v>
      </c>
      <c r="P2955" s="143">
        <v>753</v>
      </c>
      <c r="Q2955" s="123" t="s">
        <v>14285</v>
      </c>
      <c r="R2955" s="23" t="s">
        <v>8904</v>
      </c>
      <c r="S2955" s="9" t="s">
        <v>1163</v>
      </c>
      <c r="T2955" s="15" t="s">
        <v>12581</v>
      </c>
      <c r="U2955" s="20" t="s">
        <v>5359</v>
      </c>
      <c r="V2955" s="11" t="s">
        <v>12571</v>
      </c>
      <c r="W2955" s="11" t="s">
        <v>14283</v>
      </c>
      <c r="X2955" s="174">
        <v>182.42</v>
      </c>
      <c r="Y2955" s="174">
        <v>232.02</v>
      </c>
    </row>
    <row r="2956" spans="1:25" ht="15" customHeight="1" x14ac:dyDescent="0.25">
      <c r="A2956" s="20" t="s">
        <v>2477</v>
      </c>
      <c r="B2956" s="29" t="s">
        <v>3832</v>
      </c>
      <c r="C2956" s="71" t="str">
        <f t="shared" si="66"/>
        <v>Product Info</v>
      </c>
      <c r="D2956" s="37" t="s">
        <v>4493</v>
      </c>
      <c r="E2956" s="143">
        <v>1</v>
      </c>
      <c r="F2956" s="12" t="s">
        <v>4992</v>
      </c>
      <c r="G2956" s="38">
        <v>398.06</v>
      </c>
      <c r="H2956" s="38">
        <v>338.36</v>
      </c>
      <c r="I2956" s="38">
        <v>278.64</v>
      </c>
      <c r="J2956" s="39">
        <v>25</v>
      </c>
      <c r="K2956" s="143"/>
      <c r="L2956" s="22">
        <v>0</v>
      </c>
      <c r="M2956" s="22" t="s">
        <v>12488</v>
      </c>
      <c r="N2956" s="20" t="s">
        <v>14489</v>
      </c>
      <c r="O2956" s="16" t="s">
        <v>12608</v>
      </c>
      <c r="P2956" s="143">
        <v>753</v>
      </c>
      <c r="Q2956" s="121" t="s">
        <v>14285</v>
      </c>
      <c r="R2956" s="16" t="s">
        <v>8904</v>
      </c>
      <c r="S2956" s="10" t="s">
        <v>1163</v>
      </c>
      <c r="T2956" s="15" t="s">
        <v>11941</v>
      </c>
      <c r="U2956" s="20" t="s">
        <v>5359</v>
      </c>
      <c r="V2956" s="11" t="s">
        <v>2477</v>
      </c>
      <c r="W2956" s="11" t="s">
        <v>14283</v>
      </c>
      <c r="X2956" s="174">
        <v>252.13</v>
      </c>
      <c r="Y2956" s="174">
        <v>338.36</v>
      </c>
    </row>
    <row r="2957" spans="1:25" ht="15" customHeight="1" x14ac:dyDescent="0.25">
      <c r="A2957" s="20" t="s">
        <v>12648</v>
      </c>
      <c r="B2957" s="29" t="s">
        <v>12649</v>
      </c>
      <c r="C2957" s="71" t="str">
        <f t="shared" si="66"/>
        <v>Product Info</v>
      </c>
      <c r="D2957" s="37" t="s">
        <v>13329</v>
      </c>
      <c r="E2957" s="143">
        <v>1</v>
      </c>
      <c r="F2957" s="12" t="s">
        <v>4992</v>
      </c>
      <c r="G2957" s="38">
        <v>405.06</v>
      </c>
      <c r="H2957" s="38">
        <v>344.31</v>
      </c>
      <c r="I2957" s="38">
        <v>283.54000000000002</v>
      </c>
      <c r="J2957" s="39"/>
      <c r="K2957" s="143"/>
      <c r="L2957" s="22">
        <v>0</v>
      </c>
      <c r="M2957" s="22" t="s">
        <v>14396</v>
      </c>
      <c r="N2957" s="20" t="s">
        <v>14489</v>
      </c>
      <c r="O2957" s="16" t="s">
        <v>13914</v>
      </c>
      <c r="P2957" s="143">
        <v>753</v>
      </c>
      <c r="Q2957" s="121" t="s">
        <v>14285</v>
      </c>
      <c r="R2957" s="16" t="s">
        <v>8904</v>
      </c>
      <c r="S2957" s="10" t="s">
        <v>1163</v>
      </c>
      <c r="T2957" s="15" t="s">
        <v>13297</v>
      </c>
      <c r="U2957" s="20" t="s">
        <v>5359</v>
      </c>
      <c r="V2957" s="11" t="s">
        <v>12648</v>
      </c>
      <c r="W2957" s="11" t="s">
        <v>14283</v>
      </c>
      <c r="X2957" s="174">
        <v>307.32</v>
      </c>
      <c r="Y2957" s="174">
        <v>344.31</v>
      </c>
    </row>
    <row r="2958" spans="1:25" ht="15" customHeight="1" x14ac:dyDescent="0.25">
      <c r="A2958" s="20" t="s">
        <v>882</v>
      </c>
      <c r="B2958" s="14" t="s">
        <v>883</v>
      </c>
      <c r="C2958" s="71" t="str">
        <f t="shared" si="66"/>
        <v>Product Info</v>
      </c>
      <c r="D2958" s="37" t="s">
        <v>7360</v>
      </c>
      <c r="E2958" s="143">
        <v>6</v>
      </c>
      <c r="F2958" s="12" t="s">
        <v>2170</v>
      </c>
      <c r="G2958" s="38">
        <v>188.03</v>
      </c>
      <c r="H2958" s="38">
        <f t="shared" ref="H2958:H2971" si="67">I2958</f>
        <v>131.62</v>
      </c>
      <c r="I2958" s="38">
        <v>131.62</v>
      </c>
      <c r="J2958" s="39">
        <v>24</v>
      </c>
      <c r="K2958" s="143"/>
      <c r="L2958" s="22">
        <v>3.0379999999999998</v>
      </c>
      <c r="M2958" s="22" t="s">
        <v>12488</v>
      </c>
      <c r="N2958" s="20" t="s">
        <v>9498</v>
      </c>
      <c r="O2958" s="16" t="s">
        <v>12608</v>
      </c>
      <c r="P2958" s="143">
        <v>755</v>
      </c>
      <c r="Q2958" s="122" t="s">
        <v>12421</v>
      </c>
      <c r="R2958" s="16" t="s">
        <v>8904</v>
      </c>
      <c r="S2958" s="10" t="s">
        <v>194</v>
      </c>
      <c r="T2958" s="28" t="s">
        <v>11942</v>
      </c>
      <c r="U2958" s="20" t="s">
        <v>5359</v>
      </c>
      <c r="V2958" s="16" t="s">
        <v>882</v>
      </c>
      <c r="W2958" s="11" t="s">
        <v>14433</v>
      </c>
      <c r="X2958" s="174">
        <v>103.22</v>
      </c>
      <c r="Y2958" s="174">
        <v>131.62</v>
      </c>
    </row>
    <row r="2959" spans="1:25" ht="15" customHeight="1" x14ac:dyDescent="0.25">
      <c r="A2959" s="20" t="s">
        <v>5507</v>
      </c>
      <c r="B2959" s="14" t="s">
        <v>5508</v>
      </c>
      <c r="C2959" s="71" t="str">
        <f t="shared" si="66"/>
        <v>Product Info</v>
      </c>
      <c r="D2959" s="37" t="s">
        <v>7362</v>
      </c>
      <c r="E2959" s="143">
        <v>6</v>
      </c>
      <c r="F2959" s="12" t="s">
        <v>2170</v>
      </c>
      <c r="G2959" s="38">
        <v>260.83</v>
      </c>
      <c r="H2959" s="38">
        <f t="shared" si="67"/>
        <v>182.58</v>
      </c>
      <c r="I2959" s="38">
        <v>182.58</v>
      </c>
      <c r="J2959" s="39">
        <v>20</v>
      </c>
      <c r="K2959" s="143"/>
      <c r="L2959" s="22">
        <v>20</v>
      </c>
      <c r="M2959" s="22" t="s">
        <v>12488</v>
      </c>
      <c r="N2959" s="20" t="s">
        <v>9321</v>
      </c>
      <c r="O2959" s="16" t="s">
        <v>12608</v>
      </c>
      <c r="P2959" s="143">
        <v>755</v>
      </c>
      <c r="Q2959" s="123" t="s">
        <v>14285</v>
      </c>
      <c r="R2959" s="23" t="s">
        <v>8904</v>
      </c>
      <c r="S2959" s="9" t="s">
        <v>194</v>
      </c>
      <c r="T2959" s="28" t="s">
        <v>11943</v>
      </c>
      <c r="U2959" s="20" t="s">
        <v>5359</v>
      </c>
      <c r="V2959" s="16" t="s">
        <v>5507</v>
      </c>
      <c r="W2959" s="11" t="s">
        <v>14433</v>
      </c>
      <c r="X2959" s="174">
        <v>143.18</v>
      </c>
      <c r="Y2959" s="174">
        <v>182.58</v>
      </c>
    </row>
    <row r="2960" spans="1:25" ht="15" customHeight="1" x14ac:dyDescent="0.25">
      <c r="A2960" s="20" t="s">
        <v>3200</v>
      </c>
      <c r="B2960" s="14" t="s">
        <v>3201</v>
      </c>
      <c r="C2960" s="71" t="str">
        <f t="shared" si="66"/>
        <v>Product Info</v>
      </c>
      <c r="D2960" s="37" t="s">
        <v>7357</v>
      </c>
      <c r="E2960" s="143">
        <v>6</v>
      </c>
      <c r="F2960" s="12" t="s">
        <v>2170</v>
      </c>
      <c r="G2960" s="38">
        <v>363.57</v>
      </c>
      <c r="H2960" s="38">
        <f t="shared" si="67"/>
        <v>254.5</v>
      </c>
      <c r="I2960" s="38">
        <v>254.5</v>
      </c>
      <c r="J2960" s="39">
        <v>20</v>
      </c>
      <c r="K2960" s="143"/>
      <c r="L2960" s="22">
        <v>26</v>
      </c>
      <c r="M2960" s="22" t="s">
        <v>12488</v>
      </c>
      <c r="N2960" s="20" t="s">
        <v>9353</v>
      </c>
      <c r="O2960" s="16" t="s">
        <v>12608</v>
      </c>
      <c r="P2960" s="143">
        <v>755</v>
      </c>
      <c r="Q2960" s="121" t="s">
        <v>14285</v>
      </c>
      <c r="R2960" s="16" t="s">
        <v>8904</v>
      </c>
      <c r="S2960" s="10" t="s">
        <v>194</v>
      </c>
      <c r="T2960" s="28" t="s">
        <v>11944</v>
      </c>
      <c r="U2960" s="20" t="s">
        <v>5359</v>
      </c>
      <c r="V2960" s="16" t="s">
        <v>3200</v>
      </c>
      <c r="W2960" s="11" t="s">
        <v>14433</v>
      </c>
      <c r="X2960" s="174">
        <v>199.59</v>
      </c>
      <c r="Y2960" s="174">
        <v>254.5</v>
      </c>
    </row>
    <row r="2961" spans="1:25" ht="15" customHeight="1" x14ac:dyDescent="0.25">
      <c r="A2961" s="20" t="s">
        <v>6310</v>
      </c>
      <c r="B2961" s="14" t="s">
        <v>6311</v>
      </c>
      <c r="C2961" s="71" t="str">
        <f t="shared" si="66"/>
        <v>Product Info</v>
      </c>
      <c r="D2961" s="37" t="s">
        <v>7352</v>
      </c>
      <c r="E2961" s="143">
        <v>6</v>
      </c>
      <c r="F2961" s="12" t="s">
        <v>2170</v>
      </c>
      <c r="G2961" s="38">
        <v>115.6</v>
      </c>
      <c r="H2961" s="38">
        <f t="shared" si="67"/>
        <v>80.92</v>
      </c>
      <c r="I2961" s="38">
        <v>80.92</v>
      </c>
      <c r="J2961" s="39">
        <v>24</v>
      </c>
      <c r="K2961" s="143"/>
      <c r="L2961" s="22">
        <v>2</v>
      </c>
      <c r="M2961" s="22" t="s">
        <v>12488</v>
      </c>
      <c r="N2961" s="20" t="s">
        <v>9328</v>
      </c>
      <c r="O2961" s="16" t="s">
        <v>12608</v>
      </c>
      <c r="P2961" s="143">
        <v>755</v>
      </c>
      <c r="Q2961" s="121" t="s">
        <v>14285</v>
      </c>
      <c r="R2961" s="16" t="s">
        <v>8904</v>
      </c>
      <c r="S2961" s="10" t="s">
        <v>194</v>
      </c>
      <c r="T2961" s="28" t="s">
        <v>11945</v>
      </c>
      <c r="U2961" s="20" t="s">
        <v>5359</v>
      </c>
      <c r="V2961" s="16" t="s">
        <v>6310</v>
      </c>
      <c r="W2961" s="11" t="s">
        <v>14433</v>
      </c>
      <c r="X2961" s="174">
        <v>63.46</v>
      </c>
      <c r="Y2961" s="174">
        <v>80.92</v>
      </c>
    </row>
    <row r="2962" spans="1:25" ht="15" customHeight="1" x14ac:dyDescent="0.25">
      <c r="A2962" s="20" t="s">
        <v>6312</v>
      </c>
      <c r="B2962" s="14" t="s">
        <v>6313</v>
      </c>
      <c r="C2962" s="71" t="str">
        <f t="shared" si="66"/>
        <v>Product Info</v>
      </c>
      <c r="D2962" s="37" t="s">
        <v>7938</v>
      </c>
      <c r="E2962" s="143">
        <v>6</v>
      </c>
      <c r="F2962" s="12" t="s">
        <v>2170</v>
      </c>
      <c r="G2962" s="38">
        <v>143.16</v>
      </c>
      <c r="H2962" s="38">
        <f t="shared" si="67"/>
        <v>100.21</v>
      </c>
      <c r="I2962" s="38">
        <v>100.21</v>
      </c>
      <c r="J2962" s="39">
        <v>20</v>
      </c>
      <c r="K2962" s="12" t="s">
        <v>8905</v>
      </c>
      <c r="L2962" s="22">
        <v>3.5</v>
      </c>
      <c r="M2962" s="22" t="s">
        <v>12488</v>
      </c>
      <c r="N2962" s="20" t="s">
        <v>9395</v>
      </c>
      <c r="O2962" s="16" t="s">
        <v>12608</v>
      </c>
      <c r="P2962" s="143">
        <v>755</v>
      </c>
      <c r="Q2962" s="122" t="s">
        <v>12421</v>
      </c>
      <c r="R2962" s="16" t="s">
        <v>8904</v>
      </c>
      <c r="S2962" s="10" t="s">
        <v>194</v>
      </c>
      <c r="T2962" s="28" t="s">
        <v>11946</v>
      </c>
      <c r="U2962" s="20" t="s">
        <v>5359</v>
      </c>
      <c r="V2962" s="16" t="s">
        <v>6312</v>
      </c>
      <c r="W2962" s="11" t="s">
        <v>14433</v>
      </c>
      <c r="X2962" s="174">
        <v>78.59</v>
      </c>
      <c r="Y2962" s="174">
        <v>100.21</v>
      </c>
    </row>
    <row r="2963" spans="1:25" ht="15" customHeight="1" x14ac:dyDescent="0.25">
      <c r="A2963" s="20" t="s">
        <v>6314</v>
      </c>
      <c r="B2963" s="14" t="s">
        <v>6315</v>
      </c>
      <c r="C2963" s="71" t="str">
        <f t="shared" si="66"/>
        <v>Product Info</v>
      </c>
      <c r="D2963" s="37" t="s">
        <v>6369</v>
      </c>
      <c r="E2963" s="143">
        <v>5</v>
      </c>
      <c r="F2963" s="12" t="s">
        <v>2170</v>
      </c>
      <c r="G2963" s="38">
        <v>50.94</v>
      </c>
      <c r="H2963" s="38">
        <f t="shared" si="67"/>
        <v>35.659999999999997</v>
      </c>
      <c r="I2963" s="38">
        <v>35.659999999999997</v>
      </c>
      <c r="J2963" s="39">
        <v>100</v>
      </c>
      <c r="K2963" s="143"/>
      <c r="L2963" s="22">
        <v>0.75</v>
      </c>
      <c r="M2963" s="22" t="s">
        <v>12488</v>
      </c>
      <c r="N2963" s="20" t="s">
        <v>8850</v>
      </c>
      <c r="O2963" s="16" t="s">
        <v>12608</v>
      </c>
      <c r="P2963" s="143">
        <v>755</v>
      </c>
      <c r="Q2963" s="121" t="s">
        <v>14285</v>
      </c>
      <c r="R2963" s="16" t="s">
        <v>8904</v>
      </c>
      <c r="S2963" s="10" t="s">
        <v>194</v>
      </c>
      <c r="T2963" s="28" t="s">
        <v>11947</v>
      </c>
      <c r="U2963" s="20" t="s">
        <v>5359</v>
      </c>
      <c r="V2963" s="16" t="s">
        <v>6314</v>
      </c>
      <c r="W2963" s="11" t="s">
        <v>14433</v>
      </c>
      <c r="X2963" s="174">
        <v>27.97</v>
      </c>
      <c r="Y2963" s="174">
        <v>35.659999999999997</v>
      </c>
    </row>
    <row r="2964" spans="1:25" ht="15" customHeight="1" x14ac:dyDescent="0.25">
      <c r="A2964" s="20" t="s">
        <v>6316</v>
      </c>
      <c r="B2964" s="14" t="s">
        <v>6317</v>
      </c>
      <c r="C2964" s="71" t="str">
        <f t="shared" si="66"/>
        <v>Product Info</v>
      </c>
      <c r="D2964" s="37" t="s">
        <v>8941</v>
      </c>
      <c r="E2964" s="143">
        <v>5</v>
      </c>
      <c r="F2964" s="12" t="s">
        <v>2170</v>
      </c>
      <c r="G2964" s="38">
        <v>30.33</v>
      </c>
      <c r="H2964" s="38">
        <f t="shared" si="67"/>
        <v>21.23</v>
      </c>
      <c r="I2964" s="38">
        <v>21.23</v>
      </c>
      <c r="J2964" s="39">
        <v>100</v>
      </c>
      <c r="K2964" s="12" t="s">
        <v>8905</v>
      </c>
      <c r="L2964" s="22">
        <v>0.30299999999999999</v>
      </c>
      <c r="M2964" s="22" t="s">
        <v>12488</v>
      </c>
      <c r="N2964" s="20" t="s">
        <v>9499</v>
      </c>
      <c r="O2964" s="16" t="s">
        <v>12608</v>
      </c>
      <c r="P2964" s="143">
        <v>755</v>
      </c>
      <c r="Q2964" s="122" t="s">
        <v>14461</v>
      </c>
      <c r="R2964" s="16" t="s">
        <v>8904</v>
      </c>
      <c r="S2964" s="10" t="s">
        <v>194</v>
      </c>
      <c r="T2964" s="28" t="s">
        <v>11948</v>
      </c>
      <c r="U2964" s="20" t="s">
        <v>5359</v>
      </c>
      <c r="V2964" s="16" t="s">
        <v>6316</v>
      </c>
      <c r="W2964" s="11" t="s">
        <v>14433</v>
      </c>
      <c r="X2964" s="174">
        <v>16.649999999999999</v>
      </c>
      <c r="Y2964" s="174">
        <v>21.23</v>
      </c>
    </row>
    <row r="2965" spans="1:25" ht="15" customHeight="1" x14ac:dyDescent="0.25">
      <c r="A2965" s="20" t="s">
        <v>6318</v>
      </c>
      <c r="B2965" s="14" t="s">
        <v>6319</v>
      </c>
      <c r="C2965" s="71" t="str">
        <f t="shared" si="66"/>
        <v>Product Info</v>
      </c>
      <c r="D2965" s="37" t="s">
        <v>6370</v>
      </c>
      <c r="E2965" s="143">
        <v>60</v>
      </c>
      <c r="F2965" s="12" t="s">
        <v>2170</v>
      </c>
      <c r="G2965" s="38">
        <v>8.16</v>
      </c>
      <c r="H2965" s="38">
        <f t="shared" si="67"/>
        <v>5.71</v>
      </c>
      <c r="I2965" s="38">
        <v>5.71</v>
      </c>
      <c r="J2965" s="39">
        <v>100</v>
      </c>
      <c r="K2965" s="143"/>
      <c r="L2965" s="22">
        <v>6</v>
      </c>
      <c r="M2965" s="22" t="s">
        <v>12488</v>
      </c>
      <c r="N2965" s="20" t="s">
        <v>9424</v>
      </c>
      <c r="O2965" s="16" t="s">
        <v>12608</v>
      </c>
      <c r="P2965" s="143">
        <v>755</v>
      </c>
      <c r="Q2965" s="121" t="s">
        <v>14285</v>
      </c>
      <c r="R2965" s="16" t="s">
        <v>8904</v>
      </c>
      <c r="S2965" s="10" t="s">
        <v>194</v>
      </c>
      <c r="T2965" s="28" t="s">
        <v>11949</v>
      </c>
      <c r="U2965" s="20" t="s">
        <v>5359</v>
      </c>
      <c r="V2965" s="16" t="s">
        <v>6318</v>
      </c>
      <c r="W2965" s="11" t="s">
        <v>14433</v>
      </c>
      <c r="X2965" s="174">
        <v>4.47</v>
      </c>
      <c r="Y2965" s="174">
        <v>5.71</v>
      </c>
    </row>
    <row r="2966" spans="1:25" ht="15" customHeight="1" x14ac:dyDescent="0.25">
      <c r="A2966" s="20" t="s">
        <v>6320</v>
      </c>
      <c r="B2966" s="14" t="s">
        <v>6321</v>
      </c>
      <c r="C2966" s="71" t="str">
        <f t="shared" si="66"/>
        <v>Product Info</v>
      </c>
      <c r="D2966" s="37" t="s">
        <v>6371</v>
      </c>
      <c r="E2966" s="143">
        <v>5</v>
      </c>
      <c r="F2966" s="12" t="s">
        <v>2170</v>
      </c>
      <c r="G2966" s="38">
        <v>79.94</v>
      </c>
      <c r="H2966" s="38">
        <f t="shared" si="67"/>
        <v>55.96</v>
      </c>
      <c r="I2966" s="38">
        <v>55.96</v>
      </c>
      <c r="J2966" s="39">
        <v>100</v>
      </c>
      <c r="K2966" s="143"/>
      <c r="L2966" s="22">
        <v>0.99099999999999999</v>
      </c>
      <c r="M2966" s="22" t="s">
        <v>12488</v>
      </c>
      <c r="N2966" s="20" t="s">
        <v>9500</v>
      </c>
      <c r="O2966" s="16" t="s">
        <v>12608</v>
      </c>
      <c r="P2966" s="143">
        <v>755</v>
      </c>
      <c r="Q2966" s="121" t="s">
        <v>14285</v>
      </c>
      <c r="R2966" s="16" t="s">
        <v>8904</v>
      </c>
      <c r="S2966" s="10" t="s">
        <v>194</v>
      </c>
      <c r="T2966" s="28" t="s">
        <v>11950</v>
      </c>
      <c r="U2966" s="20" t="s">
        <v>5359</v>
      </c>
      <c r="V2966" s="16" t="s">
        <v>6320</v>
      </c>
      <c r="W2966" s="11" t="s">
        <v>14433</v>
      </c>
      <c r="X2966" s="174">
        <v>43.89</v>
      </c>
      <c r="Y2966" s="174">
        <v>55.96</v>
      </c>
    </row>
    <row r="2967" spans="1:25" ht="15" customHeight="1" x14ac:dyDescent="0.25">
      <c r="A2967" s="20" t="s">
        <v>6322</v>
      </c>
      <c r="B2967" s="14" t="s">
        <v>6323</v>
      </c>
      <c r="C2967" s="71" t="str">
        <f t="shared" si="66"/>
        <v>Product Info</v>
      </c>
      <c r="D2967" s="37" t="s">
        <v>8942</v>
      </c>
      <c r="E2967" s="143">
        <v>5</v>
      </c>
      <c r="F2967" s="12" t="s">
        <v>2170</v>
      </c>
      <c r="G2967" s="38">
        <v>35.56</v>
      </c>
      <c r="H2967" s="38">
        <f t="shared" si="67"/>
        <v>24.89</v>
      </c>
      <c r="I2967" s="38">
        <v>24.89</v>
      </c>
      <c r="J2967" s="39">
        <v>100</v>
      </c>
      <c r="K2967" s="12" t="s">
        <v>8905</v>
      </c>
      <c r="L2967" s="22">
        <v>0.29299999999999998</v>
      </c>
      <c r="M2967" s="22" t="s">
        <v>12488</v>
      </c>
      <c r="N2967" s="20" t="s">
        <v>8873</v>
      </c>
      <c r="O2967" s="16" t="s">
        <v>12608</v>
      </c>
      <c r="P2967" s="143">
        <v>755</v>
      </c>
      <c r="Q2967" s="122" t="s">
        <v>14461</v>
      </c>
      <c r="R2967" s="16" t="s">
        <v>8904</v>
      </c>
      <c r="S2967" s="10" t="s">
        <v>194</v>
      </c>
      <c r="T2967" s="28" t="s">
        <v>11951</v>
      </c>
      <c r="U2967" s="20" t="s">
        <v>5359</v>
      </c>
      <c r="V2967" s="16" t="s">
        <v>6322</v>
      </c>
      <c r="W2967" s="11" t="s">
        <v>14433</v>
      </c>
      <c r="X2967" s="174">
        <v>19.52</v>
      </c>
      <c r="Y2967" s="174">
        <v>24.89</v>
      </c>
    </row>
    <row r="2968" spans="1:25" ht="15" customHeight="1" x14ac:dyDescent="0.25">
      <c r="A2968" s="20" t="s">
        <v>6324</v>
      </c>
      <c r="B2968" s="14" t="s">
        <v>6325</v>
      </c>
      <c r="C2968" s="71" t="str">
        <f t="shared" si="66"/>
        <v>Product Info</v>
      </c>
      <c r="D2968" s="37" t="s">
        <v>6372</v>
      </c>
      <c r="E2968" s="143">
        <v>60</v>
      </c>
      <c r="F2968" s="12" t="s">
        <v>2170</v>
      </c>
      <c r="G2968" s="38">
        <v>10.4</v>
      </c>
      <c r="H2968" s="38">
        <f t="shared" si="67"/>
        <v>7.28</v>
      </c>
      <c r="I2968" s="38">
        <v>7.28</v>
      </c>
      <c r="J2968" s="39">
        <v>100</v>
      </c>
      <c r="K2968" s="143"/>
      <c r="L2968" s="22">
        <v>7</v>
      </c>
      <c r="M2968" s="22" t="s">
        <v>12488</v>
      </c>
      <c r="N2968" s="20" t="s">
        <v>9496</v>
      </c>
      <c r="O2968" s="16" t="s">
        <v>12608</v>
      </c>
      <c r="P2968" s="143">
        <v>755</v>
      </c>
      <c r="Q2968" s="122" t="s">
        <v>12421</v>
      </c>
      <c r="R2968" s="16" t="s">
        <v>8904</v>
      </c>
      <c r="S2968" s="10" t="s">
        <v>194</v>
      </c>
      <c r="T2968" s="28" t="s">
        <v>11952</v>
      </c>
      <c r="U2968" s="20" t="s">
        <v>5359</v>
      </c>
      <c r="V2968" s="16" t="s">
        <v>6324</v>
      </c>
      <c r="W2968" s="11" t="s">
        <v>14433</v>
      </c>
      <c r="X2968" s="174">
        <v>5.71</v>
      </c>
      <c r="Y2968" s="174">
        <v>7.28</v>
      </c>
    </row>
    <row r="2969" spans="1:25" ht="15" customHeight="1" x14ac:dyDescent="0.25">
      <c r="A2969" s="20" t="s">
        <v>6326</v>
      </c>
      <c r="B2969" s="14" t="s">
        <v>6327</v>
      </c>
      <c r="C2969" s="71" t="str">
        <f t="shared" si="66"/>
        <v>Product Info</v>
      </c>
      <c r="D2969" s="37" t="s">
        <v>8943</v>
      </c>
      <c r="E2969" s="143">
        <v>5</v>
      </c>
      <c r="F2969" s="12" t="s">
        <v>2170</v>
      </c>
      <c r="G2969" s="38">
        <v>49.56</v>
      </c>
      <c r="H2969" s="38">
        <f t="shared" si="67"/>
        <v>34.69</v>
      </c>
      <c r="I2969" s="38">
        <v>34.69</v>
      </c>
      <c r="J2969" s="39">
        <v>100</v>
      </c>
      <c r="K2969" s="12" t="s">
        <v>8905</v>
      </c>
      <c r="L2969" s="22">
        <v>0.55500000000000005</v>
      </c>
      <c r="M2969" s="22" t="s">
        <v>12488</v>
      </c>
      <c r="N2969" s="20" t="s">
        <v>9407</v>
      </c>
      <c r="O2969" s="16" t="s">
        <v>13914</v>
      </c>
      <c r="P2969" s="143">
        <v>755</v>
      </c>
      <c r="Q2969" s="122" t="s">
        <v>14461</v>
      </c>
      <c r="R2969" s="16" t="s">
        <v>8904</v>
      </c>
      <c r="S2969" s="10" t="s">
        <v>194</v>
      </c>
      <c r="T2969" s="28" t="s">
        <v>11953</v>
      </c>
      <c r="U2969" s="20" t="s">
        <v>5359</v>
      </c>
      <c r="V2969" s="16" t="s">
        <v>6326</v>
      </c>
      <c r="W2969" s="11" t="s">
        <v>14433</v>
      </c>
      <c r="X2969" s="174">
        <v>27.21</v>
      </c>
      <c r="Y2969" s="174">
        <v>34.69</v>
      </c>
    </row>
    <row r="2970" spans="1:25" ht="15" customHeight="1" x14ac:dyDescent="0.25">
      <c r="A2970" s="20" t="s">
        <v>6328</v>
      </c>
      <c r="B2970" s="14" t="s">
        <v>6329</v>
      </c>
      <c r="C2970" s="71" t="str">
        <f t="shared" si="66"/>
        <v>Product Info</v>
      </c>
      <c r="D2970" s="37" t="s">
        <v>6373</v>
      </c>
      <c r="E2970" s="143">
        <v>60</v>
      </c>
      <c r="F2970" s="12" t="s">
        <v>2170</v>
      </c>
      <c r="G2970" s="38">
        <v>14.26</v>
      </c>
      <c r="H2970" s="38">
        <f t="shared" si="67"/>
        <v>9.98</v>
      </c>
      <c r="I2970" s="38">
        <v>9.98</v>
      </c>
      <c r="J2970" s="39">
        <v>100</v>
      </c>
      <c r="K2970" s="143"/>
      <c r="L2970" s="22">
        <v>8</v>
      </c>
      <c r="M2970" s="22" t="s">
        <v>12488</v>
      </c>
      <c r="N2970" s="20" t="s">
        <v>9501</v>
      </c>
      <c r="O2970" s="16" t="s">
        <v>12608</v>
      </c>
      <c r="P2970" s="143">
        <v>755</v>
      </c>
      <c r="Q2970" s="121" t="s">
        <v>14285</v>
      </c>
      <c r="R2970" s="16" t="s">
        <v>8904</v>
      </c>
      <c r="S2970" s="10" t="s">
        <v>194</v>
      </c>
      <c r="T2970" s="28" t="s">
        <v>11954</v>
      </c>
      <c r="U2970" s="20" t="s">
        <v>5359</v>
      </c>
      <c r="V2970" s="16" t="s">
        <v>6328</v>
      </c>
      <c r="W2970" s="11" t="s">
        <v>14433</v>
      </c>
      <c r="X2970" s="174">
        <v>7.82</v>
      </c>
      <c r="Y2970" s="174">
        <v>9.98</v>
      </c>
    </row>
    <row r="2971" spans="1:25" ht="15" customHeight="1" x14ac:dyDescent="0.25">
      <c r="A2971" s="20" t="s">
        <v>6330</v>
      </c>
      <c r="B2971" s="14" t="s">
        <v>6331</v>
      </c>
      <c r="C2971" s="71" t="str">
        <f t="shared" si="66"/>
        <v>Product Info</v>
      </c>
      <c r="D2971" s="37" t="s">
        <v>8944</v>
      </c>
      <c r="E2971" s="143">
        <v>5</v>
      </c>
      <c r="F2971" s="12" t="s">
        <v>2170</v>
      </c>
      <c r="G2971" s="38">
        <v>81.83</v>
      </c>
      <c r="H2971" s="38">
        <f t="shared" si="67"/>
        <v>57.28</v>
      </c>
      <c r="I2971" s="38">
        <v>57.28</v>
      </c>
      <c r="J2971" s="39">
        <v>100</v>
      </c>
      <c r="K2971" s="12" t="s">
        <v>8905</v>
      </c>
      <c r="L2971" s="22">
        <v>1.0389999999999999</v>
      </c>
      <c r="M2971" s="22" t="s">
        <v>12488</v>
      </c>
      <c r="N2971" s="20" t="s">
        <v>9502</v>
      </c>
      <c r="O2971" s="16" t="s">
        <v>12608</v>
      </c>
      <c r="P2971" s="143">
        <v>755</v>
      </c>
      <c r="Q2971" s="122" t="s">
        <v>14461</v>
      </c>
      <c r="R2971" s="16" t="s">
        <v>8904</v>
      </c>
      <c r="S2971" s="10" t="s">
        <v>194</v>
      </c>
      <c r="T2971" s="28" t="s">
        <v>11955</v>
      </c>
      <c r="U2971" s="20" t="s">
        <v>5359</v>
      </c>
      <c r="V2971" s="16" t="s">
        <v>6330</v>
      </c>
      <c r="W2971" s="11" t="s">
        <v>14433</v>
      </c>
      <c r="X2971" s="174">
        <v>44.92</v>
      </c>
      <c r="Y2971" s="174">
        <v>57.28</v>
      </c>
    </row>
    <row r="2972" spans="1:25" ht="15" customHeight="1" x14ac:dyDescent="0.25">
      <c r="A2972" s="20" t="s">
        <v>8577</v>
      </c>
      <c r="B2972" s="14" t="s">
        <v>6332</v>
      </c>
      <c r="C2972" s="71" t="str">
        <f t="shared" si="66"/>
        <v>Product Info</v>
      </c>
      <c r="D2972" s="37" t="s">
        <v>5784</v>
      </c>
      <c r="E2972" s="143">
        <v>1</v>
      </c>
      <c r="F2972" s="12" t="s">
        <v>2170</v>
      </c>
      <c r="G2972" s="38">
        <v>221.73</v>
      </c>
      <c r="H2972" s="38">
        <v>188.48</v>
      </c>
      <c r="I2972" s="38">
        <v>155.21</v>
      </c>
      <c r="J2972" s="39">
        <v>100</v>
      </c>
      <c r="K2972" s="12" t="s">
        <v>8905</v>
      </c>
      <c r="L2972" s="22">
        <v>1.8</v>
      </c>
      <c r="M2972" s="22" t="s">
        <v>12488</v>
      </c>
      <c r="N2972" s="20" t="s">
        <v>9248</v>
      </c>
      <c r="O2972" s="16" t="s">
        <v>12608</v>
      </c>
      <c r="P2972" s="143">
        <v>753</v>
      </c>
      <c r="Q2972" s="122" t="s">
        <v>14461</v>
      </c>
      <c r="R2972" s="16" t="s">
        <v>8904</v>
      </c>
      <c r="S2972" s="10" t="s">
        <v>1163</v>
      </c>
      <c r="T2972" s="28" t="s">
        <v>11956</v>
      </c>
      <c r="U2972" s="20" t="s">
        <v>5359</v>
      </c>
      <c r="V2972" s="16" t="s">
        <v>8577</v>
      </c>
      <c r="W2972" s="11" t="s">
        <v>14283</v>
      </c>
      <c r="X2972" s="174">
        <v>140.44999999999999</v>
      </c>
      <c r="Y2972" s="174">
        <v>188.48</v>
      </c>
    </row>
    <row r="2973" spans="1:25" ht="15" customHeight="1" x14ac:dyDescent="0.25">
      <c r="A2973" s="20" t="s">
        <v>8578</v>
      </c>
      <c r="B2973" s="14" t="s">
        <v>3156</v>
      </c>
      <c r="C2973" s="71" t="str">
        <f t="shared" si="66"/>
        <v>Product Info</v>
      </c>
      <c r="D2973" s="37" t="s">
        <v>2801</v>
      </c>
      <c r="E2973" s="143">
        <v>1</v>
      </c>
      <c r="F2973" s="12" t="s">
        <v>2170</v>
      </c>
      <c r="G2973" s="38">
        <v>209.7</v>
      </c>
      <c r="H2973" s="38">
        <v>178.25</v>
      </c>
      <c r="I2973" s="38">
        <v>146.79</v>
      </c>
      <c r="J2973" s="39">
        <v>100</v>
      </c>
      <c r="K2973" s="12" t="s">
        <v>8905</v>
      </c>
      <c r="L2973" s="22">
        <v>1.375</v>
      </c>
      <c r="M2973" s="22" t="s">
        <v>12488</v>
      </c>
      <c r="N2973" s="20" t="s">
        <v>9503</v>
      </c>
      <c r="O2973" s="16" t="s">
        <v>12608</v>
      </c>
      <c r="P2973" s="143">
        <v>753</v>
      </c>
      <c r="Q2973" s="122" t="s">
        <v>14461</v>
      </c>
      <c r="R2973" s="16" t="s">
        <v>8904</v>
      </c>
      <c r="S2973" s="10" t="s">
        <v>1163</v>
      </c>
      <c r="T2973" s="28" t="s">
        <v>11957</v>
      </c>
      <c r="U2973" s="20" t="s">
        <v>5359</v>
      </c>
      <c r="V2973" s="16" t="s">
        <v>8578</v>
      </c>
      <c r="W2973" s="11" t="s">
        <v>14283</v>
      </c>
      <c r="X2973" s="174">
        <v>132.83000000000001</v>
      </c>
      <c r="Y2973" s="174">
        <v>178.25</v>
      </c>
    </row>
    <row r="2974" spans="1:25" ht="15" customHeight="1" x14ac:dyDescent="0.25">
      <c r="A2974" s="20" t="s">
        <v>8579</v>
      </c>
      <c r="B2974" s="14" t="s">
        <v>3157</v>
      </c>
      <c r="C2974" s="71" t="str">
        <f t="shared" si="66"/>
        <v>Product Info</v>
      </c>
      <c r="D2974" s="37" t="s">
        <v>5785</v>
      </c>
      <c r="E2974" s="143">
        <v>1</v>
      </c>
      <c r="F2974" s="12" t="s">
        <v>2170</v>
      </c>
      <c r="G2974" s="38">
        <v>287.36</v>
      </c>
      <c r="H2974" s="38">
        <v>244.26</v>
      </c>
      <c r="I2974" s="38">
        <v>201.15</v>
      </c>
      <c r="J2974" s="39">
        <v>100</v>
      </c>
      <c r="K2974" s="12" t="s">
        <v>8905</v>
      </c>
      <c r="L2974" s="22">
        <v>2.4</v>
      </c>
      <c r="M2974" s="22" t="s">
        <v>12488</v>
      </c>
      <c r="N2974" s="20" t="s">
        <v>9248</v>
      </c>
      <c r="O2974" s="16" t="s">
        <v>12608</v>
      </c>
      <c r="P2974" s="143">
        <v>753</v>
      </c>
      <c r="Q2974" s="122" t="s">
        <v>14461</v>
      </c>
      <c r="R2974" s="16" t="s">
        <v>8904</v>
      </c>
      <c r="S2974" s="10" t="s">
        <v>1163</v>
      </c>
      <c r="T2974" s="28" t="s">
        <v>11958</v>
      </c>
      <c r="U2974" s="20" t="s">
        <v>5359</v>
      </c>
      <c r="V2974" s="16" t="s">
        <v>8579</v>
      </c>
      <c r="W2974" s="11" t="s">
        <v>14283</v>
      </c>
      <c r="X2974" s="174">
        <v>181.04</v>
      </c>
      <c r="Y2974" s="174">
        <v>244.26</v>
      </c>
    </row>
    <row r="2975" spans="1:25" ht="15" customHeight="1" x14ac:dyDescent="0.25">
      <c r="A2975" s="20" t="s">
        <v>8580</v>
      </c>
      <c r="B2975" s="14" t="s">
        <v>3158</v>
      </c>
      <c r="C2975" s="71" t="str">
        <f t="shared" si="66"/>
        <v>Product Info</v>
      </c>
      <c r="D2975" s="37" t="s">
        <v>2802</v>
      </c>
      <c r="E2975" s="143">
        <v>1</v>
      </c>
      <c r="F2975" s="12" t="s">
        <v>2170</v>
      </c>
      <c r="G2975" s="38">
        <v>249.68</v>
      </c>
      <c r="H2975" s="38">
        <v>212.24</v>
      </c>
      <c r="I2975" s="38">
        <v>174.78</v>
      </c>
      <c r="J2975" s="39">
        <v>100</v>
      </c>
      <c r="K2975" s="12" t="s">
        <v>8905</v>
      </c>
      <c r="L2975" s="22">
        <v>1.74</v>
      </c>
      <c r="M2975" s="22" t="s">
        <v>12488</v>
      </c>
      <c r="N2975" s="20" t="s">
        <v>9504</v>
      </c>
      <c r="O2975" s="16" t="s">
        <v>12608</v>
      </c>
      <c r="P2975" s="143">
        <v>753</v>
      </c>
      <c r="Q2975" s="122" t="s">
        <v>14461</v>
      </c>
      <c r="R2975" s="16" t="s">
        <v>8904</v>
      </c>
      <c r="S2975" s="10" t="s">
        <v>1163</v>
      </c>
      <c r="T2975" s="28" t="s">
        <v>11959</v>
      </c>
      <c r="U2975" s="20" t="s">
        <v>5359</v>
      </c>
      <c r="V2975" s="16" t="s">
        <v>8580</v>
      </c>
      <c r="W2975" s="11" t="s">
        <v>14283</v>
      </c>
      <c r="X2975" s="174">
        <v>157.30000000000001</v>
      </c>
      <c r="Y2975" s="174">
        <v>212.24</v>
      </c>
    </row>
    <row r="2976" spans="1:25" ht="15" customHeight="1" x14ac:dyDescent="0.25">
      <c r="A2976" s="20" t="s">
        <v>8581</v>
      </c>
      <c r="B2976" s="14" t="s">
        <v>3159</v>
      </c>
      <c r="C2976" s="71" t="str">
        <f t="shared" si="66"/>
        <v>Product Info</v>
      </c>
      <c r="D2976" s="37" t="s">
        <v>2803</v>
      </c>
      <c r="E2976" s="143">
        <v>1</v>
      </c>
      <c r="F2976" s="12" t="s">
        <v>2170</v>
      </c>
      <c r="G2976" s="38">
        <v>291.02999999999997</v>
      </c>
      <c r="H2976" s="38">
        <v>247.38</v>
      </c>
      <c r="I2976" s="38">
        <v>203.72</v>
      </c>
      <c r="J2976" s="39">
        <v>100</v>
      </c>
      <c r="K2976" s="12" t="s">
        <v>8905</v>
      </c>
      <c r="L2976" s="22">
        <v>2.5299999999999998</v>
      </c>
      <c r="M2976" s="22" t="s">
        <v>12488</v>
      </c>
      <c r="N2976" s="20" t="s">
        <v>9407</v>
      </c>
      <c r="O2976" s="16" t="s">
        <v>13914</v>
      </c>
      <c r="P2976" s="143">
        <v>753</v>
      </c>
      <c r="Q2976" s="122" t="s">
        <v>14461</v>
      </c>
      <c r="R2976" s="16" t="s">
        <v>8904</v>
      </c>
      <c r="S2976" s="10" t="s">
        <v>1163</v>
      </c>
      <c r="T2976" s="28" t="s">
        <v>11960</v>
      </c>
      <c r="U2976" s="20" t="s">
        <v>5359</v>
      </c>
      <c r="V2976" s="16" t="s">
        <v>8581</v>
      </c>
      <c r="W2976" s="11" t="s">
        <v>14283</v>
      </c>
      <c r="X2976" s="174">
        <v>183.35</v>
      </c>
      <c r="Y2976" s="174">
        <v>247.38</v>
      </c>
    </row>
    <row r="2977" spans="1:25" ht="15" customHeight="1" x14ac:dyDescent="0.25">
      <c r="A2977" s="20" t="s">
        <v>5516</v>
      </c>
      <c r="B2977" s="14" t="s">
        <v>5517</v>
      </c>
      <c r="C2977" s="71" t="str">
        <f t="shared" si="66"/>
        <v>Product Info</v>
      </c>
      <c r="D2977" s="37" t="s">
        <v>5708</v>
      </c>
      <c r="E2977" s="143">
        <v>1</v>
      </c>
      <c r="F2977" s="12" t="s">
        <v>4992</v>
      </c>
      <c r="G2977" s="38">
        <v>595.36</v>
      </c>
      <c r="H2977" s="38">
        <v>506.07</v>
      </c>
      <c r="I2977" s="38">
        <v>416.75</v>
      </c>
      <c r="J2977" s="39">
        <v>25</v>
      </c>
      <c r="K2977" s="143"/>
      <c r="L2977" s="22">
        <v>0</v>
      </c>
      <c r="M2977" s="22">
        <v>0</v>
      </c>
      <c r="N2977" s="20" t="s">
        <v>14489</v>
      </c>
      <c r="O2977" s="16">
        <v>0</v>
      </c>
      <c r="P2977" s="143">
        <v>753</v>
      </c>
      <c r="Q2977" s="121" t="s">
        <v>14285</v>
      </c>
      <c r="R2977" s="16" t="s">
        <v>8904</v>
      </c>
      <c r="S2977" s="10" t="s">
        <v>1163</v>
      </c>
      <c r="T2977" s="28" t="s">
        <v>11961</v>
      </c>
      <c r="U2977" s="20" t="s">
        <v>5359</v>
      </c>
      <c r="V2977" s="16" t="s">
        <v>5516</v>
      </c>
      <c r="W2977" s="11" t="s">
        <v>14283</v>
      </c>
      <c r="X2977" s="174">
        <v>377.12</v>
      </c>
      <c r="Y2977" s="174">
        <v>506.07</v>
      </c>
    </row>
    <row r="2978" spans="1:25" ht="15" customHeight="1" x14ac:dyDescent="0.25">
      <c r="A2978" s="20" t="s">
        <v>2254</v>
      </c>
      <c r="B2978" s="14" t="s">
        <v>2255</v>
      </c>
      <c r="C2978" s="71" t="str">
        <f t="shared" si="66"/>
        <v>Product Info</v>
      </c>
      <c r="D2978" s="37" t="s">
        <v>5786</v>
      </c>
      <c r="E2978" s="143">
        <v>1</v>
      </c>
      <c r="F2978" s="12" t="s">
        <v>2170</v>
      </c>
      <c r="G2978" s="38">
        <v>456.71</v>
      </c>
      <c r="H2978" s="38">
        <v>388.22</v>
      </c>
      <c r="I2978" s="38">
        <v>319.7</v>
      </c>
      <c r="J2978" s="39">
        <v>25</v>
      </c>
      <c r="K2978" s="12" t="s">
        <v>8905</v>
      </c>
      <c r="L2978" s="22">
        <v>3.11</v>
      </c>
      <c r="M2978" s="22" t="s">
        <v>12488</v>
      </c>
      <c r="N2978" s="20" t="s">
        <v>9330</v>
      </c>
      <c r="O2978" s="16" t="s">
        <v>13914</v>
      </c>
      <c r="P2978" s="143">
        <v>753</v>
      </c>
      <c r="Q2978" s="122" t="s">
        <v>14461</v>
      </c>
      <c r="R2978" s="16" t="s">
        <v>8904</v>
      </c>
      <c r="S2978" s="10" t="s">
        <v>1163</v>
      </c>
      <c r="T2978" s="28" t="s">
        <v>11962</v>
      </c>
      <c r="U2978" s="20" t="s">
        <v>5359</v>
      </c>
      <c r="V2978" s="16" t="s">
        <v>2254</v>
      </c>
      <c r="W2978" s="11" t="s">
        <v>14283</v>
      </c>
      <c r="X2978" s="174">
        <v>289.3</v>
      </c>
      <c r="Y2978" s="174">
        <v>388.22</v>
      </c>
    </row>
    <row r="2979" spans="1:25" ht="15" customHeight="1" x14ac:dyDescent="0.25">
      <c r="A2979" s="20" t="s">
        <v>12836</v>
      </c>
      <c r="B2979" s="16" t="s">
        <v>12879</v>
      </c>
      <c r="C2979" s="71" t="str">
        <f t="shared" si="66"/>
        <v>Product Info</v>
      </c>
      <c r="D2979" s="37" t="s">
        <v>13098</v>
      </c>
      <c r="E2979" s="143">
        <v>1</v>
      </c>
      <c r="F2979" s="12" t="s">
        <v>4992</v>
      </c>
      <c r="G2979" s="38">
        <v>159.16999999999999</v>
      </c>
      <c r="H2979" s="38">
        <v>135.30000000000001</v>
      </c>
      <c r="I2979" s="38">
        <v>111.42</v>
      </c>
      <c r="J2979" s="39"/>
      <c r="K2979" s="143"/>
      <c r="L2979" s="22">
        <v>3</v>
      </c>
      <c r="M2979" s="22" t="s">
        <v>12488</v>
      </c>
      <c r="N2979" s="20" t="s">
        <v>13076</v>
      </c>
      <c r="O2979" s="16" t="s">
        <v>13912</v>
      </c>
      <c r="P2979" s="143">
        <v>751</v>
      </c>
      <c r="Q2979" s="122" t="s">
        <v>12421</v>
      </c>
      <c r="R2979" s="16" t="s">
        <v>8904</v>
      </c>
      <c r="S2979" s="10" t="s">
        <v>1163</v>
      </c>
      <c r="T2979" s="28" t="s">
        <v>12962</v>
      </c>
      <c r="U2979" s="20" t="s">
        <v>5359</v>
      </c>
      <c r="V2979" s="16" t="s">
        <v>12836</v>
      </c>
      <c r="W2979" s="11" t="s">
        <v>14284</v>
      </c>
      <c r="X2979" s="174">
        <v>100.28</v>
      </c>
      <c r="Y2979" s="174">
        <v>124.47600000000001</v>
      </c>
    </row>
    <row r="2980" spans="1:25" ht="15" customHeight="1" x14ac:dyDescent="0.25">
      <c r="A2980" s="20" t="s">
        <v>12842</v>
      </c>
      <c r="B2980" s="16" t="s">
        <v>12885</v>
      </c>
      <c r="C2980" s="71" t="str">
        <f t="shared" si="66"/>
        <v>Product Info</v>
      </c>
      <c r="D2980" s="37" t="s">
        <v>13104</v>
      </c>
      <c r="E2980" s="143">
        <v>1</v>
      </c>
      <c r="F2980" s="12" t="s">
        <v>4992</v>
      </c>
      <c r="G2980" s="38">
        <v>313.86</v>
      </c>
      <c r="H2980" s="38">
        <v>266.79000000000002</v>
      </c>
      <c r="I2980" s="38">
        <v>219.7</v>
      </c>
      <c r="J2980" s="39"/>
      <c r="K2980" s="143"/>
      <c r="L2980" s="22">
        <v>8</v>
      </c>
      <c r="M2980" s="22" t="s">
        <v>12488</v>
      </c>
      <c r="N2980" s="20" t="s">
        <v>13077</v>
      </c>
      <c r="O2980" s="16" t="s">
        <v>13912</v>
      </c>
      <c r="P2980" s="143">
        <v>751</v>
      </c>
      <c r="Q2980" s="121" t="s">
        <v>14285</v>
      </c>
      <c r="R2980" s="16" t="s">
        <v>8904</v>
      </c>
      <c r="S2980" s="10" t="s">
        <v>1163</v>
      </c>
      <c r="T2980" s="28" t="s">
        <v>12956</v>
      </c>
      <c r="U2980" s="20" t="s">
        <v>5359</v>
      </c>
      <c r="V2980" s="16" t="s">
        <v>12842</v>
      </c>
      <c r="W2980" s="11" t="s">
        <v>14284</v>
      </c>
      <c r="X2980" s="174">
        <v>197.73</v>
      </c>
      <c r="Y2980" s="174">
        <v>245.44680000000002</v>
      </c>
    </row>
    <row r="2981" spans="1:25" ht="15" customHeight="1" x14ac:dyDescent="0.25">
      <c r="A2981" s="20" t="s">
        <v>7705</v>
      </c>
      <c r="B2981" s="14" t="s">
        <v>7706</v>
      </c>
      <c r="C2981" s="71" t="str">
        <f t="shared" si="66"/>
        <v>Product Info</v>
      </c>
      <c r="D2981" s="37" t="s">
        <v>5787</v>
      </c>
      <c r="E2981" s="143">
        <v>1</v>
      </c>
      <c r="F2981" s="12" t="s">
        <v>2170</v>
      </c>
      <c r="G2981" s="38">
        <v>502.36</v>
      </c>
      <c r="H2981" s="38">
        <v>427.02</v>
      </c>
      <c r="I2981" s="38">
        <v>351.65</v>
      </c>
      <c r="J2981" s="39">
        <v>25</v>
      </c>
      <c r="K2981" s="12" t="s">
        <v>8905</v>
      </c>
      <c r="L2981" s="22">
        <v>6.91</v>
      </c>
      <c r="M2981" s="22" t="s">
        <v>12488</v>
      </c>
      <c r="N2981" s="20" t="s">
        <v>9465</v>
      </c>
      <c r="O2981" s="16" t="s">
        <v>12608</v>
      </c>
      <c r="P2981" s="143">
        <v>753</v>
      </c>
      <c r="Q2981" s="122" t="s">
        <v>14461</v>
      </c>
      <c r="R2981" s="16" t="s">
        <v>8904</v>
      </c>
      <c r="S2981" s="10" t="s">
        <v>1163</v>
      </c>
      <c r="T2981" s="28" t="s">
        <v>11963</v>
      </c>
      <c r="U2981" s="20" t="s">
        <v>5359</v>
      </c>
      <c r="V2981" s="16" t="s">
        <v>7705</v>
      </c>
      <c r="W2981" s="11" t="s">
        <v>14283</v>
      </c>
      <c r="X2981" s="174">
        <v>318.20999999999998</v>
      </c>
      <c r="Y2981" s="174">
        <v>427.02</v>
      </c>
    </row>
    <row r="2982" spans="1:25" ht="15" customHeight="1" x14ac:dyDescent="0.25">
      <c r="A2982" s="20" t="s">
        <v>12837</v>
      </c>
      <c r="B2982" s="16" t="s">
        <v>12880</v>
      </c>
      <c r="C2982" s="71" t="str">
        <f t="shared" si="66"/>
        <v>Product Info</v>
      </c>
      <c r="D2982" s="37" t="s">
        <v>13099</v>
      </c>
      <c r="E2982" s="143">
        <v>1</v>
      </c>
      <c r="F2982" s="12" t="s">
        <v>4992</v>
      </c>
      <c r="G2982" s="38">
        <v>185.17</v>
      </c>
      <c r="H2982" s="38">
        <v>157.4</v>
      </c>
      <c r="I2982" s="38">
        <v>129.62</v>
      </c>
      <c r="J2982" s="39"/>
      <c r="K2982" s="143"/>
      <c r="L2982" s="22">
        <v>3</v>
      </c>
      <c r="M2982" s="22" t="s">
        <v>12488</v>
      </c>
      <c r="N2982" s="20" t="s">
        <v>13076</v>
      </c>
      <c r="O2982" s="16" t="s">
        <v>13912</v>
      </c>
      <c r="P2982" s="143">
        <v>751</v>
      </c>
      <c r="Q2982" s="122" t="s">
        <v>12421</v>
      </c>
      <c r="R2982" s="16" t="s">
        <v>8904</v>
      </c>
      <c r="S2982" s="10" t="s">
        <v>1163</v>
      </c>
      <c r="T2982" s="28" t="s">
        <v>12961</v>
      </c>
      <c r="U2982" s="20" t="s">
        <v>5359</v>
      </c>
      <c r="V2982" s="16" t="s">
        <v>12837</v>
      </c>
      <c r="W2982" s="11" t="s">
        <v>14284</v>
      </c>
      <c r="X2982" s="174">
        <v>116.66</v>
      </c>
      <c r="Y2982" s="174">
        <v>144.80800000000002</v>
      </c>
    </row>
    <row r="2983" spans="1:25" ht="15" customHeight="1" x14ac:dyDescent="0.25">
      <c r="A2983" s="20" t="s">
        <v>12840</v>
      </c>
      <c r="B2983" s="16" t="s">
        <v>12883</v>
      </c>
      <c r="C2983" s="71" t="str">
        <f t="shared" si="66"/>
        <v>Product Info</v>
      </c>
      <c r="D2983" s="37" t="s">
        <v>13102</v>
      </c>
      <c r="E2983" s="143">
        <v>1</v>
      </c>
      <c r="F2983" s="12" t="s">
        <v>4992</v>
      </c>
      <c r="G2983" s="38">
        <v>340.39</v>
      </c>
      <c r="H2983" s="38">
        <v>289.33999999999997</v>
      </c>
      <c r="I2983" s="38">
        <v>238.27</v>
      </c>
      <c r="J2983" s="39"/>
      <c r="K2983" s="143"/>
      <c r="L2983" s="22">
        <v>8</v>
      </c>
      <c r="M2983" s="22" t="s">
        <v>12488</v>
      </c>
      <c r="N2983" s="20" t="s">
        <v>13077</v>
      </c>
      <c r="O2983" s="16" t="s">
        <v>13912</v>
      </c>
      <c r="P2983" s="143">
        <v>751</v>
      </c>
      <c r="Q2983" s="121" t="s">
        <v>14285</v>
      </c>
      <c r="R2983" s="16" t="s">
        <v>8904</v>
      </c>
      <c r="S2983" s="10" t="s">
        <v>1163</v>
      </c>
      <c r="T2983" s="28" t="s">
        <v>12958</v>
      </c>
      <c r="U2983" s="20" t="s">
        <v>5359</v>
      </c>
      <c r="V2983" s="16" t="s">
        <v>12840</v>
      </c>
      <c r="W2983" s="11" t="s">
        <v>14284</v>
      </c>
      <c r="X2983" s="174">
        <v>214.44</v>
      </c>
      <c r="Y2983" s="174">
        <v>266.19279999999998</v>
      </c>
    </row>
    <row r="2984" spans="1:25" ht="15" customHeight="1" x14ac:dyDescent="0.25">
      <c r="A2984" s="20" t="s">
        <v>12838</v>
      </c>
      <c r="B2984" s="16" t="s">
        <v>12881</v>
      </c>
      <c r="C2984" s="71" t="str">
        <f t="shared" si="66"/>
        <v>Product Info</v>
      </c>
      <c r="D2984" s="37" t="s">
        <v>13100</v>
      </c>
      <c r="E2984" s="143">
        <v>1</v>
      </c>
      <c r="F2984" s="12" t="s">
        <v>4992</v>
      </c>
      <c r="G2984" s="38">
        <v>211.19</v>
      </c>
      <c r="H2984" s="38">
        <v>179.51</v>
      </c>
      <c r="I2984" s="38">
        <v>147.83000000000001</v>
      </c>
      <c r="J2984" s="39"/>
      <c r="K2984" s="143"/>
      <c r="L2984" s="22">
        <v>3</v>
      </c>
      <c r="M2984" s="22" t="s">
        <v>12488</v>
      </c>
      <c r="N2984" s="20" t="s">
        <v>13076</v>
      </c>
      <c r="O2984" s="16" t="s">
        <v>13912</v>
      </c>
      <c r="P2984" s="143">
        <v>751</v>
      </c>
      <c r="Q2984" s="121" t="s">
        <v>14285</v>
      </c>
      <c r="R2984" s="16" t="s">
        <v>8904</v>
      </c>
      <c r="S2984" s="10" t="s">
        <v>1163</v>
      </c>
      <c r="T2984" s="28" t="s">
        <v>12960</v>
      </c>
      <c r="U2984" s="20" t="s">
        <v>5359</v>
      </c>
      <c r="V2984" s="16" t="s">
        <v>12838</v>
      </c>
      <c r="W2984" s="11" t="s">
        <v>14284</v>
      </c>
      <c r="X2984" s="174">
        <v>133.05000000000001</v>
      </c>
      <c r="Y2984" s="174">
        <v>165.14920000000001</v>
      </c>
    </row>
    <row r="2985" spans="1:25" ht="15" customHeight="1" x14ac:dyDescent="0.25">
      <c r="A2985" s="20" t="s">
        <v>12843</v>
      </c>
      <c r="B2985" s="16" t="s">
        <v>12886</v>
      </c>
      <c r="C2985" s="71" t="str">
        <f t="shared" si="66"/>
        <v>Product Info</v>
      </c>
      <c r="D2985" s="37" t="s">
        <v>13105</v>
      </c>
      <c r="E2985" s="143">
        <v>1</v>
      </c>
      <c r="F2985" s="12" t="s">
        <v>4992</v>
      </c>
      <c r="G2985" s="38">
        <v>366.93</v>
      </c>
      <c r="H2985" s="38">
        <v>311.89999999999998</v>
      </c>
      <c r="I2985" s="38">
        <v>256.85000000000002</v>
      </c>
      <c r="J2985" s="39"/>
      <c r="K2985" s="143"/>
      <c r="L2985" s="22">
        <v>8</v>
      </c>
      <c r="M2985" s="22" t="s">
        <v>12488</v>
      </c>
      <c r="N2985" s="20" t="s">
        <v>13077</v>
      </c>
      <c r="O2985" s="16" t="s">
        <v>13912</v>
      </c>
      <c r="P2985" s="143">
        <v>751</v>
      </c>
      <c r="Q2985" s="121" t="s">
        <v>14285</v>
      </c>
      <c r="R2985" s="16" t="s">
        <v>8904</v>
      </c>
      <c r="S2985" s="10" t="s">
        <v>1163</v>
      </c>
      <c r="T2985" s="28" t="s">
        <v>12955</v>
      </c>
      <c r="U2985" s="20" t="s">
        <v>5359</v>
      </c>
      <c r="V2985" s="16" t="s">
        <v>12843</v>
      </c>
      <c r="W2985" s="11" t="s">
        <v>14284</v>
      </c>
      <c r="X2985" s="174">
        <v>231.17</v>
      </c>
      <c r="Y2985" s="174">
        <v>286.94799999999998</v>
      </c>
    </row>
    <row r="2986" spans="1:25" ht="15" customHeight="1" x14ac:dyDescent="0.25">
      <c r="A2986" s="20" t="s">
        <v>12839</v>
      </c>
      <c r="B2986" s="16" t="s">
        <v>12882</v>
      </c>
      <c r="C2986" s="71" t="str">
        <f t="shared" si="66"/>
        <v>Product Info</v>
      </c>
      <c r="D2986" s="37" t="s">
        <v>13101</v>
      </c>
      <c r="E2986" s="143">
        <v>1</v>
      </c>
      <c r="F2986" s="12" t="s">
        <v>4992</v>
      </c>
      <c r="G2986" s="38">
        <v>321.87</v>
      </c>
      <c r="H2986" s="38">
        <v>273.60000000000002</v>
      </c>
      <c r="I2986" s="38">
        <v>225.31</v>
      </c>
      <c r="J2986" s="39"/>
      <c r="K2986" s="143"/>
      <c r="L2986" s="22">
        <v>3</v>
      </c>
      <c r="M2986" s="22" t="s">
        <v>12488</v>
      </c>
      <c r="N2986" s="20" t="s">
        <v>13076</v>
      </c>
      <c r="O2986" s="16" t="s">
        <v>13912</v>
      </c>
      <c r="P2986" s="143">
        <v>751</v>
      </c>
      <c r="Q2986" s="121" t="s">
        <v>14285</v>
      </c>
      <c r="R2986" s="16" t="s">
        <v>8904</v>
      </c>
      <c r="S2986" s="10" t="s">
        <v>1163</v>
      </c>
      <c r="T2986" s="28" t="s">
        <v>12959</v>
      </c>
      <c r="U2986" s="20" t="s">
        <v>5359</v>
      </c>
      <c r="V2986" s="16" t="s">
        <v>12839</v>
      </c>
      <c r="W2986" s="11" t="s">
        <v>14284</v>
      </c>
      <c r="X2986" s="174">
        <v>202.78</v>
      </c>
      <c r="Y2986" s="174">
        <v>251.71200000000005</v>
      </c>
    </row>
    <row r="2987" spans="1:25" ht="15" customHeight="1" x14ac:dyDescent="0.25">
      <c r="A2987" s="20" t="s">
        <v>12841</v>
      </c>
      <c r="B2987" s="16" t="s">
        <v>12884</v>
      </c>
      <c r="C2987" s="71" t="str">
        <f t="shared" si="66"/>
        <v>Product Info</v>
      </c>
      <c r="D2987" s="37" t="s">
        <v>13103</v>
      </c>
      <c r="E2987" s="143">
        <v>1</v>
      </c>
      <c r="F2987" s="12" t="s">
        <v>4992</v>
      </c>
      <c r="G2987" s="38">
        <v>451.11</v>
      </c>
      <c r="H2987" s="38">
        <v>383.46</v>
      </c>
      <c r="I2987" s="38">
        <v>315.77999999999997</v>
      </c>
      <c r="J2987" s="39"/>
      <c r="K2987" s="143"/>
      <c r="L2987" s="22">
        <v>8</v>
      </c>
      <c r="M2987" s="22" t="s">
        <v>12488</v>
      </c>
      <c r="N2987" s="20" t="s">
        <v>13077</v>
      </c>
      <c r="O2987" s="16" t="s">
        <v>13912</v>
      </c>
      <c r="P2987" s="143">
        <v>751</v>
      </c>
      <c r="Q2987" s="121" t="s">
        <v>14285</v>
      </c>
      <c r="R2987" s="16" t="s">
        <v>8904</v>
      </c>
      <c r="S2987" s="10" t="s">
        <v>1163</v>
      </c>
      <c r="T2987" s="28" t="s">
        <v>12957</v>
      </c>
      <c r="U2987" s="20" t="s">
        <v>5359</v>
      </c>
      <c r="V2987" s="16" t="s">
        <v>12841</v>
      </c>
      <c r="W2987" s="11" t="s">
        <v>14284</v>
      </c>
      <c r="X2987" s="174">
        <v>284.2</v>
      </c>
      <c r="Y2987" s="174">
        <v>352.78320000000002</v>
      </c>
    </row>
    <row r="2988" spans="1:25" ht="15" customHeight="1" x14ac:dyDescent="0.25">
      <c r="A2988" s="20" t="s">
        <v>7707</v>
      </c>
      <c r="B2988" s="14" t="s">
        <v>7708</v>
      </c>
      <c r="C2988" s="146" t="str">
        <f t="shared" si="66"/>
        <v>Product Info</v>
      </c>
      <c r="D2988" s="37" t="s">
        <v>8945</v>
      </c>
      <c r="E2988" s="143">
        <v>1</v>
      </c>
      <c r="F2988" s="12" t="s">
        <v>2170</v>
      </c>
      <c r="G2988" s="38">
        <v>269.39999999999998</v>
      </c>
      <c r="H2988" s="38">
        <v>228.99</v>
      </c>
      <c r="I2988" s="38">
        <v>188.58</v>
      </c>
      <c r="J2988" s="39">
        <v>25</v>
      </c>
      <c r="K2988" s="12"/>
      <c r="L2988" s="22">
        <v>2.39</v>
      </c>
      <c r="M2988" s="22" t="s">
        <v>12488</v>
      </c>
      <c r="N2988" s="20" t="s">
        <v>9330</v>
      </c>
      <c r="O2988" s="16" t="s">
        <v>12608</v>
      </c>
      <c r="P2988" s="143">
        <v>753</v>
      </c>
      <c r="Q2988" s="122" t="s">
        <v>14461</v>
      </c>
      <c r="R2988" s="16" t="s">
        <v>8904</v>
      </c>
      <c r="S2988" s="10" t="s">
        <v>1163</v>
      </c>
      <c r="T2988" s="28" t="s">
        <v>11964</v>
      </c>
      <c r="U2988" s="20" t="s">
        <v>5359</v>
      </c>
      <c r="V2988" s="16" t="s">
        <v>7707</v>
      </c>
      <c r="W2988" s="11" t="s">
        <v>14283</v>
      </c>
      <c r="X2988" s="174">
        <v>164.27</v>
      </c>
      <c r="Y2988" s="174">
        <v>228.99</v>
      </c>
    </row>
    <row r="2989" spans="1:25" ht="15" customHeight="1" x14ac:dyDescent="0.25">
      <c r="A2989" s="20" t="s">
        <v>7709</v>
      </c>
      <c r="B2989" s="14" t="s">
        <v>7710</v>
      </c>
      <c r="C2989" s="71" t="str">
        <f t="shared" si="66"/>
        <v>Product Info</v>
      </c>
      <c r="D2989" s="37" t="s">
        <v>8946</v>
      </c>
      <c r="E2989" s="143">
        <v>1</v>
      </c>
      <c r="F2989" s="12" t="s">
        <v>2170</v>
      </c>
      <c r="G2989" s="38">
        <v>299.19</v>
      </c>
      <c r="H2989" s="38">
        <v>254.32</v>
      </c>
      <c r="I2989" s="38">
        <v>209.43</v>
      </c>
      <c r="J2989" s="39">
        <v>25</v>
      </c>
      <c r="K2989" s="143"/>
      <c r="L2989" s="22">
        <v>4.3</v>
      </c>
      <c r="M2989" s="22" t="s">
        <v>12488</v>
      </c>
      <c r="N2989" s="20" t="s">
        <v>9324</v>
      </c>
      <c r="O2989" s="16" t="s">
        <v>12608</v>
      </c>
      <c r="P2989" s="143">
        <v>753</v>
      </c>
      <c r="Q2989" s="122" t="s">
        <v>9227</v>
      </c>
      <c r="R2989" s="16" t="s">
        <v>8904</v>
      </c>
      <c r="S2989" s="10" t="s">
        <v>1163</v>
      </c>
      <c r="T2989" s="28" t="s">
        <v>11965</v>
      </c>
      <c r="U2989" s="20" t="s">
        <v>5359</v>
      </c>
      <c r="V2989" s="16" t="s">
        <v>7709</v>
      </c>
      <c r="W2989" s="11" t="s">
        <v>14283</v>
      </c>
      <c r="X2989" s="174">
        <v>189.51</v>
      </c>
      <c r="Y2989" s="174">
        <v>254.32</v>
      </c>
    </row>
    <row r="2990" spans="1:25" ht="15" customHeight="1" x14ac:dyDescent="0.25">
      <c r="A2990" s="20" t="s">
        <v>7711</v>
      </c>
      <c r="B2990" s="14" t="s">
        <v>7712</v>
      </c>
      <c r="C2990" s="71" t="str">
        <f t="shared" si="66"/>
        <v>Product Info</v>
      </c>
      <c r="D2990" s="37" t="s">
        <v>4397</v>
      </c>
      <c r="E2990" s="143">
        <v>1</v>
      </c>
      <c r="F2990" s="12" t="s">
        <v>4992</v>
      </c>
      <c r="G2990" s="38">
        <v>310.54000000000002</v>
      </c>
      <c r="H2990" s="38">
        <v>263.97000000000003</v>
      </c>
      <c r="I2990" s="38">
        <v>217.38</v>
      </c>
      <c r="J2990" s="39">
        <v>25</v>
      </c>
      <c r="K2990" s="143"/>
      <c r="L2990" s="22">
        <v>3</v>
      </c>
      <c r="M2990" s="22" t="s">
        <v>12488</v>
      </c>
      <c r="N2990" s="20" t="s">
        <v>9359</v>
      </c>
      <c r="O2990" s="16" t="s">
        <v>12608</v>
      </c>
      <c r="P2990" s="143">
        <v>751</v>
      </c>
      <c r="Q2990" s="122" t="s">
        <v>12421</v>
      </c>
      <c r="R2990" s="16" t="s">
        <v>8904</v>
      </c>
      <c r="S2990" s="10" t="s">
        <v>1163</v>
      </c>
      <c r="T2990" s="28" t="s">
        <v>11966</v>
      </c>
      <c r="U2990" s="20" t="s">
        <v>5359</v>
      </c>
      <c r="V2990" s="16" t="s">
        <v>7711</v>
      </c>
      <c r="W2990" s="11" t="s">
        <v>14284</v>
      </c>
      <c r="X2990" s="174">
        <v>200.58</v>
      </c>
      <c r="Y2990" s="174">
        <v>242.85240000000005</v>
      </c>
    </row>
    <row r="2991" spans="1:25" ht="15" customHeight="1" x14ac:dyDescent="0.25">
      <c r="A2991" s="20" t="s">
        <v>7713</v>
      </c>
      <c r="B2991" s="14" t="s">
        <v>7714</v>
      </c>
      <c r="C2991" s="71" t="str">
        <f t="shared" si="66"/>
        <v>Product Info</v>
      </c>
      <c r="D2991" s="37" t="s">
        <v>8947</v>
      </c>
      <c r="E2991" s="143">
        <v>6</v>
      </c>
      <c r="F2991" s="12" t="s">
        <v>2170</v>
      </c>
      <c r="G2991" s="38">
        <v>19.97</v>
      </c>
      <c r="H2991" s="38">
        <v>16.98</v>
      </c>
      <c r="I2991" s="38">
        <v>13.98</v>
      </c>
      <c r="J2991" s="39">
        <v>200</v>
      </c>
      <c r="K2991" s="143"/>
      <c r="L2991" s="22">
        <v>1</v>
      </c>
      <c r="M2991" s="22" t="s">
        <v>12488</v>
      </c>
      <c r="N2991" s="20" t="s">
        <v>8865</v>
      </c>
      <c r="O2991" s="16" t="s">
        <v>12608</v>
      </c>
      <c r="P2991" s="143">
        <v>753</v>
      </c>
      <c r="Q2991" s="122" t="s">
        <v>12421</v>
      </c>
      <c r="R2991" s="16" t="s">
        <v>8904</v>
      </c>
      <c r="S2991" s="10" t="s">
        <v>1163</v>
      </c>
      <c r="T2991" s="28" t="s">
        <v>11967</v>
      </c>
      <c r="U2991" s="20" t="s">
        <v>5359</v>
      </c>
      <c r="V2991" s="16" t="s">
        <v>7713</v>
      </c>
      <c r="W2991" s="11" t="s">
        <v>14283</v>
      </c>
      <c r="X2991" s="174">
        <v>12.64</v>
      </c>
      <c r="Y2991" s="174">
        <v>16.98</v>
      </c>
    </row>
    <row r="2992" spans="1:25" ht="15" customHeight="1" x14ac:dyDescent="0.25">
      <c r="A2992" s="20" t="s">
        <v>7715</v>
      </c>
      <c r="B2992" s="14" t="s">
        <v>7716</v>
      </c>
      <c r="C2992" s="71" t="str">
        <f t="shared" si="66"/>
        <v>Product Info</v>
      </c>
      <c r="D2992" s="37" t="s">
        <v>2808</v>
      </c>
      <c r="E2992" s="143">
        <v>6</v>
      </c>
      <c r="F2992" s="12" t="s">
        <v>2170</v>
      </c>
      <c r="G2992" s="38">
        <v>22.81</v>
      </c>
      <c r="H2992" s="38">
        <v>19.39</v>
      </c>
      <c r="I2992" s="38">
        <v>15.97</v>
      </c>
      <c r="J2992" s="39">
        <v>200</v>
      </c>
      <c r="K2992" s="12" t="s">
        <v>8905</v>
      </c>
      <c r="L2992" s="22">
        <v>0.16666700000000001</v>
      </c>
      <c r="M2992" s="22" t="s">
        <v>12488</v>
      </c>
      <c r="N2992" s="20" t="s">
        <v>9299</v>
      </c>
      <c r="O2992" s="16" t="s">
        <v>13914</v>
      </c>
      <c r="P2992" s="143">
        <v>753</v>
      </c>
      <c r="Q2992" s="122" t="s">
        <v>14461</v>
      </c>
      <c r="R2992" s="16" t="s">
        <v>8904</v>
      </c>
      <c r="S2992" s="10" t="s">
        <v>1163</v>
      </c>
      <c r="T2992" s="28" t="s">
        <v>11968</v>
      </c>
      <c r="U2992" s="20" t="s">
        <v>5359</v>
      </c>
      <c r="V2992" s="16" t="s">
        <v>7715</v>
      </c>
      <c r="W2992" s="11" t="s">
        <v>14283</v>
      </c>
      <c r="X2992" s="174">
        <v>14.45</v>
      </c>
      <c r="Y2992" s="174">
        <v>19.39</v>
      </c>
    </row>
    <row r="2993" spans="1:25" ht="15" customHeight="1" x14ac:dyDescent="0.25">
      <c r="A2993" s="20" t="s">
        <v>7717</v>
      </c>
      <c r="B2993" s="14" t="s">
        <v>7718</v>
      </c>
      <c r="C2993" s="71" t="str">
        <f t="shared" si="66"/>
        <v>Product Info</v>
      </c>
      <c r="D2993" s="37" t="s">
        <v>2809</v>
      </c>
      <c r="E2993" s="143">
        <v>6</v>
      </c>
      <c r="F2993" s="12" t="s">
        <v>2170</v>
      </c>
      <c r="G2993" s="38">
        <v>27.64</v>
      </c>
      <c r="H2993" s="38">
        <v>23.5</v>
      </c>
      <c r="I2993" s="38">
        <v>19.350000000000001</v>
      </c>
      <c r="J2993" s="39">
        <v>200</v>
      </c>
      <c r="K2993" s="12" t="s">
        <v>8905</v>
      </c>
      <c r="L2993" s="22">
        <v>0.17299999999999999</v>
      </c>
      <c r="M2993" s="22" t="s">
        <v>12488</v>
      </c>
      <c r="N2993" s="20" t="s">
        <v>9304</v>
      </c>
      <c r="O2993" s="16" t="s">
        <v>12608</v>
      </c>
      <c r="P2993" s="143">
        <v>753</v>
      </c>
      <c r="Q2993" s="122" t="s">
        <v>14461</v>
      </c>
      <c r="R2993" s="16" t="s">
        <v>8904</v>
      </c>
      <c r="S2993" s="10" t="s">
        <v>1163</v>
      </c>
      <c r="T2993" s="28" t="s">
        <v>11969</v>
      </c>
      <c r="U2993" s="20" t="s">
        <v>5359</v>
      </c>
      <c r="V2993" s="16" t="s">
        <v>7717</v>
      </c>
      <c r="W2993" s="11" t="s">
        <v>14283</v>
      </c>
      <c r="X2993" s="174">
        <v>17.510000000000002</v>
      </c>
      <c r="Y2993" s="174">
        <v>23.5</v>
      </c>
    </row>
    <row r="2994" spans="1:25" ht="15" customHeight="1" x14ac:dyDescent="0.25">
      <c r="A2994" s="20" t="s">
        <v>7719</v>
      </c>
      <c r="B2994" s="14" t="s">
        <v>7720</v>
      </c>
      <c r="C2994" s="71" t="str">
        <f t="shared" si="66"/>
        <v>Product Info</v>
      </c>
      <c r="D2994" s="37" t="s">
        <v>5612</v>
      </c>
      <c r="E2994" s="143">
        <v>6</v>
      </c>
      <c r="F2994" s="12" t="s">
        <v>2170</v>
      </c>
      <c r="G2994" s="38">
        <v>30.81</v>
      </c>
      <c r="H2994" s="38">
        <v>26.19</v>
      </c>
      <c r="I2994" s="38">
        <v>21.57</v>
      </c>
      <c r="J2994" s="39">
        <v>200</v>
      </c>
      <c r="K2994" s="12" t="s">
        <v>8905</v>
      </c>
      <c r="L2994" s="22">
        <v>0.26669999999999999</v>
      </c>
      <c r="M2994" s="22" t="s">
        <v>12488</v>
      </c>
      <c r="N2994" s="20" t="s">
        <v>9505</v>
      </c>
      <c r="O2994" s="16" t="s">
        <v>12608</v>
      </c>
      <c r="P2994" s="143">
        <v>753</v>
      </c>
      <c r="Q2994" s="122" t="s">
        <v>9227</v>
      </c>
      <c r="R2994" s="16" t="s">
        <v>8904</v>
      </c>
      <c r="S2994" s="10" t="s">
        <v>1163</v>
      </c>
      <c r="T2994" s="28" t="s">
        <v>11970</v>
      </c>
      <c r="U2994" s="20" t="s">
        <v>5359</v>
      </c>
      <c r="V2994" s="16" t="s">
        <v>7719</v>
      </c>
      <c r="W2994" s="11" t="s">
        <v>14283</v>
      </c>
      <c r="X2994" s="174">
        <v>19.52</v>
      </c>
      <c r="Y2994" s="174">
        <v>26.19</v>
      </c>
    </row>
    <row r="2995" spans="1:25" ht="15" customHeight="1" x14ac:dyDescent="0.25">
      <c r="A2995" s="20" t="s">
        <v>7721</v>
      </c>
      <c r="B2995" s="14" t="s">
        <v>7722</v>
      </c>
      <c r="C2995" s="71" t="str">
        <f t="shared" si="66"/>
        <v>Product Info</v>
      </c>
      <c r="D2995" s="37" t="s">
        <v>5613</v>
      </c>
      <c r="E2995" s="143">
        <v>6</v>
      </c>
      <c r="F2995" s="12" t="s">
        <v>2170</v>
      </c>
      <c r="G2995" s="38">
        <v>84.76</v>
      </c>
      <c r="H2995" s="38">
        <v>72.05</v>
      </c>
      <c r="I2995" s="38">
        <v>59.33</v>
      </c>
      <c r="J2995" s="39">
        <v>200</v>
      </c>
      <c r="K2995" s="143"/>
      <c r="L2995" s="22">
        <v>2</v>
      </c>
      <c r="M2995" s="22" t="s">
        <v>12488</v>
      </c>
      <c r="N2995" s="20" t="s">
        <v>9241</v>
      </c>
      <c r="O2995" s="16" t="s">
        <v>12608</v>
      </c>
      <c r="P2995" s="143">
        <v>753</v>
      </c>
      <c r="Q2995" s="121" t="s">
        <v>14285</v>
      </c>
      <c r="R2995" s="16" t="s">
        <v>8904</v>
      </c>
      <c r="S2995" s="10" t="s">
        <v>1163</v>
      </c>
      <c r="T2995" s="28" t="s">
        <v>11971</v>
      </c>
      <c r="U2995" s="20" t="s">
        <v>5359</v>
      </c>
      <c r="V2995" s="16" t="s">
        <v>7721</v>
      </c>
      <c r="W2995" s="11" t="s">
        <v>14283</v>
      </c>
      <c r="X2995" s="174">
        <v>53.68</v>
      </c>
      <c r="Y2995" s="174">
        <v>72.05</v>
      </c>
    </row>
    <row r="2996" spans="1:25" ht="15" customHeight="1" x14ac:dyDescent="0.25">
      <c r="A2996" s="20" t="s">
        <v>7766</v>
      </c>
      <c r="B2996" s="14" t="s">
        <v>7767</v>
      </c>
      <c r="C2996" s="71" t="str">
        <f t="shared" si="66"/>
        <v>Product Info</v>
      </c>
      <c r="D2996" s="37" t="s">
        <v>4398</v>
      </c>
      <c r="E2996" s="143">
        <v>20</v>
      </c>
      <c r="F2996" s="12" t="s">
        <v>2170</v>
      </c>
      <c r="G2996" s="38">
        <v>27.91</v>
      </c>
      <c r="H2996" s="38">
        <f>I2996</f>
        <v>19.54</v>
      </c>
      <c r="I2996" s="38">
        <v>19.54</v>
      </c>
      <c r="J2996" s="39">
        <v>100</v>
      </c>
      <c r="K2996" s="143"/>
      <c r="L2996" s="22">
        <v>0.2</v>
      </c>
      <c r="M2996" s="22" t="s">
        <v>12488</v>
      </c>
      <c r="N2996" s="20" t="s">
        <v>9506</v>
      </c>
      <c r="O2996" s="16" t="s">
        <v>12608</v>
      </c>
      <c r="P2996" s="143">
        <v>755</v>
      </c>
      <c r="Q2996" s="121" t="s">
        <v>14285</v>
      </c>
      <c r="R2996" s="16" t="s">
        <v>8904</v>
      </c>
      <c r="S2996" s="10" t="s">
        <v>194</v>
      </c>
      <c r="T2996" s="28" t="s">
        <v>11972</v>
      </c>
      <c r="U2996" s="20" t="s">
        <v>5359</v>
      </c>
      <c r="V2996" s="16" t="s">
        <v>7766</v>
      </c>
      <c r="W2996" s="11" t="s">
        <v>14433</v>
      </c>
      <c r="X2996" s="174">
        <v>15.33</v>
      </c>
      <c r="Y2996" s="174">
        <v>19.54</v>
      </c>
    </row>
    <row r="2997" spans="1:25" ht="15" customHeight="1" x14ac:dyDescent="0.25">
      <c r="A2997" s="20" t="s">
        <v>7768</v>
      </c>
      <c r="B2997" s="14" t="s">
        <v>7769</v>
      </c>
      <c r="C2997" s="71" t="str">
        <f t="shared" si="66"/>
        <v>Product Info</v>
      </c>
      <c r="D2997" s="37" t="s">
        <v>8948</v>
      </c>
      <c r="E2997" s="143">
        <v>10</v>
      </c>
      <c r="F2997" s="12" t="s">
        <v>2170</v>
      </c>
      <c r="G2997" s="38">
        <v>58.74</v>
      </c>
      <c r="H2997" s="38">
        <f>I2997</f>
        <v>41.12</v>
      </c>
      <c r="I2997" s="38">
        <v>41.12</v>
      </c>
      <c r="J2997" s="39">
        <v>100</v>
      </c>
      <c r="K2997" s="12" t="s">
        <v>8905</v>
      </c>
      <c r="L2997" s="22">
        <v>0.9</v>
      </c>
      <c r="M2997" s="22" t="s">
        <v>12488</v>
      </c>
      <c r="N2997" s="20" t="s">
        <v>9471</v>
      </c>
      <c r="O2997" s="16" t="s">
        <v>13914</v>
      </c>
      <c r="P2997" s="143">
        <v>755</v>
      </c>
      <c r="Q2997" s="122" t="s">
        <v>14461</v>
      </c>
      <c r="R2997" s="16" t="s">
        <v>8904</v>
      </c>
      <c r="S2997" s="10" t="s">
        <v>194</v>
      </c>
      <c r="T2997" s="28" t="s">
        <v>11973</v>
      </c>
      <c r="U2997" s="20" t="s">
        <v>5359</v>
      </c>
      <c r="V2997" s="16" t="s">
        <v>7768</v>
      </c>
      <c r="W2997" s="11" t="s">
        <v>14433</v>
      </c>
      <c r="X2997" s="174">
        <v>32.25</v>
      </c>
      <c r="Y2997" s="174">
        <v>41.12</v>
      </c>
    </row>
    <row r="2998" spans="1:25" ht="15" customHeight="1" x14ac:dyDescent="0.25">
      <c r="A2998" s="20" t="s">
        <v>7770</v>
      </c>
      <c r="B2998" s="14" t="s">
        <v>7771</v>
      </c>
      <c r="C2998" s="71" t="str">
        <f t="shared" si="66"/>
        <v>Product Info</v>
      </c>
      <c r="D2998" s="37" t="s">
        <v>8949</v>
      </c>
      <c r="E2998" s="143">
        <v>10</v>
      </c>
      <c r="F2998" s="12" t="s">
        <v>2170</v>
      </c>
      <c r="G2998" s="38">
        <v>72.760000000000005</v>
      </c>
      <c r="H2998" s="38">
        <f>I2998</f>
        <v>50.93</v>
      </c>
      <c r="I2998" s="38">
        <v>50.93</v>
      </c>
      <c r="J2998" s="39">
        <v>100</v>
      </c>
      <c r="K2998" s="143"/>
      <c r="L2998" s="22">
        <v>13</v>
      </c>
      <c r="M2998" s="22" t="s">
        <v>12488</v>
      </c>
      <c r="N2998" s="20" t="s">
        <v>9360</v>
      </c>
      <c r="O2998" s="16" t="s">
        <v>12608</v>
      </c>
      <c r="P2998" s="143">
        <v>755</v>
      </c>
      <c r="Q2998" s="122" t="s">
        <v>12421</v>
      </c>
      <c r="R2998" s="16" t="s">
        <v>8904</v>
      </c>
      <c r="S2998" s="10" t="s">
        <v>194</v>
      </c>
      <c r="T2998" s="28" t="s">
        <v>11974</v>
      </c>
      <c r="U2998" s="20" t="s">
        <v>5359</v>
      </c>
      <c r="V2998" s="16" t="s">
        <v>7770</v>
      </c>
      <c r="W2998" s="11" t="s">
        <v>14433</v>
      </c>
      <c r="X2998" s="174">
        <v>39.94</v>
      </c>
      <c r="Y2998" s="174">
        <v>50.93</v>
      </c>
    </row>
    <row r="2999" spans="1:25" ht="15" customHeight="1" x14ac:dyDescent="0.25">
      <c r="A2999" s="20" t="s">
        <v>7772</v>
      </c>
      <c r="B2999" s="14" t="s">
        <v>7773</v>
      </c>
      <c r="C2999" s="71" t="str">
        <f t="shared" si="66"/>
        <v>Product Info</v>
      </c>
      <c r="D2999" s="37" t="s">
        <v>3903</v>
      </c>
      <c r="E2999" s="143">
        <v>10</v>
      </c>
      <c r="F2999" s="12" t="s">
        <v>2170</v>
      </c>
      <c r="G2999" s="38">
        <v>88.9</v>
      </c>
      <c r="H2999" s="38">
        <f>I2999</f>
        <v>62.23</v>
      </c>
      <c r="I2999" s="38">
        <v>62.23</v>
      </c>
      <c r="J2999" s="39">
        <v>100</v>
      </c>
      <c r="K2999" s="12" t="s">
        <v>8905</v>
      </c>
      <c r="L2999" s="22">
        <v>1.4370000000000001</v>
      </c>
      <c r="M2999" s="22" t="s">
        <v>12488</v>
      </c>
      <c r="N2999" s="20" t="s">
        <v>9507</v>
      </c>
      <c r="O2999" s="16" t="s">
        <v>12608</v>
      </c>
      <c r="P2999" s="143">
        <v>755</v>
      </c>
      <c r="Q2999" s="122" t="s">
        <v>14461</v>
      </c>
      <c r="R2999" s="16" t="s">
        <v>8904</v>
      </c>
      <c r="S2999" s="10" t="s">
        <v>194</v>
      </c>
      <c r="T2999" s="28" t="s">
        <v>11975</v>
      </c>
      <c r="U2999" s="20" t="s">
        <v>5359</v>
      </c>
      <c r="V2999" s="16" t="s">
        <v>7772</v>
      </c>
      <c r="W2999" s="11" t="s">
        <v>14433</v>
      </c>
      <c r="X2999" s="174">
        <v>48.8</v>
      </c>
      <c r="Y2999" s="174">
        <v>62.23</v>
      </c>
    </row>
    <row r="3000" spans="1:25" ht="15" customHeight="1" x14ac:dyDescent="0.25">
      <c r="A3000" s="20" t="s">
        <v>7774</v>
      </c>
      <c r="B3000" s="14" t="s">
        <v>7775</v>
      </c>
      <c r="C3000" s="71" t="str">
        <f t="shared" si="66"/>
        <v>Product Info</v>
      </c>
      <c r="D3000" s="37" t="s">
        <v>8950</v>
      </c>
      <c r="E3000" s="143">
        <v>10</v>
      </c>
      <c r="F3000" s="12" t="s">
        <v>2170</v>
      </c>
      <c r="G3000" s="38">
        <v>102.9</v>
      </c>
      <c r="H3000" s="38">
        <f>I3000</f>
        <v>72.03</v>
      </c>
      <c r="I3000" s="38">
        <v>72.03</v>
      </c>
      <c r="J3000" s="39">
        <v>100</v>
      </c>
      <c r="K3000" s="12" t="s">
        <v>8905</v>
      </c>
      <c r="L3000" s="22">
        <v>0.61399999999999999</v>
      </c>
      <c r="M3000" s="22" t="s">
        <v>12488</v>
      </c>
      <c r="N3000" s="20" t="s">
        <v>9414</v>
      </c>
      <c r="O3000" s="16" t="s">
        <v>12608</v>
      </c>
      <c r="P3000" s="143">
        <v>755</v>
      </c>
      <c r="Q3000" s="122" t="s">
        <v>14461</v>
      </c>
      <c r="R3000" s="16" t="s">
        <v>8904</v>
      </c>
      <c r="S3000" s="10" t="s">
        <v>194</v>
      </c>
      <c r="T3000" s="28" t="s">
        <v>11976</v>
      </c>
      <c r="U3000" s="20" t="s">
        <v>5359</v>
      </c>
      <c r="V3000" s="16" t="s">
        <v>7774</v>
      </c>
      <c r="W3000" s="11" t="s">
        <v>14433</v>
      </c>
      <c r="X3000" s="174">
        <v>56.49</v>
      </c>
      <c r="Y3000" s="174">
        <v>72.03</v>
      </c>
    </row>
    <row r="3001" spans="1:25" ht="15" customHeight="1" x14ac:dyDescent="0.25">
      <c r="A3001" s="20" t="s">
        <v>7776</v>
      </c>
      <c r="B3001" s="14" t="s">
        <v>864</v>
      </c>
      <c r="C3001" s="71" t="str">
        <f t="shared" si="66"/>
        <v>Product Info</v>
      </c>
      <c r="D3001" s="37" t="s">
        <v>7959</v>
      </c>
      <c r="E3001" s="143">
        <v>100</v>
      </c>
      <c r="F3001" s="12" t="s">
        <v>6692</v>
      </c>
      <c r="G3001" s="38">
        <v>6.76</v>
      </c>
      <c r="H3001" s="38">
        <v>5.74</v>
      </c>
      <c r="I3001" s="38">
        <v>4.7300000000000004</v>
      </c>
      <c r="J3001" s="39"/>
      <c r="K3001" s="143"/>
      <c r="L3001" s="22">
        <v>0.28000000000000003</v>
      </c>
      <c r="M3001" s="22" t="s">
        <v>12488</v>
      </c>
      <c r="N3001" s="20" t="s">
        <v>9508</v>
      </c>
      <c r="O3001" s="16" t="s">
        <v>12608</v>
      </c>
      <c r="P3001" s="143">
        <v>760</v>
      </c>
      <c r="Q3001" s="122" t="s">
        <v>9227</v>
      </c>
      <c r="R3001" s="16" t="s">
        <v>8904</v>
      </c>
      <c r="S3001" s="10" t="s">
        <v>1163</v>
      </c>
      <c r="T3001" s="28" t="s">
        <v>11977</v>
      </c>
      <c r="U3001" s="20" t="s">
        <v>5359</v>
      </c>
      <c r="V3001" s="16" t="s">
        <v>7776</v>
      </c>
      <c r="W3001" s="20" t="s">
        <v>14432</v>
      </c>
      <c r="X3001" s="174">
        <v>4.37</v>
      </c>
      <c r="Y3001" s="174">
        <v>5.74</v>
      </c>
    </row>
    <row r="3002" spans="1:25" ht="15" customHeight="1" x14ac:dyDescent="0.25">
      <c r="A3002" s="20" t="s">
        <v>7777</v>
      </c>
      <c r="B3002" s="14" t="s">
        <v>865</v>
      </c>
      <c r="C3002" s="71" t="str">
        <f t="shared" si="66"/>
        <v>Product Info</v>
      </c>
      <c r="D3002" s="37" t="s">
        <v>6047</v>
      </c>
      <c r="E3002" s="143">
        <v>50</v>
      </c>
      <c r="F3002" s="12" t="s">
        <v>6692</v>
      </c>
      <c r="G3002" s="38">
        <v>8.16</v>
      </c>
      <c r="H3002" s="38">
        <v>6.93</v>
      </c>
      <c r="I3002" s="38">
        <v>5.71</v>
      </c>
      <c r="J3002" s="39"/>
      <c r="K3002" s="143"/>
      <c r="L3002" s="22">
        <v>0.71</v>
      </c>
      <c r="M3002" s="22" t="s">
        <v>14396</v>
      </c>
      <c r="N3002" s="20" t="s">
        <v>9508</v>
      </c>
      <c r="O3002" s="16" t="s">
        <v>13914</v>
      </c>
      <c r="P3002" s="143">
        <v>760</v>
      </c>
      <c r="Q3002" s="122" t="s">
        <v>9227</v>
      </c>
      <c r="R3002" s="16" t="s">
        <v>8904</v>
      </c>
      <c r="S3002" s="10" t="s">
        <v>1163</v>
      </c>
      <c r="T3002" s="28" t="s">
        <v>11978</v>
      </c>
      <c r="U3002" s="20" t="s">
        <v>5359</v>
      </c>
      <c r="V3002" s="16" t="s">
        <v>7777</v>
      </c>
      <c r="W3002" s="20" t="s">
        <v>14432</v>
      </c>
      <c r="X3002" s="174">
        <v>5.27</v>
      </c>
      <c r="Y3002" s="174">
        <v>6.93</v>
      </c>
    </row>
    <row r="3003" spans="1:25" ht="15" customHeight="1" x14ac:dyDescent="0.25">
      <c r="A3003" s="20" t="s">
        <v>7778</v>
      </c>
      <c r="B3003" s="14" t="s">
        <v>866</v>
      </c>
      <c r="C3003" s="71" t="str">
        <f t="shared" si="66"/>
        <v>Product Info</v>
      </c>
      <c r="D3003" s="37" t="s">
        <v>5198</v>
      </c>
      <c r="E3003" s="143">
        <v>25</v>
      </c>
      <c r="F3003" s="12" t="s">
        <v>6692</v>
      </c>
      <c r="G3003" s="38">
        <v>8.91</v>
      </c>
      <c r="H3003" s="38">
        <v>7.58</v>
      </c>
      <c r="I3003" s="38">
        <v>6.24</v>
      </c>
      <c r="J3003" s="39"/>
      <c r="K3003" s="143"/>
      <c r="L3003" s="22">
        <v>22</v>
      </c>
      <c r="M3003" s="22" t="s">
        <v>12488</v>
      </c>
      <c r="N3003" s="20" t="s">
        <v>9508</v>
      </c>
      <c r="O3003" s="16" t="s">
        <v>13914</v>
      </c>
      <c r="P3003" s="143">
        <v>760</v>
      </c>
      <c r="Q3003" s="122" t="s">
        <v>9227</v>
      </c>
      <c r="R3003" s="16" t="s">
        <v>8904</v>
      </c>
      <c r="S3003" s="10" t="s">
        <v>1163</v>
      </c>
      <c r="T3003" s="28" t="s">
        <v>11979</v>
      </c>
      <c r="U3003" s="20" t="s">
        <v>5359</v>
      </c>
      <c r="V3003" s="16" t="s">
        <v>7778</v>
      </c>
      <c r="W3003" s="20" t="s">
        <v>14432</v>
      </c>
      <c r="X3003" s="174">
        <v>5.76</v>
      </c>
      <c r="Y3003" s="174">
        <v>7.58</v>
      </c>
    </row>
    <row r="3004" spans="1:25" ht="15" customHeight="1" x14ac:dyDescent="0.25">
      <c r="A3004" s="20" t="s">
        <v>5473</v>
      </c>
      <c r="B3004" s="14" t="s">
        <v>5474</v>
      </c>
      <c r="C3004" s="71" t="str">
        <f t="shared" si="66"/>
        <v>Product Info</v>
      </c>
      <c r="D3004" s="37" t="s">
        <v>4956</v>
      </c>
      <c r="E3004" s="143">
        <v>36</v>
      </c>
      <c r="F3004" s="12" t="s">
        <v>6692</v>
      </c>
      <c r="G3004" s="38">
        <v>8.6999999999999993</v>
      </c>
      <c r="H3004" s="38">
        <v>7.4</v>
      </c>
      <c r="I3004" s="38">
        <v>6.09</v>
      </c>
      <c r="J3004" s="39"/>
      <c r="K3004" s="143"/>
      <c r="L3004" s="22">
        <v>0</v>
      </c>
      <c r="M3004" s="22" t="s">
        <v>12488</v>
      </c>
      <c r="N3004" s="20" t="s">
        <v>14489</v>
      </c>
      <c r="O3004" s="16" t="s">
        <v>12608</v>
      </c>
      <c r="P3004" s="143">
        <v>760</v>
      </c>
      <c r="Q3004" s="121" t="s">
        <v>14285</v>
      </c>
      <c r="R3004" s="16" t="s">
        <v>8904</v>
      </c>
      <c r="S3004" s="10" t="s">
        <v>1163</v>
      </c>
      <c r="T3004" s="28" t="s">
        <v>11980</v>
      </c>
      <c r="U3004" s="20" t="s">
        <v>5359</v>
      </c>
      <c r="V3004" s="16" t="s">
        <v>5473</v>
      </c>
      <c r="W3004" s="20" t="s">
        <v>14432</v>
      </c>
      <c r="X3004" s="174">
        <v>5.62</v>
      </c>
      <c r="Y3004" s="174">
        <v>7.4</v>
      </c>
    </row>
    <row r="3005" spans="1:25" ht="15" customHeight="1" x14ac:dyDescent="0.25">
      <c r="A3005" s="20" t="s">
        <v>4027</v>
      </c>
      <c r="B3005" s="14" t="s">
        <v>6153</v>
      </c>
      <c r="C3005" s="71" t="str">
        <f t="shared" si="66"/>
        <v>Product Info</v>
      </c>
      <c r="D3005" s="37" t="s">
        <v>4024</v>
      </c>
      <c r="E3005" s="143">
        <v>24</v>
      </c>
      <c r="F3005" s="12" t="s">
        <v>6692</v>
      </c>
      <c r="G3005" s="38">
        <v>13.8</v>
      </c>
      <c r="H3005" s="38">
        <v>11.73</v>
      </c>
      <c r="I3005" s="38">
        <v>9.66</v>
      </c>
      <c r="J3005" s="39"/>
      <c r="K3005" s="143"/>
      <c r="L3005" s="22">
        <v>25</v>
      </c>
      <c r="M3005" s="22" t="s">
        <v>14396</v>
      </c>
      <c r="N3005" s="20" t="s">
        <v>9510</v>
      </c>
      <c r="O3005" s="16" t="s">
        <v>13914</v>
      </c>
      <c r="P3005" s="143">
        <v>760</v>
      </c>
      <c r="Q3005" s="122" t="s">
        <v>9227</v>
      </c>
      <c r="R3005" s="16" t="s">
        <v>8904</v>
      </c>
      <c r="S3005" s="10" t="s">
        <v>1163</v>
      </c>
      <c r="T3005" s="28" t="s">
        <v>11981</v>
      </c>
      <c r="U3005" s="20" t="s">
        <v>5359</v>
      </c>
      <c r="V3005" s="16" t="s">
        <v>4027</v>
      </c>
      <c r="W3005" s="20" t="s">
        <v>14432</v>
      </c>
      <c r="X3005" s="174">
        <v>8.91</v>
      </c>
      <c r="Y3005" s="174">
        <v>11.73</v>
      </c>
    </row>
    <row r="3006" spans="1:25" ht="15" customHeight="1" x14ac:dyDescent="0.25">
      <c r="A3006" s="20" t="s">
        <v>4668</v>
      </c>
      <c r="B3006" s="14" t="s">
        <v>867</v>
      </c>
      <c r="C3006" s="71" t="str">
        <f t="shared" si="66"/>
        <v>Product Info</v>
      </c>
      <c r="D3006" s="37" t="s">
        <v>8016</v>
      </c>
      <c r="E3006" s="143">
        <v>100</v>
      </c>
      <c r="F3006" s="12" t="s">
        <v>6692</v>
      </c>
      <c r="G3006" s="38">
        <v>6.76</v>
      </c>
      <c r="H3006" s="38">
        <v>5.74</v>
      </c>
      <c r="I3006" s="38">
        <v>4.7300000000000004</v>
      </c>
      <c r="J3006" s="39"/>
      <c r="K3006" s="143"/>
      <c r="L3006" s="22">
        <v>2</v>
      </c>
      <c r="M3006" s="22" t="s">
        <v>12488</v>
      </c>
      <c r="N3006" s="20" t="s">
        <v>9508</v>
      </c>
      <c r="O3006" s="16" t="s">
        <v>13914</v>
      </c>
      <c r="P3006" s="143">
        <v>760</v>
      </c>
      <c r="Q3006" s="122" t="s">
        <v>9227</v>
      </c>
      <c r="R3006" s="16" t="s">
        <v>8904</v>
      </c>
      <c r="S3006" s="10" t="s">
        <v>1163</v>
      </c>
      <c r="T3006" s="28" t="s">
        <v>11982</v>
      </c>
      <c r="U3006" s="20" t="s">
        <v>5359</v>
      </c>
      <c r="V3006" s="16" t="s">
        <v>4668</v>
      </c>
      <c r="W3006" s="20" t="s">
        <v>14432</v>
      </c>
      <c r="X3006" s="174">
        <v>4.37</v>
      </c>
      <c r="Y3006" s="174">
        <v>5.74</v>
      </c>
    </row>
    <row r="3007" spans="1:25" ht="15" customHeight="1" x14ac:dyDescent="0.25">
      <c r="A3007" s="20" t="s">
        <v>6591</v>
      </c>
      <c r="B3007" s="14" t="s">
        <v>868</v>
      </c>
      <c r="C3007" s="71" t="str">
        <f t="shared" si="66"/>
        <v>Product Info</v>
      </c>
      <c r="D3007" s="37" t="s">
        <v>8017</v>
      </c>
      <c r="E3007" s="143">
        <v>50</v>
      </c>
      <c r="F3007" s="12" t="s">
        <v>6692</v>
      </c>
      <c r="G3007" s="38">
        <v>7.99</v>
      </c>
      <c r="H3007" s="38">
        <v>6.79</v>
      </c>
      <c r="I3007" s="38">
        <v>5.59</v>
      </c>
      <c r="J3007" s="39"/>
      <c r="K3007" s="143"/>
      <c r="L3007" s="22">
        <v>0.5</v>
      </c>
      <c r="M3007" s="22" t="s">
        <v>12488</v>
      </c>
      <c r="N3007" s="20" t="s">
        <v>13073</v>
      </c>
      <c r="O3007" s="16" t="s">
        <v>13914</v>
      </c>
      <c r="P3007" s="143">
        <v>760</v>
      </c>
      <c r="Q3007" s="122" t="s">
        <v>9227</v>
      </c>
      <c r="R3007" s="16" t="s">
        <v>8904</v>
      </c>
      <c r="S3007" s="10" t="s">
        <v>1163</v>
      </c>
      <c r="T3007" s="28" t="s">
        <v>11983</v>
      </c>
      <c r="U3007" s="20" t="s">
        <v>5359</v>
      </c>
      <c r="V3007" s="16" t="s">
        <v>6591</v>
      </c>
      <c r="W3007" s="20" t="s">
        <v>14432</v>
      </c>
      <c r="X3007" s="174">
        <v>5.16</v>
      </c>
      <c r="Y3007" s="174">
        <v>6.79</v>
      </c>
    </row>
    <row r="3008" spans="1:25" ht="15" customHeight="1" x14ac:dyDescent="0.25">
      <c r="A3008" s="20" t="s">
        <v>6592</v>
      </c>
      <c r="B3008" s="14" t="s">
        <v>6593</v>
      </c>
      <c r="C3008" s="71" t="str">
        <f t="shared" si="66"/>
        <v>Product Info</v>
      </c>
      <c r="D3008" s="37" t="s">
        <v>6046</v>
      </c>
      <c r="E3008" s="143">
        <v>25</v>
      </c>
      <c r="F3008" s="12" t="s">
        <v>6692</v>
      </c>
      <c r="G3008" s="38">
        <v>8.74</v>
      </c>
      <c r="H3008" s="38">
        <v>7.43</v>
      </c>
      <c r="I3008" s="38">
        <v>6.12</v>
      </c>
      <c r="J3008" s="39"/>
      <c r="K3008" s="143"/>
      <c r="L3008" s="22">
        <v>1.5</v>
      </c>
      <c r="M3008" s="22" t="s">
        <v>12488</v>
      </c>
      <c r="N3008" s="20" t="s">
        <v>9508</v>
      </c>
      <c r="O3008" s="16" t="s">
        <v>13914</v>
      </c>
      <c r="P3008" s="143">
        <v>760</v>
      </c>
      <c r="Q3008" s="122" t="s">
        <v>9227</v>
      </c>
      <c r="R3008" s="16" t="s">
        <v>8904</v>
      </c>
      <c r="S3008" s="10" t="s">
        <v>1163</v>
      </c>
      <c r="T3008" s="28" t="s">
        <v>11984</v>
      </c>
      <c r="U3008" s="20" t="s">
        <v>5359</v>
      </c>
      <c r="V3008" s="16" t="s">
        <v>6592</v>
      </c>
      <c r="W3008" s="20" t="s">
        <v>14432</v>
      </c>
      <c r="X3008" s="174">
        <v>5.64</v>
      </c>
      <c r="Y3008" s="174">
        <v>7.43</v>
      </c>
    </row>
    <row r="3009" spans="1:25" ht="15" customHeight="1" x14ac:dyDescent="0.25">
      <c r="A3009" s="20" t="s">
        <v>4969</v>
      </c>
      <c r="B3009" s="14" t="s">
        <v>4970</v>
      </c>
      <c r="C3009" s="71" t="str">
        <f t="shared" si="66"/>
        <v>Product Info</v>
      </c>
      <c r="D3009" s="37" t="s">
        <v>4494</v>
      </c>
      <c r="E3009" s="143">
        <v>24</v>
      </c>
      <c r="F3009" s="12" t="s">
        <v>6692</v>
      </c>
      <c r="G3009" s="38">
        <v>14.03</v>
      </c>
      <c r="H3009" s="38">
        <v>11.92</v>
      </c>
      <c r="I3009" s="38">
        <v>9.82</v>
      </c>
      <c r="J3009" s="39"/>
      <c r="K3009" s="143"/>
      <c r="L3009" s="22">
        <v>17.2</v>
      </c>
      <c r="M3009" s="22" t="s">
        <v>12488</v>
      </c>
      <c r="N3009" s="20" t="s">
        <v>9509</v>
      </c>
      <c r="O3009" s="16" t="s">
        <v>12608</v>
      </c>
      <c r="P3009" s="143">
        <v>760</v>
      </c>
      <c r="Q3009" s="122" t="s">
        <v>9227</v>
      </c>
      <c r="R3009" s="16" t="s">
        <v>8904</v>
      </c>
      <c r="S3009" s="10" t="s">
        <v>1163</v>
      </c>
      <c r="T3009" s="28" t="s">
        <v>11985</v>
      </c>
      <c r="U3009" s="20" t="s">
        <v>5359</v>
      </c>
      <c r="V3009" s="16" t="s">
        <v>4969</v>
      </c>
      <c r="W3009" s="20" t="s">
        <v>14432</v>
      </c>
      <c r="X3009" s="174">
        <v>9.06</v>
      </c>
      <c r="Y3009" s="174">
        <v>11.92</v>
      </c>
    </row>
    <row r="3010" spans="1:25" ht="15" customHeight="1" x14ac:dyDescent="0.25">
      <c r="A3010" s="20" t="s">
        <v>6594</v>
      </c>
      <c r="B3010" s="14" t="s">
        <v>6595</v>
      </c>
      <c r="C3010" s="71" t="str">
        <f t="shared" si="66"/>
        <v>Product Info</v>
      </c>
      <c r="D3010" s="37" t="s">
        <v>6048</v>
      </c>
      <c r="E3010" s="143">
        <v>4</v>
      </c>
      <c r="F3010" s="12" t="s">
        <v>4992</v>
      </c>
      <c r="G3010" s="38">
        <v>52.24</v>
      </c>
      <c r="H3010" s="38">
        <v>44.41</v>
      </c>
      <c r="I3010" s="38">
        <v>36.57</v>
      </c>
      <c r="J3010" s="39"/>
      <c r="K3010" s="143"/>
      <c r="L3010" s="22">
        <v>5</v>
      </c>
      <c r="M3010" s="22" t="s">
        <v>12488</v>
      </c>
      <c r="N3010" s="20" t="s">
        <v>8860</v>
      </c>
      <c r="O3010" s="16" t="s">
        <v>12608</v>
      </c>
      <c r="P3010" s="143">
        <v>760</v>
      </c>
      <c r="Q3010" s="122" t="s">
        <v>9227</v>
      </c>
      <c r="R3010" s="16" t="s">
        <v>8904</v>
      </c>
      <c r="S3010" s="10" t="s">
        <v>1163</v>
      </c>
      <c r="T3010" s="28" t="s">
        <v>11986</v>
      </c>
      <c r="U3010" s="20" t="s">
        <v>5359</v>
      </c>
      <c r="V3010" s="16" t="s">
        <v>6594</v>
      </c>
      <c r="W3010" s="20" t="s">
        <v>14432</v>
      </c>
      <c r="X3010" s="174">
        <v>33.74</v>
      </c>
      <c r="Y3010" s="174">
        <v>44.41</v>
      </c>
    </row>
    <row r="3011" spans="1:25" ht="15" customHeight="1" x14ac:dyDescent="0.25">
      <c r="A3011" s="20" t="s">
        <v>6596</v>
      </c>
      <c r="B3011" s="14" t="s">
        <v>6597</v>
      </c>
      <c r="C3011" s="71" t="str">
        <f t="shared" si="66"/>
        <v>Product Info</v>
      </c>
      <c r="D3011" s="37" t="s">
        <v>5614</v>
      </c>
      <c r="E3011" s="143">
        <v>330</v>
      </c>
      <c r="F3011" s="12" t="s">
        <v>6692</v>
      </c>
      <c r="G3011" s="38">
        <v>5.87</v>
      </c>
      <c r="H3011" s="38">
        <v>4.99</v>
      </c>
      <c r="I3011" s="38">
        <v>4.1100000000000003</v>
      </c>
      <c r="J3011" s="39"/>
      <c r="K3011" s="143"/>
      <c r="L3011" s="22">
        <v>0</v>
      </c>
      <c r="M3011" s="22" t="s">
        <v>12488</v>
      </c>
      <c r="N3011" s="20" t="s">
        <v>14489</v>
      </c>
      <c r="O3011" s="16" t="s">
        <v>12608</v>
      </c>
      <c r="P3011" s="143">
        <v>760</v>
      </c>
      <c r="Q3011" s="121" t="s">
        <v>14285</v>
      </c>
      <c r="R3011" s="16" t="s">
        <v>8904</v>
      </c>
      <c r="S3011" s="10" t="s">
        <v>1163</v>
      </c>
      <c r="T3011" s="28" t="s">
        <v>11987</v>
      </c>
      <c r="U3011" s="20" t="s">
        <v>5359</v>
      </c>
      <c r="V3011" s="16" t="s">
        <v>6596</v>
      </c>
      <c r="W3011" s="20" t="s">
        <v>14432</v>
      </c>
      <c r="X3011" s="174">
        <v>3.79</v>
      </c>
      <c r="Y3011" s="174">
        <v>4.99</v>
      </c>
    </row>
    <row r="3012" spans="1:25" ht="15" customHeight="1" x14ac:dyDescent="0.25">
      <c r="A3012" s="20" t="s">
        <v>6598</v>
      </c>
      <c r="B3012" s="14" t="s">
        <v>6599</v>
      </c>
      <c r="C3012" s="71" t="str">
        <f t="shared" si="66"/>
        <v>Product Info</v>
      </c>
      <c r="D3012" s="37" t="s">
        <v>5615</v>
      </c>
      <c r="E3012" s="143">
        <v>330</v>
      </c>
      <c r="F3012" s="12" t="s">
        <v>6692</v>
      </c>
      <c r="G3012" s="38">
        <v>5.27</v>
      </c>
      <c r="H3012" s="38">
        <v>4.4800000000000004</v>
      </c>
      <c r="I3012" s="38">
        <v>3.69</v>
      </c>
      <c r="J3012" s="39"/>
      <c r="K3012" s="143"/>
      <c r="L3012" s="22">
        <v>0.35</v>
      </c>
      <c r="M3012" s="22" t="s">
        <v>12487</v>
      </c>
      <c r="N3012" s="20" t="s">
        <v>8861</v>
      </c>
      <c r="O3012" s="16" t="s">
        <v>12608</v>
      </c>
      <c r="P3012" s="143">
        <v>760</v>
      </c>
      <c r="Q3012" s="121" t="s">
        <v>14285</v>
      </c>
      <c r="R3012" s="16" t="s">
        <v>8904</v>
      </c>
      <c r="S3012" s="10" t="s">
        <v>1163</v>
      </c>
      <c r="T3012" s="28" t="s">
        <v>11988</v>
      </c>
      <c r="U3012" s="20" t="s">
        <v>5359</v>
      </c>
      <c r="V3012" s="16" t="s">
        <v>6598</v>
      </c>
      <c r="W3012" s="20" t="s">
        <v>14432</v>
      </c>
      <c r="X3012" s="174">
        <v>3.41</v>
      </c>
      <c r="Y3012" s="174">
        <v>4.4800000000000004</v>
      </c>
    </row>
    <row r="3013" spans="1:25" ht="15" customHeight="1" x14ac:dyDescent="0.25">
      <c r="A3013" s="20" t="s">
        <v>6600</v>
      </c>
      <c r="B3013" s="14" t="s">
        <v>6601</v>
      </c>
      <c r="C3013" s="71" t="str">
        <f t="shared" si="66"/>
        <v>Product Info</v>
      </c>
      <c r="D3013" s="37" t="s">
        <v>5616</v>
      </c>
      <c r="E3013" s="143">
        <v>18</v>
      </c>
      <c r="F3013" s="12" t="s">
        <v>2170</v>
      </c>
      <c r="G3013" s="38">
        <v>44.86</v>
      </c>
      <c r="H3013" s="38">
        <v>38.130000000000003</v>
      </c>
      <c r="I3013" s="38">
        <v>31.4</v>
      </c>
      <c r="J3013" s="39"/>
      <c r="K3013" s="143"/>
      <c r="L3013" s="22">
        <v>0.83299999999999996</v>
      </c>
      <c r="M3013" s="22" t="s">
        <v>12487</v>
      </c>
      <c r="N3013" s="20" t="s">
        <v>8862</v>
      </c>
      <c r="O3013" s="16" t="s">
        <v>12608</v>
      </c>
      <c r="P3013" s="143">
        <v>760</v>
      </c>
      <c r="Q3013" s="121" t="s">
        <v>14285</v>
      </c>
      <c r="R3013" s="16" t="s">
        <v>8904</v>
      </c>
      <c r="S3013" s="10" t="s">
        <v>1163</v>
      </c>
      <c r="T3013" s="28" t="s">
        <v>11989</v>
      </c>
      <c r="U3013" s="20" t="s">
        <v>5359</v>
      </c>
      <c r="V3013" s="16" t="s">
        <v>6600</v>
      </c>
      <c r="W3013" s="20" t="s">
        <v>14432</v>
      </c>
      <c r="X3013" s="174">
        <v>28.97</v>
      </c>
      <c r="Y3013" s="174">
        <v>38.130000000000003</v>
      </c>
    </row>
    <row r="3014" spans="1:25" ht="15" customHeight="1" x14ac:dyDescent="0.25">
      <c r="A3014" s="20" t="s">
        <v>6602</v>
      </c>
      <c r="B3014" s="14" t="s">
        <v>6603</v>
      </c>
      <c r="C3014" s="71" t="str">
        <f t="shared" ref="C3014:C3077" si="68">HYPERLINK(T3014,U3014)</f>
        <v>Product Info</v>
      </c>
      <c r="D3014" s="37" t="s">
        <v>5617</v>
      </c>
      <c r="E3014" s="143">
        <v>247</v>
      </c>
      <c r="F3014" s="12" t="s">
        <v>6692</v>
      </c>
      <c r="G3014" s="38">
        <v>7.43</v>
      </c>
      <c r="H3014" s="38">
        <v>6.31</v>
      </c>
      <c r="I3014" s="38">
        <v>5.2</v>
      </c>
      <c r="J3014" s="39"/>
      <c r="K3014" s="143"/>
      <c r="L3014" s="22">
        <v>0.46700000000000003</v>
      </c>
      <c r="M3014" s="22" t="s">
        <v>12487</v>
      </c>
      <c r="N3014" s="20" t="s">
        <v>8863</v>
      </c>
      <c r="O3014" s="16" t="s">
        <v>12608</v>
      </c>
      <c r="P3014" s="143">
        <v>760</v>
      </c>
      <c r="Q3014" s="121" t="s">
        <v>14285</v>
      </c>
      <c r="R3014" s="16" t="s">
        <v>8904</v>
      </c>
      <c r="S3014" s="10" t="s">
        <v>1163</v>
      </c>
      <c r="T3014" s="28" t="s">
        <v>11990</v>
      </c>
      <c r="U3014" s="20" t="s">
        <v>5359</v>
      </c>
      <c r="V3014" s="16" t="s">
        <v>6602</v>
      </c>
      <c r="W3014" s="20" t="s">
        <v>14432</v>
      </c>
      <c r="X3014" s="174">
        <v>4.8</v>
      </c>
      <c r="Y3014" s="174">
        <v>6.31</v>
      </c>
    </row>
    <row r="3015" spans="1:25" ht="15" customHeight="1" x14ac:dyDescent="0.25">
      <c r="A3015" s="20" t="s">
        <v>6604</v>
      </c>
      <c r="B3015" s="14" t="s">
        <v>6605</v>
      </c>
      <c r="C3015" s="71" t="str">
        <f t="shared" si="68"/>
        <v>Product Info</v>
      </c>
      <c r="D3015" s="37" t="s">
        <v>5618</v>
      </c>
      <c r="E3015" s="143">
        <v>247</v>
      </c>
      <c r="F3015" s="12" t="s">
        <v>6692</v>
      </c>
      <c r="G3015" s="38">
        <v>6.69</v>
      </c>
      <c r="H3015" s="38">
        <v>5.68</v>
      </c>
      <c r="I3015" s="38">
        <v>4.68</v>
      </c>
      <c r="J3015" s="39"/>
      <c r="K3015" s="143"/>
      <c r="L3015" s="22">
        <v>0.46700000000000003</v>
      </c>
      <c r="M3015" s="22" t="s">
        <v>12487</v>
      </c>
      <c r="N3015" s="20" t="s">
        <v>8861</v>
      </c>
      <c r="O3015" s="16" t="s">
        <v>12608</v>
      </c>
      <c r="P3015" s="143">
        <v>760</v>
      </c>
      <c r="Q3015" s="121" t="s">
        <v>14285</v>
      </c>
      <c r="R3015" s="16" t="s">
        <v>8904</v>
      </c>
      <c r="S3015" s="10" t="s">
        <v>1163</v>
      </c>
      <c r="T3015" s="28" t="s">
        <v>11991</v>
      </c>
      <c r="U3015" s="20" t="s">
        <v>5359</v>
      </c>
      <c r="V3015" s="16" t="s">
        <v>6604</v>
      </c>
      <c r="W3015" s="20" t="s">
        <v>14432</v>
      </c>
      <c r="X3015" s="174">
        <v>4.32</v>
      </c>
      <c r="Y3015" s="174">
        <v>5.68</v>
      </c>
    </row>
    <row r="3016" spans="1:25" ht="15" customHeight="1" x14ac:dyDescent="0.25">
      <c r="A3016" s="20" t="s">
        <v>6606</v>
      </c>
      <c r="B3016" s="14" t="s">
        <v>6607</v>
      </c>
      <c r="C3016" s="71" t="str">
        <f t="shared" si="68"/>
        <v>Product Info</v>
      </c>
      <c r="D3016" s="37" t="s">
        <v>5619</v>
      </c>
      <c r="E3016" s="143">
        <v>1</v>
      </c>
      <c r="F3016" s="12" t="s">
        <v>4992</v>
      </c>
      <c r="G3016" s="38">
        <v>13305.69</v>
      </c>
      <c r="H3016" s="38">
        <v>11310.24</v>
      </c>
      <c r="I3016" s="38">
        <v>9313.98</v>
      </c>
      <c r="J3016" s="39"/>
      <c r="K3016" s="143"/>
      <c r="L3016" s="22">
        <v>35</v>
      </c>
      <c r="M3016" s="22" t="s">
        <v>14396</v>
      </c>
      <c r="N3016" s="20" t="s">
        <v>9511</v>
      </c>
      <c r="O3016" s="16" t="s">
        <v>13914</v>
      </c>
      <c r="P3016" s="143">
        <v>760</v>
      </c>
      <c r="Q3016" s="121" t="s">
        <v>14285</v>
      </c>
      <c r="R3016" s="16" t="s">
        <v>8904</v>
      </c>
      <c r="S3016" s="10" t="s">
        <v>1163</v>
      </c>
      <c r="T3016" s="28" t="s">
        <v>11992</v>
      </c>
      <c r="U3016" s="20" t="s">
        <v>5359</v>
      </c>
      <c r="V3016" s="16" t="s">
        <v>6606</v>
      </c>
      <c r="W3016" s="20" t="s">
        <v>14432</v>
      </c>
      <c r="X3016" s="174">
        <v>8594.2099999999991</v>
      </c>
      <c r="Y3016" s="174">
        <v>11310.24</v>
      </c>
    </row>
    <row r="3017" spans="1:25" ht="15" customHeight="1" x14ac:dyDescent="0.25">
      <c r="A3017" s="20" t="s">
        <v>6608</v>
      </c>
      <c r="B3017" s="14" t="s">
        <v>6609</v>
      </c>
      <c r="C3017" s="71" t="str">
        <f t="shared" si="68"/>
        <v>Product Info</v>
      </c>
      <c r="D3017" s="37" t="s">
        <v>5620</v>
      </c>
      <c r="E3017" s="143">
        <v>18</v>
      </c>
      <c r="F3017" s="12" t="s">
        <v>2170</v>
      </c>
      <c r="G3017" s="38">
        <v>98.67</v>
      </c>
      <c r="H3017" s="38">
        <v>83.87</v>
      </c>
      <c r="I3017" s="38">
        <v>69.069999999999993</v>
      </c>
      <c r="J3017" s="39"/>
      <c r="K3017" s="143"/>
      <c r="L3017" s="22">
        <v>43</v>
      </c>
      <c r="M3017" s="22" t="s">
        <v>12488</v>
      </c>
      <c r="N3017" s="20" t="s">
        <v>8862</v>
      </c>
      <c r="O3017" s="16" t="s">
        <v>12608</v>
      </c>
      <c r="P3017" s="143">
        <v>760</v>
      </c>
      <c r="Q3017" s="121" t="s">
        <v>14285</v>
      </c>
      <c r="R3017" s="16" t="s">
        <v>8904</v>
      </c>
      <c r="S3017" s="10" t="s">
        <v>1163</v>
      </c>
      <c r="T3017" s="28" t="s">
        <v>11993</v>
      </c>
      <c r="U3017" s="20" t="s">
        <v>5359</v>
      </c>
      <c r="V3017" s="16" t="s">
        <v>6608</v>
      </c>
      <c r="W3017" s="20" t="s">
        <v>14432</v>
      </c>
      <c r="X3017" s="174">
        <v>63.73</v>
      </c>
      <c r="Y3017" s="174">
        <v>83.87</v>
      </c>
    </row>
    <row r="3018" spans="1:25" ht="15" customHeight="1" x14ac:dyDescent="0.25">
      <c r="A3018" s="20" t="s">
        <v>3657</v>
      </c>
      <c r="B3018" s="14" t="s">
        <v>3658</v>
      </c>
      <c r="C3018" s="71" t="str">
        <f t="shared" si="68"/>
        <v>Product Info</v>
      </c>
      <c r="D3018" s="37" t="s">
        <v>4122</v>
      </c>
      <c r="E3018" s="143">
        <v>165</v>
      </c>
      <c r="F3018" s="12" t="s">
        <v>6692</v>
      </c>
      <c r="G3018" s="38">
        <v>14.44</v>
      </c>
      <c r="H3018" s="38">
        <v>12.28</v>
      </c>
      <c r="I3018" s="38">
        <v>10.11</v>
      </c>
      <c r="J3018" s="39"/>
      <c r="K3018" s="143"/>
      <c r="L3018" s="22">
        <v>0.66</v>
      </c>
      <c r="M3018" s="22" t="s">
        <v>12487</v>
      </c>
      <c r="N3018" s="20" t="s">
        <v>8864</v>
      </c>
      <c r="O3018" s="16" t="s">
        <v>12608</v>
      </c>
      <c r="P3018" s="143">
        <v>760</v>
      </c>
      <c r="Q3018" s="121" t="s">
        <v>14285</v>
      </c>
      <c r="R3018" s="16" t="s">
        <v>8904</v>
      </c>
      <c r="S3018" s="10" t="s">
        <v>1163</v>
      </c>
      <c r="T3018" s="28" t="s">
        <v>11994</v>
      </c>
      <c r="U3018" s="20" t="s">
        <v>5359</v>
      </c>
      <c r="V3018" s="16" t="s">
        <v>3657</v>
      </c>
      <c r="W3018" s="20" t="s">
        <v>14432</v>
      </c>
      <c r="X3018" s="174">
        <v>9.33</v>
      </c>
      <c r="Y3018" s="174">
        <v>12.28</v>
      </c>
    </row>
    <row r="3019" spans="1:25" ht="15" customHeight="1" x14ac:dyDescent="0.25">
      <c r="A3019" s="20" t="s">
        <v>6610</v>
      </c>
      <c r="B3019" s="14" t="s">
        <v>6611</v>
      </c>
      <c r="C3019" s="71" t="str">
        <f t="shared" si="68"/>
        <v>Product Info</v>
      </c>
      <c r="D3019" s="37" t="s">
        <v>5621</v>
      </c>
      <c r="E3019" s="143">
        <v>1</v>
      </c>
      <c r="F3019" s="12" t="s">
        <v>2170</v>
      </c>
      <c r="G3019" s="38">
        <v>403.27</v>
      </c>
      <c r="H3019" s="38">
        <v>342.79</v>
      </c>
      <c r="I3019" s="38">
        <v>282.29000000000002</v>
      </c>
      <c r="J3019" s="39"/>
      <c r="K3019" s="143"/>
      <c r="L3019" s="22">
        <v>2.4</v>
      </c>
      <c r="M3019" s="22" t="s">
        <v>12488</v>
      </c>
      <c r="N3019" s="20" t="s">
        <v>9512</v>
      </c>
      <c r="O3019" s="16" t="s">
        <v>12608</v>
      </c>
      <c r="P3019" s="143">
        <v>760</v>
      </c>
      <c r="Q3019" s="121" t="s">
        <v>14285</v>
      </c>
      <c r="R3019" s="16" t="s">
        <v>8904</v>
      </c>
      <c r="S3019" s="10" t="s">
        <v>1163</v>
      </c>
      <c r="T3019" s="28" t="s">
        <v>11995</v>
      </c>
      <c r="U3019" s="20" t="s">
        <v>5359</v>
      </c>
      <c r="V3019" s="16" t="s">
        <v>6610</v>
      </c>
      <c r="W3019" s="20" t="s">
        <v>14432</v>
      </c>
      <c r="X3019" s="174">
        <v>260.47000000000003</v>
      </c>
      <c r="Y3019" s="174">
        <v>342.79</v>
      </c>
    </row>
    <row r="3020" spans="1:25" ht="15" customHeight="1" x14ac:dyDescent="0.25">
      <c r="A3020" s="20" t="s">
        <v>6612</v>
      </c>
      <c r="B3020" s="14" t="s">
        <v>6613</v>
      </c>
      <c r="C3020" s="71" t="str">
        <f t="shared" si="68"/>
        <v>Product Info</v>
      </c>
      <c r="D3020" s="37" t="s">
        <v>5622</v>
      </c>
      <c r="E3020" s="143">
        <v>1</v>
      </c>
      <c r="F3020" s="12" t="s">
        <v>4992</v>
      </c>
      <c r="G3020" s="38">
        <v>403.27</v>
      </c>
      <c r="H3020" s="38">
        <v>342.79</v>
      </c>
      <c r="I3020" s="38">
        <v>282.29000000000002</v>
      </c>
      <c r="J3020" s="39"/>
      <c r="K3020" s="143"/>
      <c r="L3020" s="22">
        <v>1.96</v>
      </c>
      <c r="M3020" s="22" t="s">
        <v>12488</v>
      </c>
      <c r="N3020" s="20" t="s">
        <v>8873</v>
      </c>
      <c r="O3020" s="16" t="s">
        <v>12608</v>
      </c>
      <c r="P3020" s="143">
        <v>760</v>
      </c>
      <c r="Q3020" s="121" t="s">
        <v>14285</v>
      </c>
      <c r="R3020" s="16" t="s">
        <v>8904</v>
      </c>
      <c r="S3020" s="10" t="s">
        <v>1163</v>
      </c>
      <c r="T3020" s="28" t="s">
        <v>11996</v>
      </c>
      <c r="U3020" s="20" t="s">
        <v>5359</v>
      </c>
      <c r="V3020" s="16" t="s">
        <v>6612</v>
      </c>
      <c r="W3020" s="20" t="s">
        <v>14432</v>
      </c>
      <c r="X3020" s="174">
        <v>260.47000000000003</v>
      </c>
      <c r="Y3020" s="174">
        <v>342.79</v>
      </c>
    </row>
    <row r="3021" spans="1:25" ht="15" customHeight="1" x14ac:dyDescent="0.25">
      <c r="A3021" s="20" t="s">
        <v>1369</v>
      </c>
      <c r="B3021" s="14" t="s">
        <v>1370</v>
      </c>
      <c r="C3021" s="71" t="str">
        <f t="shared" si="68"/>
        <v>Product Info</v>
      </c>
      <c r="D3021" s="37" t="s">
        <v>3904</v>
      </c>
      <c r="E3021" s="143">
        <v>25</v>
      </c>
      <c r="F3021" s="12" t="s">
        <v>2170</v>
      </c>
      <c r="G3021" s="38">
        <v>12.97</v>
      </c>
      <c r="H3021" s="38">
        <f t="shared" ref="H3021:H3038" si="69">I3021</f>
        <v>9.08</v>
      </c>
      <c r="I3021" s="38">
        <v>9.08</v>
      </c>
      <c r="J3021" s="39"/>
      <c r="K3021" s="143"/>
      <c r="L3021" s="22">
        <v>0.96</v>
      </c>
      <c r="M3021" s="22" t="s">
        <v>12488</v>
      </c>
      <c r="N3021" s="20" t="s">
        <v>9318</v>
      </c>
      <c r="O3021" s="16" t="s">
        <v>12608</v>
      </c>
      <c r="P3021" s="143">
        <v>755</v>
      </c>
      <c r="Q3021" s="122" t="s">
        <v>12421</v>
      </c>
      <c r="R3021" s="16" t="s">
        <v>8904</v>
      </c>
      <c r="S3021" s="10" t="s">
        <v>194</v>
      </c>
      <c r="T3021" s="28" t="s">
        <v>11997</v>
      </c>
      <c r="U3021" s="20" t="s">
        <v>5359</v>
      </c>
      <c r="V3021" s="16" t="s">
        <v>1369</v>
      </c>
      <c r="W3021" s="11" t="s">
        <v>14433</v>
      </c>
      <c r="X3021" s="174">
        <v>5.79</v>
      </c>
      <c r="Y3021" s="174">
        <v>9.08</v>
      </c>
    </row>
    <row r="3022" spans="1:25" ht="15" customHeight="1" x14ac:dyDescent="0.25">
      <c r="A3022" s="20" t="s">
        <v>1371</v>
      </c>
      <c r="B3022" s="14" t="s">
        <v>1372</v>
      </c>
      <c r="C3022" s="71" t="str">
        <f t="shared" si="68"/>
        <v>Product Info</v>
      </c>
      <c r="D3022" s="37" t="s">
        <v>3905</v>
      </c>
      <c r="E3022" s="143">
        <v>100</v>
      </c>
      <c r="F3022" s="12" t="s">
        <v>6692</v>
      </c>
      <c r="G3022" s="38">
        <v>2.61</v>
      </c>
      <c r="H3022" s="38">
        <f t="shared" si="69"/>
        <v>1.83</v>
      </c>
      <c r="I3022" s="38">
        <v>1.83</v>
      </c>
      <c r="J3022" s="39"/>
      <c r="K3022" s="143"/>
      <c r="L3022" s="22">
        <v>14</v>
      </c>
      <c r="M3022" s="22" t="s">
        <v>12488</v>
      </c>
      <c r="N3022" s="20" t="s">
        <v>9398</v>
      </c>
      <c r="O3022" s="16" t="s">
        <v>12608</v>
      </c>
      <c r="P3022" s="143">
        <v>755</v>
      </c>
      <c r="Q3022" s="122" t="s">
        <v>12421</v>
      </c>
      <c r="R3022" s="16" t="s">
        <v>8904</v>
      </c>
      <c r="S3022" s="10" t="s">
        <v>194</v>
      </c>
      <c r="T3022" s="28" t="s">
        <v>11998</v>
      </c>
      <c r="U3022" s="20" t="s">
        <v>5359</v>
      </c>
      <c r="V3022" s="16" t="s">
        <v>1371</v>
      </c>
      <c r="W3022" s="11" t="s">
        <v>14433</v>
      </c>
      <c r="X3022" s="174">
        <v>1.1599999999999999</v>
      </c>
      <c r="Y3022" s="174">
        <v>1.83</v>
      </c>
    </row>
    <row r="3023" spans="1:25" ht="15" customHeight="1" x14ac:dyDescent="0.25">
      <c r="A3023" s="20" t="s">
        <v>1373</v>
      </c>
      <c r="B3023" s="14" t="s">
        <v>1374</v>
      </c>
      <c r="C3023" s="71" t="str">
        <f t="shared" si="68"/>
        <v>Product Info</v>
      </c>
      <c r="D3023" s="37" t="s">
        <v>3906</v>
      </c>
      <c r="E3023" s="143">
        <v>5</v>
      </c>
      <c r="F3023" s="12" t="s">
        <v>2170</v>
      </c>
      <c r="G3023" s="38">
        <v>56.19</v>
      </c>
      <c r="H3023" s="38">
        <f t="shared" si="69"/>
        <v>39.33</v>
      </c>
      <c r="I3023" s="38">
        <v>39.33</v>
      </c>
      <c r="J3023" s="39"/>
      <c r="K3023" s="143"/>
      <c r="L3023" s="22">
        <v>2.0110000000000001</v>
      </c>
      <c r="M3023" s="22" t="s">
        <v>12488</v>
      </c>
      <c r="N3023" s="20" t="s">
        <v>9401</v>
      </c>
      <c r="O3023" s="16" t="s">
        <v>12608</v>
      </c>
      <c r="P3023" s="143">
        <v>755</v>
      </c>
      <c r="Q3023" s="122" t="s">
        <v>12421</v>
      </c>
      <c r="R3023" s="16" t="s">
        <v>8904</v>
      </c>
      <c r="S3023" s="10" t="s">
        <v>194</v>
      </c>
      <c r="T3023" s="28" t="s">
        <v>11999</v>
      </c>
      <c r="U3023" s="20" t="s">
        <v>5359</v>
      </c>
      <c r="V3023" s="16" t="s">
        <v>1373</v>
      </c>
      <c r="W3023" s="11" t="s">
        <v>14433</v>
      </c>
      <c r="X3023" s="174">
        <v>25.06</v>
      </c>
      <c r="Y3023" s="174">
        <v>39.33</v>
      </c>
    </row>
    <row r="3024" spans="1:25" ht="15" customHeight="1" x14ac:dyDescent="0.25">
      <c r="A3024" s="20" t="s">
        <v>1375</v>
      </c>
      <c r="B3024" s="14" t="s">
        <v>1376</v>
      </c>
      <c r="C3024" s="71" t="str">
        <f t="shared" si="68"/>
        <v>Product Info</v>
      </c>
      <c r="D3024" s="37" t="s">
        <v>3907</v>
      </c>
      <c r="E3024" s="143">
        <v>5</v>
      </c>
      <c r="F3024" s="12" t="s">
        <v>2170</v>
      </c>
      <c r="G3024" s="38">
        <v>78.290000000000006</v>
      </c>
      <c r="H3024" s="38">
        <f t="shared" si="69"/>
        <v>54.8</v>
      </c>
      <c r="I3024" s="38">
        <v>54.8</v>
      </c>
      <c r="J3024" s="39"/>
      <c r="K3024" s="143"/>
      <c r="L3024" s="22">
        <v>30</v>
      </c>
      <c r="M3024" s="22" t="s">
        <v>12488</v>
      </c>
      <c r="N3024" s="20" t="s">
        <v>9513</v>
      </c>
      <c r="O3024" s="16" t="s">
        <v>12608</v>
      </c>
      <c r="P3024" s="143">
        <v>755</v>
      </c>
      <c r="Q3024" s="122" t="s">
        <v>12421</v>
      </c>
      <c r="R3024" s="16" t="s">
        <v>8904</v>
      </c>
      <c r="S3024" s="10" t="s">
        <v>194</v>
      </c>
      <c r="T3024" s="28" t="s">
        <v>12000</v>
      </c>
      <c r="U3024" s="20" t="s">
        <v>5359</v>
      </c>
      <c r="V3024" s="16" t="s">
        <v>1375</v>
      </c>
      <c r="W3024" s="11" t="s">
        <v>14433</v>
      </c>
      <c r="X3024" s="174">
        <v>34.92</v>
      </c>
      <c r="Y3024" s="174">
        <v>54.8</v>
      </c>
    </row>
    <row r="3025" spans="1:25" ht="15" customHeight="1" x14ac:dyDescent="0.25">
      <c r="A3025" s="20" t="s">
        <v>1377</v>
      </c>
      <c r="B3025" s="14" t="s">
        <v>1378</v>
      </c>
      <c r="C3025" s="71" t="str">
        <f t="shared" si="68"/>
        <v>Product Info</v>
      </c>
      <c r="D3025" s="37" t="s">
        <v>3908</v>
      </c>
      <c r="E3025" s="143">
        <v>5</v>
      </c>
      <c r="F3025" s="12" t="s">
        <v>2170</v>
      </c>
      <c r="G3025" s="38">
        <v>108.11</v>
      </c>
      <c r="H3025" s="38">
        <f t="shared" si="69"/>
        <v>75.680000000000007</v>
      </c>
      <c r="I3025" s="38">
        <v>75.680000000000007</v>
      </c>
      <c r="J3025" s="39"/>
      <c r="K3025" s="143"/>
      <c r="L3025" s="22">
        <v>2</v>
      </c>
      <c r="M3025" s="22" t="s">
        <v>12488</v>
      </c>
      <c r="N3025" s="20" t="s">
        <v>9397</v>
      </c>
      <c r="O3025" s="16" t="s">
        <v>12608</v>
      </c>
      <c r="P3025" s="143">
        <v>755</v>
      </c>
      <c r="Q3025" s="122" t="s">
        <v>12421</v>
      </c>
      <c r="R3025" s="16" t="s">
        <v>8904</v>
      </c>
      <c r="S3025" s="10" t="s">
        <v>194</v>
      </c>
      <c r="T3025" s="28" t="s">
        <v>12001</v>
      </c>
      <c r="U3025" s="20" t="s">
        <v>5359</v>
      </c>
      <c r="V3025" s="16" t="s">
        <v>1377</v>
      </c>
      <c r="W3025" s="11" t="s">
        <v>14433</v>
      </c>
      <c r="X3025" s="174">
        <v>48.22</v>
      </c>
      <c r="Y3025" s="174">
        <v>75.680000000000007</v>
      </c>
    </row>
    <row r="3026" spans="1:25" ht="15" customHeight="1" x14ac:dyDescent="0.25">
      <c r="A3026" s="20" t="s">
        <v>1379</v>
      </c>
      <c r="B3026" s="14" t="s">
        <v>1380</v>
      </c>
      <c r="C3026" s="71" t="str">
        <f t="shared" si="68"/>
        <v>Product Info</v>
      </c>
      <c r="D3026" s="37" t="s">
        <v>5065</v>
      </c>
      <c r="E3026" s="143">
        <v>5</v>
      </c>
      <c r="F3026" s="12" t="s">
        <v>2170</v>
      </c>
      <c r="G3026" s="38">
        <v>100.84</v>
      </c>
      <c r="H3026" s="38">
        <f t="shared" si="69"/>
        <v>70.59</v>
      </c>
      <c r="I3026" s="38">
        <v>70.59</v>
      </c>
      <c r="J3026" s="39"/>
      <c r="K3026" s="143"/>
      <c r="L3026" s="22">
        <v>32</v>
      </c>
      <c r="M3026" s="22" t="s">
        <v>12488</v>
      </c>
      <c r="N3026" s="20" t="s">
        <v>9513</v>
      </c>
      <c r="O3026" s="16" t="s">
        <v>12608</v>
      </c>
      <c r="P3026" s="143">
        <v>755</v>
      </c>
      <c r="Q3026" s="121" t="s">
        <v>14285</v>
      </c>
      <c r="R3026" s="16" t="s">
        <v>8904</v>
      </c>
      <c r="S3026" s="10" t="s">
        <v>194</v>
      </c>
      <c r="T3026" s="28" t="s">
        <v>12002</v>
      </c>
      <c r="U3026" s="20" t="s">
        <v>5359</v>
      </c>
      <c r="V3026" s="16" t="s">
        <v>1379</v>
      </c>
      <c r="W3026" s="11" t="s">
        <v>14433</v>
      </c>
      <c r="X3026" s="174">
        <v>44.98</v>
      </c>
      <c r="Y3026" s="174">
        <v>70.59</v>
      </c>
    </row>
    <row r="3027" spans="1:25" ht="15" customHeight="1" x14ac:dyDescent="0.25">
      <c r="A3027" s="20" t="s">
        <v>5475</v>
      </c>
      <c r="B3027" s="14" t="s">
        <v>5476</v>
      </c>
      <c r="C3027" s="71" t="str">
        <f t="shared" si="68"/>
        <v>Product Info</v>
      </c>
      <c r="D3027" s="37" t="s">
        <v>4957</v>
      </c>
      <c r="E3027" s="143">
        <v>10</v>
      </c>
      <c r="F3027" s="12" t="s">
        <v>4992</v>
      </c>
      <c r="G3027" s="38">
        <v>11.37</v>
      </c>
      <c r="H3027" s="38">
        <f t="shared" si="69"/>
        <v>7.96</v>
      </c>
      <c r="I3027" s="38">
        <v>7.96</v>
      </c>
      <c r="J3027" s="39"/>
      <c r="K3027" s="143"/>
      <c r="L3027" s="22">
        <v>0</v>
      </c>
      <c r="M3027" s="22">
        <v>0</v>
      </c>
      <c r="N3027" s="20" t="s">
        <v>14489</v>
      </c>
      <c r="O3027" s="16">
        <v>0</v>
      </c>
      <c r="P3027" s="143">
        <v>755</v>
      </c>
      <c r="Q3027" s="121" t="s">
        <v>14285</v>
      </c>
      <c r="R3027" s="16" t="s">
        <v>8904</v>
      </c>
      <c r="S3027" s="10" t="s">
        <v>194</v>
      </c>
      <c r="T3027" s="28" t="s">
        <v>12003</v>
      </c>
      <c r="U3027" s="20" t="s">
        <v>5359</v>
      </c>
      <c r="V3027" s="16" t="s">
        <v>5475</v>
      </c>
      <c r="W3027" s="11" t="s">
        <v>14433</v>
      </c>
      <c r="X3027" s="174">
        <v>5.07</v>
      </c>
      <c r="Y3027" s="174">
        <v>7.96</v>
      </c>
    </row>
    <row r="3028" spans="1:25" ht="15" customHeight="1" x14ac:dyDescent="0.25">
      <c r="A3028" s="20" t="s">
        <v>1381</v>
      </c>
      <c r="B3028" s="14" t="s">
        <v>1382</v>
      </c>
      <c r="C3028" s="71" t="str">
        <f t="shared" si="68"/>
        <v>Product Info</v>
      </c>
      <c r="D3028" s="37" t="s">
        <v>5066</v>
      </c>
      <c r="E3028" s="143">
        <v>25</v>
      </c>
      <c r="F3028" s="12" t="s">
        <v>2170</v>
      </c>
      <c r="G3028" s="38">
        <v>12.6</v>
      </c>
      <c r="H3028" s="38">
        <f t="shared" si="69"/>
        <v>8.82</v>
      </c>
      <c r="I3028" s="38">
        <v>8.82</v>
      </c>
      <c r="J3028" s="39"/>
      <c r="K3028" s="143"/>
      <c r="L3028" s="22">
        <v>0.24</v>
      </c>
      <c r="M3028" s="22" t="s">
        <v>12488</v>
      </c>
      <c r="N3028" s="20" t="s">
        <v>9514</v>
      </c>
      <c r="O3028" s="16" t="s">
        <v>12608</v>
      </c>
      <c r="P3028" s="143">
        <v>755</v>
      </c>
      <c r="Q3028" s="122" t="s">
        <v>14461</v>
      </c>
      <c r="R3028" s="16" t="s">
        <v>8904</v>
      </c>
      <c r="S3028" s="10" t="s">
        <v>194</v>
      </c>
      <c r="T3028" s="28" t="s">
        <v>12004</v>
      </c>
      <c r="U3028" s="20" t="s">
        <v>5359</v>
      </c>
      <c r="V3028" s="16" t="s">
        <v>1381</v>
      </c>
      <c r="W3028" s="11" t="s">
        <v>14433</v>
      </c>
      <c r="X3028" s="174">
        <v>5.62</v>
      </c>
      <c r="Y3028" s="174">
        <v>8.82</v>
      </c>
    </row>
    <row r="3029" spans="1:25" ht="15" customHeight="1" x14ac:dyDescent="0.25">
      <c r="A3029" s="20" t="s">
        <v>1383</v>
      </c>
      <c r="B3029" s="14" t="s">
        <v>1384</v>
      </c>
      <c r="C3029" s="71" t="str">
        <f t="shared" si="68"/>
        <v>Product Info</v>
      </c>
      <c r="D3029" s="37" t="s">
        <v>4021</v>
      </c>
      <c r="E3029" s="143">
        <v>100</v>
      </c>
      <c r="F3029" s="12" t="s">
        <v>6692</v>
      </c>
      <c r="G3029" s="38">
        <v>2.84</v>
      </c>
      <c r="H3029" s="38">
        <f t="shared" si="69"/>
        <v>1.99</v>
      </c>
      <c r="I3029" s="38">
        <v>1.99</v>
      </c>
      <c r="J3029" s="39"/>
      <c r="K3029" s="12" t="s">
        <v>8905</v>
      </c>
      <c r="L3029" s="22">
        <v>11.6</v>
      </c>
      <c r="M3029" s="22" t="s">
        <v>12488</v>
      </c>
      <c r="N3029" s="20" t="s">
        <v>9398</v>
      </c>
      <c r="O3029" s="16" t="s">
        <v>12608</v>
      </c>
      <c r="P3029" s="143">
        <v>755</v>
      </c>
      <c r="Q3029" s="122" t="s">
        <v>14461</v>
      </c>
      <c r="R3029" s="16" t="s">
        <v>8904</v>
      </c>
      <c r="S3029" s="10" t="s">
        <v>194</v>
      </c>
      <c r="T3029" s="28" t="s">
        <v>12005</v>
      </c>
      <c r="U3029" s="20" t="s">
        <v>5359</v>
      </c>
      <c r="V3029" s="16" t="s">
        <v>1383</v>
      </c>
      <c r="W3029" s="11" t="s">
        <v>14433</v>
      </c>
      <c r="X3029" s="174">
        <v>1.27</v>
      </c>
      <c r="Y3029" s="174">
        <v>1.99</v>
      </c>
    </row>
    <row r="3030" spans="1:25" ht="15" customHeight="1" x14ac:dyDescent="0.25">
      <c r="A3030" s="20" t="s">
        <v>1385</v>
      </c>
      <c r="B3030" s="14" t="s">
        <v>1386</v>
      </c>
      <c r="C3030" s="71" t="str">
        <f t="shared" si="68"/>
        <v>Product Info</v>
      </c>
      <c r="D3030" s="37" t="s">
        <v>4871</v>
      </c>
      <c r="E3030" s="143">
        <v>25</v>
      </c>
      <c r="F3030" s="12" t="s">
        <v>2170</v>
      </c>
      <c r="G3030" s="38">
        <v>17.899999999999999</v>
      </c>
      <c r="H3030" s="38">
        <f t="shared" si="69"/>
        <v>12.53</v>
      </c>
      <c r="I3030" s="38">
        <v>12.53</v>
      </c>
      <c r="J3030" s="39"/>
      <c r="K3030" s="143"/>
      <c r="L3030" s="22">
        <v>0.31119999999999998</v>
      </c>
      <c r="M3030" s="22" t="s">
        <v>12488</v>
      </c>
      <c r="N3030" s="20" t="s">
        <v>9322</v>
      </c>
      <c r="O3030" s="16" t="s">
        <v>12608</v>
      </c>
      <c r="P3030" s="143">
        <v>755</v>
      </c>
      <c r="Q3030" s="122" t="s">
        <v>14461</v>
      </c>
      <c r="R3030" s="16" t="s">
        <v>8904</v>
      </c>
      <c r="S3030" s="10" t="s">
        <v>194</v>
      </c>
      <c r="T3030" s="28" t="s">
        <v>12006</v>
      </c>
      <c r="U3030" s="20" t="s">
        <v>5359</v>
      </c>
      <c r="V3030" s="16" t="s">
        <v>1385</v>
      </c>
      <c r="W3030" s="11" t="s">
        <v>14433</v>
      </c>
      <c r="X3030" s="174">
        <v>7.99</v>
      </c>
      <c r="Y3030" s="174">
        <v>12.53</v>
      </c>
    </row>
    <row r="3031" spans="1:25" ht="15" customHeight="1" x14ac:dyDescent="0.25">
      <c r="A3031" s="20" t="s">
        <v>1387</v>
      </c>
      <c r="B3031" s="14" t="s">
        <v>1388</v>
      </c>
      <c r="C3031" s="71" t="str">
        <f t="shared" si="68"/>
        <v>Product Info</v>
      </c>
      <c r="D3031" s="37" t="s">
        <v>4872</v>
      </c>
      <c r="E3031" s="143">
        <v>100</v>
      </c>
      <c r="F3031" s="12" t="s">
        <v>6692</v>
      </c>
      <c r="G3031" s="38">
        <v>3.21</v>
      </c>
      <c r="H3031" s="38">
        <f t="shared" si="69"/>
        <v>2.25</v>
      </c>
      <c r="I3031" s="38">
        <v>2.25</v>
      </c>
      <c r="J3031" s="39"/>
      <c r="K3031" s="143"/>
      <c r="L3031" s="22">
        <v>0.14000000000000001</v>
      </c>
      <c r="M3031" s="22" t="s">
        <v>12488</v>
      </c>
      <c r="N3031" s="20" t="s">
        <v>9398</v>
      </c>
      <c r="O3031" s="16" t="s">
        <v>12608</v>
      </c>
      <c r="P3031" s="143">
        <v>755</v>
      </c>
      <c r="Q3031" s="122" t="s">
        <v>12421</v>
      </c>
      <c r="R3031" s="16" t="s">
        <v>8904</v>
      </c>
      <c r="S3031" s="10" t="s">
        <v>194</v>
      </c>
      <c r="T3031" s="28" t="s">
        <v>12007</v>
      </c>
      <c r="U3031" s="20" t="s">
        <v>5359</v>
      </c>
      <c r="V3031" s="16" t="s">
        <v>1387</v>
      </c>
      <c r="W3031" s="11" t="s">
        <v>14433</v>
      </c>
      <c r="X3031" s="174">
        <v>1.44</v>
      </c>
      <c r="Y3031" s="174">
        <v>2.25</v>
      </c>
    </row>
    <row r="3032" spans="1:25" ht="15" customHeight="1" x14ac:dyDescent="0.25">
      <c r="A3032" s="20" t="s">
        <v>5477</v>
      </c>
      <c r="B3032" s="14" t="s">
        <v>5676</v>
      </c>
      <c r="C3032" s="71" t="str">
        <f t="shared" si="68"/>
        <v>Product Info</v>
      </c>
      <c r="D3032" s="37" t="s">
        <v>4958</v>
      </c>
      <c r="E3032" s="143">
        <v>10</v>
      </c>
      <c r="F3032" s="12" t="s">
        <v>4992</v>
      </c>
      <c r="G3032" s="38">
        <v>25.07</v>
      </c>
      <c r="H3032" s="38">
        <f t="shared" si="69"/>
        <v>17.55</v>
      </c>
      <c r="I3032" s="38">
        <v>17.55</v>
      </c>
      <c r="J3032" s="39"/>
      <c r="K3032" s="143"/>
      <c r="L3032" s="22">
        <v>0</v>
      </c>
      <c r="M3032" s="22">
        <v>0</v>
      </c>
      <c r="N3032" s="20" t="s">
        <v>14489</v>
      </c>
      <c r="O3032" s="16">
        <v>0</v>
      </c>
      <c r="P3032" s="143">
        <v>755</v>
      </c>
      <c r="Q3032" s="121" t="s">
        <v>14285</v>
      </c>
      <c r="R3032" s="16" t="s">
        <v>8904</v>
      </c>
      <c r="S3032" s="10" t="s">
        <v>194</v>
      </c>
      <c r="T3032" s="28" t="s">
        <v>12008</v>
      </c>
      <c r="U3032" s="20" t="s">
        <v>5359</v>
      </c>
      <c r="V3032" s="16" t="s">
        <v>5477</v>
      </c>
      <c r="W3032" s="11" t="s">
        <v>14433</v>
      </c>
      <c r="X3032" s="174">
        <v>11.19</v>
      </c>
      <c r="Y3032" s="174">
        <v>17.55</v>
      </c>
    </row>
    <row r="3033" spans="1:25" ht="15" customHeight="1" x14ac:dyDescent="0.25">
      <c r="A3033" s="20" t="s">
        <v>1389</v>
      </c>
      <c r="B3033" s="14" t="s">
        <v>4839</v>
      </c>
      <c r="C3033" s="71" t="str">
        <f t="shared" si="68"/>
        <v>Product Info</v>
      </c>
      <c r="D3033" s="37" t="s">
        <v>4829</v>
      </c>
      <c r="E3033" s="143">
        <v>25</v>
      </c>
      <c r="F3033" s="12" t="s">
        <v>2170</v>
      </c>
      <c r="G3033" s="38">
        <v>22.09</v>
      </c>
      <c r="H3033" s="38">
        <f t="shared" si="69"/>
        <v>15.46</v>
      </c>
      <c r="I3033" s="38">
        <v>15.46</v>
      </c>
      <c r="J3033" s="39"/>
      <c r="K3033" s="12" t="s">
        <v>8905</v>
      </c>
      <c r="L3033" s="22">
        <v>0.49640000000000001</v>
      </c>
      <c r="M3033" s="22" t="s">
        <v>12488</v>
      </c>
      <c r="N3033" s="20" t="s">
        <v>9465</v>
      </c>
      <c r="O3033" s="16" t="s">
        <v>12608</v>
      </c>
      <c r="P3033" s="143">
        <v>755</v>
      </c>
      <c r="Q3033" s="122" t="s">
        <v>14461</v>
      </c>
      <c r="R3033" s="16" t="s">
        <v>8904</v>
      </c>
      <c r="S3033" s="10" t="s">
        <v>194</v>
      </c>
      <c r="T3033" s="28" t="s">
        <v>12009</v>
      </c>
      <c r="U3033" s="20" t="s">
        <v>5359</v>
      </c>
      <c r="V3033" s="16" t="s">
        <v>1389</v>
      </c>
      <c r="W3033" s="11" t="s">
        <v>14433</v>
      </c>
      <c r="X3033" s="174">
        <v>9.85</v>
      </c>
      <c r="Y3033" s="174">
        <v>15.46</v>
      </c>
    </row>
    <row r="3034" spans="1:25" ht="15" customHeight="1" x14ac:dyDescent="0.25">
      <c r="A3034" s="20" t="s">
        <v>4840</v>
      </c>
      <c r="B3034" s="14" t="s">
        <v>4841</v>
      </c>
      <c r="C3034" s="71" t="str">
        <f t="shared" si="68"/>
        <v>Product Info</v>
      </c>
      <c r="D3034" s="37" t="s">
        <v>4830</v>
      </c>
      <c r="E3034" s="143">
        <v>100</v>
      </c>
      <c r="F3034" s="12" t="s">
        <v>6692</v>
      </c>
      <c r="G3034" s="38">
        <v>3.99</v>
      </c>
      <c r="H3034" s="38">
        <f t="shared" si="69"/>
        <v>2.79</v>
      </c>
      <c r="I3034" s="38">
        <v>2.79</v>
      </c>
      <c r="J3034" s="39"/>
      <c r="K3034" s="12" t="s">
        <v>8905</v>
      </c>
      <c r="L3034" s="22">
        <v>10</v>
      </c>
      <c r="M3034" s="22" t="s">
        <v>12488</v>
      </c>
      <c r="N3034" s="20" t="s">
        <v>9515</v>
      </c>
      <c r="O3034" s="16" t="s">
        <v>12608</v>
      </c>
      <c r="P3034" s="143">
        <v>755</v>
      </c>
      <c r="Q3034" s="122" t="s">
        <v>14461</v>
      </c>
      <c r="R3034" s="16" t="s">
        <v>8904</v>
      </c>
      <c r="S3034" s="10" t="s">
        <v>194</v>
      </c>
      <c r="T3034" s="28" t="s">
        <v>12010</v>
      </c>
      <c r="U3034" s="20" t="s">
        <v>5359</v>
      </c>
      <c r="V3034" s="16" t="s">
        <v>4840</v>
      </c>
      <c r="W3034" s="11" t="s">
        <v>14433</v>
      </c>
      <c r="X3034" s="174">
        <v>1.77</v>
      </c>
      <c r="Y3034" s="174">
        <v>2.79</v>
      </c>
    </row>
    <row r="3035" spans="1:25" ht="15" customHeight="1" x14ac:dyDescent="0.25">
      <c r="A3035" s="20" t="s">
        <v>4842</v>
      </c>
      <c r="B3035" s="14" t="s">
        <v>4843</v>
      </c>
      <c r="C3035" s="71" t="str">
        <f t="shared" si="68"/>
        <v>Product Info</v>
      </c>
      <c r="D3035" s="37" t="s">
        <v>3746</v>
      </c>
      <c r="E3035" s="143">
        <v>15</v>
      </c>
      <c r="F3035" s="12" t="s">
        <v>2170</v>
      </c>
      <c r="G3035" s="38">
        <v>23.9</v>
      </c>
      <c r="H3035" s="38">
        <f t="shared" si="69"/>
        <v>16.73</v>
      </c>
      <c r="I3035" s="38">
        <v>16.73</v>
      </c>
      <c r="J3035" s="39"/>
      <c r="K3035" s="12" t="s">
        <v>8905</v>
      </c>
      <c r="L3035" s="22">
        <v>1</v>
      </c>
      <c r="M3035" s="22" t="s">
        <v>14396</v>
      </c>
      <c r="N3035" s="20" t="s">
        <v>9516</v>
      </c>
      <c r="O3035" s="16" t="s">
        <v>12608</v>
      </c>
      <c r="P3035" s="143">
        <v>755</v>
      </c>
      <c r="Q3035" s="122" t="s">
        <v>14461</v>
      </c>
      <c r="R3035" s="16" t="s">
        <v>8904</v>
      </c>
      <c r="S3035" s="10" t="s">
        <v>194</v>
      </c>
      <c r="T3035" s="28" t="s">
        <v>12011</v>
      </c>
      <c r="U3035" s="20" t="s">
        <v>5359</v>
      </c>
      <c r="V3035" s="16" t="s">
        <v>4842</v>
      </c>
      <c r="W3035" s="11" t="s">
        <v>14433</v>
      </c>
      <c r="X3035" s="174">
        <v>10.66</v>
      </c>
      <c r="Y3035" s="174">
        <v>16.73</v>
      </c>
    </row>
    <row r="3036" spans="1:25" ht="15" customHeight="1" x14ac:dyDescent="0.25">
      <c r="A3036" s="20" t="s">
        <v>3385</v>
      </c>
      <c r="B3036" s="14" t="s">
        <v>3386</v>
      </c>
      <c r="C3036" s="71" t="str">
        <f t="shared" si="68"/>
        <v>Product Info</v>
      </c>
      <c r="D3036" s="37" t="s">
        <v>2100</v>
      </c>
      <c r="E3036" s="143">
        <v>75</v>
      </c>
      <c r="F3036" s="12" t="s">
        <v>6692</v>
      </c>
      <c r="G3036" s="38">
        <v>5.34</v>
      </c>
      <c r="H3036" s="38">
        <f t="shared" si="69"/>
        <v>3.74</v>
      </c>
      <c r="I3036" s="38">
        <v>3.74</v>
      </c>
      <c r="J3036" s="39"/>
      <c r="K3036" s="12" t="s">
        <v>8905</v>
      </c>
      <c r="L3036" s="22">
        <v>1</v>
      </c>
      <c r="M3036" s="22" t="s">
        <v>12488</v>
      </c>
      <c r="N3036" s="20" t="s">
        <v>9284</v>
      </c>
      <c r="O3036" s="16" t="s">
        <v>12608</v>
      </c>
      <c r="P3036" s="143">
        <v>755</v>
      </c>
      <c r="Q3036" s="122" t="s">
        <v>14461</v>
      </c>
      <c r="R3036" s="16" t="s">
        <v>8904</v>
      </c>
      <c r="S3036" s="10" t="s">
        <v>194</v>
      </c>
      <c r="T3036" s="28" t="s">
        <v>12012</v>
      </c>
      <c r="U3036" s="20" t="s">
        <v>5359</v>
      </c>
      <c r="V3036" s="16" t="s">
        <v>3385</v>
      </c>
      <c r="W3036" s="11" t="s">
        <v>14433</v>
      </c>
      <c r="X3036" s="174">
        <v>2.38</v>
      </c>
      <c r="Y3036" s="174">
        <v>3.74</v>
      </c>
    </row>
    <row r="3037" spans="1:25" ht="15" customHeight="1" x14ac:dyDescent="0.25">
      <c r="A3037" s="20" t="s">
        <v>3387</v>
      </c>
      <c r="B3037" s="14" t="s">
        <v>3388</v>
      </c>
      <c r="C3037" s="71" t="str">
        <f t="shared" si="68"/>
        <v>Product Info</v>
      </c>
      <c r="D3037" s="37" t="s">
        <v>2101</v>
      </c>
      <c r="E3037" s="143">
        <v>5</v>
      </c>
      <c r="F3037" s="12" t="s">
        <v>2170</v>
      </c>
      <c r="G3037" s="38">
        <v>40.86</v>
      </c>
      <c r="H3037" s="38">
        <f t="shared" si="69"/>
        <v>28.6</v>
      </c>
      <c r="I3037" s="38">
        <v>28.6</v>
      </c>
      <c r="J3037" s="39"/>
      <c r="K3037" s="143" t="s">
        <v>8905</v>
      </c>
      <c r="L3037" s="22">
        <v>2.6</v>
      </c>
      <c r="M3037" s="22" t="s">
        <v>12488</v>
      </c>
      <c r="N3037" s="20" t="s">
        <v>9465</v>
      </c>
      <c r="O3037" s="16" t="s">
        <v>12608</v>
      </c>
      <c r="P3037" s="143">
        <v>755</v>
      </c>
      <c r="Q3037" s="122" t="s">
        <v>9227</v>
      </c>
      <c r="R3037" s="16" t="s">
        <v>8904</v>
      </c>
      <c r="S3037" s="10" t="s">
        <v>194</v>
      </c>
      <c r="T3037" s="28" t="s">
        <v>12013</v>
      </c>
      <c r="U3037" s="20" t="s">
        <v>5359</v>
      </c>
      <c r="V3037" s="16" t="s">
        <v>3387</v>
      </c>
      <c r="W3037" s="11" t="s">
        <v>14433</v>
      </c>
      <c r="X3037" s="174">
        <v>18.23</v>
      </c>
      <c r="Y3037" s="174">
        <v>28.6</v>
      </c>
    </row>
    <row r="3038" spans="1:25" ht="15" customHeight="1" x14ac:dyDescent="0.25">
      <c r="A3038" s="20" t="s">
        <v>3389</v>
      </c>
      <c r="B3038" s="14" t="s">
        <v>3390</v>
      </c>
      <c r="C3038" s="71" t="str">
        <f t="shared" si="68"/>
        <v>Product Info</v>
      </c>
      <c r="D3038" s="37" t="s">
        <v>2102</v>
      </c>
      <c r="E3038" s="143">
        <v>5</v>
      </c>
      <c r="F3038" s="12" t="s">
        <v>2170</v>
      </c>
      <c r="G3038" s="38">
        <v>40.01</v>
      </c>
      <c r="H3038" s="38">
        <f t="shared" si="69"/>
        <v>28.01</v>
      </c>
      <c r="I3038" s="38">
        <v>28.01</v>
      </c>
      <c r="J3038" s="39"/>
      <c r="K3038" s="143"/>
      <c r="L3038" s="22">
        <v>28</v>
      </c>
      <c r="M3038" s="22" t="s">
        <v>12488</v>
      </c>
      <c r="N3038" s="20" t="s">
        <v>9513</v>
      </c>
      <c r="O3038" s="16" t="s">
        <v>12608</v>
      </c>
      <c r="P3038" s="143">
        <v>755</v>
      </c>
      <c r="Q3038" s="122" t="s">
        <v>12421</v>
      </c>
      <c r="R3038" s="16" t="s">
        <v>8904</v>
      </c>
      <c r="S3038" s="10" t="s">
        <v>194</v>
      </c>
      <c r="T3038" s="28" t="s">
        <v>12014</v>
      </c>
      <c r="U3038" s="20" t="s">
        <v>5359</v>
      </c>
      <c r="V3038" s="16" t="s">
        <v>3389</v>
      </c>
      <c r="W3038" s="11" t="s">
        <v>14433</v>
      </c>
      <c r="X3038" s="174">
        <v>17.850000000000001</v>
      </c>
      <c r="Y3038" s="174">
        <v>28.01</v>
      </c>
    </row>
    <row r="3039" spans="1:25" ht="15" customHeight="1" x14ac:dyDescent="0.25">
      <c r="A3039" s="20" t="s">
        <v>12639</v>
      </c>
      <c r="B3039" s="16" t="s">
        <v>12640</v>
      </c>
      <c r="C3039" s="71" t="str">
        <f t="shared" si="68"/>
        <v>Product Info</v>
      </c>
      <c r="D3039" s="37" t="s">
        <v>13084</v>
      </c>
      <c r="E3039" s="143">
        <v>1</v>
      </c>
      <c r="F3039" s="12" t="s">
        <v>4992</v>
      </c>
      <c r="G3039" s="38">
        <v>964.31</v>
      </c>
      <c r="H3039" s="38">
        <v>819.7</v>
      </c>
      <c r="I3039" s="38">
        <v>675.02</v>
      </c>
      <c r="J3039" s="39"/>
      <c r="K3039" s="143"/>
      <c r="L3039" s="22">
        <v>0</v>
      </c>
      <c r="M3039" s="22">
        <v>0</v>
      </c>
      <c r="N3039" s="20" t="s">
        <v>14489</v>
      </c>
      <c r="O3039" s="16" t="s">
        <v>12608</v>
      </c>
      <c r="P3039" s="143">
        <v>748</v>
      </c>
      <c r="Q3039" s="121" t="s">
        <v>14285</v>
      </c>
      <c r="R3039" s="16" t="s">
        <v>8904</v>
      </c>
      <c r="S3039" s="10" t="s">
        <v>1163</v>
      </c>
      <c r="T3039" s="28" t="s">
        <v>12982</v>
      </c>
      <c r="U3039" s="20" t="s">
        <v>5359</v>
      </c>
      <c r="V3039" s="16" t="s">
        <v>12639</v>
      </c>
      <c r="W3039" s="11" t="s">
        <v>14399</v>
      </c>
      <c r="X3039" s="174">
        <v>629</v>
      </c>
      <c r="Y3039" s="174">
        <v>819.7</v>
      </c>
    </row>
    <row r="3040" spans="1:25" ht="15" customHeight="1" x14ac:dyDescent="0.25">
      <c r="A3040" s="20" t="s">
        <v>3391</v>
      </c>
      <c r="B3040" s="14" t="s">
        <v>3392</v>
      </c>
      <c r="C3040" s="71" t="str">
        <f t="shared" si="68"/>
        <v>Product Info</v>
      </c>
      <c r="D3040" s="37" t="s">
        <v>8951</v>
      </c>
      <c r="E3040" s="143">
        <v>12</v>
      </c>
      <c r="F3040" s="12" t="s">
        <v>2170</v>
      </c>
      <c r="G3040" s="38">
        <v>18.61</v>
      </c>
      <c r="H3040" s="38">
        <v>15.82</v>
      </c>
      <c r="I3040" s="38">
        <v>13.03</v>
      </c>
      <c r="J3040" s="39"/>
      <c r="K3040" s="12" t="s">
        <v>8905</v>
      </c>
      <c r="L3040" s="22">
        <v>0.3</v>
      </c>
      <c r="M3040" s="22" t="s">
        <v>12488</v>
      </c>
      <c r="N3040" s="20" t="s">
        <v>9517</v>
      </c>
      <c r="O3040" s="16" t="s">
        <v>12608</v>
      </c>
      <c r="P3040" s="143">
        <v>753</v>
      </c>
      <c r="Q3040" s="122" t="s">
        <v>14461</v>
      </c>
      <c r="R3040" s="16" t="s">
        <v>8904</v>
      </c>
      <c r="S3040" s="10" t="s">
        <v>1163</v>
      </c>
      <c r="T3040" s="28" t="s">
        <v>12015</v>
      </c>
      <c r="U3040" s="20" t="s">
        <v>5359</v>
      </c>
      <c r="V3040" s="16" t="s">
        <v>3391</v>
      </c>
      <c r="W3040" s="11" t="s">
        <v>14283</v>
      </c>
      <c r="X3040" s="174">
        <v>11.79</v>
      </c>
      <c r="Y3040" s="174">
        <v>15.82</v>
      </c>
    </row>
    <row r="3041" spans="1:25" ht="15" customHeight="1" x14ac:dyDescent="0.25">
      <c r="A3041" s="20" t="s">
        <v>12521</v>
      </c>
      <c r="B3041" s="11" t="s">
        <v>12522</v>
      </c>
      <c r="C3041" s="71" t="str">
        <f t="shared" si="68"/>
        <v>Product Info</v>
      </c>
      <c r="D3041" s="37" t="s">
        <v>12920</v>
      </c>
      <c r="E3041" s="143">
        <v>12</v>
      </c>
      <c r="F3041" s="12" t="s">
        <v>4992</v>
      </c>
      <c r="G3041" s="38">
        <v>3.17</v>
      </c>
      <c r="H3041" s="38">
        <f t="shared" ref="H3041:H3072" si="70">I3041</f>
        <v>2.2200000000000002</v>
      </c>
      <c r="I3041" s="38">
        <v>2.2200000000000002</v>
      </c>
      <c r="J3041" s="39"/>
      <c r="K3041" s="143"/>
      <c r="L3041" s="22">
        <v>0</v>
      </c>
      <c r="M3041" s="22">
        <v>0</v>
      </c>
      <c r="N3041" s="20" t="s">
        <v>14489</v>
      </c>
      <c r="O3041" s="16">
        <v>0</v>
      </c>
      <c r="P3041" s="143">
        <v>755</v>
      </c>
      <c r="Q3041" s="121" t="s">
        <v>14285</v>
      </c>
      <c r="R3041" s="16" t="s">
        <v>8904</v>
      </c>
      <c r="S3041" s="10" t="s">
        <v>194</v>
      </c>
      <c r="T3041" s="28" t="s">
        <v>12978</v>
      </c>
      <c r="U3041" s="20" t="s">
        <v>5359</v>
      </c>
      <c r="V3041" s="16" t="s">
        <v>12521</v>
      </c>
      <c r="W3041" s="11" t="s">
        <v>14433</v>
      </c>
      <c r="X3041" s="174">
        <v>1.78</v>
      </c>
      <c r="Y3041" s="174">
        <v>2.2200000000000002</v>
      </c>
    </row>
    <row r="3042" spans="1:25" ht="15" customHeight="1" x14ac:dyDescent="0.25">
      <c r="A3042" s="20" t="s">
        <v>3833</v>
      </c>
      <c r="B3042" s="14" t="s">
        <v>1296</v>
      </c>
      <c r="C3042" s="71" t="str">
        <f t="shared" si="68"/>
        <v>Product Info</v>
      </c>
      <c r="D3042" s="37" t="s">
        <v>3843</v>
      </c>
      <c r="E3042" s="143">
        <v>12</v>
      </c>
      <c r="F3042" s="12" t="s">
        <v>4992</v>
      </c>
      <c r="G3042" s="38">
        <v>3.49</v>
      </c>
      <c r="H3042" s="38">
        <f t="shared" si="70"/>
        <v>2.44</v>
      </c>
      <c r="I3042" s="38">
        <v>2.44</v>
      </c>
      <c r="J3042" s="39"/>
      <c r="K3042" s="143"/>
      <c r="L3042" s="22">
        <v>0</v>
      </c>
      <c r="M3042" s="22">
        <v>0</v>
      </c>
      <c r="N3042" s="20" t="s">
        <v>14489</v>
      </c>
      <c r="O3042" s="16">
        <v>0</v>
      </c>
      <c r="P3042" s="143">
        <v>755</v>
      </c>
      <c r="Q3042" s="121" t="s">
        <v>14285</v>
      </c>
      <c r="R3042" s="16" t="s">
        <v>8904</v>
      </c>
      <c r="S3042" s="10" t="s">
        <v>194</v>
      </c>
      <c r="T3042" s="28" t="s">
        <v>12016</v>
      </c>
      <c r="U3042" s="20" t="s">
        <v>5359</v>
      </c>
      <c r="V3042" s="16" t="s">
        <v>3833</v>
      </c>
      <c r="W3042" s="11" t="s">
        <v>14433</v>
      </c>
      <c r="X3042" s="174">
        <v>1.95</v>
      </c>
      <c r="Y3042" s="174">
        <v>2.44</v>
      </c>
    </row>
    <row r="3043" spans="1:25" ht="15" customHeight="1" x14ac:dyDescent="0.25">
      <c r="A3043" s="20" t="s">
        <v>3834</v>
      </c>
      <c r="B3043" s="14" t="s">
        <v>1297</v>
      </c>
      <c r="C3043" s="71" t="str">
        <f t="shared" si="68"/>
        <v>Product Info</v>
      </c>
      <c r="D3043" s="37" t="s">
        <v>3844</v>
      </c>
      <c r="E3043" s="143">
        <v>12</v>
      </c>
      <c r="F3043" s="12" t="s">
        <v>4992</v>
      </c>
      <c r="G3043" s="38">
        <v>3.84</v>
      </c>
      <c r="H3043" s="38">
        <f t="shared" si="70"/>
        <v>2.69</v>
      </c>
      <c r="I3043" s="38">
        <v>2.69</v>
      </c>
      <c r="J3043" s="39"/>
      <c r="K3043" s="143"/>
      <c r="L3043" s="22">
        <v>0</v>
      </c>
      <c r="M3043" s="22">
        <v>0</v>
      </c>
      <c r="N3043" s="20" t="s">
        <v>14489</v>
      </c>
      <c r="O3043" s="16">
        <v>0</v>
      </c>
      <c r="P3043" s="143">
        <v>755</v>
      </c>
      <c r="Q3043" s="121" t="s">
        <v>14285</v>
      </c>
      <c r="R3043" s="16" t="s">
        <v>8904</v>
      </c>
      <c r="S3043" s="10" t="s">
        <v>194</v>
      </c>
      <c r="T3043" s="28" t="s">
        <v>12017</v>
      </c>
      <c r="U3043" s="20" t="s">
        <v>5359</v>
      </c>
      <c r="V3043" s="16" t="s">
        <v>3834</v>
      </c>
      <c r="W3043" s="11" t="s">
        <v>14433</v>
      </c>
      <c r="X3043" s="174">
        <v>2.15</v>
      </c>
      <c r="Y3043" s="174">
        <v>2.69</v>
      </c>
    </row>
    <row r="3044" spans="1:25" ht="15" customHeight="1" x14ac:dyDescent="0.25">
      <c r="A3044" s="20" t="s">
        <v>2391</v>
      </c>
      <c r="B3044" s="14" t="s">
        <v>1298</v>
      </c>
      <c r="C3044" s="71" t="str">
        <f t="shared" si="68"/>
        <v>Product Info</v>
      </c>
      <c r="D3044" s="37" t="s">
        <v>3845</v>
      </c>
      <c r="E3044" s="143">
        <v>12</v>
      </c>
      <c r="F3044" s="12" t="s">
        <v>4992</v>
      </c>
      <c r="G3044" s="38">
        <v>4.2300000000000004</v>
      </c>
      <c r="H3044" s="38">
        <f t="shared" si="70"/>
        <v>2.96</v>
      </c>
      <c r="I3044" s="38">
        <v>2.96</v>
      </c>
      <c r="J3044" s="39"/>
      <c r="K3044" s="143"/>
      <c r="L3044" s="22">
        <v>0</v>
      </c>
      <c r="M3044" s="22">
        <v>0</v>
      </c>
      <c r="N3044" s="20" t="s">
        <v>14489</v>
      </c>
      <c r="O3044" s="16">
        <v>0</v>
      </c>
      <c r="P3044" s="143">
        <v>755</v>
      </c>
      <c r="Q3044" s="122" t="s">
        <v>12421</v>
      </c>
      <c r="R3044" s="16" t="s">
        <v>8904</v>
      </c>
      <c r="S3044" s="10" t="s">
        <v>194</v>
      </c>
      <c r="T3044" s="28" t="s">
        <v>12018</v>
      </c>
      <c r="U3044" s="20" t="s">
        <v>5359</v>
      </c>
      <c r="V3044" s="16" t="s">
        <v>2391</v>
      </c>
      <c r="W3044" s="11" t="s">
        <v>14433</v>
      </c>
      <c r="X3044" s="174">
        <v>2.37</v>
      </c>
      <c r="Y3044" s="174">
        <v>2.96</v>
      </c>
    </row>
    <row r="3045" spans="1:25" ht="15" customHeight="1" x14ac:dyDescent="0.25">
      <c r="A3045" s="20" t="s">
        <v>3835</v>
      </c>
      <c r="B3045" s="14" t="s">
        <v>1299</v>
      </c>
      <c r="C3045" s="71" t="str">
        <f t="shared" si="68"/>
        <v>Product Info</v>
      </c>
      <c r="D3045" s="37" t="s">
        <v>3846</v>
      </c>
      <c r="E3045" s="143">
        <v>12</v>
      </c>
      <c r="F3045" s="12" t="s">
        <v>4992</v>
      </c>
      <c r="G3045" s="38">
        <v>9.09</v>
      </c>
      <c r="H3045" s="38">
        <f t="shared" si="70"/>
        <v>6.36</v>
      </c>
      <c r="I3045" s="38">
        <v>6.36</v>
      </c>
      <c r="J3045" s="39"/>
      <c r="K3045" s="143"/>
      <c r="L3045" s="22">
        <v>0</v>
      </c>
      <c r="M3045" s="22">
        <v>0</v>
      </c>
      <c r="N3045" s="20" t="s">
        <v>14489</v>
      </c>
      <c r="O3045" s="16">
        <v>0</v>
      </c>
      <c r="P3045" s="143">
        <v>755</v>
      </c>
      <c r="Q3045" s="121" t="s">
        <v>14285</v>
      </c>
      <c r="R3045" s="16" t="s">
        <v>8904</v>
      </c>
      <c r="S3045" s="10" t="s">
        <v>194</v>
      </c>
      <c r="T3045" s="28" t="s">
        <v>12019</v>
      </c>
      <c r="U3045" s="20" t="s">
        <v>5359</v>
      </c>
      <c r="V3045" s="16" t="s">
        <v>3835</v>
      </c>
      <c r="W3045" s="11" t="s">
        <v>14433</v>
      </c>
      <c r="X3045" s="174">
        <v>5.09</v>
      </c>
      <c r="Y3045" s="174">
        <v>6.36</v>
      </c>
    </row>
    <row r="3046" spans="1:25" ht="15" customHeight="1" x14ac:dyDescent="0.25">
      <c r="A3046" s="20" t="s">
        <v>3836</v>
      </c>
      <c r="B3046" s="14" t="s">
        <v>1300</v>
      </c>
      <c r="C3046" s="71" t="str">
        <f t="shared" si="68"/>
        <v>Product Info</v>
      </c>
      <c r="D3046" s="37" t="s">
        <v>3847</v>
      </c>
      <c r="E3046" s="143">
        <v>8</v>
      </c>
      <c r="F3046" s="12" t="s">
        <v>4992</v>
      </c>
      <c r="G3046" s="38">
        <v>9.59</v>
      </c>
      <c r="H3046" s="38">
        <f t="shared" si="70"/>
        <v>6.71</v>
      </c>
      <c r="I3046" s="38">
        <v>6.71</v>
      </c>
      <c r="J3046" s="39"/>
      <c r="K3046" s="143"/>
      <c r="L3046" s="22">
        <v>0</v>
      </c>
      <c r="M3046" s="22">
        <v>0</v>
      </c>
      <c r="N3046" s="20" t="s">
        <v>14489</v>
      </c>
      <c r="O3046" s="16">
        <v>0</v>
      </c>
      <c r="P3046" s="143">
        <v>755</v>
      </c>
      <c r="Q3046" s="122" t="s">
        <v>9227</v>
      </c>
      <c r="R3046" s="16" t="s">
        <v>8904</v>
      </c>
      <c r="S3046" s="10" t="s">
        <v>194</v>
      </c>
      <c r="T3046" s="28" t="s">
        <v>12020</v>
      </c>
      <c r="U3046" s="20" t="s">
        <v>5359</v>
      </c>
      <c r="V3046" s="16" t="s">
        <v>3836</v>
      </c>
      <c r="W3046" s="11" t="s">
        <v>14433</v>
      </c>
      <c r="X3046" s="174">
        <v>5.37</v>
      </c>
      <c r="Y3046" s="174">
        <v>6.71</v>
      </c>
    </row>
    <row r="3047" spans="1:25" ht="15" customHeight="1" x14ac:dyDescent="0.25">
      <c r="A3047" s="20" t="s">
        <v>3837</v>
      </c>
      <c r="B3047" s="14" t="s">
        <v>1301</v>
      </c>
      <c r="C3047" s="71" t="str">
        <f t="shared" si="68"/>
        <v>Product Info</v>
      </c>
      <c r="D3047" s="37" t="s">
        <v>3848</v>
      </c>
      <c r="E3047" s="143">
        <v>8</v>
      </c>
      <c r="F3047" s="12" t="s">
        <v>4992</v>
      </c>
      <c r="G3047" s="38">
        <v>16.53</v>
      </c>
      <c r="H3047" s="38">
        <f t="shared" si="70"/>
        <v>11.57</v>
      </c>
      <c r="I3047" s="38">
        <v>11.57</v>
      </c>
      <c r="J3047" s="39"/>
      <c r="K3047" s="143"/>
      <c r="L3047" s="22">
        <v>0</v>
      </c>
      <c r="M3047" s="22">
        <v>0</v>
      </c>
      <c r="N3047" s="20" t="s">
        <v>14489</v>
      </c>
      <c r="O3047" s="16">
        <v>0</v>
      </c>
      <c r="P3047" s="143">
        <v>755</v>
      </c>
      <c r="Q3047" s="122" t="s">
        <v>9227</v>
      </c>
      <c r="R3047" s="16" t="s">
        <v>8904</v>
      </c>
      <c r="S3047" s="10" t="s">
        <v>194</v>
      </c>
      <c r="T3047" s="28" t="s">
        <v>12021</v>
      </c>
      <c r="U3047" s="20" t="s">
        <v>5359</v>
      </c>
      <c r="V3047" s="16" t="s">
        <v>3837</v>
      </c>
      <c r="W3047" s="11" t="s">
        <v>14433</v>
      </c>
      <c r="X3047" s="174">
        <v>9.26</v>
      </c>
      <c r="Y3047" s="174">
        <v>11.57</v>
      </c>
    </row>
    <row r="3048" spans="1:25" ht="15" customHeight="1" x14ac:dyDescent="0.25">
      <c r="A3048" s="20" t="s">
        <v>3838</v>
      </c>
      <c r="B3048" s="14" t="s">
        <v>1302</v>
      </c>
      <c r="C3048" s="71" t="str">
        <f t="shared" si="68"/>
        <v>Product Info</v>
      </c>
      <c r="D3048" s="37" t="s">
        <v>3849</v>
      </c>
      <c r="E3048" s="143">
        <v>8</v>
      </c>
      <c r="F3048" s="12" t="s">
        <v>4992</v>
      </c>
      <c r="G3048" s="38">
        <v>20.89</v>
      </c>
      <c r="H3048" s="38">
        <f t="shared" si="70"/>
        <v>14.62</v>
      </c>
      <c r="I3048" s="38">
        <v>14.62</v>
      </c>
      <c r="J3048" s="39"/>
      <c r="K3048" s="143"/>
      <c r="L3048" s="22">
        <v>8</v>
      </c>
      <c r="M3048" s="22" t="s">
        <v>14396</v>
      </c>
      <c r="N3048" s="20" t="s">
        <v>9518</v>
      </c>
      <c r="O3048" s="16" t="s">
        <v>12608</v>
      </c>
      <c r="P3048" s="143">
        <v>755</v>
      </c>
      <c r="Q3048" s="122" t="s">
        <v>12421</v>
      </c>
      <c r="R3048" s="16" t="s">
        <v>8904</v>
      </c>
      <c r="S3048" s="10" t="s">
        <v>194</v>
      </c>
      <c r="T3048" s="28" t="s">
        <v>12022</v>
      </c>
      <c r="U3048" s="20" t="s">
        <v>5359</v>
      </c>
      <c r="V3048" s="16" t="s">
        <v>3838</v>
      </c>
      <c r="W3048" s="11" t="s">
        <v>14433</v>
      </c>
      <c r="X3048" s="174">
        <v>11.7</v>
      </c>
      <c r="Y3048" s="174">
        <v>14.62</v>
      </c>
    </row>
    <row r="3049" spans="1:25" ht="15" customHeight="1" x14ac:dyDescent="0.25">
      <c r="A3049" s="20" t="s">
        <v>3839</v>
      </c>
      <c r="B3049" s="14" t="s">
        <v>1303</v>
      </c>
      <c r="C3049" s="71" t="str">
        <f t="shared" si="68"/>
        <v>Product Info</v>
      </c>
      <c r="D3049" s="37" t="s">
        <v>4968</v>
      </c>
      <c r="E3049" s="143">
        <v>8</v>
      </c>
      <c r="F3049" s="12" t="s">
        <v>4992</v>
      </c>
      <c r="G3049" s="38">
        <v>41.39</v>
      </c>
      <c r="H3049" s="38">
        <f t="shared" si="70"/>
        <v>28.97</v>
      </c>
      <c r="I3049" s="38">
        <v>28.97</v>
      </c>
      <c r="J3049" s="39"/>
      <c r="K3049" s="143"/>
      <c r="L3049" s="22">
        <v>0</v>
      </c>
      <c r="M3049" s="22">
        <v>0</v>
      </c>
      <c r="N3049" s="20" t="s">
        <v>14489</v>
      </c>
      <c r="O3049" s="16">
        <v>0</v>
      </c>
      <c r="P3049" s="143">
        <v>755</v>
      </c>
      <c r="Q3049" s="121" t="s">
        <v>14285</v>
      </c>
      <c r="R3049" s="16" t="s">
        <v>8904</v>
      </c>
      <c r="S3049" s="10" t="s">
        <v>194</v>
      </c>
      <c r="T3049" s="28" t="s">
        <v>12023</v>
      </c>
      <c r="U3049" s="20" t="s">
        <v>5359</v>
      </c>
      <c r="V3049" s="16" t="s">
        <v>3839</v>
      </c>
      <c r="W3049" s="11" t="s">
        <v>14433</v>
      </c>
      <c r="X3049" s="174">
        <v>23.18</v>
      </c>
      <c r="Y3049" s="174">
        <v>28.97</v>
      </c>
    </row>
    <row r="3050" spans="1:25" ht="15" customHeight="1" x14ac:dyDescent="0.25">
      <c r="A3050" s="20" t="s">
        <v>5350</v>
      </c>
      <c r="B3050" s="14" t="s">
        <v>5351</v>
      </c>
      <c r="C3050" s="71" t="str">
        <f t="shared" si="68"/>
        <v>Product Info</v>
      </c>
      <c r="D3050" s="37" t="s">
        <v>2152</v>
      </c>
      <c r="E3050" s="143">
        <v>10</v>
      </c>
      <c r="F3050" s="12" t="s">
        <v>2170</v>
      </c>
      <c r="G3050" s="38">
        <v>68.33</v>
      </c>
      <c r="H3050" s="38">
        <f t="shared" si="70"/>
        <v>47.83</v>
      </c>
      <c r="I3050" s="38">
        <v>47.83</v>
      </c>
      <c r="J3050" s="39"/>
      <c r="K3050" s="143"/>
      <c r="L3050" s="22">
        <v>0.89500000000000002</v>
      </c>
      <c r="M3050" s="22" t="s">
        <v>12488</v>
      </c>
      <c r="N3050" s="20" t="s">
        <v>9290</v>
      </c>
      <c r="O3050" s="16" t="s">
        <v>12608</v>
      </c>
      <c r="P3050" s="143">
        <v>755</v>
      </c>
      <c r="Q3050" s="122" t="s">
        <v>9227</v>
      </c>
      <c r="R3050" s="16" t="s">
        <v>8904</v>
      </c>
      <c r="S3050" s="10" t="s">
        <v>194</v>
      </c>
      <c r="T3050" s="28" t="s">
        <v>12024</v>
      </c>
      <c r="U3050" s="20" t="s">
        <v>5359</v>
      </c>
      <c r="V3050" s="16" t="s">
        <v>5350</v>
      </c>
      <c r="W3050" s="11" t="s">
        <v>14433</v>
      </c>
      <c r="X3050" s="174">
        <v>37.51</v>
      </c>
      <c r="Y3050" s="174">
        <v>47.83</v>
      </c>
    </row>
    <row r="3051" spans="1:25" ht="15" customHeight="1" x14ac:dyDescent="0.25">
      <c r="A3051" s="20" t="s">
        <v>5352</v>
      </c>
      <c r="B3051" s="14" t="s">
        <v>5353</v>
      </c>
      <c r="C3051" s="71" t="str">
        <f t="shared" si="68"/>
        <v>Product Info</v>
      </c>
      <c r="D3051" s="37" t="s">
        <v>2153</v>
      </c>
      <c r="E3051" s="143">
        <v>3</v>
      </c>
      <c r="F3051" s="12" t="s">
        <v>4992</v>
      </c>
      <c r="G3051" s="38">
        <v>74.540000000000006</v>
      </c>
      <c r="H3051" s="38">
        <f t="shared" si="70"/>
        <v>52.18</v>
      </c>
      <c r="I3051" s="38">
        <v>52.18</v>
      </c>
      <c r="J3051" s="39"/>
      <c r="K3051" s="143"/>
      <c r="L3051" s="22">
        <v>0.47299999999999998</v>
      </c>
      <c r="M3051" s="22" t="s">
        <v>12488</v>
      </c>
      <c r="N3051" s="20" t="s">
        <v>8854</v>
      </c>
      <c r="O3051" s="16" t="s">
        <v>12608</v>
      </c>
      <c r="P3051" s="143">
        <v>755</v>
      </c>
      <c r="Q3051" s="122" t="s">
        <v>9227</v>
      </c>
      <c r="R3051" s="16" t="s">
        <v>8904</v>
      </c>
      <c r="S3051" s="10" t="s">
        <v>194</v>
      </c>
      <c r="T3051" s="28" t="s">
        <v>12025</v>
      </c>
      <c r="U3051" s="20" t="s">
        <v>5359</v>
      </c>
      <c r="V3051" s="16" t="s">
        <v>5352</v>
      </c>
      <c r="W3051" s="11" t="s">
        <v>14433</v>
      </c>
      <c r="X3051" s="174">
        <v>40.92</v>
      </c>
      <c r="Y3051" s="174">
        <v>52.18</v>
      </c>
    </row>
    <row r="3052" spans="1:25" ht="15" customHeight="1" x14ac:dyDescent="0.25">
      <c r="A3052" s="20" t="s">
        <v>5354</v>
      </c>
      <c r="B3052" s="14" t="s">
        <v>5355</v>
      </c>
      <c r="C3052" s="71" t="str">
        <f t="shared" si="68"/>
        <v>Product Info</v>
      </c>
      <c r="D3052" s="37" t="s">
        <v>2154</v>
      </c>
      <c r="E3052" s="143">
        <v>10</v>
      </c>
      <c r="F3052" s="12" t="s">
        <v>2170</v>
      </c>
      <c r="G3052" s="38">
        <v>75.400000000000006</v>
      </c>
      <c r="H3052" s="38">
        <f t="shared" si="70"/>
        <v>52.78</v>
      </c>
      <c r="I3052" s="38">
        <v>52.78</v>
      </c>
      <c r="J3052" s="39"/>
      <c r="K3052" s="143"/>
      <c r="L3052" s="22">
        <v>0.44400000000000001</v>
      </c>
      <c r="M3052" s="22" t="s">
        <v>12488</v>
      </c>
      <c r="N3052" s="20" t="s">
        <v>9519</v>
      </c>
      <c r="O3052" s="16" t="s">
        <v>12608</v>
      </c>
      <c r="P3052" s="143">
        <v>755</v>
      </c>
      <c r="Q3052" s="122" t="s">
        <v>12421</v>
      </c>
      <c r="R3052" s="16" t="s">
        <v>8904</v>
      </c>
      <c r="S3052" s="10" t="s">
        <v>194</v>
      </c>
      <c r="T3052" s="28" t="s">
        <v>12026</v>
      </c>
      <c r="U3052" s="20" t="s">
        <v>5359</v>
      </c>
      <c r="V3052" s="16" t="s">
        <v>5354</v>
      </c>
      <c r="W3052" s="11" t="s">
        <v>14433</v>
      </c>
      <c r="X3052" s="174">
        <v>41.39</v>
      </c>
      <c r="Y3052" s="174">
        <v>52.78</v>
      </c>
    </row>
    <row r="3053" spans="1:25" ht="15" customHeight="1" x14ac:dyDescent="0.25">
      <c r="A3053" s="20" t="s">
        <v>5356</v>
      </c>
      <c r="B3053" s="14" t="s">
        <v>2053</v>
      </c>
      <c r="C3053" s="71" t="str">
        <f t="shared" si="68"/>
        <v>Product Info</v>
      </c>
      <c r="D3053" s="37" t="s">
        <v>2155</v>
      </c>
      <c r="E3053" s="143">
        <v>3</v>
      </c>
      <c r="F3053" s="12" t="s">
        <v>4992</v>
      </c>
      <c r="G3053" s="38">
        <v>82.49</v>
      </c>
      <c r="H3053" s="38">
        <f t="shared" si="70"/>
        <v>57.74</v>
      </c>
      <c r="I3053" s="38">
        <v>57.74</v>
      </c>
      <c r="J3053" s="39"/>
      <c r="K3053" s="143"/>
      <c r="L3053" s="22">
        <v>3</v>
      </c>
      <c r="M3053" s="22" t="s">
        <v>12488</v>
      </c>
      <c r="N3053" s="20" t="s">
        <v>9304</v>
      </c>
      <c r="O3053" s="16" t="s">
        <v>12608</v>
      </c>
      <c r="P3053" s="143">
        <v>755</v>
      </c>
      <c r="Q3053" s="122" t="s">
        <v>12421</v>
      </c>
      <c r="R3053" s="16" t="s">
        <v>8904</v>
      </c>
      <c r="S3053" s="10" t="s">
        <v>194</v>
      </c>
      <c r="T3053" s="28" t="s">
        <v>12027</v>
      </c>
      <c r="U3053" s="20" t="s">
        <v>5359</v>
      </c>
      <c r="V3053" s="16" t="s">
        <v>5356</v>
      </c>
      <c r="W3053" s="11" t="s">
        <v>14433</v>
      </c>
      <c r="X3053" s="174">
        <v>45.28</v>
      </c>
      <c r="Y3053" s="174">
        <v>57.74</v>
      </c>
    </row>
    <row r="3054" spans="1:25" ht="15" customHeight="1" x14ac:dyDescent="0.25">
      <c r="A3054" s="20" t="s">
        <v>2054</v>
      </c>
      <c r="B3054" s="14" t="s">
        <v>2055</v>
      </c>
      <c r="C3054" s="71" t="str">
        <f t="shared" si="68"/>
        <v>Product Info</v>
      </c>
      <c r="D3054" s="37" t="s">
        <v>2156</v>
      </c>
      <c r="E3054" s="143">
        <v>10</v>
      </c>
      <c r="F3054" s="12" t="s">
        <v>2170</v>
      </c>
      <c r="G3054" s="38">
        <v>87.34</v>
      </c>
      <c r="H3054" s="38">
        <f t="shared" si="70"/>
        <v>61.14</v>
      </c>
      <c r="I3054" s="38">
        <v>61.14</v>
      </c>
      <c r="J3054" s="39"/>
      <c r="K3054" s="143"/>
      <c r="L3054" s="22">
        <v>0.44400000000000001</v>
      </c>
      <c r="M3054" s="22" t="s">
        <v>12488</v>
      </c>
      <c r="N3054" s="20" t="s">
        <v>9519</v>
      </c>
      <c r="O3054" s="16" t="s">
        <v>12608</v>
      </c>
      <c r="P3054" s="143">
        <v>755</v>
      </c>
      <c r="Q3054" s="122" t="s">
        <v>9227</v>
      </c>
      <c r="R3054" s="16" t="s">
        <v>8904</v>
      </c>
      <c r="S3054" s="10" t="s">
        <v>194</v>
      </c>
      <c r="T3054" s="28" t="s">
        <v>12028</v>
      </c>
      <c r="U3054" s="20" t="s">
        <v>5359</v>
      </c>
      <c r="V3054" s="16" t="s">
        <v>2054</v>
      </c>
      <c r="W3054" s="11" t="s">
        <v>14433</v>
      </c>
      <c r="X3054" s="174">
        <v>47.94</v>
      </c>
      <c r="Y3054" s="174">
        <v>61.14</v>
      </c>
    </row>
    <row r="3055" spans="1:25" ht="15" customHeight="1" x14ac:dyDescent="0.25">
      <c r="A3055" s="20" t="s">
        <v>2056</v>
      </c>
      <c r="B3055" s="14" t="s">
        <v>2057</v>
      </c>
      <c r="C3055" s="71" t="str">
        <f t="shared" si="68"/>
        <v>Product Info</v>
      </c>
      <c r="D3055" s="37" t="s">
        <v>2157</v>
      </c>
      <c r="E3055" s="143">
        <v>3</v>
      </c>
      <c r="F3055" s="12" t="s">
        <v>4992</v>
      </c>
      <c r="G3055" s="38">
        <v>96.19</v>
      </c>
      <c r="H3055" s="38">
        <f t="shared" si="70"/>
        <v>67.33</v>
      </c>
      <c r="I3055" s="38">
        <v>67.33</v>
      </c>
      <c r="J3055" s="39"/>
      <c r="K3055" s="143"/>
      <c r="L3055" s="22">
        <v>0.625</v>
      </c>
      <c r="M3055" s="22" t="s">
        <v>12488</v>
      </c>
      <c r="N3055" s="20" t="s">
        <v>9520</v>
      </c>
      <c r="O3055" s="16" t="s">
        <v>12608</v>
      </c>
      <c r="P3055" s="143">
        <v>755</v>
      </c>
      <c r="Q3055" s="122" t="s">
        <v>12421</v>
      </c>
      <c r="R3055" s="16" t="s">
        <v>8904</v>
      </c>
      <c r="S3055" s="10" t="s">
        <v>194</v>
      </c>
      <c r="T3055" s="28" t="s">
        <v>12029</v>
      </c>
      <c r="U3055" s="20" t="s">
        <v>5359</v>
      </c>
      <c r="V3055" s="16" t="s">
        <v>2056</v>
      </c>
      <c r="W3055" s="11" t="s">
        <v>14433</v>
      </c>
      <c r="X3055" s="174">
        <v>52.8</v>
      </c>
      <c r="Y3055" s="174">
        <v>67.33</v>
      </c>
    </row>
    <row r="3056" spans="1:25" ht="15" customHeight="1" x14ac:dyDescent="0.25">
      <c r="A3056" s="20" t="s">
        <v>4774</v>
      </c>
      <c r="B3056" s="14" t="s">
        <v>3704</v>
      </c>
      <c r="C3056" s="71" t="str">
        <f t="shared" si="68"/>
        <v>Product Info</v>
      </c>
      <c r="D3056" s="37" t="s">
        <v>2158</v>
      </c>
      <c r="E3056" s="143">
        <v>10</v>
      </c>
      <c r="F3056" s="12" t="s">
        <v>2170</v>
      </c>
      <c r="G3056" s="38">
        <v>44.4</v>
      </c>
      <c r="H3056" s="38">
        <f t="shared" si="70"/>
        <v>31.08</v>
      </c>
      <c r="I3056" s="38">
        <v>31.08</v>
      </c>
      <c r="J3056" s="39"/>
      <c r="K3056" s="143"/>
      <c r="L3056" s="22">
        <v>4</v>
      </c>
      <c r="M3056" s="22" t="s">
        <v>12488</v>
      </c>
      <c r="N3056" s="20" t="s">
        <v>9521</v>
      </c>
      <c r="O3056" s="16" t="s">
        <v>12608</v>
      </c>
      <c r="P3056" s="143">
        <v>755</v>
      </c>
      <c r="Q3056" s="121" t="s">
        <v>14285</v>
      </c>
      <c r="R3056" s="16" t="s">
        <v>8904</v>
      </c>
      <c r="S3056" s="10" t="s">
        <v>194</v>
      </c>
      <c r="T3056" s="28" t="s">
        <v>12030</v>
      </c>
      <c r="U3056" s="20" t="s">
        <v>5359</v>
      </c>
      <c r="V3056" s="16" t="s">
        <v>4774</v>
      </c>
      <c r="W3056" s="11" t="s">
        <v>14433</v>
      </c>
      <c r="X3056" s="174">
        <v>24.38</v>
      </c>
      <c r="Y3056" s="174">
        <v>31.08</v>
      </c>
    </row>
    <row r="3057" spans="1:25" ht="15" customHeight="1" x14ac:dyDescent="0.25">
      <c r="A3057" s="20" t="s">
        <v>3705</v>
      </c>
      <c r="B3057" s="14" t="s">
        <v>3706</v>
      </c>
      <c r="C3057" s="71" t="str">
        <f t="shared" si="68"/>
        <v>Product Info</v>
      </c>
      <c r="D3057" s="37" t="s">
        <v>2373</v>
      </c>
      <c r="E3057" s="143">
        <v>3</v>
      </c>
      <c r="F3057" s="12" t="s">
        <v>4992</v>
      </c>
      <c r="G3057" s="38">
        <v>48.07</v>
      </c>
      <c r="H3057" s="38">
        <f t="shared" si="70"/>
        <v>33.65</v>
      </c>
      <c r="I3057" s="38">
        <v>33.65</v>
      </c>
      <c r="J3057" s="39"/>
      <c r="K3057" s="143"/>
      <c r="L3057" s="22">
        <v>3</v>
      </c>
      <c r="M3057" s="22" t="s">
        <v>12488</v>
      </c>
      <c r="N3057" s="20" t="s">
        <v>8865</v>
      </c>
      <c r="O3057" s="16" t="s">
        <v>12608</v>
      </c>
      <c r="P3057" s="143">
        <v>755</v>
      </c>
      <c r="Q3057" s="122" t="s">
        <v>12421</v>
      </c>
      <c r="R3057" s="16" t="s">
        <v>8904</v>
      </c>
      <c r="S3057" s="10" t="s">
        <v>194</v>
      </c>
      <c r="T3057" s="28" t="s">
        <v>12031</v>
      </c>
      <c r="U3057" s="20" t="s">
        <v>5359</v>
      </c>
      <c r="V3057" s="16" t="s">
        <v>3705</v>
      </c>
      <c r="W3057" s="11" t="s">
        <v>14433</v>
      </c>
      <c r="X3057" s="174">
        <v>26.39</v>
      </c>
      <c r="Y3057" s="174">
        <v>33.65</v>
      </c>
    </row>
    <row r="3058" spans="1:25" ht="15" customHeight="1" x14ac:dyDescent="0.25">
      <c r="A3058" s="20" t="s">
        <v>3707</v>
      </c>
      <c r="B3058" s="14" t="s">
        <v>3708</v>
      </c>
      <c r="C3058" s="71" t="str">
        <f t="shared" si="68"/>
        <v>Product Info</v>
      </c>
      <c r="D3058" s="37" t="s">
        <v>2374</v>
      </c>
      <c r="E3058" s="143">
        <v>10</v>
      </c>
      <c r="F3058" s="12" t="s">
        <v>2170</v>
      </c>
      <c r="G3058" s="38">
        <v>55.97</v>
      </c>
      <c r="H3058" s="38">
        <f t="shared" si="70"/>
        <v>39.18</v>
      </c>
      <c r="I3058" s="38">
        <v>39.18</v>
      </c>
      <c r="J3058" s="39"/>
      <c r="K3058" s="143"/>
      <c r="L3058" s="22">
        <v>6</v>
      </c>
      <c r="M3058" s="22" t="s">
        <v>12488</v>
      </c>
      <c r="N3058" s="20" t="s">
        <v>9521</v>
      </c>
      <c r="O3058" s="16" t="s">
        <v>12608</v>
      </c>
      <c r="P3058" s="143">
        <v>755</v>
      </c>
      <c r="Q3058" s="122" t="s">
        <v>12421</v>
      </c>
      <c r="R3058" s="16" t="s">
        <v>8904</v>
      </c>
      <c r="S3058" s="10" t="s">
        <v>194</v>
      </c>
      <c r="T3058" s="28" t="s">
        <v>12032</v>
      </c>
      <c r="U3058" s="20" t="s">
        <v>5359</v>
      </c>
      <c r="V3058" s="16" t="s">
        <v>3707</v>
      </c>
      <c r="W3058" s="11" t="s">
        <v>14433</v>
      </c>
      <c r="X3058" s="174">
        <v>30.73</v>
      </c>
      <c r="Y3058" s="174">
        <v>39.18</v>
      </c>
    </row>
    <row r="3059" spans="1:25" ht="15" customHeight="1" x14ac:dyDescent="0.25">
      <c r="A3059" s="20" t="s">
        <v>3709</v>
      </c>
      <c r="B3059" s="14" t="s">
        <v>3710</v>
      </c>
      <c r="C3059" s="71" t="str">
        <f t="shared" si="68"/>
        <v>Product Info</v>
      </c>
      <c r="D3059" s="37" t="s">
        <v>2350</v>
      </c>
      <c r="E3059" s="143">
        <v>3</v>
      </c>
      <c r="F3059" s="12" t="s">
        <v>4992</v>
      </c>
      <c r="G3059" s="38">
        <v>60.29</v>
      </c>
      <c r="H3059" s="38">
        <f t="shared" si="70"/>
        <v>42.2</v>
      </c>
      <c r="I3059" s="38">
        <v>42.2</v>
      </c>
      <c r="J3059" s="39"/>
      <c r="K3059" s="143"/>
      <c r="L3059" s="22">
        <v>3</v>
      </c>
      <c r="M3059" s="22" t="s">
        <v>12488</v>
      </c>
      <c r="N3059" s="20" t="s">
        <v>8865</v>
      </c>
      <c r="O3059" s="16" t="s">
        <v>12608</v>
      </c>
      <c r="P3059" s="143">
        <v>755</v>
      </c>
      <c r="Q3059" s="122" t="s">
        <v>9227</v>
      </c>
      <c r="R3059" s="16" t="s">
        <v>8904</v>
      </c>
      <c r="S3059" s="10" t="s">
        <v>194</v>
      </c>
      <c r="T3059" s="28" t="s">
        <v>12033</v>
      </c>
      <c r="U3059" s="20" t="s">
        <v>5359</v>
      </c>
      <c r="V3059" s="16" t="s">
        <v>3709</v>
      </c>
      <c r="W3059" s="11" t="s">
        <v>14433</v>
      </c>
      <c r="X3059" s="174">
        <v>33.1</v>
      </c>
      <c r="Y3059" s="174">
        <v>42.2</v>
      </c>
    </row>
    <row r="3060" spans="1:25" ht="15" customHeight="1" x14ac:dyDescent="0.25">
      <c r="A3060" s="20" t="s">
        <v>3711</v>
      </c>
      <c r="B3060" s="14" t="s">
        <v>3712</v>
      </c>
      <c r="C3060" s="71" t="str">
        <f t="shared" si="68"/>
        <v>Product Info</v>
      </c>
      <c r="D3060" s="37" t="s">
        <v>2351</v>
      </c>
      <c r="E3060" s="143">
        <v>10</v>
      </c>
      <c r="F3060" s="12" t="s">
        <v>2170</v>
      </c>
      <c r="G3060" s="38">
        <v>59.83</v>
      </c>
      <c r="H3060" s="38">
        <f t="shared" si="70"/>
        <v>41.88</v>
      </c>
      <c r="I3060" s="38">
        <v>41.88</v>
      </c>
      <c r="J3060" s="39"/>
      <c r="K3060" s="143"/>
      <c r="L3060" s="22">
        <v>0.3</v>
      </c>
      <c r="M3060" s="22" t="s">
        <v>12488</v>
      </c>
      <c r="N3060" s="20" t="s">
        <v>9522</v>
      </c>
      <c r="O3060" s="16" t="s">
        <v>13914</v>
      </c>
      <c r="P3060" s="143">
        <v>755</v>
      </c>
      <c r="Q3060" s="122" t="s">
        <v>12421</v>
      </c>
      <c r="R3060" s="16" t="s">
        <v>8904</v>
      </c>
      <c r="S3060" s="10" t="s">
        <v>194</v>
      </c>
      <c r="T3060" s="28" t="s">
        <v>12034</v>
      </c>
      <c r="U3060" s="20" t="s">
        <v>5359</v>
      </c>
      <c r="V3060" s="16" t="s">
        <v>3711</v>
      </c>
      <c r="W3060" s="11" t="s">
        <v>14433</v>
      </c>
      <c r="X3060" s="174">
        <v>32.85</v>
      </c>
      <c r="Y3060" s="174">
        <v>41.88</v>
      </c>
    </row>
    <row r="3061" spans="1:25" ht="15" customHeight="1" x14ac:dyDescent="0.25">
      <c r="A3061" s="20" t="s">
        <v>3713</v>
      </c>
      <c r="B3061" s="14" t="s">
        <v>3714</v>
      </c>
      <c r="C3061" s="71" t="str">
        <f t="shared" si="68"/>
        <v>Product Info</v>
      </c>
      <c r="D3061" s="37" t="s">
        <v>4777</v>
      </c>
      <c r="E3061" s="143">
        <v>3</v>
      </c>
      <c r="F3061" s="12" t="s">
        <v>4992</v>
      </c>
      <c r="G3061" s="38">
        <v>64.010000000000005</v>
      </c>
      <c r="H3061" s="38">
        <f t="shared" si="70"/>
        <v>44.81</v>
      </c>
      <c r="I3061" s="38">
        <v>44.81</v>
      </c>
      <c r="J3061" s="39"/>
      <c r="K3061" s="143"/>
      <c r="L3061" s="22">
        <v>0.23100000000000001</v>
      </c>
      <c r="M3061" s="22" t="s">
        <v>12488</v>
      </c>
      <c r="N3061" s="20" t="s">
        <v>8865</v>
      </c>
      <c r="O3061" s="16" t="s">
        <v>12608</v>
      </c>
      <c r="P3061" s="143">
        <v>755</v>
      </c>
      <c r="Q3061" s="122" t="s">
        <v>12421</v>
      </c>
      <c r="R3061" s="16" t="s">
        <v>8904</v>
      </c>
      <c r="S3061" s="10" t="s">
        <v>194</v>
      </c>
      <c r="T3061" s="28" t="s">
        <v>12035</v>
      </c>
      <c r="U3061" s="20" t="s">
        <v>5359</v>
      </c>
      <c r="V3061" s="16" t="s">
        <v>3713</v>
      </c>
      <c r="W3061" s="11" t="s">
        <v>14433</v>
      </c>
      <c r="X3061" s="174">
        <v>35.14</v>
      </c>
      <c r="Y3061" s="174">
        <v>44.81</v>
      </c>
    </row>
    <row r="3062" spans="1:25" ht="15" customHeight="1" x14ac:dyDescent="0.25">
      <c r="A3062" s="20" t="s">
        <v>3715</v>
      </c>
      <c r="B3062" s="14" t="s">
        <v>3716</v>
      </c>
      <c r="C3062" s="71" t="str">
        <f t="shared" si="68"/>
        <v>Product Info</v>
      </c>
      <c r="D3062" s="37" t="s">
        <v>4778</v>
      </c>
      <c r="E3062" s="143">
        <v>1</v>
      </c>
      <c r="F3062" s="12" t="s">
        <v>2170</v>
      </c>
      <c r="G3062" s="38">
        <v>50.07</v>
      </c>
      <c r="H3062" s="38">
        <f t="shared" si="70"/>
        <v>35.049999999999997</v>
      </c>
      <c r="I3062" s="38">
        <v>35.049999999999997</v>
      </c>
      <c r="J3062" s="39"/>
      <c r="K3062" s="143"/>
      <c r="L3062" s="22">
        <v>0.56000000000000005</v>
      </c>
      <c r="M3062" s="22" t="s">
        <v>12487</v>
      </c>
      <c r="N3062" s="20" t="s">
        <v>8866</v>
      </c>
      <c r="O3062" s="16" t="s">
        <v>12608</v>
      </c>
      <c r="P3062" s="143">
        <v>755</v>
      </c>
      <c r="Q3062" s="122" t="s">
        <v>9227</v>
      </c>
      <c r="R3062" s="16" t="s">
        <v>8904</v>
      </c>
      <c r="S3062" s="10" t="s">
        <v>194</v>
      </c>
      <c r="T3062" s="28" t="s">
        <v>12036</v>
      </c>
      <c r="U3062" s="20" t="s">
        <v>5359</v>
      </c>
      <c r="V3062" s="16" t="s">
        <v>3715</v>
      </c>
      <c r="W3062" s="11" t="s">
        <v>14433</v>
      </c>
      <c r="X3062" s="174">
        <v>27.49</v>
      </c>
      <c r="Y3062" s="174">
        <v>35.049999999999997</v>
      </c>
    </row>
    <row r="3063" spans="1:25" ht="15" customHeight="1" x14ac:dyDescent="0.25">
      <c r="A3063" s="20" t="s">
        <v>3717</v>
      </c>
      <c r="B3063" s="14" t="s">
        <v>5276</v>
      </c>
      <c r="C3063" s="71" t="str">
        <f t="shared" si="68"/>
        <v>Product Info</v>
      </c>
      <c r="D3063" s="37" t="s">
        <v>5689</v>
      </c>
      <c r="E3063" s="143">
        <v>5</v>
      </c>
      <c r="F3063" s="12" t="s">
        <v>2170</v>
      </c>
      <c r="G3063" s="38">
        <v>17.96</v>
      </c>
      <c r="H3063" s="38">
        <f t="shared" si="70"/>
        <v>12.57</v>
      </c>
      <c r="I3063" s="38">
        <v>12.57</v>
      </c>
      <c r="J3063" s="39"/>
      <c r="K3063" s="12" t="s">
        <v>8905</v>
      </c>
      <c r="L3063" s="22">
        <v>0.4</v>
      </c>
      <c r="M3063" s="22" t="s">
        <v>12488</v>
      </c>
      <c r="N3063" s="20" t="s">
        <v>9299</v>
      </c>
      <c r="O3063" s="16" t="s">
        <v>13914</v>
      </c>
      <c r="P3063" s="143">
        <v>755</v>
      </c>
      <c r="Q3063" s="122" t="s">
        <v>9227</v>
      </c>
      <c r="R3063" s="16" t="s">
        <v>8904</v>
      </c>
      <c r="S3063" s="10" t="s">
        <v>194</v>
      </c>
      <c r="T3063" s="28" t="s">
        <v>12037</v>
      </c>
      <c r="U3063" s="20" t="s">
        <v>5359</v>
      </c>
      <c r="V3063" s="16" t="s">
        <v>3717</v>
      </c>
      <c r="W3063" s="11" t="s">
        <v>14433</v>
      </c>
      <c r="X3063" s="174">
        <v>9.86</v>
      </c>
      <c r="Y3063" s="174">
        <v>12.57</v>
      </c>
    </row>
    <row r="3064" spans="1:25" ht="15" customHeight="1" x14ac:dyDescent="0.25">
      <c r="A3064" s="20" t="s">
        <v>5277</v>
      </c>
      <c r="B3064" s="14" t="s">
        <v>5278</v>
      </c>
      <c r="C3064" s="71" t="str">
        <f t="shared" si="68"/>
        <v>Product Info</v>
      </c>
      <c r="D3064" s="37" t="s">
        <v>5690</v>
      </c>
      <c r="E3064" s="143">
        <v>5</v>
      </c>
      <c r="F3064" s="12" t="s">
        <v>2170</v>
      </c>
      <c r="G3064" s="38">
        <v>19.690000000000001</v>
      </c>
      <c r="H3064" s="38">
        <f t="shared" si="70"/>
        <v>13.78</v>
      </c>
      <c r="I3064" s="38">
        <v>13.78</v>
      </c>
      <c r="J3064" s="39"/>
      <c r="K3064" s="12" t="s">
        <v>8905</v>
      </c>
      <c r="L3064" s="22">
        <v>0.4</v>
      </c>
      <c r="M3064" s="22" t="s">
        <v>12488</v>
      </c>
      <c r="N3064" s="20" t="s">
        <v>9523</v>
      </c>
      <c r="O3064" s="16" t="s">
        <v>12608</v>
      </c>
      <c r="P3064" s="143">
        <v>755</v>
      </c>
      <c r="Q3064" s="122" t="s">
        <v>9227</v>
      </c>
      <c r="R3064" s="16" t="s">
        <v>8904</v>
      </c>
      <c r="S3064" s="10" t="s">
        <v>194</v>
      </c>
      <c r="T3064" s="28" t="s">
        <v>12038</v>
      </c>
      <c r="U3064" s="20" t="s">
        <v>5359</v>
      </c>
      <c r="V3064" s="16" t="s">
        <v>5277</v>
      </c>
      <c r="W3064" s="11" t="s">
        <v>14433</v>
      </c>
      <c r="X3064" s="174">
        <v>10.8</v>
      </c>
      <c r="Y3064" s="174">
        <v>13.78</v>
      </c>
    </row>
    <row r="3065" spans="1:25" ht="15" customHeight="1" x14ac:dyDescent="0.25">
      <c r="A3065" s="20" t="s">
        <v>5279</v>
      </c>
      <c r="B3065" s="14" t="s">
        <v>5280</v>
      </c>
      <c r="C3065" s="71" t="str">
        <f t="shared" si="68"/>
        <v>Product Info</v>
      </c>
      <c r="D3065" s="37" t="s">
        <v>5691</v>
      </c>
      <c r="E3065" s="143">
        <v>5</v>
      </c>
      <c r="F3065" s="12" t="s">
        <v>2170</v>
      </c>
      <c r="G3065" s="38">
        <v>21.99</v>
      </c>
      <c r="H3065" s="38">
        <f t="shared" si="70"/>
        <v>15.39</v>
      </c>
      <c r="I3065" s="38">
        <v>15.39</v>
      </c>
      <c r="J3065" s="39"/>
      <c r="K3065" s="12" t="s">
        <v>8905</v>
      </c>
      <c r="L3065" s="22">
        <v>7.0000000000000007E-2</v>
      </c>
      <c r="M3065" s="22" t="s">
        <v>12488</v>
      </c>
      <c r="N3065" s="20" t="s">
        <v>9524</v>
      </c>
      <c r="O3065" s="16" t="s">
        <v>12608</v>
      </c>
      <c r="P3065" s="143">
        <v>755</v>
      </c>
      <c r="Q3065" s="122" t="s">
        <v>9227</v>
      </c>
      <c r="R3065" s="16" t="s">
        <v>8904</v>
      </c>
      <c r="S3065" s="10" t="s">
        <v>194</v>
      </c>
      <c r="T3065" s="28" t="s">
        <v>12039</v>
      </c>
      <c r="U3065" s="20" t="s">
        <v>5359</v>
      </c>
      <c r="V3065" s="16" t="s">
        <v>5279</v>
      </c>
      <c r="W3065" s="11" t="s">
        <v>14433</v>
      </c>
      <c r="X3065" s="174">
        <v>12.07</v>
      </c>
      <c r="Y3065" s="174">
        <v>15.39</v>
      </c>
    </row>
    <row r="3066" spans="1:25" ht="15" customHeight="1" x14ac:dyDescent="0.25">
      <c r="A3066" s="20" t="s">
        <v>5281</v>
      </c>
      <c r="B3066" s="14" t="s">
        <v>5282</v>
      </c>
      <c r="C3066" s="71" t="str">
        <f t="shared" si="68"/>
        <v>Product Info</v>
      </c>
      <c r="D3066" s="37" t="s">
        <v>5692</v>
      </c>
      <c r="E3066" s="143">
        <v>5</v>
      </c>
      <c r="F3066" s="12" t="s">
        <v>2170</v>
      </c>
      <c r="G3066" s="38">
        <v>14.7</v>
      </c>
      <c r="H3066" s="38">
        <f t="shared" si="70"/>
        <v>10.29</v>
      </c>
      <c r="I3066" s="38">
        <v>10.29</v>
      </c>
      <c r="J3066" s="39"/>
      <c r="K3066" s="12" t="s">
        <v>8905</v>
      </c>
      <c r="L3066" s="22">
        <v>1</v>
      </c>
      <c r="M3066" s="22" t="s">
        <v>12488</v>
      </c>
      <c r="N3066" s="20" t="s">
        <v>9289</v>
      </c>
      <c r="O3066" s="16" t="s">
        <v>12608</v>
      </c>
      <c r="P3066" s="143">
        <v>755</v>
      </c>
      <c r="Q3066" s="122" t="s">
        <v>9227</v>
      </c>
      <c r="R3066" s="16" t="s">
        <v>8904</v>
      </c>
      <c r="S3066" s="10" t="s">
        <v>194</v>
      </c>
      <c r="T3066" s="28" t="s">
        <v>12040</v>
      </c>
      <c r="U3066" s="20" t="s">
        <v>5359</v>
      </c>
      <c r="V3066" s="16" t="s">
        <v>5281</v>
      </c>
      <c r="W3066" s="11" t="s">
        <v>14433</v>
      </c>
      <c r="X3066" s="174">
        <v>8.07</v>
      </c>
      <c r="Y3066" s="174">
        <v>10.29</v>
      </c>
    </row>
    <row r="3067" spans="1:25" ht="15" customHeight="1" x14ac:dyDescent="0.25">
      <c r="A3067" s="20" t="s">
        <v>5283</v>
      </c>
      <c r="B3067" s="14" t="s">
        <v>5284</v>
      </c>
      <c r="C3067" s="71" t="str">
        <f t="shared" si="68"/>
        <v>Product Info</v>
      </c>
      <c r="D3067" s="37" t="s">
        <v>5693</v>
      </c>
      <c r="E3067" s="143">
        <v>5</v>
      </c>
      <c r="F3067" s="12" t="s">
        <v>2170</v>
      </c>
      <c r="G3067" s="38">
        <v>16.57</v>
      </c>
      <c r="H3067" s="38">
        <f t="shared" si="70"/>
        <v>11.6</v>
      </c>
      <c r="I3067" s="38">
        <v>11.6</v>
      </c>
      <c r="J3067" s="39"/>
      <c r="K3067" s="12" t="s">
        <v>8905</v>
      </c>
      <c r="L3067" s="22">
        <v>0.4</v>
      </c>
      <c r="M3067" s="22" t="s">
        <v>12488</v>
      </c>
      <c r="N3067" s="20" t="s">
        <v>8835</v>
      </c>
      <c r="O3067" s="16" t="s">
        <v>12608</v>
      </c>
      <c r="P3067" s="143">
        <v>755</v>
      </c>
      <c r="Q3067" s="122" t="s">
        <v>14461</v>
      </c>
      <c r="R3067" s="16" t="s">
        <v>8904</v>
      </c>
      <c r="S3067" s="10" t="s">
        <v>194</v>
      </c>
      <c r="T3067" s="28" t="s">
        <v>12041</v>
      </c>
      <c r="U3067" s="20" t="s">
        <v>5359</v>
      </c>
      <c r="V3067" s="16" t="s">
        <v>5283</v>
      </c>
      <c r="W3067" s="11" t="s">
        <v>14433</v>
      </c>
      <c r="X3067" s="174">
        <v>9.1</v>
      </c>
      <c r="Y3067" s="174">
        <v>11.6</v>
      </c>
    </row>
    <row r="3068" spans="1:25" ht="15" customHeight="1" x14ac:dyDescent="0.25">
      <c r="A3068" s="20" t="s">
        <v>5285</v>
      </c>
      <c r="B3068" s="14" t="s">
        <v>6897</v>
      </c>
      <c r="C3068" s="71" t="str">
        <f t="shared" si="68"/>
        <v>Product Info</v>
      </c>
      <c r="D3068" s="37" t="s">
        <v>5694</v>
      </c>
      <c r="E3068" s="143">
        <v>1</v>
      </c>
      <c r="F3068" s="12" t="s">
        <v>2170</v>
      </c>
      <c r="G3068" s="38">
        <v>580.16999999999996</v>
      </c>
      <c r="H3068" s="38">
        <f t="shared" si="70"/>
        <v>406.12</v>
      </c>
      <c r="I3068" s="38">
        <v>406.12</v>
      </c>
      <c r="J3068" s="39"/>
      <c r="K3068" s="12"/>
      <c r="L3068" s="22">
        <v>3.35</v>
      </c>
      <c r="M3068" s="22" t="s">
        <v>12488</v>
      </c>
      <c r="N3068" s="20" t="s">
        <v>8867</v>
      </c>
      <c r="O3068" s="16" t="s">
        <v>12608</v>
      </c>
      <c r="P3068" s="143">
        <v>755</v>
      </c>
      <c r="Q3068" s="122" t="s">
        <v>14461</v>
      </c>
      <c r="R3068" s="16" t="s">
        <v>8904</v>
      </c>
      <c r="S3068" s="10" t="s">
        <v>194</v>
      </c>
      <c r="T3068" s="28" t="s">
        <v>12042</v>
      </c>
      <c r="U3068" s="20" t="s">
        <v>5359</v>
      </c>
      <c r="V3068" s="16" t="s">
        <v>5285</v>
      </c>
      <c r="W3068" s="11" t="s">
        <v>14433</v>
      </c>
      <c r="X3068" s="174">
        <v>318.5</v>
      </c>
      <c r="Y3068" s="174">
        <v>406.12</v>
      </c>
    </row>
    <row r="3069" spans="1:25" ht="15" customHeight="1" x14ac:dyDescent="0.25">
      <c r="A3069" s="20" t="s">
        <v>6898</v>
      </c>
      <c r="B3069" s="14" t="s">
        <v>6899</v>
      </c>
      <c r="C3069" s="71" t="str">
        <f t="shared" si="68"/>
        <v>Product Info</v>
      </c>
      <c r="D3069" s="37" t="s">
        <v>5695</v>
      </c>
      <c r="E3069" s="143">
        <v>1</v>
      </c>
      <c r="F3069" s="12" t="s">
        <v>4992</v>
      </c>
      <c r="G3069" s="38">
        <v>14.07</v>
      </c>
      <c r="H3069" s="38">
        <f t="shared" si="70"/>
        <v>9.85</v>
      </c>
      <c r="I3069" s="38">
        <v>9.85</v>
      </c>
      <c r="J3069" s="39"/>
      <c r="K3069" s="143"/>
      <c r="L3069" s="22">
        <v>3</v>
      </c>
      <c r="M3069" s="22" t="s">
        <v>12488</v>
      </c>
      <c r="N3069" s="20" t="s">
        <v>9525</v>
      </c>
      <c r="O3069" s="16" t="s">
        <v>12608</v>
      </c>
      <c r="P3069" s="143">
        <v>755</v>
      </c>
      <c r="Q3069" s="121" t="s">
        <v>14285</v>
      </c>
      <c r="R3069" s="16" t="s">
        <v>8904</v>
      </c>
      <c r="S3069" s="10" t="s">
        <v>194</v>
      </c>
      <c r="T3069" s="28" t="s">
        <v>12043</v>
      </c>
      <c r="U3069" s="20" t="s">
        <v>5359</v>
      </c>
      <c r="V3069" s="16" t="s">
        <v>6898</v>
      </c>
      <c r="W3069" s="11" t="s">
        <v>14433</v>
      </c>
      <c r="X3069" s="174">
        <v>7.72</v>
      </c>
      <c r="Y3069" s="174">
        <v>9.85</v>
      </c>
    </row>
    <row r="3070" spans="1:25" ht="15" customHeight="1" x14ac:dyDescent="0.25">
      <c r="A3070" s="20" t="s">
        <v>6900</v>
      </c>
      <c r="B3070" s="14" t="s">
        <v>6901</v>
      </c>
      <c r="C3070" s="71" t="str">
        <f t="shared" si="68"/>
        <v>Product Info</v>
      </c>
      <c r="D3070" s="37" t="s">
        <v>5696</v>
      </c>
      <c r="E3070" s="143">
        <v>1</v>
      </c>
      <c r="F3070" s="12" t="s">
        <v>4992</v>
      </c>
      <c r="G3070" s="38">
        <v>14.53</v>
      </c>
      <c r="H3070" s="38">
        <f t="shared" si="70"/>
        <v>10.17</v>
      </c>
      <c r="I3070" s="38">
        <v>10.17</v>
      </c>
      <c r="J3070" s="39"/>
      <c r="K3070" s="143"/>
      <c r="L3070" s="22">
        <v>1</v>
      </c>
      <c r="M3070" s="22" t="s">
        <v>12488</v>
      </c>
      <c r="N3070" s="20" t="s">
        <v>9526</v>
      </c>
      <c r="O3070" s="16" t="s">
        <v>12608</v>
      </c>
      <c r="P3070" s="143">
        <v>755</v>
      </c>
      <c r="Q3070" s="121" t="s">
        <v>14285</v>
      </c>
      <c r="R3070" s="16" t="s">
        <v>8904</v>
      </c>
      <c r="S3070" s="10" t="s">
        <v>194</v>
      </c>
      <c r="T3070" s="28" t="s">
        <v>12044</v>
      </c>
      <c r="U3070" s="20" t="s">
        <v>5359</v>
      </c>
      <c r="V3070" s="16" t="s">
        <v>6900</v>
      </c>
      <c r="W3070" s="11" t="s">
        <v>14433</v>
      </c>
      <c r="X3070" s="174">
        <v>7.98</v>
      </c>
      <c r="Y3070" s="174">
        <v>10.17</v>
      </c>
    </row>
    <row r="3071" spans="1:25" ht="15" customHeight="1" x14ac:dyDescent="0.25">
      <c r="A3071" s="20" t="s">
        <v>6902</v>
      </c>
      <c r="B3071" s="14" t="s">
        <v>5345</v>
      </c>
      <c r="C3071" s="71" t="str">
        <f t="shared" si="68"/>
        <v>Product Info</v>
      </c>
      <c r="D3071" s="37" t="s">
        <v>5697</v>
      </c>
      <c r="E3071" s="143">
        <v>1</v>
      </c>
      <c r="F3071" s="12" t="s">
        <v>4992</v>
      </c>
      <c r="G3071" s="38">
        <v>14.13</v>
      </c>
      <c r="H3071" s="38">
        <f t="shared" si="70"/>
        <v>9.89</v>
      </c>
      <c r="I3071" s="38">
        <v>9.89</v>
      </c>
      <c r="J3071" s="39"/>
      <c r="K3071" s="143"/>
      <c r="L3071" s="22">
        <v>3</v>
      </c>
      <c r="M3071" s="22" t="s">
        <v>12488</v>
      </c>
      <c r="N3071" s="20" t="s">
        <v>9525</v>
      </c>
      <c r="O3071" s="16" t="s">
        <v>12608</v>
      </c>
      <c r="P3071" s="143">
        <v>755</v>
      </c>
      <c r="Q3071" s="121" t="s">
        <v>14285</v>
      </c>
      <c r="R3071" s="16" t="s">
        <v>8904</v>
      </c>
      <c r="S3071" s="10" t="s">
        <v>194</v>
      </c>
      <c r="T3071" s="28" t="s">
        <v>12045</v>
      </c>
      <c r="U3071" s="20" t="s">
        <v>5359</v>
      </c>
      <c r="V3071" s="16" t="s">
        <v>6902</v>
      </c>
      <c r="W3071" s="11" t="s">
        <v>14433</v>
      </c>
      <c r="X3071" s="174">
        <v>7.75</v>
      </c>
      <c r="Y3071" s="174">
        <v>9.89</v>
      </c>
    </row>
    <row r="3072" spans="1:25" ht="15" customHeight="1" x14ac:dyDescent="0.25">
      <c r="A3072" s="20" t="s">
        <v>5346</v>
      </c>
      <c r="B3072" s="14" t="s">
        <v>5347</v>
      </c>
      <c r="C3072" s="71" t="str">
        <f t="shared" si="68"/>
        <v>Product Info</v>
      </c>
      <c r="D3072" s="37" t="s">
        <v>5698</v>
      </c>
      <c r="E3072" s="143">
        <v>150</v>
      </c>
      <c r="F3072" s="12" t="s">
        <v>6692</v>
      </c>
      <c r="G3072" s="38">
        <v>0.79</v>
      </c>
      <c r="H3072" s="38">
        <f t="shared" si="70"/>
        <v>0.55000000000000004</v>
      </c>
      <c r="I3072" s="38">
        <v>0.55000000000000004</v>
      </c>
      <c r="J3072" s="39"/>
      <c r="K3072" s="143"/>
      <c r="L3072" s="22">
        <v>4.2900000000000001E-2</v>
      </c>
      <c r="M3072" s="22" t="s">
        <v>12488</v>
      </c>
      <c r="N3072" s="20" t="s">
        <v>9527</v>
      </c>
      <c r="O3072" s="16" t="s">
        <v>12608</v>
      </c>
      <c r="P3072" s="143">
        <v>755</v>
      </c>
      <c r="Q3072" s="121" t="s">
        <v>14285</v>
      </c>
      <c r="R3072" s="16" t="s">
        <v>8904</v>
      </c>
      <c r="S3072" s="10" t="s">
        <v>194</v>
      </c>
      <c r="T3072" s="28" t="s">
        <v>12046</v>
      </c>
      <c r="U3072" s="20" t="s">
        <v>5359</v>
      </c>
      <c r="V3072" s="16" t="s">
        <v>5346</v>
      </c>
      <c r="W3072" s="11" t="s">
        <v>14433</v>
      </c>
      <c r="X3072" s="174">
        <v>0.42</v>
      </c>
      <c r="Y3072" s="174">
        <v>0.55000000000000004</v>
      </c>
    </row>
    <row r="3073" spans="1:25" ht="15" customHeight="1" x14ac:dyDescent="0.25">
      <c r="A3073" s="20" t="s">
        <v>5348</v>
      </c>
      <c r="B3073" s="14" t="s">
        <v>5349</v>
      </c>
      <c r="C3073" s="71" t="str">
        <f t="shared" si="68"/>
        <v>Product Info</v>
      </c>
      <c r="D3073" s="37" t="s">
        <v>5699</v>
      </c>
      <c r="E3073" s="143">
        <v>150</v>
      </c>
      <c r="F3073" s="12" t="s">
        <v>6692</v>
      </c>
      <c r="G3073" s="38">
        <v>0.76</v>
      </c>
      <c r="H3073" s="38">
        <f t="shared" ref="H3073:H3104" si="71">I3073</f>
        <v>0.53</v>
      </c>
      <c r="I3073" s="38">
        <v>0.53</v>
      </c>
      <c r="J3073" s="39"/>
      <c r="K3073" s="143"/>
      <c r="L3073" s="22">
        <v>7</v>
      </c>
      <c r="M3073" s="22" t="s">
        <v>12488</v>
      </c>
      <c r="N3073" s="20" t="s">
        <v>9245</v>
      </c>
      <c r="O3073" s="16" t="s">
        <v>12608</v>
      </c>
      <c r="P3073" s="143">
        <v>755</v>
      </c>
      <c r="Q3073" s="121" t="s">
        <v>14285</v>
      </c>
      <c r="R3073" s="16" t="s">
        <v>8904</v>
      </c>
      <c r="S3073" s="10" t="s">
        <v>194</v>
      </c>
      <c r="T3073" s="28" t="s">
        <v>12047</v>
      </c>
      <c r="U3073" s="20" t="s">
        <v>5359</v>
      </c>
      <c r="V3073" s="16" t="s">
        <v>5348</v>
      </c>
      <c r="W3073" s="11" t="s">
        <v>14433</v>
      </c>
      <c r="X3073" s="174">
        <v>0.41</v>
      </c>
      <c r="Y3073" s="174">
        <v>0.53</v>
      </c>
    </row>
    <row r="3074" spans="1:25" ht="15" customHeight="1" x14ac:dyDescent="0.25">
      <c r="A3074" s="20" t="s">
        <v>5538</v>
      </c>
      <c r="B3074" s="14" t="s">
        <v>5539</v>
      </c>
      <c r="C3074" s="71" t="str">
        <f t="shared" si="68"/>
        <v>Product Info</v>
      </c>
      <c r="D3074" s="37" t="s">
        <v>5700</v>
      </c>
      <c r="E3074" s="143">
        <v>150</v>
      </c>
      <c r="F3074" s="12" t="s">
        <v>6692</v>
      </c>
      <c r="G3074" s="38">
        <v>1.04</v>
      </c>
      <c r="H3074" s="38">
        <f t="shared" si="71"/>
        <v>0.73</v>
      </c>
      <c r="I3074" s="38">
        <v>0.73</v>
      </c>
      <c r="J3074" s="39"/>
      <c r="K3074" s="143"/>
      <c r="L3074" s="22">
        <v>7</v>
      </c>
      <c r="M3074" s="22" t="s">
        <v>12488</v>
      </c>
      <c r="N3074" s="20" t="s">
        <v>9245</v>
      </c>
      <c r="O3074" s="16" t="s">
        <v>12608</v>
      </c>
      <c r="P3074" s="143">
        <v>755</v>
      </c>
      <c r="Q3074" s="121" t="s">
        <v>14285</v>
      </c>
      <c r="R3074" s="16" t="s">
        <v>8904</v>
      </c>
      <c r="S3074" s="10" t="s">
        <v>194</v>
      </c>
      <c r="T3074" s="28" t="s">
        <v>12048</v>
      </c>
      <c r="U3074" s="20" t="s">
        <v>5359</v>
      </c>
      <c r="V3074" s="16" t="s">
        <v>5538</v>
      </c>
      <c r="W3074" s="11" t="s">
        <v>14433</v>
      </c>
      <c r="X3074" s="174">
        <v>0.56999999999999995</v>
      </c>
      <c r="Y3074" s="174">
        <v>0.73</v>
      </c>
    </row>
    <row r="3075" spans="1:25" ht="15" customHeight="1" x14ac:dyDescent="0.25">
      <c r="A3075" s="20" t="s">
        <v>5540</v>
      </c>
      <c r="B3075" s="14" t="s">
        <v>5541</v>
      </c>
      <c r="C3075" s="71" t="str">
        <f t="shared" si="68"/>
        <v>Product Info</v>
      </c>
      <c r="D3075" s="37" t="s">
        <v>5701</v>
      </c>
      <c r="E3075" s="143">
        <v>150</v>
      </c>
      <c r="F3075" s="12" t="s">
        <v>6692</v>
      </c>
      <c r="G3075" s="38">
        <v>0.79</v>
      </c>
      <c r="H3075" s="38">
        <f t="shared" si="71"/>
        <v>0.55000000000000004</v>
      </c>
      <c r="I3075" s="38">
        <v>0.55000000000000004</v>
      </c>
      <c r="J3075" s="39"/>
      <c r="K3075" s="143"/>
      <c r="L3075" s="22">
        <v>7</v>
      </c>
      <c r="M3075" s="22" t="s">
        <v>12488</v>
      </c>
      <c r="N3075" s="20" t="s">
        <v>9245</v>
      </c>
      <c r="O3075" s="16" t="s">
        <v>12608</v>
      </c>
      <c r="P3075" s="143">
        <v>755</v>
      </c>
      <c r="Q3075" s="121" t="s">
        <v>14285</v>
      </c>
      <c r="R3075" s="16" t="s">
        <v>8904</v>
      </c>
      <c r="S3075" s="10" t="s">
        <v>194</v>
      </c>
      <c r="T3075" s="28" t="s">
        <v>12049</v>
      </c>
      <c r="U3075" s="20" t="s">
        <v>5359</v>
      </c>
      <c r="V3075" s="16" t="s">
        <v>5540</v>
      </c>
      <c r="W3075" s="11" t="s">
        <v>14433</v>
      </c>
      <c r="X3075" s="174">
        <v>0.42</v>
      </c>
      <c r="Y3075" s="174">
        <v>0.55000000000000004</v>
      </c>
    </row>
    <row r="3076" spans="1:25" ht="15" customHeight="1" x14ac:dyDescent="0.25">
      <c r="A3076" s="20" t="s">
        <v>5542</v>
      </c>
      <c r="B3076" s="14" t="s">
        <v>5543</v>
      </c>
      <c r="C3076" s="71" t="str">
        <f t="shared" si="68"/>
        <v>Product Info</v>
      </c>
      <c r="D3076" s="37" t="s">
        <v>5702</v>
      </c>
      <c r="E3076" s="143">
        <v>150</v>
      </c>
      <c r="F3076" s="12" t="s">
        <v>6692</v>
      </c>
      <c r="G3076" s="38">
        <v>0.79</v>
      </c>
      <c r="H3076" s="38">
        <f t="shared" si="71"/>
        <v>0.55000000000000004</v>
      </c>
      <c r="I3076" s="38">
        <v>0.55000000000000004</v>
      </c>
      <c r="J3076" s="39"/>
      <c r="K3076" s="143"/>
      <c r="L3076" s="22">
        <v>7</v>
      </c>
      <c r="M3076" s="22" t="s">
        <v>12488</v>
      </c>
      <c r="N3076" s="20" t="s">
        <v>9245</v>
      </c>
      <c r="O3076" s="16" t="s">
        <v>12608</v>
      </c>
      <c r="P3076" s="143">
        <v>755</v>
      </c>
      <c r="Q3076" s="121" t="s">
        <v>14285</v>
      </c>
      <c r="R3076" s="16" t="s">
        <v>8904</v>
      </c>
      <c r="S3076" s="10" t="s">
        <v>194</v>
      </c>
      <c r="T3076" s="28" t="s">
        <v>12050</v>
      </c>
      <c r="U3076" s="20" t="s">
        <v>5359</v>
      </c>
      <c r="V3076" s="16" t="s">
        <v>5542</v>
      </c>
      <c r="W3076" s="11" t="s">
        <v>14433</v>
      </c>
      <c r="X3076" s="174">
        <v>0.42</v>
      </c>
      <c r="Y3076" s="174">
        <v>0.55000000000000004</v>
      </c>
    </row>
    <row r="3077" spans="1:25" ht="15" customHeight="1" x14ac:dyDescent="0.25">
      <c r="A3077" s="20" t="s">
        <v>5544</v>
      </c>
      <c r="B3077" s="14" t="s">
        <v>5545</v>
      </c>
      <c r="C3077" s="71" t="str">
        <f t="shared" si="68"/>
        <v>Product Info</v>
      </c>
      <c r="D3077" s="37" t="s">
        <v>5703</v>
      </c>
      <c r="E3077" s="143">
        <v>1</v>
      </c>
      <c r="F3077" s="12" t="s">
        <v>4992</v>
      </c>
      <c r="G3077" s="38">
        <v>23.31</v>
      </c>
      <c r="H3077" s="38">
        <f t="shared" si="71"/>
        <v>16.32</v>
      </c>
      <c r="I3077" s="38">
        <v>16.32</v>
      </c>
      <c r="J3077" s="39"/>
      <c r="K3077" s="143"/>
      <c r="L3077" s="22">
        <v>0.83499999999999996</v>
      </c>
      <c r="M3077" s="22" t="s">
        <v>12488</v>
      </c>
      <c r="N3077" s="20" t="s">
        <v>9528</v>
      </c>
      <c r="O3077" s="16" t="s">
        <v>12608</v>
      </c>
      <c r="P3077" s="143">
        <v>755</v>
      </c>
      <c r="Q3077" s="122" t="s">
        <v>12421</v>
      </c>
      <c r="R3077" s="16" t="s">
        <v>8904</v>
      </c>
      <c r="S3077" s="10" t="s">
        <v>194</v>
      </c>
      <c r="T3077" s="28" t="s">
        <v>12051</v>
      </c>
      <c r="U3077" s="20" t="s">
        <v>5359</v>
      </c>
      <c r="V3077" s="16" t="s">
        <v>5544</v>
      </c>
      <c r="W3077" s="11" t="s">
        <v>14433</v>
      </c>
      <c r="X3077" s="174">
        <v>12.8</v>
      </c>
      <c r="Y3077" s="174">
        <v>16.32</v>
      </c>
    </row>
    <row r="3078" spans="1:25" ht="15" customHeight="1" x14ac:dyDescent="0.25">
      <c r="A3078" s="20" t="s">
        <v>5546</v>
      </c>
      <c r="B3078" s="14" t="s">
        <v>5547</v>
      </c>
      <c r="C3078" s="71" t="str">
        <f t="shared" ref="C3078:C3141" si="72">HYPERLINK(T3078,U3078)</f>
        <v>Product Info</v>
      </c>
      <c r="D3078" s="37" t="s">
        <v>2335</v>
      </c>
      <c r="E3078" s="143">
        <v>1</v>
      </c>
      <c r="F3078" s="12" t="s">
        <v>4992</v>
      </c>
      <c r="G3078" s="38">
        <v>23.37</v>
      </c>
      <c r="H3078" s="38">
        <f t="shared" si="71"/>
        <v>16.36</v>
      </c>
      <c r="I3078" s="38">
        <v>16.36</v>
      </c>
      <c r="J3078" s="39"/>
      <c r="K3078" s="143"/>
      <c r="L3078" s="22">
        <v>2</v>
      </c>
      <c r="M3078" s="22" t="s">
        <v>12488</v>
      </c>
      <c r="N3078" s="20" t="s">
        <v>9526</v>
      </c>
      <c r="O3078" s="16" t="s">
        <v>12608</v>
      </c>
      <c r="P3078" s="143">
        <v>755</v>
      </c>
      <c r="Q3078" s="121" t="s">
        <v>14285</v>
      </c>
      <c r="R3078" s="16" t="s">
        <v>8904</v>
      </c>
      <c r="S3078" s="10" t="s">
        <v>194</v>
      </c>
      <c r="T3078" s="28" t="s">
        <v>12052</v>
      </c>
      <c r="U3078" s="20" t="s">
        <v>5359</v>
      </c>
      <c r="V3078" s="16" t="s">
        <v>5546</v>
      </c>
      <c r="W3078" s="11" t="s">
        <v>14433</v>
      </c>
      <c r="X3078" s="174">
        <v>12.83</v>
      </c>
      <c r="Y3078" s="174">
        <v>16.36</v>
      </c>
    </row>
    <row r="3079" spans="1:25" ht="15" customHeight="1" x14ac:dyDescent="0.25">
      <c r="A3079" s="20" t="s">
        <v>6386</v>
      </c>
      <c r="B3079" s="14" t="s">
        <v>6387</v>
      </c>
      <c r="C3079" s="71" t="str">
        <f t="shared" si="72"/>
        <v>Product Info</v>
      </c>
      <c r="D3079" s="37" t="s">
        <v>2336</v>
      </c>
      <c r="E3079" s="143">
        <v>1</v>
      </c>
      <c r="F3079" s="12" t="s">
        <v>4992</v>
      </c>
      <c r="G3079" s="38">
        <v>23.37</v>
      </c>
      <c r="H3079" s="38">
        <f t="shared" si="71"/>
        <v>16.36</v>
      </c>
      <c r="I3079" s="38">
        <v>16.36</v>
      </c>
      <c r="J3079" s="39"/>
      <c r="K3079" s="143"/>
      <c r="L3079" s="22">
        <v>3</v>
      </c>
      <c r="M3079" s="22" t="s">
        <v>12488</v>
      </c>
      <c r="N3079" s="20" t="s">
        <v>9525</v>
      </c>
      <c r="O3079" s="16" t="s">
        <v>12608</v>
      </c>
      <c r="P3079" s="143">
        <v>755</v>
      </c>
      <c r="Q3079" s="121" t="s">
        <v>14285</v>
      </c>
      <c r="R3079" s="16" t="s">
        <v>8904</v>
      </c>
      <c r="S3079" s="10" t="s">
        <v>194</v>
      </c>
      <c r="T3079" s="28" t="s">
        <v>12053</v>
      </c>
      <c r="U3079" s="20" t="s">
        <v>5359</v>
      </c>
      <c r="V3079" s="16" t="s">
        <v>6386</v>
      </c>
      <c r="W3079" s="11" t="s">
        <v>14433</v>
      </c>
      <c r="X3079" s="174">
        <v>12.83</v>
      </c>
      <c r="Y3079" s="174">
        <v>16.36</v>
      </c>
    </row>
    <row r="3080" spans="1:25" ht="15" customHeight="1" x14ac:dyDescent="0.25">
      <c r="A3080" s="20" t="s">
        <v>6388</v>
      </c>
      <c r="B3080" s="14" t="s">
        <v>6389</v>
      </c>
      <c r="C3080" s="71" t="str">
        <f t="shared" si="72"/>
        <v>Product Info</v>
      </c>
      <c r="D3080" s="37" t="s">
        <v>2337</v>
      </c>
      <c r="E3080" s="143">
        <v>250</v>
      </c>
      <c r="F3080" s="12" t="s">
        <v>6692</v>
      </c>
      <c r="G3080" s="38">
        <v>0.54</v>
      </c>
      <c r="H3080" s="38">
        <f t="shared" si="71"/>
        <v>0.38</v>
      </c>
      <c r="I3080" s="38">
        <v>0.38</v>
      </c>
      <c r="J3080" s="39"/>
      <c r="K3080" s="143"/>
      <c r="L3080" s="22">
        <v>3.2000000000000001E-2</v>
      </c>
      <c r="M3080" s="22" t="s">
        <v>12488</v>
      </c>
      <c r="N3080" s="20" t="s">
        <v>9245</v>
      </c>
      <c r="O3080" s="16" t="s">
        <v>12608</v>
      </c>
      <c r="P3080" s="143">
        <v>755</v>
      </c>
      <c r="Q3080" s="121" t="s">
        <v>14285</v>
      </c>
      <c r="R3080" s="16" t="s">
        <v>8904</v>
      </c>
      <c r="S3080" s="10" t="s">
        <v>194</v>
      </c>
      <c r="T3080" s="28" t="s">
        <v>12054</v>
      </c>
      <c r="U3080" s="20" t="s">
        <v>5359</v>
      </c>
      <c r="V3080" s="16" t="s">
        <v>6388</v>
      </c>
      <c r="W3080" s="11" t="s">
        <v>14433</v>
      </c>
      <c r="X3080" s="174">
        <v>0.3</v>
      </c>
      <c r="Y3080" s="174">
        <v>0.38</v>
      </c>
    </row>
    <row r="3081" spans="1:25" ht="15" customHeight="1" x14ac:dyDescent="0.25">
      <c r="A3081" s="20" t="s">
        <v>6390</v>
      </c>
      <c r="B3081" s="14" t="s">
        <v>4981</v>
      </c>
      <c r="C3081" s="71" t="str">
        <f t="shared" si="72"/>
        <v>Product Info</v>
      </c>
      <c r="D3081" s="37" t="s">
        <v>2603</v>
      </c>
      <c r="E3081" s="143">
        <v>250</v>
      </c>
      <c r="F3081" s="12" t="s">
        <v>6692</v>
      </c>
      <c r="G3081" s="38">
        <v>0.54</v>
      </c>
      <c r="H3081" s="38">
        <f t="shared" si="71"/>
        <v>0.38</v>
      </c>
      <c r="I3081" s="38">
        <v>0.38</v>
      </c>
      <c r="J3081" s="39"/>
      <c r="K3081" s="143"/>
      <c r="L3081" s="22">
        <v>8</v>
      </c>
      <c r="M3081" s="22" t="s">
        <v>12488</v>
      </c>
      <c r="N3081" s="20" t="s">
        <v>9245</v>
      </c>
      <c r="O3081" s="16" t="s">
        <v>12608</v>
      </c>
      <c r="P3081" s="143">
        <v>755</v>
      </c>
      <c r="Q3081" s="121" t="s">
        <v>14285</v>
      </c>
      <c r="R3081" s="16" t="s">
        <v>8904</v>
      </c>
      <c r="S3081" s="10" t="s">
        <v>194</v>
      </c>
      <c r="T3081" s="28" t="s">
        <v>12055</v>
      </c>
      <c r="U3081" s="20" t="s">
        <v>5359</v>
      </c>
      <c r="V3081" s="16" t="s">
        <v>6390</v>
      </c>
      <c r="W3081" s="11" t="s">
        <v>14433</v>
      </c>
      <c r="X3081" s="174">
        <v>0.3</v>
      </c>
      <c r="Y3081" s="174">
        <v>0.38</v>
      </c>
    </row>
    <row r="3082" spans="1:25" ht="15" customHeight="1" x14ac:dyDescent="0.25">
      <c r="A3082" s="20" t="s">
        <v>4982</v>
      </c>
      <c r="B3082" s="14" t="s">
        <v>4983</v>
      </c>
      <c r="C3082" s="71" t="str">
        <f t="shared" si="72"/>
        <v>Product Info</v>
      </c>
      <c r="D3082" s="37" t="s">
        <v>3148</v>
      </c>
      <c r="E3082" s="143">
        <v>1</v>
      </c>
      <c r="F3082" s="12" t="s">
        <v>4992</v>
      </c>
      <c r="G3082" s="38">
        <v>18.29</v>
      </c>
      <c r="H3082" s="38">
        <f t="shared" si="71"/>
        <v>12.8</v>
      </c>
      <c r="I3082" s="38">
        <v>12.8</v>
      </c>
      <c r="J3082" s="39"/>
      <c r="K3082" s="143"/>
      <c r="L3082" s="22">
        <v>3</v>
      </c>
      <c r="M3082" s="22" t="s">
        <v>12488</v>
      </c>
      <c r="N3082" s="20" t="s">
        <v>9525</v>
      </c>
      <c r="O3082" s="16" t="s">
        <v>12608</v>
      </c>
      <c r="P3082" s="143">
        <v>755</v>
      </c>
      <c r="Q3082" s="122" t="s">
        <v>9227</v>
      </c>
      <c r="R3082" s="16" t="s">
        <v>8904</v>
      </c>
      <c r="S3082" s="10" t="s">
        <v>194</v>
      </c>
      <c r="T3082" s="28" t="s">
        <v>12056</v>
      </c>
      <c r="U3082" s="20" t="s">
        <v>5359</v>
      </c>
      <c r="V3082" s="16" t="s">
        <v>4982</v>
      </c>
      <c r="W3082" s="11" t="s">
        <v>14433</v>
      </c>
      <c r="X3082" s="174">
        <v>10.029999999999999</v>
      </c>
      <c r="Y3082" s="174">
        <v>12.8</v>
      </c>
    </row>
    <row r="3083" spans="1:25" ht="15" customHeight="1" x14ac:dyDescent="0.25">
      <c r="A3083" s="20" t="s">
        <v>4984</v>
      </c>
      <c r="B3083" s="14" t="s">
        <v>4985</v>
      </c>
      <c r="C3083" s="71" t="str">
        <f t="shared" si="72"/>
        <v>Product Info</v>
      </c>
      <c r="D3083" s="37" t="s">
        <v>3149</v>
      </c>
      <c r="E3083" s="143">
        <v>1</v>
      </c>
      <c r="F3083" s="12" t="s">
        <v>4992</v>
      </c>
      <c r="G3083" s="38">
        <v>18.329999999999998</v>
      </c>
      <c r="H3083" s="38">
        <f t="shared" si="71"/>
        <v>12.83</v>
      </c>
      <c r="I3083" s="38">
        <v>12.83</v>
      </c>
      <c r="J3083" s="39"/>
      <c r="K3083" s="143"/>
      <c r="L3083" s="22">
        <v>2</v>
      </c>
      <c r="M3083" s="22" t="s">
        <v>12488</v>
      </c>
      <c r="N3083" s="20" t="s">
        <v>9526</v>
      </c>
      <c r="O3083" s="16" t="s">
        <v>12608</v>
      </c>
      <c r="P3083" s="143">
        <v>755</v>
      </c>
      <c r="Q3083" s="121" t="s">
        <v>14285</v>
      </c>
      <c r="R3083" s="16" t="s">
        <v>8904</v>
      </c>
      <c r="S3083" s="10" t="s">
        <v>194</v>
      </c>
      <c r="T3083" s="28" t="s">
        <v>12057</v>
      </c>
      <c r="U3083" s="20" t="s">
        <v>5359</v>
      </c>
      <c r="V3083" s="16" t="s">
        <v>4984</v>
      </c>
      <c r="W3083" s="11" t="s">
        <v>14433</v>
      </c>
      <c r="X3083" s="174">
        <v>10.06</v>
      </c>
      <c r="Y3083" s="174">
        <v>12.83</v>
      </c>
    </row>
    <row r="3084" spans="1:25" ht="15" customHeight="1" x14ac:dyDescent="0.25">
      <c r="A3084" s="20" t="s">
        <v>4986</v>
      </c>
      <c r="B3084" s="14" t="s">
        <v>2501</v>
      </c>
      <c r="C3084" s="71" t="str">
        <f t="shared" si="72"/>
        <v>Product Info</v>
      </c>
      <c r="D3084" s="37" t="s">
        <v>3150</v>
      </c>
      <c r="E3084" s="143">
        <v>1</v>
      </c>
      <c r="F3084" s="12" t="s">
        <v>4992</v>
      </c>
      <c r="G3084" s="38">
        <v>18.329999999999998</v>
      </c>
      <c r="H3084" s="38">
        <f t="shared" si="71"/>
        <v>12.83</v>
      </c>
      <c r="I3084" s="38">
        <v>12.83</v>
      </c>
      <c r="J3084" s="39"/>
      <c r="K3084" s="143"/>
      <c r="L3084" s="22">
        <v>3</v>
      </c>
      <c r="M3084" s="22" t="s">
        <v>12488</v>
      </c>
      <c r="N3084" s="20" t="s">
        <v>9525</v>
      </c>
      <c r="O3084" s="16" t="s">
        <v>12608</v>
      </c>
      <c r="P3084" s="143">
        <v>755</v>
      </c>
      <c r="Q3084" s="121" t="s">
        <v>14285</v>
      </c>
      <c r="R3084" s="16" t="s">
        <v>8904</v>
      </c>
      <c r="S3084" s="10" t="s">
        <v>194</v>
      </c>
      <c r="T3084" s="28" t="s">
        <v>12058</v>
      </c>
      <c r="U3084" s="20" t="s">
        <v>5359</v>
      </c>
      <c r="V3084" s="16" t="s">
        <v>4986</v>
      </c>
      <c r="W3084" s="11" t="s">
        <v>14433</v>
      </c>
      <c r="X3084" s="174">
        <v>10.06</v>
      </c>
      <c r="Y3084" s="174">
        <v>12.83</v>
      </c>
    </row>
    <row r="3085" spans="1:25" ht="15" customHeight="1" x14ac:dyDescent="0.25">
      <c r="A3085" s="20" t="s">
        <v>2502</v>
      </c>
      <c r="B3085" s="14" t="s">
        <v>2503</v>
      </c>
      <c r="C3085" s="71" t="str">
        <f t="shared" si="72"/>
        <v>Product Info</v>
      </c>
      <c r="D3085" s="37" t="s">
        <v>3151</v>
      </c>
      <c r="E3085" s="143">
        <v>1</v>
      </c>
      <c r="F3085" s="12" t="s">
        <v>4992</v>
      </c>
      <c r="G3085" s="38">
        <v>16.23</v>
      </c>
      <c r="H3085" s="38">
        <f t="shared" si="71"/>
        <v>11.36</v>
      </c>
      <c r="I3085" s="38">
        <v>11.36</v>
      </c>
      <c r="J3085" s="39"/>
      <c r="K3085" s="143"/>
      <c r="L3085" s="22">
        <v>0.60499999999999998</v>
      </c>
      <c r="M3085" s="22" t="s">
        <v>12488</v>
      </c>
      <c r="N3085" s="20" t="s">
        <v>9529</v>
      </c>
      <c r="O3085" s="16" t="s">
        <v>12608</v>
      </c>
      <c r="P3085" s="143">
        <v>755</v>
      </c>
      <c r="Q3085" s="122" t="s">
        <v>12421</v>
      </c>
      <c r="R3085" s="16" t="s">
        <v>8904</v>
      </c>
      <c r="S3085" s="10" t="s">
        <v>194</v>
      </c>
      <c r="T3085" s="28" t="s">
        <v>12059</v>
      </c>
      <c r="U3085" s="20" t="s">
        <v>5359</v>
      </c>
      <c r="V3085" s="16" t="s">
        <v>2502</v>
      </c>
      <c r="W3085" s="11" t="s">
        <v>14433</v>
      </c>
      <c r="X3085" s="174">
        <v>8.91</v>
      </c>
      <c r="Y3085" s="174">
        <v>11.36</v>
      </c>
    </row>
    <row r="3086" spans="1:25" ht="15" customHeight="1" x14ac:dyDescent="0.25">
      <c r="A3086" s="20" t="s">
        <v>2504</v>
      </c>
      <c r="B3086" s="14" t="s">
        <v>2505</v>
      </c>
      <c r="C3086" s="71" t="str">
        <f t="shared" si="72"/>
        <v>Product Info</v>
      </c>
      <c r="D3086" s="37" t="s">
        <v>3152</v>
      </c>
      <c r="E3086" s="143">
        <v>1</v>
      </c>
      <c r="F3086" s="12" t="s">
        <v>4992</v>
      </c>
      <c r="G3086" s="38">
        <v>16.27</v>
      </c>
      <c r="H3086" s="38">
        <f t="shared" si="71"/>
        <v>11.39</v>
      </c>
      <c r="I3086" s="38">
        <v>11.39</v>
      </c>
      <c r="J3086" s="39"/>
      <c r="K3086" s="143"/>
      <c r="L3086" s="22">
        <v>2</v>
      </c>
      <c r="M3086" s="22" t="s">
        <v>12488</v>
      </c>
      <c r="N3086" s="20" t="s">
        <v>9526</v>
      </c>
      <c r="O3086" s="16" t="s">
        <v>12608</v>
      </c>
      <c r="P3086" s="143">
        <v>755</v>
      </c>
      <c r="Q3086" s="121" t="s">
        <v>14285</v>
      </c>
      <c r="R3086" s="16" t="s">
        <v>8904</v>
      </c>
      <c r="S3086" s="10" t="s">
        <v>194</v>
      </c>
      <c r="T3086" s="28" t="s">
        <v>12060</v>
      </c>
      <c r="U3086" s="20" t="s">
        <v>5359</v>
      </c>
      <c r="V3086" s="16" t="s">
        <v>2504</v>
      </c>
      <c r="W3086" s="11" t="s">
        <v>14433</v>
      </c>
      <c r="X3086" s="174">
        <v>8.94</v>
      </c>
      <c r="Y3086" s="174">
        <v>11.39</v>
      </c>
    </row>
    <row r="3087" spans="1:25" ht="15" customHeight="1" x14ac:dyDescent="0.25">
      <c r="A3087" s="20" t="s">
        <v>2506</v>
      </c>
      <c r="B3087" s="14" t="s">
        <v>2507</v>
      </c>
      <c r="C3087" s="71" t="str">
        <f t="shared" si="72"/>
        <v>Product Info</v>
      </c>
      <c r="D3087" s="37" t="s">
        <v>3153</v>
      </c>
      <c r="E3087" s="143">
        <v>1</v>
      </c>
      <c r="F3087" s="12" t="s">
        <v>4992</v>
      </c>
      <c r="G3087" s="38">
        <v>16.27</v>
      </c>
      <c r="H3087" s="38">
        <f t="shared" si="71"/>
        <v>11.39</v>
      </c>
      <c r="I3087" s="38">
        <v>11.39</v>
      </c>
      <c r="J3087" s="39"/>
      <c r="K3087" s="143"/>
      <c r="L3087" s="22">
        <v>8</v>
      </c>
      <c r="M3087" s="22" t="s">
        <v>12488</v>
      </c>
      <c r="N3087" s="20" t="s">
        <v>9525</v>
      </c>
      <c r="O3087" s="16" t="s">
        <v>12608</v>
      </c>
      <c r="P3087" s="143">
        <v>755</v>
      </c>
      <c r="Q3087" s="121" t="s">
        <v>14285</v>
      </c>
      <c r="R3087" s="16" t="s">
        <v>8904</v>
      </c>
      <c r="S3087" s="10" t="s">
        <v>194</v>
      </c>
      <c r="T3087" s="28" t="s">
        <v>12061</v>
      </c>
      <c r="U3087" s="20" t="s">
        <v>5359</v>
      </c>
      <c r="V3087" s="16" t="s">
        <v>2506</v>
      </c>
      <c r="W3087" s="11" t="s">
        <v>14433</v>
      </c>
      <c r="X3087" s="174">
        <v>8.94</v>
      </c>
      <c r="Y3087" s="174">
        <v>11.39</v>
      </c>
    </row>
    <row r="3088" spans="1:25" ht="15" customHeight="1" x14ac:dyDescent="0.25">
      <c r="A3088" s="20" t="s">
        <v>2508</v>
      </c>
      <c r="B3088" s="14" t="s">
        <v>2509</v>
      </c>
      <c r="C3088" s="71" t="str">
        <f t="shared" si="72"/>
        <v>Product Info</v>
      </c>
      <c r="D3088" s="37" t="s">
        <v>2565</v>
      </c>
      <c r="E3088" s="143">
        <v>500</v>
      </c>
      <c r="F3088" s="12" t="s">
        <v>6692</v>
      </c>
      <c r="G3088" s="38">
        <v>0.31</v>
      </c>
      <c r="H3088" s="38">
        <f t="shared" si="71"/>
        <v>0.22</v>
      </c>
      <c r="I3088" s="38">
        <v>0.22</v>
      </c>
      <c r="J3088" s="39"/>
      <c r="K3088" s="143"/>
      <c r="L3088" s="22">
        <v>8</v>
      </c>
      <c r="M3088" s="22" t="s">
        <v>12488</v>
      </c>
      <c r="N3088" s="20" t="s">
        <v>9245</v>
      </c>
      <c r="O3088" s="16" t="s">
        <v>12608</v>
      </c>
      <c r="P3088" s="143">
        <v>755</v>
      </c>
      <c r="Q3088" s="121" t="s">
        <v>14285</v>
      </c>
      <c r="R3088" s="16" t="s">
        <v>8904</v>
      </c>
      <c r="S3088" s="10" t="s">
        <v>194</v>
      </c>
      <c r="T3088" s="28" t="s">
        <v>12062</v>
      </c>
      <c r="U3088" s="20" t="s">
        <v>5359</v>
      </c>
      <c r="V3088" s="16" t="s">
        <v>2508</v>
      </c>
      <c r="W3088" s="11" t="s">
        <v>14433</v>
      </c>
      <c r="X3088" s="174">
        <v>0.18</v>
      </c>
      <c r="Y3088" s="174">
        <v>0.22</v>
      </c>
    </row>
    <row r="3089" spans="1:25" ht="15" customHeight="1" x14ac:dyDescent="0.25">
      <c r="A3089" s="20" t="s">
        <v>2510</v>
      </c>
      <c r="B3089" s="14" t="s">
        <v>2511</v>
      </c>
      <c r="C3089" s="71" t="str">
        <f t="shared" si="72"/>
        <v>Product Info</v>
      </c>
      <c r="D3089" s="37" t="s">
        <v>2566</v>
      </c>
      <c r="E3089" s="143">
        <v>500</v>
      </c>
      <c r="F3089" s="12" t="s">
        <v>6692</v>
      </c>
      <c r="G3089" s="38">
        <v>0.31</v>
      </c>
      <c r="H3089" s="38">
        <f t="shared" si="71"/>
        <v>0.22</v>
      </c>
      <c r="I3089" s="38">
        <v>0.22</v>
      </c>
      <c r="J3089" s="39"/>
      <c r="K3089" s="143"/>
      <c r="L3089" s="22">
        <v>8</v>
      </c>
      <c r="M3089" s="22" t="s">
        <v>12488</v>
      </c>
      <c r="N3089" s="20" t="s">
        <v>9245</v>
      </c>
      <c r="O3089" s="16" t="s">
        <v>12608</v>
      </c>
      <c r="P3089" s="143">
        <v>755</v>
      </c>
      <c r="Q3089" s="121" t="s">
        <v>14285</v>
      </c>
      <c r="R3089" s="16" t="s">
        <v>8904</v>
      </c>
      <c r="S3089" s="10" t="s">
        <v>194</v>
      </c>
      <c r="T3089" s="28" t="s">
        <v>12063</v>
      </c>
      <c r="U3089" s="20" t="s">
        <v>5359</v>
      </c>
      <c r="V3089" s="16" t="s">
        <v>2510</v>
      </c>
      <c r="W3089" s="11" t="s">
        <v>14433</v>
      </c>
      <c r="X3089" s="174">
        <v>0.18</v>
      </c>
      <c r="Y3089" s="174">
        <v>0.22</v>
      </c>
    </row>
    <row r="3090" spans="1:25" ht="15" customHeight="1" x14ac:dyDescent="0.25">
      <c r="A3090" s="20" t="s">
        <v>2512</v>
      </c>
      <c r="B3090" s="14" t="s">
        <v>2513</v>
      </c>
      <c r="C3090" s="71" t="str">
        <f t="shared" si="72"/>
        <v>Product Info</v>
      </c>
      <c r="D3090" s="37" t="s">
        <v>2567</v>
      </c>
      <c r="E3090" s="143">
        <v>1</v>
      </c>
      <c r="F3090" s="12" t="s">
        <v>4992</v>
      </c>
      <c r="G3090" s="38">
        <v>67.430000000000007</v>
      </c>
      <c r="H3090" s="38">
        <f t="shared" si="71"/>
        <v>47.2</v>
      </c>
      <c r="I3090" s="38">
        <v>47.2</v>
      </c>
      <c r="J3090" s="39"/>
      <c r="K3090" s="143"/>
      <c r="L3090" s="22">
        <v>5</v>
      </c>
      <c r="M3090" s="22" t="s">
        <v>12488</v>
      </c>
      <c r="N3090" s="20" t="s">
        <v>9525</v>
      </c>
      <c r="O3090" s="16" t="s">
        <v>12608</v>
      </c>
      <c r="P3090" s="143">
        <v>755</v>
      </c>
      <c r="Q3090" s="122" t="s">
        <v>12421</v>
      </c>
      <c r="R3090" s="16" t="s">
        <v>8904</v>
      </c>
      <c r="S3090" s="10" t="s">
        <v>194</v>
      </c>
      <c r="T3090" s="28" t="s">
        <v>12064</v>
      </c>
      <c r="U3090" s="20" t="s">
        <v>5359</v>
      </c>
      <c r="V3090" s="16" t="s">
        <v>2512</v>
      </c>
      <c r="W3090" s="11" t="s">
        <v>14433</v>
      </c>
      <c r="X3090" s="174">
        <v>37.020000000000003</v>
      </c>
      <c r="Y3090" s="174">
        <v>47.2</v>
      </c>
    </row>
    <row r="3091" spans="1:25" ht="15" customHeight="1" x14ac:dyDescent="0.25">
      <c r="A3091" s="20" t="s">
        <v>2514</v>
      </c>
      <c r="B3091" s="14" t="s">
        <v>5370</v>
      </c>
      <c r="C3091" s="71" t="str">
        <f t="shared" si="72"/>
        <v>Product Info</v>
      </c>
      <c r="D3091" s="37" t="s">
        <v>2568</v>
      </c>
      <c r="E3091" s="143">
        <v>1</v>
      </c>
      <c r="F3091" s="12" t="s">
        <v>2170</v>
      </c>
      <c r="G3091" s="38">
        <v>67.63</v>
      </c>
      <c r="H3091" s="38">
        <f t="shared" si="71"/>
        <v>47.34</v>
      </c>
      <c r="I3091" s="38">
        <v>47.34</v>
      </c>
      <c r="J3091" s="39"/>
      <c r="K3091" s="143"/>
      <c r="L3091" s="22">
        <v>4</v>
      </c>
      <c r="M3091" s="22" t="s">
        <v>12488</v>
      </c>
      <c r="N3091" s="20" t="s">
        <v>9526</v>
      </c>
      <c r="O3091" s="16" t="s">
        <v>12608</v>
      </c>
      <c r="P3091" s="143">
        <v>755</v>
      </c>
      <c r="Q3091" s="121" t="s">
        <v>14285</v>
      </c>
      <c r="R3091" s="16" t="s">
        <v>8904</v>
      </c>
      <c r="S3091" s="10" t="s">
        <v>194</v>
      </c>
      <c r="T3091" s="28" t="s">
        <v>12065</v>
      </c>
      <c r="U3091" s="20" t="s">
        <v>5359</v>
      </c>
      <c r="V3091" s="16" t="s">
        <v>2514</v>
      </c>
      <c r="W3091" s="11" t="s">
        <v>14433</v>
      </c>
      <c r="X3091" s="174">
        <v>37.130000000000003</v>
      </c>
      <c r="Y3091" s="174">
        <v>47.34</v>
      </c>
    </row>
    <row r="3092" spans="1:25" ht="15" customHeight="1" x14ac:dyDescent="0.25">
      <c r="A3092" s="20" t="s">
        <v>5371</v>
      </c>
      <c r="B3092" s="14" t="s">
        <v>5372</v>
      </c>
      <c r="C3092" s="71" t="str">
        <f t="shared" si="72"/>
        <v>Product Info</v>
      </c>
      <c r="D3092" s="37" t="s">
        <v>2569</v>
      </c>
      <c r="E3092" s="143">
        <v>1</v>
      </c>
      <c r="F3092" s="12" t="s">
        <v>4992</v>
      </c>
      <c r="G3092" s="38">
        <v>67.63</v>
      </c>
      <c r="H3092" s="38">
        <f t="shared" si="71"/>
        <v>47.34</v>
      </c>
      <c r="I3092" s="38">
        <v>47.34</v>
      </c>
      <c r="J3092" s="39"/>
      <c r="K3092" s="143"/>
      <c r="L3092" s="22">
        <v>5</v>
      </c>
      <c r="M3092" s="22" t="s">
        <v>12488</v>
      </c>
      <c r="N3092" s="20" t="s">
        <v>9525</v>
      </c>
      <c r="O3092" s="16" t="s">
        <v>12608</v>
      </c>
      <c r="P3092" s="143">
        <v>755</v>
      </c>
      <c r="Q3092" s="121" t="s">
        <v>14285</v>
      </c>
      <c r="R3092" s="16" t="s">
        <v>8904</v>
      </c>
      <c r="S3092" s="10" t="s">
        <v>194</v>
      </c>
      <c r="T3092" s="28" t="s">
        <v>12066</v>
      </c>
      <c r="U3092" s="20" t="s">
        <v>5359</v>
      </c>
      <c r="V3092" s="16" t="s">
        <v>5371</v>
      </c>
      <c r="W3092" s="11" t="s">
        <v>14433</v>
      </c>
      <c r="X3092" s="174">
        <v>37.130000000000003</v>
      </c>
      <c r="Y3092" s="174">
        <v>47.34</v>
      </c>
    </row>
    <row r="3093" spans="1:25" ht="15" customHeight="1" x14ac:dyDescent="0.25">
      <c r="A3093" s="20" t="s">
        <v>5373</v>
      </c>
      <c r="B3093" s="14" t="s">
        <v>5374</v>
      </c>
      <c r="C3093" s="71" t="str">
        <f t="shared" si="72"/>
        <v>Product Info</v>
      </c>
      <c r="D3093" s="37" t="s">
        <v>2570</v>
      </c>
      <c r="E3093" s="143">
        <v>1</v>
      </c>
      <c r="F3093" s="12" t="s">
        <v>4992</v>
      </c>
      <c r="G3093" s="38">
        <v>38.630000000000003</v>
      </c>
      <c r="H3093" s="38">
        <f t="shared" si="71"/>
        <v>27.04</v>
      </c>
      <c r="I3093" s="38">
        <v>27.04</v>
      </c>
      <c r="J3093" s="39"/>
      <c r="K3093" s="143"/>
      <c r="L3093" s="22">
        <v>4</v>
      </c>
      <c r="M3093" s="22" t="s">
        <v>12488</v>
      </c>
      <c r="N3093" s="20" t="s">
        <v>9245</v>
      </c>
      <c r="O3093" s="16" t="s">
        <v>12608</v>
      </c>
      <c r="P3093" s="143">
        <v>755</v>
      </c>
      <c r="Q3093" s="122" t="s">
        <v>9227</v>
      </c>
      <c r="R3093" s="16" t="s">
        <v>8904</v>
      </c>
      <c r="S3093" s="10" t="s">
        <v>194</v>
      </c>
      <c r="T3093" s="28" t="s">
        <v>12067</v>
      </c>
      <c r="U3093" s="20" t="s">
        <v>5359</v>
      </c>
      <c r="V3093" s="16" t="s">
        <v>5373</v>
      </c>
      <c r="W3093" s="11" t="s">
        <v>14433</v>
      </c>
      <c r="X3093" s="174">
        <v>21.2</v>
      </c>
      <c r="Y3093" s="174">
        <v>27.04</v>
      </c>
    </row>
    <row r="3094" spans="1:25" ht="15" customHeight="1" x14ac:dyDescent="0.25">
      <c r="A3094" s="20" t="s">
        <v>3080</v>
      </c>
      <c r="B3094" s="14" t="s">
        <v>3081</v>
      </c>
      <c r="C3094" s="71" t="str">
        <f t="shared" si="72"/>
        <v>Product Info</v>
      </c>
      <c r="D3094" s="37" t="s">
        <v>2571</v>
      </c>
      <c r="E3094" s="143">
        <v>1</v>
      </c>
      <c r="F3094" s="12" t="s">
        <v>4992</v>
      </c>
      <c r="G3094" s="38">
        <v>38.630000000000003</v>
      </c>
      <c r="H3094" s="38">
        <f t="shared" si="71"/>
        <v>27.04</v>
      </c>
      <c r="I3094" s="38">
        <v>27.04</v>
      </c>
      <c r="J3094" s="39"/>
      <c r="K3094" s="143"/>
      <c r="L3094" s="22">
        <v>2</v>
      </c>
      <c r="M3094" s="22" t="s">
        <v>12488</v>
      </c>
      <c r="N3094" s="20" t="s">
        <v>9526</v>
      </c>
      <c r="O3094" s="16" t="s">
        <v>12608</v>
      </c>
      <c r="P3094" s="143">
        <v>755</v>
      </c>
      <c r="Q3094" s="121" t="s">
        <v>14285</v>
      </c>
      <c r="R3094" s="16" t="s">
        <v>8904</v>
      </c>
      <c r="S3094" s="10" t="s">
        <v>194</v>
      </c>
      <c r="T3094" s="28" t="s">
        <v>12068</v>
      </c>
      <c r="U3094" s="20" t="s">
        <v>5359</v>
      </c>
      <c r="V3094" s="16" t="s">
        <v>3080</v>
      </c>
      <c r="W3094" s="11" t="s">
        <v>14433</v>
      </c>
      <c r="X3094" s="174">
        <v>21.2</v>
      </c>
      <c r="Y3094" s="174">
        <v>27.04</v>
      </c>
    </row>
    <row r="3095" spans="1:25" ht="15" customHeight="1" x14ac:dyDescent="0.25">
      <c r="A3095" s="20" t="s">
        <v>3082</v>
      </c>
      <c r="B3095" s="14" t="s">
        <v>3083</v>
      </c>
      <c r="C3095" s="71" t="str">
        <f t="shared" si="72"/>
        <v>Product Info</v>
      </c>
      <c r="D3095" s="37" t="s">
        <v>2572</v>
      </c>
      <c r="E3095" s="143">
        <v>1</v>
      </c>
      <c r="F3095" s="12" t="s">
        <v>4992</v>
      </c>
      <c r="G3095" s="38">
        <v>38.729999999999997</v>
      </c>
      <c r="H3095" s="38">
        <f t="shared" si="71"/>
        <v>27.11</v>
      </c>
      <c r="I3095" s="38">
        <v>27.11</v>
      </c>
      <c r="J3095" s="39"/>
      <c r="K3095" s="143"/>
      <c r="L3095" s="22">
        <v>4</v>
      </c>
      <c r="M3095" s="22" t="s">
        <v>12488</v>
      </c>
      <c r="N3095" s="20" t="s">
        <v>9245</v>
      </c>
      <c r="O3095" s="16" t="s">
        <v>12608</v>
      </c>
      <c r="P3095" s="143">
        <v>755</v>
      </c>
      <c r="Q3095" s="121" t="s">
        <v>14285</v>
      </c>
      <c r="R3095" s="16" t="s">
        <v>8904</v>
      </c>
      <c r="S3095" s="10" t="s">
        <v>194</v>
      </c>
      <c r="T3095" s="28" t="s">
        <v>12069</v>
      </c>
      <c r="U3095" s="20" t="s">
        <v>5359</v>
      </c>
      <c r="V3095" s="16" t="s">
        <v>3082</v>
      </c>
      <c r="W3095" s="11" t="s">
        <v>14433</v>
      </c>
      <c r="X3095" s="174">
        <v>21.26</v>
      </c>
      <c r="Y3095" s="174">
        <v>27.11</v>
      </c>
    </row>
    <row r="3096" spans="1:25" ht="15" customHeight="1" x14ac:dyDescent="0.25">
      <c r="A3096" s="20" t="s">
        <v>3084</v>
      </c>
      <c r="B3096" s="14" t="s">
        <v>3085</v>
      </c>
      <c r="C3096" s="71" t="str">
        <f t="shared" si="72"/>
        <v>Product Info</v>
      </c>
      <c r="D3096" s="37" t="s">
        <v>5316</v>
      </c>
      <c r="E3096" s="143">
        <v>1</v>
      </c>
      <c r="F3096" s="12" t="s">
        <v>4992</v>
      </c>
      <c r="G3096" s="38">
        <v>71.23</v>
      </c>
      <c r="H3096" s="38">
        <f t="shared" si="71"/>
        <v>49.86</v>
      </c>
      <c r="I3096" s="38">
        <v>49.86</v>
      </c>
      <c r="J3096" s="39"/>
      <c r="K3096" s="143"/>
      <c r="L3096" s="22">
        <v>5</v>
      </c>
      <c r="M3096" s="22" t="s">
        <v>12488</v>
      </c>
      <c r="N3096" s="20" t="s">
        <v>9530</v>
      </c>
      <c r="O3096" s="16" t="s">
        <v>12608</v>
      </c>
      <c r="P3096" s="143">
        <v>755</v>
      </c>
      <c r="Q3096" s="121" t="s">
        <v>14285</v>
      </c>
      <c r="R3096" s="16" t="s">
        <v>8904</v>
      </c>
      <c r="S3096" s="10" t="s">
        <v>194</v>
      </c>
      <c r="T3096" s="28" t="s">
        <v>12070</v>
      </c>
      <c r="U3096" s="20" t="s">
        <v>5359</v>
      </c>
      <c r="V3096" s="16" t="s">
        <v>3084</v>
      </c>
      <c r="W3096" s="11" t="s">
        <v>14433</v>
      </c>
      <c r="X3096" s="174">
        <v>39.1</v>
      </c>
      <c r="Y3096" s="174">
        <v>49.86</v>
      </c>
    </row>
    <row r="3097" spans="1:25" ht="15" customHeight="1" x14ac:dyDescent="0.25">
      <c r="A3097" s="20" t="s">
        <v>904</v>
      </c>
      <c r="B3097" s="14" t="s">
        <v>905</v>
      </c>
      <c r="C3097" s="71" t="str">
        <f t="shared" si="72"/>
        <v>Product Info</v>
      </c>
      <c r="D3097" s="37" t="s">
        <v>5317</v>
      </c>
      <c r="E3097" s="143">
        <v>1</v>
      </c>
      <c r="F3097" s="12" t="s">
        <v>4992</v>
      </c>
      <c r="G3097" s="38">
        <v>71.44</v>
      </c>
      <c r="H3097" s="38">
        <f t="shared" si="71"/>
        <v>50.01</v>
      </c>
      <c r="I3097" s="38">
        <v>50.01</v>
      </c>
      <c r="J3097" s="39"/>
      <c r="K3097" s="143"/>
      <c r="L3097" s="22">
        <v>4</v>
      </c>
      <c r="M3097" s="22" t="s">
        <v>12488</v>
      </c>
      <c r="N3097" s="20" t="s">
        <v>9526</v>
      </c>
      <c r="O3097" s="16" t="s">
        <v>12608</v>
      </c>
      <c r="P3097" s="143">
        <v>755</v>
      </c>
      <c r="Q3097" s="121" t="s">
        <v>14285</v>
      </c>
      <c r="R3097" s="16" t="s">
        <v>8904</v>
      </c>
      <c r="S3097" s="10" t="s">
        <v>194</v>
      </c>
      <c r="T3097" s="28" t="s">
        <v>12071</v>
      </c>
      <c r="U3097" s="20" t="s">
        <v>5359</v>
      </c>
      <c r="V3097" s="16" t="s">
        <v>904</v>
      </c>
      <c r="W3097" s="11" t="s">
        <v>14433</v>
      </c>
      <c r="X3097" s="174">
        <v>39.22</v>
      </c>
      <c r="Y3097" s="174">
        <v>50.01</v>
      </c>
    </row>
    <row r="3098" spans="1:25" ht="15" customHeight="1" x14ac:dyDescent="0.25">
      <c r="A3098" s="20" t="s">
        <v>906</v>
      </c>
      <c r="B3098" s="14" t="s">
        <v>907</v>
      </c>
      <c r="C3098" s="71" t="str">
        <f t="shared" si="72"/>
        <v>Product Info</v>
      </c>
      <c r="D3098" s="37" t="s">
        <v>5318</v>
      </c>
      <c r="E3098" s="143">
        <v>1</v>
      </c>
      <c r="F3098" s="12" t="s">
        <v>4992</v>
      </c>
      <c r="G3098" s="38">
        <v>71.44</v>
      </c>
      <c r="H3098" s="38">
        <f t="shared" si="71"/>
        <v>50.01</v>
      </c>
      <c r="I3098" s="38">
        <v>50.01</v>
      </c>
      <c r="J3098" s="39"/>
      <c r="K3098" s="143"/>
      <c r="L3098" s="22">
        <v>5</v>
      </c>
      <c r="M3098" s="22" t="s">
        <v>12488</v>
      </c>
      <c r="N3098" s="20" t="s">
        <v>9530</v>
      </c>
      <c r="O3098" s="16" t="s">
        <v>12608</v>
      </c>
      <c r="P3098" s="143">
        <v>755</v>
      </c>
      <c r="Q3098" s="121" t="s">
        <v>14285</v>
      </c>
      <c r="R3098" s="16" t="s">
        <v>8904</v>
      </c>
      <c r="S3098" s="10" t="s">
        <v>194</v>
      </c>
      <c r="T3098" s="28" t="s">
        <v>12072</v>
      </c>
      <c r="U3098" s="20" t="s">
        <v>5359</v>
      </c>
      <c r="V3098" s="16" t="s">
        <v>906</v>
      </c>
      <c r="W3098" s="11" t="s">
        <v>14433</v>
      </c>
      <c r="X3098" s="174">
        <v>39.22</v>
      </c>
      <c r="Y3098" s="174">
        <v>50.01</v>
      </c>
    </row>
    <row r="3099" spans="1:25" ht="15" customHeight="1" x14ac:dyDescent="0.25">
      <c r="A3099" s="20" t="s">
        <v>908</v>
      </c>
      <c r="B3099" s="14" t="s">
        <v>6695</v>
      </c>
      <c r="C3099" s="71" t="str">
        <f t="shared" si="72"/>
        <v>Product Info</v>
      </c>
      <c r="D3099" s="37" t="s">
        <v>5319</v>
      </c>
      <c r="E3099" s="143">
        <v>1</v>
      </c>
      <c r="F3099" s="12" t="s">
        <v>4992</v>
      </c>
      <c r="G3099" s="38">
        <v>17.73</v>
      </c>
      <c r="H3099" s="38">
        <f t="shared" si="71"/>
        <v>12.41</v>
      </c>
      <c r="I3099" s="38">
        <v>12.41</v>
      </c>
      <c r="J3099" s="39"/>
      <c r="K3099" s="143"/>
      <c r="L3099" s="22">
        <v>0.63</v>
      </c>
      <c r="M3099" s="22" t="s">
        <v>12488</v>
      </c>
      <c r="N3099" s="20" t="s">
        <v>9531</v>
      </c>
      <c r="O3099" s="16" t="s">
        <v>12608</v>
      </c>
      <c r="P3099" s="143">
        <v>755</v>
      </c>
      <c r="Q3099" s="122" t="s">
        <v>9227</v>
      </c>
      <c r="R3099" s="16" t="s">
        <v>8904</v>
      </c>
      <c r="S3099" s="10" t="s">
        <v>194</v>
      </c>
      <c r="T3099" s="28" t="s">
        <v>12073</v>
      </c>
      <c r="U3099" s="20" t="s">
        <v>5359</v>
      </c>
      <c r="V3099" s="16" t="s">
        <v>908</v>
      </c>
      <c r="W3099" s="11" t="s">
        <v>14433</v>
      </c>
      <c r="X3099" s="174">
        <v>9.74</v>
      </c>
      <c r="Y3099" s="174">
        <v>12.41</v>
      </c>
    </row>
    <row r="3100" spans="1:25" ht="15" customHeight="1" x14ac:dyDescent="0.25">
      <c r="A3100" s="20" t="s">
        <v>6696</v>
      </c>
      <c r="B3100" s="14" t="s">
        <v>6697</v>
      </c>
      <c r="C3100" s="71" t="str">
        <f t="shared" si="72"/>
        <v>Product Info</v>
      </c>
      <c r="D3100" s="37" t="s">
        <v>5320</v>
      </c>
      <c r="E3100" s="143">
        <v>1</v>
      </c>
      <c r="F3100" s="12" t="s">
        <v>4992</v>
      </c>
      <c r="G3100" s="38">
        <v>17.77</v>
      </c>
      <c r="H3100" s="38">
        <f t="shared" si="71"/>
        <v>12.44</v>
      </c>
      <c r="I3100" s="38">
        <v>12.44</v>
      </c>
      <c r="J3100" s="39"/>
      <c r="K3100" s="143"/>
      <c r="L3100" s="22">
        <v>2</v>
      </c>
      <c r="M3100" s="22" t="s">
        <v>12488</v>
      </c>
      <c r="N3100" s="20" t="s">
        <v>9526</v>
      </c>
      <c r="O3100" s="16" t="s">
        <v>12608</v>
      </c>
      <c r="P3100" s="143">
        <v>755</v>
      </c>
      <c r="Q3100" s="121" t="s">
        <v>14285</v>
      </c>
      <c r="R3100" s="16" t="s">
        <v>8904</v>
      </c>
      <c r="S3100" s="10" t="s">
        <v>194</v>
      </c>
      <c r="T3100" s="28" t="s">
        <v>12074</v>
      </c>
      <c r="U3100" s="20" t="s">
        <v>5359</v>
      </c>
      <c r="V3100" s="16" t="s">
        <v>6696</v>
      </c>
      <c r="W3100" s="11" t="s">
        <v>14433</v>
      </c>
      <c r="X3100" s="174">
        <v>9.76</v>
      </c>
      <c r="Y3100" s="174">
        <v>12.44</v>
      </c>
    </row>
    <row r="3101" spans="1:25" ht="15" customHeight="1" x14ac:dyDescent="0.25">
      <c r="A3101" s="20" t="s">
        <v>6698</v>
      </c>
      <c r="B3101" s="14" t="s">
        <v>6699</v>
      </c>
      <c r="C3101" s="71" t="str">
        <f t="shared" si="72"/>
        <v>Product Info</v>
      </c>
      <c r="D3101" s="37" t="s">
        <v>5321</v>
      </c>
      <c r="E3101" s="143">
        <v>1</v>
      </c>
      <c r="F3101" s="12" t="s">
        <v>4992</v>
      </c>
      <c r="G3101" s="38">
        <v>17.77</v>
      </c>
      <c r="H3101" s="38">
        <f t="shared" si="71"/>
        <v>12.44</v>
      </c>
      <c r="I3101" s="38">
        <v>12.44</v>
      </c>
      <c r="J3101" s="39"/>
      <c r="K3101" s="143"/>
      <c r="L3101" s="22">
        <v>3</v>
      </c>
      <c r="M3101" s="22" t="s">
        <v>12488</v>
      </c>
      <c r="N3101" s="20" t="s">
        <v>9530</v>
      </c>
      <c r="O3101" s="16" t="s">
        <v>12608</v>
      </c>
      <c r="P3101" s="143">
        <v>755</v>
      </c>
      <c r="Q3101" s="121" t="s">
        <v>14285</v>
      </c>
      <c r="R3101" s="16" t="s">
        <v>8904</v>
      </c>
      <c r="S3101" s="10" t="s">
        <v>194</v>
      </c>
      <c r="T3101" s="28" t="s">
        <v>12075</v>
      </c>
      <c r="U3101" s="20" t="s">
        <v>5359</v>
      </c>
      <c r="V3101" s="16" t="s">
        <v>6698</v>
      </c>
      <c r="W3101" s="11" t="s">
        <v>14433</v>
      </c>
      <c r="X3101" s="174">
        <v>9.76</v>
      </c>
      <c r="Y3101" s="174">
        <v>12.44</v>
      </c>
    </row>
    <row r="3102" spans="1:25" ht="15" customHeight="1" x14ac:dyDescent="0.25">
      <c r="A3102" s="20" t="s">
        <v>6700</v>
      </c>
      <c r="B3102" s="14" t="s">
        <v>6701</v>
      </c>
      <c r="C3102" s="71" t="str">
        <f t="shared" si="72"/>
        <v>Product Info</v>
      </c>
      <c r="D3102" s="37" t="s">
        <v>5119</v>
      </c>
      <c r="E3102" s="143">
        <v>1</v>
      </c>
      <c r="F3102" s="12" t="s">
        <v>4992</v>
      </c>
      <c r="G3102" s="38">
        <v>15.81</v>
      </c>
      <c r="H3102" s="38">
        <f t="shared" si="71"/>
        <v>11.07</v>
      </c>
      <c r="I3102" s="38">
        <v>11.07</v>
      </c>
      <c r="J3102" s="39"/>
      <c r="K3102" s="143"/>
      <c r="L3102" s="22">
        <v>0.6</v>
      </c>
      <c r="M3102" s="22" t="s">
        <v>12488</v>
      </c>
      <c r="N3102" s="20" t="s">
        <v>12422</v>
      </c>
      <c r="O3102" s="16" t="s">
        <v>12608</v>
      </c>
      <c r="P3102" s="143">
        <v>755</v>
      </c>
      <c r="Q3102" s="121" t="s">
        <v>14285</v>
      </c>
      <c r="R3102" s="16" t="s">
        <v>8904</v>
      </c>
      <c r="S3102" s="10" t="s">
        <v>194</v>
      </c>
      <c r="T3102" s="28" t="s">
        <v>12076</v>
      </c>
      <c r="U3102" s="20" t="s">
        <v>5359</v>
      </c>
      <c r="V3102" s="16" t="s">
        <v>6700</v>
      </c>
      <c r="W3102" s="11" t="s">
        <v>14433</v>
      </c>
      <c r="X3102" s="174">
        <v>8.68</v>
      </c>
      <c r="Y3102" s="174">
        <v>11.07</v>
      </c>
    </row>
    <row r="3103" spans="1:25" ht="15" customHeight="1" x14ac:dyDescent="0.25">
      <c r="A3103" s="20" t="s">
        <v>6702</v>
      </c>
      <c r="B3103" s="14" t="s">
        <v>909</v>
      </c>
      <c r="C3103" s="71" t="str">
        <f t="shared" si="72"/>
        <v>Product Info</v>
      </c>
      <c r="D3103" s="37" t="s">
        <v>7905</v>
      </c>
      <c r="E3103" s="143">
        <v>1</v>
      </c>
      <c r="F3103" s="12" t="s">
        <v>4992</v>
      </c>
      <c r="G3103" s="38">
        <v>15.31</v>
      </c>
      <c r="H3103" s="38">
        <f t="shared" si="71"/>
        <v>10.72</v>
      </c>
      <c r="I3103" s="38">
        <v>10.72</v>
      </c>
      <c r="J3103" s="39"/>
      <c r="K3103" s="143"/>
      <c r="L3103" s="22">
        <v>0.64500000000000002</v>
      </c>
      <c r="M3103" s="22" t="s">
        <v>12488</v>
      </c>
      <c r="N3103" s="20" t="s">
        <v>9532</v>
      </c>
      <c r="O3103" s="16" t="s">
        <v>12608</v>
      </c>
      <c r="P3103" s="143">
        <v>755</v>
      </c>
      <c r="Q3103" s="121" t="s">
        <v>14285</v>
      </c>
      <c r="R3103" s="16" t="s">
        <v>8904</v>
      </c>
      <c r="S3103" s="10" t="s">
        <v>194</v>
      </c>
      <c r="T3103" s="28" t="s">
        <v>12077</v>
      </c>
      <c r="U3103" s="20" t="s">
        <v>5359</v>
      </c>
      <c r="V3103" s="16" t="s">
        <v>6702</v>
      </c>
      <c r="W3103" s="11" t="s">
        <v>14433</v>
      </c>
      <c r="X3103" s="174">
        <v>8.4</v>
      </c>
      <c r="Y3103" s="174">
        <v>10.72</v>
      </c>
    </row>
    <row r="3104" spans="1:25" ht="15" customHeight="1" x14ac:dyDescent="0.25">
      <c r="A3104" s="20" t="s">
        <v>910</v>
      </c>
      <c r="B3104" s="14" t="s">
        <v>911</v>
      </c>
      <c r="C3104" s="71" t="str">
        <f t="shared" si="72"/>
        <v>Product Info</v>
      </c>
      <c r="D3104" s="37" t="s">
        <v>7906</v>
      </c>
      <c r="E3104" s="143">
        <v>1</v>
      </c>
      <c r="F3104" s="12" t="s">
        <v>4992</v>
      </c>
      <c r="G3104" s="38">
        <v>15.31</v>
      </c>
      <c r="H3104" s="38">
        <f t="shared" si="71"/>
        <v>10.72</v>
      </c>
      <c r="I3104" s="38">
        <v>10.72</v>
      </c>
      <c r="J3104" s="39"/>
      <c r="K3104" s="143"/>
      <c r="L3104" s="22">
        <v>3</v>
      </c>
      <c r="M3104" s="22" t="s">
        <v>12488</v>
      </c>
      <c r="N3104" s="20" t="s">
        <v>9530</v>
      </c>
      <c r="O3104" s="16" t="s">
        <v>12608</v>
      </c>
      <c r="P3104" s="143">
        <v>755</v>
      </c>
      <c r="Q3104" s="121" t="s">
        <v>14285</v>
      </c>
      <c r="R3104" s="16" t="s">
        <v>8904</v>
      </c>
      <c r="S3104" s="10" t="s">
        <v>194</v>
      </c>
      <c r="T3104" s="28" t="s">
        <v>12078</v>
      </c>
      <c r="U3104" s="20" t="s">
        <v>5359</v>
      </c>
      <c r="V3104" s="16" t="s">
        <v>910</v>
      </c>
      <c r="W3104" s="11" t="s">
        <v>14433</v>
      </c>
      <c r="X3104" s="174">
        <v>8.4</v>
      </c>
      <c r="Y3104" s="174">
        <v>10.72</v>
      </c>
    </row>
    <row r="3105" spans="1:25" ht="15" customHeight="1" x14ac:dyDescent="0.25">
      <c r="A3105" s="20" t="s">
        <v>912</v>
      </c>
      <c r="B3105" s="14" t="s">
        <v>913</v>
      </c>
      <c r="C3105" s="71" t="str">
        <f t="shared" si="72"/>
        <v>Product Info</v>
      </c>
      <c r="D3105" s="37" t="s">
        <v>7907</v>
      </c>
      <c r="E3105" s="143">
        <v>1</v>
      </c>
      <c r="F3105" s="12" t="s">
        <v>4992</v>
      </c>
      <c r="G3105" s="38">
        <v>29.59</v>
      </c>
      <c r="H3105" s="38">
        <f t="shared" ref="H3105:H3136" si="73">I3105</f>
        <v>20.71</v>
      </c>
      <c r="I3105" s="38">
        <v>20.71</v>
      </c>
      <c r="J3105" s="39"/>
      <c r="K3105" s="143"/>
      <c r="L3105" s="22">
        <v>1.03</v>
      </c>
      <c r="M3105" s="22" t="s">
        <v>12488</v>
      </c>
      <c r="N3105" s="20" t="s">
        <v>9529</v>
      </c>
      <c r="O3105" s="16" t="s">
        <v>12608</v>
      </c>
      <c r="P3105" s="143">
        <v>755</v>
      </c>
      <c r="Q3105" s="122" t="s">
        <v>12421</v>
      </c>
      <c r="R3105" s="16" t="s">
        <v>8904</v>
      </c>
      <c r="S3105" s="10" t="s">
        <v>194</v>
      </c>
      <c r="T3105" s="28" t="s">
        <v>12079</v>
      </c>
      <c r="U3105" s="20" t="s">
        <v>5359</v>
      </c>
      <c r="V3105" s="16" t="s">
        <v>912</v>
      </c>
      <c r="W3105" s="11" t="s">
        <v>14433</v>
      </c>
      <c r="X3105" s="174">
        <v>16.239999999999998</v>
      </c>
      <c r="Y3105" s="174">
        <v>20.71</v>
      </c>
    </row>
    <row r="3106" spans="1:25" ht="15" customHeight="1" x14ac:dyDescent="0.25">
      <c r="A3106" s="20" t="s">
        <v>914</v>
      </c>
      <c r="B3106" s="14" t="s">
        <v>915</v>
      </c>
      <c r="C3106" s="71" t="str">
        <f t="shared" si="72"/>
        <v>Product Info</v>
      </c>
      <c r="D3106" s="37" t="s">
        <v>7908</v>
      </c>
      <c r="E3106" s="143">
        <v>1</v>
      </c>
      <c r="F3106" s="12" t="s">
        <v>4992</v>
      </c>
      <c r="G3106" s="38">
        <v>29.67</v>
      </c>
      <c r="H3106" s="38">
        <f t="shared" si="73"/>
        <v>20.77</v>
      </c>
      <c r="I3106" s="38">
        <v>20.77</v>
      </c>
      <c r="J3106" s="39"/>
      <c r="K3106" s="143"/>
      <c r="L3106" s="22">
        <v>2</v>
      </c>
      <c r="M3106" s="22" t="s">
        <v>12488</v>
      </c>
      <c r="N3106" s="20" t="s">
        <v>9526</v>
      </c>
      <c r="O3106" s="16" t="s">
        <v>12608</v>
      </c>
      <c r="P3106" s="143">
        <v>755</v>
      </c>
      <c r="Q3106" s="121" t="s">
        <v>14285</v>
      </c>
      <c r="R3106" s="16" t="s">
        <v>8904</v>
      </c>
      <c r="S3106" s="10" t="s">
        <v>194</v>
      </c>
      <c r="T3106" s="28" t="s">
        <v>12080</v>
      </c>
      <c r="U3106" s="20" t="s">
        <v>5359</v>
      </c>
      <c r="V3106" s="16" t="s">
        <v>914</v>
      </c>
      <c r="W3106" s="11" t="s">
        <v>14433</v>
      </c>
      <c r="X3106" s="174">
        <v>16.29</v>
      </c>
      <c r="Y3106" s="174">
        <v>20.77</v>
      </c>
    </row>
    <row r="3107" spans="1:25" ht="15" customHeight="1" x14ac:dyDescent="0.25">
      <c r="A3107" s="20" t="s">
        <v>5528</v>
      </c>
      <c r="B3107" s="14" t="s">
        <v>869</v>
      </c>
      <c r="C3107" s="71" t="str">
        <f t="shared" si="72"/>
        <v>Product Info</v>
      </c>
      <c r="D3107" s="37" t="s">
        <v>5714</v>
      </c>
      <c r="E3107" s="143">
        <v>1</v>
      </c>
      <c r="F3107" s="12" t="s">
        <v>4992</v>
      </c>
      <c r="G3107" s="38">
        <v>29.67</v>
      </c>
      <c r="H3107" s="38">
        <f t="shared" si="73"/>
        <v>20.77</v>
      </c>
      <c r="I3107" s="38">
        <v>20.77</v>
      </c>
      <c r="J3107" s="39"/>
      <c r="K3107" s="143"/>
      <c r="L3107" s="22">
        <v>0</v>
      </c>
      <c r="M3107" s="22">
        <v>0</v>
      </c>
      <c r="N3107" s="20" t="s">
        <v>14489</v>
      </c>
      <c r="O3107" s="16">
        <v>0</v>
      </c>
      <c r="P3107" s="143">
        <v>755</v>
      </c>
      <c r="Q3107" s="121" t="s">
        <v>14285</v>
      </c>
      <c r="R3107" s="16" t="s">
        <v>8904</v>
      </c>
      <c r="S3107" s="10" t="s">
        <v>194</v>
      </c>
      <c r="T3107" s="28" t="s">
        <v>12081</v>
      </c>
      <c r="U3107" s="20" t="s">
        <v>5359</v>
      </c>
      <c r="V3107" s="16" t="s">
        <v>5528</v>
      </c>
      <c r="W3107" s="11" t="s">
        <v>14433</v>
      </c>
      <c r="X3107" s="174">
        <v>16.29</v>
      </c>
      <c r="Y3107" s="174">
        <v>20.77</v>
      </c>
    </row>
    <row r="3108" spans="1:25" ht="15" customHeight="1" x14ac:dyDescent="0.25">
      <c r="A3108" s="20" t="s">
        <v>916</v>
      </c>
      <c r="B3108" s="14" t="s">
        <v>917</v>
      </c>
      <c r="C3108" s="71" t="str">
        <f t="shared" si="72"/>
        <v>Product Info</v>
      </c>
      <c r="D3108" s="37" t="s">
        <v>7909</v>
      </c>
      <c r="E3108" s="143">
        <v>1</v>
      </c>
      <c r="F3108" s="12" t="s">
        <v>4992</v>
      </c>
      <c r="G3108" s="38">
        <v>29.67</v>
      </c>
      <c r="H3108" s="38">
        <f t="shared" si="73"/>
        <v>20.77</v>
      </c>
      <c r="I3108" s="38">
        <v>20.77</v>
      </c>
      <c r="J3108" s="39"/>
      <c r="K3108" s="143"/>
      <c r="L3108" s="22">
        <v>2</v>
      </c>
      <c r="M3108" s="22" t="s">
        <v>12488</v>
      </c>
      <c r="N3108" s="20" t="s">
        <v>9526</v>
      </c>
      <c r="O3108" s="16" t="s">
        <v>12608</v>
      </c>
      <c r="P3108" s="143">
        <v>755</v>
      </c>
      <c r="Q3108" s="121" t="s">
        <v>14285</v>
      </c>
      <c r="R3108" s="16" t="s">
        <v>8904</v>
      </c>
      <c r="S3108" s="10" t="s">
        <v>194</v>
      </c>
      <c r="T3108" s="28" t="s">
        <v>12082</v>
      </c>
      <c r="U3108" s="20" t="s">
        <v>5359</v>
      </c>
      <c r="V3108" s="16" t="s">
        <v>916</v>
      </c>
      <c r="W3108" s="11" t="s">
        <v>14433</v>
      </c>
      <c r="X3108" s="174">
        <v>16.29</v>
      </c>
      <c r="Y3108" s="174">
        <v>20.77</v>
      </c>
    </row>
    <row r="3109" spans="1:25" ht="15" customHeight="1" x14ac:dyDescent="0.25">
      <c r="A3109" s="20" t="s">
        <v>918</v>
      </c>
      <c r="B3109" s="14" t="s">
        <v>919</v>
      </c>
      <c r="C3109" s="71" t="str">
        <f t="shared" si="72"/>
        <v>Product Info</v>
      </c>
      <c r="D3109" s="37" t="s">
        <v>7910</v>
      </c>
      <c r="E3109" s="143">
        <v>200</v>
      </c>
      <c r="F3109" s="12" t="s">
        <v>6692</v>
      </c>
      <c r="G3109" s="38">
        <v>0.61</v>
      </c>
      <c r="H3109" s="38">
        <f t="shared" si="73"/>
        <v>0.43</v>
      </c>
      <c r="I3109" s="38">
        <v>0.43</v>
      </c>
      <c r="J3109" s="39"/>
      <c r="K3109" s="143"/>
      <c r="L3109" s="22">
        <v>0.03</v>
      </c>
      <c r="M3109" s="22" t="s">
        <v>12488</v>
      </c>
      <c r="N3109" s="20" t="s">
        <v>9245</v>
      </c>
      <c r="O3109" s="16" t="s">
        <v>12608</v>
      </c>
      <c r="P3109" s="143">
        <v>755</v>
      </c>
      <c r="Q3109" s="121" t="s">
        <v>14285</v>
      </c>
      <c r="R3109" s="16" t="s">
        <v>8904</v>
      </c>
      <c r="S3109" s="10" t="s">
        <v>194</v>
      </c>
      <c r="T3109" s="28" t="s">
        <v>12083</v>
      </c>
      <c r="U3109" s="20" t="s">
        <v>5359</v>
      </c>
      <c r="V3109" s="16" t="s">
        <v>918</v>
      </c>
      <c r="W3109" s="11" t="s">
        <v>14433</v>
      </c>
      <c r="X3109" s="174">
        <v>0.34</v>
      </c>
      <c r="Y3109" s="174">
        <v>0.43</v>
      </c>
    </row>
    <row r="3110" spans="1:25" ht="15" customHeight="1" x14ac:dyDescent="0.25">
      <c r="A3110" s="20" t="s">
        <v>920</v>
      </c>
      <c r="B3110" s="14" t="s">
        <v>921</v>
      </c>
      <c r="C3110" s="71" t="str">
        <f t="shared" si="72"/>
        <v>Product Info</v>
      </c>
      <c r="D3110" s="37" t="s">
        <v>7911</v>
      </c>
      <c r="E3110" s="143">
        <v>200</v>
      </c>
      <c r="F3110" s="12" t="s">
        <v>6692</v>
      </c>
      <c r="G3110" s="38">
        <v>0.6</v>
      </c>
      <c r="H3110" s="38">
        <f t="shared" si="73"/>
        <v>0.42</v>
      </c>
      <c r="I3110" s="38">
        <v>0.42</v>
      </c>
      <c r="J3110" s="39"/>
      <c r="K3110" s="143"/>
      <c r="L3110" s="22">
        <v>8</v>
      </c>
      <c r="M3110" s="22" t="s">
        <v>12488</v>
      </c>
      <c r="N3110" s="20" t="s">
        <v>9245</v>
      </c>
      <c r="O3110" s="16" t="s">
        <v>12608</v>
      </c>
      <c r="P3110" s="143">
        <v>755</v>
      </c>
      <c r="Q3110" s="121" t="s">
        <v>14285</v>
      </c>
      <c r="R3110" s="16" t="s">
        <v>8904</v>
      </c>
      <c r="S3110" s="10" t="s">
        <v>194</v>
      </c>
      <c r="T3110" s="28" t="s">
        <v>12084</v>
      </c>
      <c r="U3110" s="20" t="s">
        <v>5359</v>
      </c>
      <c r="V3110" s="16" t="s">
        <v>920</v>
      </c>
      <c r="W3110" s="11" t="s">
        <v>14433</v>
      </c>
      <c r="X3110" s="174">
        <v>0.34</v>
      </c>
      <c r="Y3110" s="174">
        <v>0.42</v>
      </c>
    </row>
    <row r="3111" spans="1:25" ht="15" customHeight="1" x14ac:dyDescent="0.25">
      <c r="A3111" s="20" t="s">
        <v>922</v>
      </c>
      <c r="B3111" s="14" t="s">
        <v>923</v>
      </c>
      <c r="C3111" s="71" t="str">
        <f t="shared" si="72"/>
        <v>Product Info</v>
      </c>
      <c r="D3111" s="37" t="s">
        <v>7912</v>
      </c>
      <c r="E3111" s="143">
        <v>200</v>
      </c>
      <c r="F3111" s="12" t="s">
        <v>6692</v>
      </c>
      <c r="G3111" s="38">
        <v>0.61</v>
      </c>
      <c r="H3111" s="38">
        <f t="shared" si="73"/>
        <v>0.43</v>
      </c>
      <c r="I3111" s="38">
        <v>0.43</v>
      </c>
      <c r="J3111" s="39"/>
      <c r="K3111" s="143"/>
      <c r="L3111" s="22">
        <v>8</v>
      </c>
      <c r="M3111" s="22" t="s">
        <v>12488</v>
      </c>
      <c r="N3111" s="20" t="s">
        <v>9245</v>
      </c>
      <c r="O3111" s="16" t="s">
        <v>12608</v>
      </c>
      <c r="P3111" s="143">
        <v>755</v>
      </c>
      <c r="Q3111" s="121" t="s">
        <v>14285</v>
      </c>
      <c r="R3111" s="16" t="s">
        <v>8904</v>
      </c>
      <c r="S3111" s="10" t="s">
        <v>194</v>
      </c>
      <c r="T3111" s="28" t="s">
        <v>12085</v>
      </c>
      <c r="U3111" s="20" t="s">
        <v>5359</v>
      </c>
      <c r="V3111" s="16" t="s">
        <v>922</v>
      </c>
      <c r="W3111" s="11" t="s">
        <v>14433</v>
      </c>
      <c r="X3111" s="174">
        <v>0.34</v>
      </c>
      <c r="Y3111" s="174">
        <v>0.43</v>
      </c>
    </row>
    <row r="3112" spans="1:25" ht="15" customHeight="1" x14ac:dyDescent="0.25">
      <c r="A3112" s="20" t="s">
        <v>924</v>
      </c>
      <c r="B3112" s="14" t="s">
        <v>925</v>
      </c>
      <c r="C3112" s="71" t="str">
        <f t="shared" si="72"/>
        <v>Product Info</v>
      </c>
      <c r="D3112" s="37" t="s">
        <v>5070</v>
      </c>
      <c r="E3112" s="143">
        <v>200</v>
      </c>
      <c r="F3112" s="12" t="s">
        <v>6692</v>
      </c>
      <c r="G3112" s="38">
        <v>0.6</v>
      </c>
      <c r="H3112" s="38">
        <f t="shared" si="73"/>
        <v>0.42</v>
      </c>
      <c r="I3112" s="38">
        <v>0.42</v>
      </c>
      <c r="J3112" s="39"/>
      <c r="K3112" s="143"/>
      <c r="L3112" s="22">
        <v>8</v>
      </c>
      <c r="M3112" s="22" t="s">
        <v>12488</v>
      </c>
      <c r="N3112" s="20" t="s">
        <v>9245</v>
      </c>
      <c r="O3112" s="16" t="s">
        <v>12608</v>
      </c>
      <c r="P3112" s="143">
        <v>755</v>
      </c>
      <c r="Q3112" s="121" t="s">
        <v>14285</v>
      </c>
      <c r="R3112" s="16" t="s">
        <v>8904</v>
      </c>
      <c r="S3112" s="10" t="s">
        <v>194</v>
      </c>
      <c r="T3112" s="28" t="s">
        <v>12086</v>
      </c>
      <c r="U3112" s="20" t="s">
        <v>5359</v>
      </c>
      <c r="V3112" s="16" t="s">
        <v>924</v>
      </c>
      <c r="W3112" s="11" t="s">
        <v>14433</v>
      </c>
      <c r="X3112" s="174">
        <v>0.34</v>
      </c>
      <c r="Y3112" s="174">
        <v>0.42</v>
      </c>
    </row>
    <row r="3113" spans="1:25" ht="15" customHeight="1" x14ac:dyDescent="0.25">
      <c r="A3113" s="20" t="s">
        <v>926</v>
      </c>
      <c r="B3113" s="14" t="s">
        <v>927</v>
      </c>
      <c r="C3113" s="71" t="str">
        <f t="shared" si="72"/>
        <v>Product Info</v>
      </c>
      <c r="D3113" s="37" t="s">
        <v>4162</v>
      </c>
      <c r="E3113" s="143">
        <v>200</v>
      </c>
      <c r="F3113" s="12" t="s">
        <v>6692</v>
      </c>
      <c r="G3113" s="38">
        <v>0.61</v>
      </c>
      <c r="H3113" s="38">
        <f t="shared" si="73"/>
        <v>0.43</v>
      </c>
      <c r="I3113" s="38">
        <v>0.43</v>
      </c>
      <c r="J3113" s="39"/>
      <c r="K3113" s="143"/>
      <c r="L3113" s="22">
        <v>8</v>
      </c>
      <c r="M3113" s="22" t="s">
        <v>12488</v>
      </c>
      <c r="N3113" s="20" t="s">
        <v>9245</v>
      </c>
      <c r="O3113" s="16" t="s">
        <v>12608</v>
      </c>
      <c r="P3113" s="143">
        <v>755</v>
      </c>
      <c r="Q3113" s="121" t="s">
        <v>14285</v>
      </c>
      <c r="R3113" s="16" t="s">
        <v>8904</v>
      </c>
      <c r="S3113" s="10" t="s">
        <v>194</v>
      </c>
      <c r="T3113" s="28" t="s">
        <v>12087</v>
      </c>
      <c r="U3113" s="20" t="s">
        <v>5359</v>
      </c>
      <c r="V3113" s="16" t="s">
        <v>926</v>
      </c>
      <c r="W3113" s="11" t="s">
        <v>14433</v>
      </c>
      <c r="X3113" s="174">
        <v>0.34</v>
      </c>
      <c r="Y3113" s="174">
        <v>0.43</v>
      </c>
    </row>
    <row r="3114" spans="1:25" ht="15" customHeight="1" x14ac:dyDescent="0.25">
      <c r="A3114" s="20" t="s">
        <v>928</v>
      </c>
      <c r="B3114" s="14" t="s">
        <v>929</v>
      </c>
      <c r="C3114" s="71" t="str">
        <f t="shared" si="72"/>
        <v>Product Info</v>
      </c>
      <c r="D3114" s="37" t="s">
        <v>4163</v>
      </c>
      <c r="E3114" s="143">
        <v>1</v>
      </c>
      <c r="F3114" s="12" t="s">
        <v>4992</v>
      </c>
      <c r="G3114" s="38">
        <v>20.239999999999998</v>
      </c>
      <c r="H3114" s="38">
        <f t="shared" si="73"/>
        <v>14.17</v>
      </c>
      <c r="I3114" s="38">
        <v>14.17</v>
      </c>
      <c r="J3114" s="39"/>
      <c r="K3114" s="143"/>
      <c r="L3114" s="22">
        <v>0.75</v>
      </c>
      <c r="M3114" s="22" t="s">
        <v>12488</v>
      </c>
      <c r="N3114" s="20" t="s">
        <v>9533</v>
      </c>
      <c r="O3114" s="16" t="s">
        <v>12608</v>
      </c>
      <c r="P3114" s="143">
        <v>755</v>
      </c>
      <c r="Q3114" s="122" t="s">
        <v>9227</v>
      </c>
      <c r="R3114" s="16" t="s">
        <v>8904</v>
      </c>
      <c r="S3114" s="10" t="s">
        <v>194</v>
      </c>
      <c r="T3114" s="28" t="s">
        <v>12088</v>
      </c>
      <c r="U3114" s="20" t="s">
        <v>5359</v>
      </c>
      <c r="V3114" s="16" t="s">
        <v>928</v>
      </c>
      <c r="W3114" s="11" t="s">
        <v>14433</v>
      </c>
      <c r="X3114" s="174">
        <v>11.11</v>
      </c>
      <c r="Y3114" s="174">
        <v>14.17</v>
      </c>
    </row>
    <row r="3115" spans="1:25" ht="15" customHeight="1" x14ac:dyDescent="0.25">
      <c r="A3115" s="20" t="s">
        <v>930</v>
      </c>
      <c r="B3115" s="14" t="s">
        <v>931</v>
      </c>
      <c r="C3115" s="71" t="str">
        <f t="shared" si="72"/>
        <v>Product Info</v>
      </c>
      <c r="D3115" s="37" t="s">
        <v>4164</v>
      </c>
      <c r="E3115" s="143">
        <v>1</v>
      </c>
      <c r="F3115" s="12" t="s">
        <v>4992</v>
      </c>
      <c r="G3115" s="38">
        <v>20.36</v>
      </c>
      <c r="H3115" s="38">
        <f t="shared" si="73"/>
        <v>14.25</v>
      </c>
      <c r="I3115" s="38">
        <v>14.25</v>
      </c>
      <c r="J3115" s="39"/>
      <c r="K3115" s="143"/>
      <c r="L3115" s="22">
        <v>2</v>
      </c>
      <c r="M3115" s="22" t="s">
        <v>12488</v>
      </c>
      <c r="N3115" s="20" t="s">
        <v>9526</v>
      </c>
      <c r="O3115" s="16" t="s">
        <v>12608</v>
      </c>
      <c r="P3115" s="143">
        <v>755</v>
      </c>
      <c r="Q3115" s="121" t="s">
        <v>14285</v>
      </c>
      <c r="R3115" s="16" t="s">
        <v>8904</v>
      </c>
      <c r="S3115" s="10" t="s">
        <v>194</v>
      </c>
      <c r="T3115" s="28" t="s">
        <v>12089</v>
      </c>
      <c r="U3115" s="20" t="s">
        <v>5359</v>
      </c>
      <c r="V3115" s="16" t="s">
        <v>930</v>
      </c>
      <c r="W3115" s="11" t="s">
        <v>14433</v>
      </c>
      <c r="X3115" s="174">
        <v>11.18</v>
      </c>
      <c r="Y3115" s="174">
        <v>14.25</v>
      </c>
    </row>
    <row r="3116" spans="1:25" ht="15" customHeight="1" x14ac:dyDescent="0.25">
      <c r="A3116" s="20" t="s">
        <v>932</v>
      </c>
      <c r="B3116" s="14" t="s">
        <v>933</v>
      </c>
      <c r="C3116" s="71" t="str">
        <f t="shared" si="72"/>
        <v>Product Info</v>
      </c>
      <c r="D3116" s="37" t="s">
        <v>2389</v>
      </c>
      <c r="E3116" s="143">
        <v>1</v>
      </c>
      <c r="F3116" s="12" t="s">
        <v>4992</v>
      </c>
      <c r="G3116" s="38">
        <v>20.3</v>
      </c>
      <c r="H3116" s="38">
        <f t="shared" si="73"/>
        <v>14.21</v>
      </c>
      <c r="I3116" s="38">
        <v>14.21</v>
      </c>
      <c r="J3116" s="39"/>
      <c r="K3116" s="143"/>
      <c r="L3116" s="22">
        <v>3</v>
      </c>
      <c r="M3116" s="22" t="s">
        <v>12488</v>
      </c>
      <c r="N3116" s="20" t="s">
        <v>9530</v>
      </c>
      <c r="O3116" s="16" t="s">
        <v>12608</v>
      </c>
      <c r="P3116" s="143">
        <v>755</v>
      </c>
      <c r="Q3116" s="121" t="s">
        <v>14285</v>
      </c>
      <c r="R3116" s="16" t="s">
        <v>8904</v>
      </c>
      <c r="S3116" s="10" t="s">
        <v>194</v>
      </c>
      <c r="T3116" s="28" t="s">
        <v>12090</v>
      </c>
      <c r="U3116" s="20" t="s">
        <v>5359</v>
      </c>
      <c r="V3116" s="16" t="s">
        <v>932</v>
      </c>
      <c r="W3116" s="11" t="s">
        <v>14433</v>
      </c>
      <c r="X3116" s="174">
        <v>11.14</v>
      </c>
      <c r="Y3116" s="174">
        <v>14.21</v>
      </c>
    </row>
    <row r="3117" spans="1:25" ht="15" customHeight="1" x14ac:dyDescent="0.25">
      <c r="A3117" s="20" t="s">
        <v>5584</v>
      </c>
      <c r="B3117" s="14" t="s">
        <v>870</v>
      </c>
      <c r="C3117" s="71" t="str">
        <f t="shared" si="72"/>
        <v>Product Info</v>
      </c>
      <c r="D3117" s="37" t="s">
        <v>5623</v>
      </c>
      <c r="E3117" s="143">
        <v>1</v>
      </c>
      <c r="F3117" s="12" t="s">
        <v>4992</v>
      </c>
      <c r="G3117" s="38">
        <v>801.63</v>
      </c>
      <c r="H3117" s="38">
        <v>681.41</v>
      </c>
      <c r="I3117" s="38">
        <v>561.14</v>
      </c>
      <c r="J3117" s="39"/>
      <c r="K3117" s="143"/>
      <c r="L3117" s="22">
        <v>80</v>
      </c>
      <c r="M3117" s="22">
        <v>0</v>
      </c>
      <c r="N3117" s="20" t="s">
        <v>14277</v>
      </c>
      <c r="O3117" s="16" t="s">
        <v>12608</v>
      </c>
      <c r="P3117" s="143">
        <v>760</v>
      </c>
      <c r="Q3117" s="122" t="s">
        <v>12421</v>
      </c>
      <c r="R3117" s="16" t="s">
        <v>8904</v>
      </c>
      <c r="S3117" s="10" t="s">
        <v>1163</v>
      </c>
      <c r="T3117" s="28" t="s">
        <v>12091</v>
      </c>
      <c r="U3117" s="20" t="s">
        <v>5359</v>
      </c>
      <c r="V3117" s="16" t="s">
        <v>5584</v>
      </c>
      <c r="W3117" s="20" t="s">
        <v>14432</v>
      </c>
      <c r="X3117" s="174">
        <v>517.78</v>
      </c>
      <c r="Y3117" s="174">
        <v>681.41</v>
      </c>
    </row>
    <row r="3118" spans="1:25" ht="15" customHeight="1" x14ac:dyDescent="0.25">
      <c r="A3118" s="20" t="s">
        <v>5585</v>
      </c>
      <c r="B3118" s="14" t="s">
        <v>5586</v>
      </c>
      <c r="C3118" s="71" t="str">
        <f t="shared" si="72"/>
        <v>Product Info</v>
      </c>
      <c r="D3118" s="37" t="s">
        <v>7666</v>
      </c>
      <c r="E3118" s="143">
        <v>3</v>
      </c>
      <c r="F3118" s="12" t="s">
        <v>2170</v>
      </c>
      <c r="G3118" s="38">
        <v>434.21</v>
      </c>
      <c r="H3118" s="38">
        <v>369.1</v>
      </c>
      <c r="I3118" s="38">
        <v>303.95</v>
      </c>
      <c r="J3118" s="39"/>
      <c r="K3118" s="143"/>
      <c r="L3118" s="22">
        <v>27.11</v>
      </c>
      <c r="M3118" s="22" t="s">
        <v>12488</v>
      </c>
      <c r="N3118" s="20" t="s">
        <v>8868</v>
      </c>
      <c r="O3118" s="16" t="s">
        <v>12608</v>
      </c>
      <c r="P3118" s="143">
        <v>760</v>
      </c>
      <c r="Q3118" s="121" t="s">
        <v>14285</v>
      </c>
      <c r="R3118" s="16" t="s">
        <v>8904</v>
      </c>
      <c r="S3118" s="10" t="s">
        <v>1163</v>
      </c>
      <c r="T3118" s="28" t="s">
        <v>12092</v>
      </c>
      <c r="U3118" s="20" t="s">
        <v>5359</v>
      </c>
      <c r="V3118" s="16" t="s">
        <v>5585</v>
      </c>
      <c r="W3118" s="20" t="s">
        <v>14432</v>
      </c>
      <c r="X3118" s="174">
        <v>280.45999999999998</v>
      </c>
      <c r="Y3118" s="174">
        <v>369.1</v>
      </c>
    </row>
    <row r="3119" spans="1:25" ht="15" customHeight="1" x14ac:dyDescent="0.25">
      <c r="A3119" s="20" t="s">
        <v>12676</v>
      </c>
      <c r="B3119" s="10" t="s">
        <v>12677</v>
      </c>
      <c r="C3119" s="71" t="str">
        <f t="shared" si="72"/>
        <v>Product Info</v>
      </c>
      <c r="D3119" s="37" t="s">
        <v>12702</v>
      </c>
      <c r="E3119" s="143">
        <v>3</v>
      </c>
      <c r="F3119" s="12" t="s">
        <v>4992</v>
      </c>
      <c r="G3119" s="38">
        <v>153.72999999999999</v>
      </c>
      <c r="H3119" s="38">
        <v>130.66999999999999</v>
      </c>
      <c r="I3119" s="38">
        <v>107.61</v>
      </c>
      <c r="J3119" s="39"/>
      <c r="K3119" s="143"/>
      <c r="L3119" s="22">
        <v>40</v>
      </c>
      <c r="M3119" s="22" t="s">
        <v>12488</v>
      </c>
      <c r="N3119" s="20" t="s">
        <v>13072</v>
      </c>
      <c r="O3119" s="16" t="s">
        <v>13912</v>
      </c>
      <c r="P3119" s="143">
        <v>760</v>
      </c>
      <c r="Q3119" s="121" t="s">
        <v>14285</v>
      </c>
      <c r="R3119" s="16" t="s">
        <v>8904</v>
      </c>
      <c r="S3119" s="10" t="s">
        <v>1163</v>
      </c>
      <c r="T3119" s="28" t="s">
        <v>13134</v>
      </c>
      <c r="U3119" s="20" t="s">
        <v>5359</v>
      </c>
      <c r="V3119" s="16" t="s">
        <v>12676</v>
      </c>
      <c r="W3119" s="20" t="s">
        <v>14432</v>
      </c>
      <c r="X3119" s="174">
        <v>99.29</v>
      </c>
      <c r="Y3119" s="174">
        <v>130.66999999999999</v>
      </c>
    </row>
    <row r="3120" spans="1:25" ht="15" customHeight="1" x14ac:dyDescent="0.25">
      <c r="A3120" s="20" t="s">
        <v>5587</v>
      </c>
      <c r="B3120" s="14" t="s">
        <v>5588</v>
      </c>
      <c r="C3120" s="71" t="str">
        <f t="shared" si="72"/>
        <v>Product Info</v>
      </c>
      <c r="D3120" s="37" t="s">
        <v>7667</v>
      </c>
      <c r="E3120" s="143">
        <v>12</v>
      </c>
      <c r="F3120" s="12" t="s">
        <v>2170</v>
      </c>
      <c r="G3120" s="38">
        <v>264.33</v>
      </c>
      <c r="H3120" s="38">
        <v>224.69</v>
      </c>
      <c r="I3120" s="38">
        <v>185.03</v>
      </c>
      <c r="J3120" s="39">
        <v>300</v>
      </c>
      <c r="K3120" s="143"/>
      <c r="L3120" s="22">
        <v>45</v>
      </c>
      <c r="M3120" s="22" t="s">
        <v>12488</v>
      </c>
      <c r="N3120" s="20" t="s">
        <v>9534</v>
      </c>
      <c r="O3120" s="16" t="s">
        <v>12608</v>
      </c>
      <c r="P3120" s="143">
        <v>760</v>
      </c>
      <c r="Q3120" s="121" t="s">
        <v>14285</v>
      </c>
      <c r="R3120" s="16" t="s">
        <v>8904</v>
      </c>
      <c r="S3120" s="10" t="s">
        <v>1163</v>
      </c>
      <c r="T3120" s="28" t="s">
        <v>12093</v>
      </c>
      <c r="U3120" s="20" t="s">
        <v>5359</v>
      </c>
      <c r="V3120" s="16" t="s">
        <v>5587</v>
      </c>
      <c r="W3120" s="20" t="s">
        <v>14432</v>
      </c>
      <c r="X3120" s="174">
        <v>170.73</v>
      </c>
      <c r="Y3120" s="174">
        <v>224.69</v>
      </c>
    </row>
    <row r="3121" spans="1:25" ht="15" customHeight="1" x14ac:dyDescent="0.25">
      <c r="A3121" s="20" t="s">
        <v>4035</v>
      </c>
      <c r="B3121" s="14" t="s">
        <v>4036</v>
      </c>
      <c r="C3121" s="71" t="str">
        <f t="shared" si="72"/>
        <v>Product Info</v>
      </c>
      <c r="D3121" s="37" t="s">
        <v>7837</v>
      </c>
      <c r="E3121" s="143">
        <v>12</v>
      </c>
      <c r="F3121" s="12" t="s">
        <v>2170</v>
      </c>
      <c r="G3121" s="38">
        <v>255.7</v>
      </c>
      <c r="H3121" s="38">
        <v>217.35</v>
      </c>
      <c r="I3121" s="38">
        <v>178.99</v>
      </c>
      <c r="J3121" s="39">
        <v>300</v>
      </c>
      <c r="K3121" s="143"/>
      <c r="L3121" s="22">
        <v>0</v>
      </c>
      <c r="M3121" s="22">
        <v>0</v>
      </c>
      <c r="N3121" s="20" t="s">
        <v>14489</v>
      </c>
      <c r="O3121" s="16">
        <v>0</v>
      </c>
      <c r="P3121" s="143">
        <v>760</v>
      </c>
      <c r="Q3121" s="121" t="s">
        <v>14285</v>
      </c>
      <c r="R3121" s="16" t="s">
        <v>8904</v>
      </c>
      <c r="S3121" s="10" t="s">
        <v>1163</v>
      </c>
      <c r="T3121" s="28" t="s">
        <v>12094</v>
      </c>
      <c r="U3121" s="20" t="s">
        <v>5359</v>
      </c>
      <c r="V3121" s="16" t="s">
        <v>4035</v>
      </c>
      <c r="W3121" s="20" t="s">
        <v>14432</v>
      </c>
      <c r="X3121" s="174">
        <v>165.16</v>
      </c>
      <c r="Y3121" s="174">
        <v>217.35</v>
      </c>
    </row>
    <row r="3122" spans="1:25" ht="15" customHeight="1" x14ac:dyDescent="0.25">
      <c r="A3122" s="20" t="s">
        <v>4037</v>
      </c>
      <c r="B3122" s="14" t="s">
        <v>4038</v>
      </c>
      <c r="C3122" s="71" t="str">
        <f t="shared" si="72"/>
        <v>Product Info</v>
      </c>
      <c r="D3122" s="37" t="s">
        <v>7846</v>
      </c>
      <c r="E3122" s="143">
        <v>3</v>
      </c>
      <c r="F3122" s="12" t="s">
        <v>4992</v>
      </c>
      <c r="G3122" s="38">
        <v>334.46</v>
      </c>
      <c r="H3122" s="38">
        <v>284.3</v>
      </c>
      <c r="I3122" s="38">
        <v>234.12</v>
      </c>
      <c r="J3122" s="39">
        <v>300</v>
      </c>
      <c r="K3122" s="143"/>
      <c r="L3122" s="22">
        <v>0</v>
      </c>
      <c r="M3122" s="22">
        <v>0</v>
      </c>
      <c r="N3122" s="20" t="s">
        <v>14489</v>
      </c>
      <c r="O3122" s="16">
        <v>0</v>
      </c>
      <c r="P3122" s="143">
        <v>760</v>
      </c>
      <c r="Q3122" s="121" t="s">
        <v>14285</v>
      </c>
      <c r="R3122" s="16" t="s">
        <v>8904</v>
      </c>
      <c r="S3122" s="10" t="s">
        <v>1163</v>
      </c>
      <c r="T3122" s="28" t="s">
        <v>12095</v>
      </c>
      <c r="U3122" s="20" t="s">
        <v>5359</v>
      </c>
      <c r="V3122" s="16" t="s">
        <v>4037</v>
      </c>
      <c r="W3122" s="20" t="s">
        <v>14432</v>
      </c>
      <c r="X3122" s="174">
        <v>216.03</v>
      </c>
      <c r="Y3122" s="174">
        <v>284.3</v>
      </c>
    </row>
    <row r="3123" spans="1:25" ht="15" customHeight="1" x14ac:dyDescent="0.25">
      <c r="A3123" s="20" t="s">
        <v>12626</v>
      </c>
      <c r="B3123" s="10" t="s">
        <v>12627</v>
      </c>
      <c r="C3123" s="71" t="str">
        <f t="shared" si="72"/>
        <v>Product Info</v>
      </c>
      <c r="D3123" s="37" t="s">
        <v>12701</v>
      </c>
      <c r="E3123" s="143">
        <v>3</v>
      </c>
      <c r="F3123" s="12" t="s">
        <v>4992</v>
      </c>
      <c r="G3123" s="38">
        <v>153.72999999999999</v>
      </c>
      <c r="H3123" s="38">
        <v>130.66999999999999</v>
      </c>
      <c r="I3123" s="38">
        <v>107.61</v>
      </c>
      <c r="J3123" s="39"/>
      <c r="K3123" s="143"/>
      <c r="L3123" s="22">
        <v>40</v>
      </c>
      <c r="M3123" s="22" t="s">
        <v>12488</v>
      </c>
      <c r="N3123" s="20" t="s">
        <v>13072</v>
      </c>
      <c r="O3123" s="16" t="s">
        <v>13912</v>
      </c>
      <c r="P3123" s="143">
        <v>760</v>
      </c>
      <c r="Q3123" s="122" t="s">
        <v>12421</v>
      </c>
      <c r="R3123" s="16" t="s">
        <v>8904</v>
      </c>
      <c r="S3123" s="10" t="s">
        <v>1163</v>
      </c>
      <c r="T3123" s="28" t="s">
        <v>13133</v>
      </c>
      <c r="U3123" s="20" t="s">
        <v>5359</v>
      </c>
      <c r="V3123" s="16" t="s">
        <v>12626</v>
      </c>
      <c r="W3123" s="20" t="s">
        <v>14432</v>
      </c>
      <c r="X3123" s="174">
        <v>99.29</v>
      </c>
      <c r="Y3123" s="174">
        <v>130.66999999999999</v>
      </c>
    </row>
    <row r="3124" spans="1:25" ht="15" customHeight="1" x14ac:dyDescent="0.25">
      <c r="A3124" s="20" t="s">
        <v>4039</v>
      </c>
      <c r="B3124" s="14" t="s">
        <v>4040</v>
      </c>
      <c r="C3124" s="71" t="str">
        <f t="shared" si="72"/>
        <v>Product Info</v>
      </c>
      <c r="D3124" s="37" t="s">
        <v>7668</v>
      </c>
      <c r="E3124" s="143">
        <v>3</v>
      </c>
      <c r="F3124" s="12" t="s">
        <v>2170</v>
      </c>
      <c r="G3124" s="38">
        <v>38.51</v>
      </c>
      <c r="H3124" s="38">
        <f t="shared" ref="H3124:H3140" si="74">I3124</f>
        <v>26.96</v>
      </c>
      <c r="I3124" s="38">
        <v>26.96</v>
      </c>
      <c r="J3124" s="39">
        <v>100</v>
      </c>
      <c r="K3124" s="143"/>
      <c r="L3124" s="22">
        <v>6</v>
      </c>
      <c r="M3124" s="22" t="s">
        <v>12488</v>
      </c>
      <c r="N3124" s="20" t="s">
        <v>9535</v>
      </c>
      <c r="O3124" s="16" t="s">
        <v>12608</v>
      </c>
      <c r="P3124" s="143">
        <v>749</v>
      </c>
      <c r="Q3124" s="122" t="s">
        <v>12421</v>
      </c>
      <c r="R3124" s="16" t="s">
        <v>8904</v>
      </c>
      <c r="S3124" s="10" t="s">
        <v>194</v>
      </c>
      <c r="T3124" s="28" t="s">
        <v>12096</v>
      </c>
      <c r="U3124" s="20" t="s">
        <v>5359</v>
      </c>
      <c r="V3124" s="16" t="s">
        <v>4039</v>
      </c>
      <c r="W3124" s="11" t="s">
        <v>14433</v>
      </c>
      <c r="X3124" s="174">
        <v>20.83</v>
      </c>
      <c r="Y3124" s="174">
        <v>26.96</v>
      </c>
    </row>
    <row r="3125" spans="1:25" ht="15" customHeight="1" x14ac:dyDescent="0.25">
      <c r="A3125" s="20" t="s">
        <v>2966</v>
      </c>
      <c r="B3125" s="14" t="s">
        <v>2967</v>
      </c>
      <c r="C3125" s="71" t="str">
        <f t="shared" si="72"/>
        <v>Product Info</v>
      </c>
      <c r="D3125" s="37" t="s">
        <v>7669</v>
      </c>
      <c r="E3125" s="143">
        <v>3</v>
      </c>
      <c r="F3125" s="12" t="s">
        <v>2170</v>
      </c>
      <c r="G3125" s="38">
        <v>49.21</v>
      </c>
      <c r="H3125" s="38">
        <f t="shared" si="74"/>
        <v>34.450000000000003</v>
      </c>
      <c r="I3125" s="38">
        <v>34.450000000000003</v>
      </c>
      <c r="J3125" s="39">
        <v>100</v>
      </c>
      <c r="K3125" s="143"/>
      <c r="L3125" s="22">
        <v>6.5</v>
      </c>
      <c r="M3125" s="22" t="s">
        <v>12488</v>
      </c>
      <c r="N3125" s="20" t="s">
        <v>9535</v>
      </c>
      <c r="O3125" s="16" t="s">
        <v>12608</v>
      </c>
      <c r="P3125" s="143">
        <v>749</v>
      </c>
      <c r="Q3125" s="121" t="s">
        <v>14285</v>
      </c>
      <c r="R3125" s="16" t="s">
        <v>8904</v>
      </c>
      <c r="S3125" s="10" t="s">
        <v>194</v>
      </c>
      <c r="T3125" s="28" t="s">
        <v>12097</v>
      </c>
      <c r="U3125" s="20" t="s">
        <v>5359</v>
      </c>
      <c r="V3125" s="16" t="s">
        <v>2966</v>
      </c>
      <c r="W3125" s="11" t="s">
        <v>14433</v>
      </c>
      <c r="X3125" s="174">
        <v>26.62</v>
      </c>
      <c r="Y3125" s="174">
        <v>34.450000000000003</v>
      </c>
    </row>
    <row r="3126" spans="1:25" ht="15" customHeight="1" x14ac:dyDescent="0.25">
      <c r="A3126" s="20" t="s">
        <v>2968</v>
      </c>
      <c r="B3126" s="14" t="s">
        <v>2969</v>
      </c>
      <c r="C3126" s="71" t="str">
        <f t="shared" si="72"/>
        <v>Product Info</v>
      </c>
      <c r="D3126" s="37" t="s">
        <v>2003</v>
      </c>
      <c r="E3126" s="143">
        <v>5</v>
      </c>
      <c r="F3126" s="12" t="s">
        <v>2170</v>
      </c>
      <c r="G3126" s="38">
        <v>58.26</v>
      </c>
      <c r="H3126" s="38">
        <f t="shared" si="74"/>
        <v>40.78</v>
      </c>
      <c r="I3126" s="38">
        <v>40.78</v>
      </c>
      <c r="J3126" s="39"/>
      <c r="K3126" s="12" t="s">
        <v>8905</v>
      </c>
      <c r="L3126" s="22">
        <v>0.40899999999999997</v>
      </c>
      <c r="M3126" s="22" t="s">
        <v>12488</v>
      </c>
      <c r="N3126" s="20" t="s">
        <v>9536</v>
      </c>
      <c r="O3126" s="16" t="s">
        <v>12608</v>
      </c>
      <c r="P3126" s="143">
        <v>749</v>
      </c>
      <c r="Q3126" s="122" t="s">
        <v>9227</v>
      </c>
      <c r="R3126" s="16" t="s">
        <v>8904</v>
      </c>
      <c r="S3126" s="10" t="s">
        <v>194</v>
      </c>
      <c r="T3126" s="28" t="s">
        <v>12098</v>
      </c>
      <c r="U3126" s="20" t="s">
        <v>5359</v>
      </c>
      <c r="V3126" s="16" t="s">
        <v>2968</v>
      </c>
      <c r="W3126" s="11" t="s">
        <v>14433</v>
      </c>
      <c r="X3126" s="174">
        <v>30.9</v>
      </c>
      <c r="Y3126" s="174">
        <v>40.78</v>
      </c>
    </row>
    <row r="3127" spans="1:25" ht="15" customHeight="1" x14ac:dyDescent="0.25">
      <c r="A3127" s="20" t="s">
        <v>2970</v>
      </c>
      <c r="B3127" s="14" t="s">
        <v>2971</v>
      </c>
      <c r="C3127" s="71" t="str">
        <f t="shared" si="72"/>
        <v>Product Info</v>
      </c>
      <c r="D3127" s="37" t="s">
        <v>2004</v>
      </c>
      <c r="E3127" s="143">
        <v>5</v>
      </c>
      <c r="F3127" s="12" t="s">
        <v>2170</v>
      </c>
      <c r="G3127" s="38">
        <v>83</v>
      </c>
      <c r="H3127" s="38">
        <f t="shared" si="74"/>
        <v>58.1</v>
      </c>
      <c r="I3127" s="38">
        <v>58.1</v>
      </c>
      <c r="J3127" s="39"/>
      <c r="K3127" s="12" t="s">
        <v>8905</v>
      </c>
      <c r="L3127" s="22">
        <v>0.71</v>
      </c>
      <c r="M3127" s="22" t="s">
        <v>12488</v>
      </c>
      <c r="N3127" s="20" t="s">
        <v>9537</v>
      </c>
      <c r="O3127" s="16" t="s">
        <v>12608</v>
      </c>
      <c r="P3127" s="143">
        <v>749</v>
      </c>
      <c r="Q3127" s="122" t="s">
        <v>9227</v>
      </c>
      <c r="R3127" s="16" t="s">
        <v>8904</v>
      </c>
      <c r="S3127" s="10" t="s">
        <v>194</v>
      </c>
      <c r="T3127" s="28" t="s">
        <v>12099</v>
      </c>
      <c r="U3127" s="20" t="s">
        <v>5359</v>
      </c>
      <c r="V3127" s="16" t="s">
        <v>2970</v>
      </c>
      <c r="W3127" s="11" t="s">
        <v>14433</v>
      </c>
      <c r="X3127" s="174">
        <v>44.03</v>
      </c>
      <c r="Y3127" s="174">
        <v>58.1</v>
      </c>
    </row>
    <row r="3128" spans="1:25" ht="15" customHeight="1" x14ac:dyDescent="0.25">
      <c r="A3128" s="20" t="s">
        <v>2972</v>
      </c>
      <c r="B3128" s="14" t="s">
        <v>2973</v>
      </c>
      <c r="C3128" s="71" t="str">
        <f t="shared" si="72"/>
        <v>Product Info</v>
      </c>
      <c r="D3128" s="37" t="s">
        <v>2005</v>
      </c>
      <c r="E3128" s="143">
        <v>5</v>
      </c>
      <c r="F3128" s="12" t="s">
        <v>2170</v>
      </c>
      <c r="G3128" s="38">
        <v>108.03</v>
      </c>
      <c r="H3128" s="38">
        <f t="shared" si="74"/>
        <v>75.62</v>
      </c>
      <c r="I3128" s="38">
        <v>75.62</v>
      </c>
      <c r="J3128" s="39"/>
      <c r="K3128" s="12" t="s">
        <v>8905</v>
      </c>
      <c r="L3128" s="22">
        <v>1.1990000000000001</v>
      </c>
      <c r="M3128" s="22" t="s">
        <v>12488</v>
      </c>
      <c r="N3128" s="20" t="s">
        <v>9538</v>
      </c>
      <c r="O3128" s="16" t="s">
        <v>12608</v>
      </c>
      <c r="P3128" s="143">
        <v>749</v>
      </c>
      <c r="Q3128" s="122" t="s">
        <v>9227</v>
      </c>
      <c r="R3128" s="16" t="s">
        <v>8904</v>
      </c>
      <c r="S3128" s="10" t="s">
        <v>194</v>
      </c>
      <c r="T3128" s="28" t="s">
        <v>12100</v>
      </c>
      <c r="U3128" s="20" t="s">
        <v>5359</v>
      </c>
      <c r="V3128" s="16" t="s">
        <v>2972</v>
      </c>
      <c r="W3128" s="11" t="s">
        <v>14433</v>
      </c>
      <c r="X3128" s="174">
        <v>57.31</v>
      </c>
      <c r="Y3128" s="174">
        <v>75.62</v>
      </c>
    </row>
    <row r="3129" spans="1:25" ht="15" customHeight="1" x14ac:dyDescent="0.25">
      <c r="A3129" s="20" t="s">
        <v>2974</v>
      </c>
      <c r="B3129" s="14" t="s">
        <v>2975</v>
      </c>
      <c r="C3129" s="71" t="str">
        <f t="shared" si="72"/>
        <v>Product Info</v>
      </c>
      <c r="D3129" s="37" t="s">
        <v>8952</v>
      </c>
      <c r="E3129" s="143">
        <v>5</v>
      </c>
      <c r="F3129" s="12" t="s">
        <v>2170</v>
      </c>
      <c r="G3129" s="38">
        <v>135.19</v>
      </c>
      <c r="H3129" s="38">
        <f t="shared" si="74"/>
        <v>94.63</v>
      </c>
      <c r="I3129" s="38">
        <v>94.63</v>
      </c>
      <c r="J3129" s="39"/>
      <c r="K3129" s="143" t="s">
        <v>8905</v>
      </c>
      <c r="L3129" s="22">
        <v>0.75</v>
      </c>
      <c r="M3129" s="22" t="s">
        <v>12488</v>
      </c>
      <c r="N3129" s="20" t="s">
        <v>9539</v>
      </c>
      <c r="O3129" s="16" t="s">
        <v>12608</v>
      </c>
      <c r="P3129" s="143">
        <v>749</v>
      </c>
      <c r="Q3129" s="122" t="s">
        <v>9227</v>
      </c>
      <c r="R3129" s="16" t="s">
        <v>8904</v>
      </c>
      <c r="S3129" s="10" t="s">
        <v>194</v>
      </c>
      <c r="T3129" s="28" t="s">
        <v>12101</v>
      </c>
      <c r="U3129" s="20" t="s">
        <v>5359</v>
      </c>
      <c r="V3129" s="16" t="s">
        <v>2974</v>
      </c>
      <c r="W3129" s="11" t="s">
        <v>14433</v>
      </c>
      <c r="X3129" s="174">
        <v>71.72</v>
      </c>
      <c r="Y3129" s="174">
        <v>94.63</v>
      </c>
    </row>
    <row r="3130" spans="1:25" ht="15" customHeight="1" x14ac:dyDescent="0.25">
      <c r="A3130" s="20" t="s">
        <v>2976</v>
      </c>
      <c r="B3130" s="14" t="s">
        <v>2977</v>
      </c>
      <c r="C3130" s="71" t="str">
        <f t="shared" si="72"/>
        <v>Product Info</v>
      </c>
      <c r="D3130" s="37" t="s">
        <v>2126</v>
      </c>
      <c r="E3130" s="143">
        <v>50</v>
      </c>
      <c r="F3130" s="12" t="s">
        <v>2170</v>
      </c>
      <c r="G3130" s="38">
        <v>12.79</v>
      </c>
      <c r="H3130" s="38">
        <f t="shared" si="74"/>
        <v>8.9499999999999993</v>
      </c>
      <c r="I3130" s="38">
        <v>8.9499999999999993</v>
      </c>
      <c r="J3130" s="39"/>
      <c r="K3130" s="143"/>
      <c r="L3130" s="22">
        <v>0.19389999999999999</v>
      </c>
      <c r="M3130" s="22" t="s">
        <v>12488</v>
      </c>
      <c r="N3130" s="20" t="s">
        <v>9392</v>
      </c>
      <c r="O3130" s="16" t="s">
        <v>12608</v>
      </c>
      <c r="P3130" s="143">
        <v>749</v>
      </c>
      <c r="Q3130" s="122" t="s">
        <v>9227</v>
      </c>
      <c r="R3130" s="16" t="s">
        <v>8904</v>
      </c>
      <c r="S3130" s="10" t="s">
        <v>194</v>
      </c>
      <c r="T3130" s="28" t="s">
        <v>12102</v>
      </c>
      <c r="U3130" s="20" t="s">
        <v>5359</v>
      </c>
      <c r="V3130" s="16" t="s">
        <v>2976</v>
      </c>
      <c r="W3130" s="11" t="s">
        <v>14433</v>
      </c>
      <c r="X3130" s="174">
        <v>6.78</v>
      </c>
      <c r="Y3130" s="174">
        <v>8.9499999999999993</v>
      </c>
    </row>
    <row r="3131" spans="1:25" ht="15" customHeight="1" x14ac:dyDescent="0.25">
      <c r="A3131" s="20" t="s">
        <v>2978</v>
      </c>
      <c r="B3131" s="14" t="s">
        <v>2979</v>
      </c>
      <c r="C3131" s="71" t="str">
        <f t="shared" si="72"/>
        <v>Product Info</v>
      </c>
      <c r="D3131" s="37" t="s">
        <v>2127</v>
      </c>
      <c r="E3131" s="143">
        <v>5</v>
      </c>
      <c r="F3131" s="12" t="s">
        <v>2170</v>
      </c>
      <c r="G3131" s="38">
        <v>13.13</v>
      </c>
      <c r="H3131" s="38">
        <f t="shared" si="74"/>
        <v>9.19</v>
      </c>
      <c r="I3131" s="38">
        <v>9.19</v>
      </c>
      <c r="J3131" s="39"/>
      <c r="K3131" s="12" t="s">
        <v>8905</v>
      </c>
      <c r="L3131" s="22">
        <v>0.25800000000000001</v>
      </c>
      <c r="M3131" s="22" t="s">
        <v>12488</v>
      </c>
      <c r="N3131" s="20" t="s">
        <v>9540</v>
      </c>
      <c r="O3131" s="16" t="s">
        <v>12608</v>
      </c>
      <c r="P3131" s="143">
        <v>749</v>
      </c>
      <c r="Q3131" s="122" t="s">
        <v>9227</v>
      </c>
      <c r="R3131" s="16" t="s">
        <v>8904</v>
      </c>
      <c r="S3131" s="10" t="s">
        <v>194</v>
      </c>
      <c r="T3131" s="28" t="s">
        <v>12103</v>
      </c>
      <c r="U3131" s="20" t="s">
        <v>5359</v>
      </c>
      <c r="V3131" s="16" t="s">
        <v>2978</v>
      </c>
      <c r="W3131" s="11" t="s">
        <v>14433</v>
      </c>
      <c r="X3131" s="174">
        <v>6.97</v>
      </c>
      <c r="Y3131" s="174">
        <v>9.19</v>
      </c>
    </row>
    <row r="3132" spans="1:25" ht="15" customHeight="1" x14ac:dyDescent="0.25">
      <c r="A3132" s="20" t="s">
        <v>2980</v>
      </c>
      <c r="B3132" s="14" t="s">
        <v>5996</v>
      </c>
      <c r="C3132" s="71" t="str">
        <f t="shared" si="72"/>
        <v>Product Info</v>
      </c>
      <c r="D3132" s="37" t="s">
        <v>2128</v>
      </c>
      <c r="E3132" s="143">
        <v>50</v>
      </c>
      <c r="F3132" s="12" t="s">
        <v>2170</v>
      </c>
      <c r="G3132" s="38">
        <v>13.66</v>
      </c>
      <c r="H3132" s="38">
        <f t="shared" si="74"/>
        <v>9.56</v>
      </c>
      <c r="I3132" s="38">
        <v>9.56</v>
      </c>
      <c r="J3132" s="39"/>
      <c r="K3132" s="143"/>
      <c r="L3132" s="22">
        <v>15</v>
      </c>
      <c r="M3132" s="22" t="s">
        <v>12488</v>
      </c>
      <c r="N3132" s="20" t="s">
        <v>9240</v>
      </c>
      <c r="O3132" s="16" t="s">
        <v>12608</v>
      </c>
      <c r="P3132" s="143">
        <v>749</v>
      </c>
      <c r="Q3132" s="122" t="s">
        <v>12421</v>
      </c>
      <c r="R3132" s="16" t="s">
        <v>8904</v>
      </c>
      <c r="S3132" s="10" t="s">
        <v>194</v>
      </c>
      <c r="T3132" s="28" t="s">
        <v>12104</v>
      </c>
      <c r="U3132" s="20" t="s">
        <v>5359</v>
      </c>
      <c r="V3132" s="16" t="s">
        <v>2980</v>
      </c>
      <c r="W3132" s="11" t="s">
        <v>14433</v>
      </c>
      <c r="X3132" s="174">
        <v>7.24</v>
      </c>
      <c r="Y3132" s="174">
        <v>9.56</v>
      </c>
    </row>
    <row r="3133" spans="1:25" ht="15" customHeight="1" x14ac:dyDescent="0.25">
      <c r="A3133" s="20" t="s">
        <v>934</v>
      </c>
      <c r="B3133" s="14" t="s">
        <v>935</v>
      </c>
      <c r="C3133" s="71" t="str">
        <f t="shared" si="72"/>
        <v>Product Info</v>
      </c>
      <c r="D3133" s="37" t="s">
        <v>2129</v>
      </c>
      <c r="E3133" s="143">
        <v>5</v>
      </c>
      <c r="F3133" s="12" t="s">
        <v>2170</v>
      </c>
      <c r="G3133" s="38">
        <v>14.06</v>
      </c>
      <c r="H3133" s="38">
        <f t="shared" si="74"/>
        <v>9.84</v>
      </c>
      <c r="I3133" s="38">
        <v>9.84</v>
      </c>
      <c r="J3133" s="39"/>
      <c r="K3133" s="143"/>
      <c r="L3133" s="22">
        <v>4</v>
      </c>
      <c r="M3133" s="22" t="s">
        <v>12488</v>
      </c>
      <c r="N3133" s="20" t="s">
        <v>9455</v>
      </c>
      <c r="O3133" s="16" t="s">
        <v>12608</v>
      </c>
      <c r="P3133" s="143">
        <v>749</v>
      </c>
      <c r="Q3133" s="122" t="s">
        <v>9227</v>
      </c>
      <c r="R3133" s="16" t="s">
        <v>8904</v>
      </c>
      <c r="S3133" s="10" t="s">
        <v>194</v>
      </c>
      <c r="T3133" s="28" t="s">
        <v>12105</v>
      </c>
      <c r="U3133" s="20" t="s">
        <v>5359</v>
      </c>
      <c r="V3133" s="16" t="s">
        <v>934</v>
      </c>
      <c r="W3133" s="11" t="s">
        <v>14433</v>
      </c>
      <c r="X3133" s="174">
        <v>7.46</v>
      </c>
      <c r="Y3133" s="174">
        <v>9.84</v>
      </c>
    </row>
    <row r="3134" spans="1:25" ht="15" customHeight="1" x14ac:dyDescent="0.25">
      <c r="A3134" s="20" t="s">
        <v>936</v>
      </c>
      <c r="B3134" s="14" t="s">
        <v>937</v>
      </c>
      <c r="C3134" s="71" t="str">
        <f t="shared" si="72"/>
        <v>Product Info</v>
      </c>
      <c r="D3134" s="37" t="s">
        <v>2130</v>
      </c>
      <c r="E3134" s="143">
        <v>50</v>
      </c>
      <c r="F3134" s="12" t="s">
        <v>2170</v>
      </c>
      <c r="G3134" s="38">
        <v>25.8</v>
      </c>
      <c r="H3134" s="38">
        <f t="shared" si="74"/>
        <v>18.059999999999999</v>
      </c>
      <c r="I3134" s="38">
        <v>18.059999999999999</v>
      </c>
      <c r="J3134" s="39"/>
      <c r="K3134" s="143"/>
      <c r="L3134" s="22">
        <v>22</v>
      </c>
      <c r="M3134" s="22" t="s">
        <v>12488</v>
      </c>
      <c r="N3134" s="20" t="s">
        <v>9541</v>
      </c>
      <c r="O3134" s="16" t="s">
        <v>12608</v>
      </c>
      <c r="P3134" s="143">
        <v>749</v>
      </c>
      <c r="Q3134" s="122" t="s">
        <v>12421</v>
      </c>
      <c r="R3134" s="16" t="s">
        <v>8904</v>
      </c>
      <c r="S3134" s="10" t="s">
        <v>194</v>
      </c>
      <c r="T3134" s="28" t="s">
        <v>12106</v>
      </c>
      <c r="U3134" s="20" t="s">
        <v>5359</v>
      </c>
      <c r="V3134" s="16" t="s">
        <v>936</v>
      </c>
      <c r="W3134" s="11" t="s">
        <v>14433</v>
      </c>
      <c r="X3134" s="174">
        <v>13.69</v>
      </c>
      <c r="Y3134" s="174">
        <v>18.059999999999999</v>
      </c>
    </row>
    <row r="3135" spans="1:25" ht="15" customHeight="1" x14ac:dyDescent="0.25">
      <c r="A3135" s="20" t="s">
        <v>938</v>
      </c>
      <c r="B3135" s="14" t="s">
        <v>939</v>
      </c>
      <c r="C3135" s="71" t="str">
        <f t="shared" si="72"/>
        <v>Product Info</v>
      </c>
      <c r="D3135" s="37" t="s">
        <v>2131</v>
      </c>
      <c r="E3135" s="143">
        <v>5</v>
      </c>
      <c r="F3135" s="12" t="s">
        <v>2170</v>
      </c>
      <c r="G3135" s="38">
        <v>26.51</v>
      </c>
      <c r="H3135" s="38">
        <f t="shared" si="74"/>
        <v>18.559999999999999</v>
      </c>
      <c r="I3135" s="38">
        <v>18.559999999999999</v>
      </c>
      <c r="J3135" s="39"/>
      <c r="K3135" s="143"/>
      <c r="L3135" s="22">
        <v>0.47799999999999998</v>
      </c>
      <c r="M3135" s="22" t="s">
        <v>12488</v>
      </c>
      <c r="N3135" s="20" t="s">
        <v>9542</v>
      </c>
      <c r="O3135" s="16" t="s">
        <v>12608</v>
      </c>
      <c r="P3135" s="143">
        <v>749</v>
      </c>
      <c r="Q3135" s="122" t="s">
        <v>12421</v>
      </c>
      <c r="R3135" s="16" t="s">
        <v>8904</v>
      </c>
      <c r="S3135" s="10" t="s">
        <v>194</v>
      </c>
      <c r="T3135" s="28" t="s">
        <v>12107</v>
      </c>
      <c r="U3135" s="20" t="s">
        <v>5359</v>
      </c>
      <c r="V3135" s="16" t="s">
        <v>938</v>
      </c>
      <c r="W3135" s="11" t="s">
        <v>14433</v>
      </c>
      <c r="X3135" s="174">
        <v>14.07</v>
      </c>
      <c r="Y3135" s="174">
        <v>18.559999999999999</v>
      </c>
    </row>
    <row r="3136" spans="1:25" ht="15" customHeight="1" x14ac:dyDescent="0.25">
      <c r="A3136" s="20" t="s">
        <v>940</v>
      </c>
      <c r="B3136" s="14" t="s">
        <v>941</v>
      </c>
      <c r="C3136" s="71" t="str">
        <f t="shared" si="72"/>
        <v>Product Info</v>
      </c>
      <c r="D3136" s="37" t="s">
        <v>7670</v>
      </c>
      <c r="E3136" s="143">
        <v>6</v>
      </c>
      <c r="F3136" s="12" t="s">
        <v>2170</v>
      </c>
      <c r="G3136" s="38">
        <v>23.53</v>
      </c>
      <c r="H3136" s="38">
        <f t="shared" si="74"/>
        <v>16.47</v>
      </c>
      <c r="I3136" s="38">
        <v>16.47</v>
      </c>
      <c r="J3136" s="39"/>
      <c r="K3136" s="143"/>
      <c r="L3136" s="22">
        <v>2</v>
      </c>
      <c r="M3136" s="22" t="s">
        <v>12488</v>
      </c>
      <c r="N3136" s="20" t="s">
        <v>9332</v>
      </c>
      <c r="O3136" s="16" t="s">
        <v>12608</v>
      </c>
      <c r="P3136" s="143">
        <v>749</v>
      </c>
      <c r="Q3136" s="122" t="s">
        <v>12421</v>
      </c>
      <c r="R3136" s="16" t="s">
        <v>8904</v>
      </c>
      <c r="S3136" s="10" t="s">
        <v>194</v>
      </c>
      <c r="T3136" s="28" t="s">
        <v>12108</v>
      </c>
      <c r="U3136" s="20" t="s">
        <v>5359</v>
      </c>
      <c r="V3136" s="16" t="s">
        <v>940</v>
      </c>
      <c r="W3136" s="11" t="s">
        <v>14433</v>
      </c>
      <c r="X3136" s="174">
        <v>12.49</v>
      </c>
      <c r="Y3136" s="174">
        <v>16.47</v>
      </c>
    </row>
    <row r="3137" spans="1:25" ht="15" customHeight="1" x14ac:dyDescent="0.25">
      <c r="A3137" s="20" t="s">
        <v>2403</v>
      </c>
      <c r="B3137" s="14" t="s">
        <v>2404</v>
      </c>
      <c r="C3137" s="71" t="str">
        <f t="shared" si="72"/>
        <v>Product Info</v>
      </c>
      <c r="D3137" s="37" t="s">
        <v>2132</v>
      </c>
      <c r="E3137" s="143">
        <v>50</v>
      </c>
      <c r="F3137" s="12" t="s">
        <v>2170</v>
      </c>
      <c r="G3137" s="38">
        <v>31.6</v>
      </c>
      <c r="H3137" s="38">
        <f t="shared" si="74"/>
        <v>22.12</v>
      </c>
      <c r="I3137" s="38">
        <v>22.12</v>
      </c>
      <c r="J3137" s="39"/>
      <c r="K3137" s="143"/>
      <c r="L3137" s="22">
        <v>0.1</v>
      </c>
      <c r="M3137" s="22" t="s">
        <v>14396</v>
      </c>
      <c r="N3137" s="20" t="s">
        <v>8826</v>
      </c>
      <c r="O3137" s="16" t="s">
        <v>13914</v>
      </c>
      <c r="P3137" s="143">
        <v>749</v>
      </c>
      <c r="Q3137" s="121" t="s">
        <v>14285</v>
      </c>
      <c r="R3137" s="16" t="s">
        <v>8904</v>
      </c>
      <c r="S3137" s="10" t="s">
        <v>194</v>
      </c>
      <c r="T3137" s="28" t="s">
        <v>12109</v>
      </c>
      <c r="U3137" s="20" t="s">
        <v>5359</v>
      </c>
      <c r="V3137" s="16" t="s">
        <v>2403</v>
      </c>
      <c r="W3137" s="11" t="s">
        <v>14433</v>
      </c>
      <c r="X3137" s="174">
        <v>16.77</v>
      </c>
      <c r="Y3137" s="174">
        <v>22.12</v>
      </c>
    </row>
    <row r="3138" spans="1:25" ht="15" customHeight="1" x14ac:dyDescent="0.25">
      <c r="A3138" s="20" t="s">
        <v>7495</v>
      </c>
      <c r="B3138" s="14" t="s">
        <v>7496</v>
      </c>
      <c r="C3138" s="71" t="str">
        <f t="shared" si="72"/>
        <v>Product Info</v>
      </c>
      <c r="D3138" s="37" t="s">
        <v>2133</v>
      </c>
      <c r="E3138" s="143">
        <v>5</v>
      </c>
      <c r="F3138" s="12" t="s">
        <v>2170</v>
      </c>
      <c r="G3138" s="38">
        <v>32.590000000000003</v>
      </c>
      <c r="H3138" s="38">
        <f t="shared" si="74"/>
        <v>22.81</v>
      </c>
      <c r="I3138" s="38">
        <v>22.81</v>
      </c>
      <c r="J3138" s="39"/>
      <c r="K3138" s="143"/>
      <c r="L3138" s="22">
        <v>3.5</v>
      </c>
      <c r="M3138" s="22" t="s">
        <v>12488</v>
      </c>
      <c r="N3138" s="20" t="s">
        <v>9248</v>
      </c>
      <c r="O3138" s="16" t="s">
        <v>12608</v>
      </c>
      <c r="P3138" s="143">
        <v>749</v>
      </c>
      <c r="Q3138" s="122" t="s">
        <v>12421</v>
      </c>
      <c r="R3138" s="16" t="s">
        <v>8904</v>
      </c>
      <c r="S3138" s="10" t="s">
        <v>194</v>
      </c>
      <c r="T3138" s="28" t="s">
        <v>12110</v>
      </c>
      <c r="U3138" s="20" t="s">
        <v>5359</v>
      </c>
      <c r="V3138" s="16" t="s">
        <v>7495</v>
      </c>
      <c r="W3138" s="11" t="s">
        <v>14433</v>
      </c>
      <c r="X3138" s="174">
        <v>17.29</v>
      </c>
      <c r="Y3138" s="174">
        <v>22.81</v>
      </c>
    </row>
    <row r="3139" spans="1:25" ht="15" customHeight="1" x14ac:dyDescent="0.25">
      <c r="A3139" s="20" t="s">
        <v>1035</v>
      </c>
      <c r="B3139" s="14" t="s">
        <v>1036</v>
      </c>
      <c r="C3139" s="71" t="str">
        <f t="shared" si="72"/>
        <v>Product Info</v>
      </c>
      <c r="D3139" s="37" t="s">
        <v>1038</v>
      </c>
      <c r="E3139" s="143">
        <v>100</v>
      </c>
      <c r="F3139" s="12" t="s">
        <v>2170</v>
      </c>
      <c r="G3139" s="38">
        <v>28.46</v>
      </c>
      <c r="H3139" s="38">
        <f t="shared" si="74"/>
        <v>19.920000000000002</v>
      </c>
      <c r="I3139" s="38">
        <v>19.920000000000002</v>
      </c>
      <c r="J3139" s="39"/>
      <c r="K3139" s="143"/>
      <c r="L3139" s="22">
        <v>0</v>
      </c>
      <c r="M3139" s="22">
        <v>0</v>
      </c>
      <c r="N3139" s="20" t="s">
        <v>14489</v>
      </c>
      <c r="O3139" s="16">
        <v>0</v>
      </c>
      <c r="P3139" s="143">
        <v>749</v>
      </c>
      <c r="Q3139" s="121" t="s">
        <v>14285</v>
      </c>
      <c r="R3139" s="16" t="s">
        <v>8904</v>
      </c>
      <c r="S3139" s="10" t="s">
        <v>194</v>
      </c>
      <c r="T3139" s="28" t="s">
        <v>12111</v>
      </c>
      <c r="U3139" s="20" t="s">
        <v>5359</v>
      </c>
      <c r="V3139" s="16" t="s">
        <v>1035</v>
      </c>
      <c r="W3139" s="11" t="s">
        <v>14433</v>
      </c>
      <c r="X3139" s="174">
        <v>15.1</v>
      </c>
      <c r="Y3139" s="174">
        <v>19.920000000000002</v>
      </c>
    </row>
    <row r="3140" spans="1:25" ht="15" customHeight="1" x14ac:dyDescent="0.25">
      <c r="A3140" s="20" t="s">
        <v>7497</v>
      </c>
      <c r="B3140" s="14" t="s">
        <v>7498</v>
      </c>
      <c r="C3140" s="71" t="str">
        <f t="shared" si="72"/>
        <v>Product Info</v>
      </c>
      <c r="D3140" s="37" t="s">
        <v>7671</v>
      </c>
      <c r="E3140" s="143">
        <v>6</v>
      </c>
      <c r="F3140" s="12" t="s">
        <v>2170</v>
      </c>
      <c r="G3140" s="38">
        <v>30.43</v>
      </c>
      <c r="H3140" s="38">
        <f t="shared" si="74"/>
        <v>21.3</v>
      </c>
      <c r="I3140" s="38">
        <v>21.3</v>
      </c>
      <c r="J3140" s="39"/>
      <c r="K3140" s="143"/>
      <c r="L3140" s="22">
        <v>3</v>
      </c>
      <c r="M3140" s="22" t="s">
        <v>12488</v>
      </c>
      <c r="N3140" s="20" t="s">
        <v>9248</v>
      </c>
      <c r="O3140" s="16" t="s">
        <v>12608</v>
      </c>
      <c r="P3140" s="143">
        <v>749</v>
      </c>
      <c r="Q3140" s="122" t="s">
        <v>12421</v>
      </c>
      <c r="R3140" s="16" t="s">
        <v>8904</v>
      </c>
      <c r="S3140" s="10" t="s">
        <v>194</v>
      </c>
      <c r="T3140" s="28" t="s">
        <v>12112</v>
      </c>
      <c r="U3140" s="20" t="s">
        <v>5359</v>
      </c>
      <c r="V3140" s="16" t="s">
        <v>7497</v>
      </c>
      <c r="W3140" s="11" t="s">
        <v>14433</v>
      </c>
      <c r="X3140" s="174">
        <v>16.14</v>
      </c>
      <c r="Y3140" s="174">
        <v>21.3</v>
      </c>
    </row>
    <row r="3141" spans="1:25" ht="15" customHeight="1" x14ac:dyDescent="0.25">
      <c r="A3141" s="20" t="s">
        <v>7499</v>
      </c>
      <c r="B3141" s="14" t="s">
        <v>7500</v>
      </c>
      <c r="C3141" s="71" t="str">
        <f t="shared" si="72"/>
        <v>Product Info</v>
      </c>
      <c r="D3141" s="37" t="s">
        <v>7672</v>
      </c>
      <c r="E3141" s="143">
        <v>6</v>
      </c>
      <c r="F3141" s="12" t="s">
        <v>2170</v>
      </c>
      <c r="G3141" s="38">
        <v>35.97</v>
      </c>
      <c r="H3141" s="38">
        <v>30.58</v>
      </c>
      <c r="I3141" s="38">
        <v>25.18</v>
      </c>
      <c r="J3141" s="39"/>
      <c r="K3141" s="143"/>
      <c r="L3141" s="22">
        <v>3.5</v>
      </c>
      <c r="M3141" s="22" t="s">
        <v>12488</v>
      </c>
      <c r="N3141" s="20" t="s">
        <v>9334</v>
      </c>
      <c r="O3141" s="16" t="s">
        <v>12608</v>
      </c>
      <c r="P3141" s="143">
        <v>749</v>
      </c>
      <c r="Q3141" s="121" t="s">
        <v>14285</v>
      </c>
      <c r="R3141" s="16" t="s">
        <v>8904</v>
      </c>
      <c r="S3141" s="10" t="s">
        <v>1163</v>
      </c>
      <c r="T3141" s="28" t="s">
        <v>12113</v>
      </c>
      <c r="U3141" s="20" t="s">
        <v>5359</v>
      </c>
      <c r="V3141" s="16" t="s">
        <v>7499</v>
      </c>
      <c r="W3141" s="11" t="s">
        <v>14433</v>
      </c>
      <c r="X3141" s="174">
        <v>22.9</v>
      </c>
      <c r="Y3141" s="174">
        <v>30.58</v>
      </c>
    </row>
    <row r="3142" spans="1:25" ht="15" customHeight="1" x14ac:dyDescent="0.25">
      <c r="A3142" s="20" t="s">
        <v>7501</v>
      </c>
      <c r="B3142" s="14" t="s">
        <v>7502</v>
      </c>
      <c r="C3142" s="71" t="str">
        <f t="shared" ref="C3142:C3205" si="75">HYPERLINK(T3142,U3142)</f>
        <v>Product Info</v>
      </c>
      <c r="D3142" s="37" t="s">
        <v>2134</v>
      </c>
      <c r="E3142" s="143">
        <v>5</v>
      </c>
      <c r="F3142" s="12" t="s">
        <v>2170</v>
      </c>
      <c r="G3142" s="38">
        <v>29.76</v>
      </c>
      <c r="H3142" s="38">
        <f>I3142</f>
        <v>20.83</v>
      </c>
      <c r="I3142" s="38">
        <v>20.83</v>
      </c>
      <c r="J3142" s="39"/>
      <c r="K3142" s="143"/>
      <c r="L3142" s="22">
        <v>1.2</v>
      </c>
      <c r="M3142" s="22" t="s">
        <v>12488</v>
      </c>
      <c r="N3142" s="20" t="s">
        <v>8869</v>
      </c>
      <c r="O3142" s="16" t="s">
        <v>12608</v>
      </c>
      <c r="P3142" s="143">
        <v>752</v>
      </c>
      <c r="Q3142" s="122" t="s">
        <v>12421</v>
      </c>
      <c r="R3142" s="16" t="s">
        <v>8904</v>
      </c>
      <c r="S3142" s="10" t="s">
        <v>194</v>
      </c>
      <c r="T3142" s="28" t="s">
        <v>12114</v>
      </c>
      <c r="U3142" s="20" t="s">
        <v>5359</v>
      </c>
      <c r="V3142" s="16" t="s">
        <v>7501</v>
      </c>
      <c r="W3142" s="11" t="s">
        <v>14283</v>
      </c>
      <c r="X3142" s="174">
        <v>16.66</v>
      </c>
      <c r="Y3142" s="174">
        <v>20.83</v>
      </c>
    </row>
    <row r="3143" spans="1:25" ht="15" customHeight="1" x14ac:dyDescent="0.25">
      <c r="A3143" s="20" t="s">
        <v>7503</v>
      </c>
      <c r="B3143" s="14" t="s">
        <v>7504</v>
      </c>
      <c r="C3143" s="71" t="str">
        <f t="shared" si="75"/>
        <v>Product Info</v>
      </c>
      <c r="D3143" s="37" t="s">
        <v>7673</v>
      </c>
      <c r="E3143" s="143">
        <v>60</v>
      </c>
      <c r="F3143" s="12" t="s">
        <v>2170</v>
      </c>
      <c r="G3143" s="38">
        <v>17.809999999999999</v>
      </c>
      <c r="H3143" s="38">
        <v>15.14</v>
      </c>
      <c r="I3143" s="38">
        <v>12.47</v>
      </c>
      <c r="J3143" s="39"/>
      <c r="K3143" s="143"/>
      <c r="L3143" s="22">
        <v>20</v>
      </c>
      <c r="M3143" s="22" t="s">
        <v>12488</v>
      </c>
      <c r="N3143" s="20" t="s">
        <v>9496</v>
      </c>
      <c r="O3143" s="16" t="s">
        <v>12608</v>
      </c>
      <c r="P3143" s="143">
        <v>753</v>
      </c>
      <c r="Q3143" s="121" t="s">
        <v>14285</v>
      </c>
      <c r="R3143" s="16" t="s">
        <v>8904</v>
      </c>
      <c r="S3143" s="10" t="s">
        <v>1163</v>
      </c>
      <c r="T3143" s="28" t="s">
        <v>12115</v>
      </c>
      <c r="U3143" s="20" t="s">
        <v>5359</v>
      </c>
      <c r="V3143" s="16" t="s">
        <v>7503</v>
      </c>
      <c r="W3143" s="11" t="s">
        <v>14283</v>
      </c>
      <c r="X3143" s="174">
        <v>11.29</v>
      </c>
      <c r="Y3143" s="174">
        <v>15.14</v>
      </c>
    </row>
    <row r="3144" spans="1:25" ht="15" customHeight="1" x14ac:dyDescent="0.25">
      <c r="A3144" s="20" t="s">
        <v>7505</v>
      </c>
      <c r="B3144" s="14" t="s">
        <v>7506</v>
      </c>
      <c r="C3144" s="71" t="str">
        <f t="shared" si="75"/>
        <v>Product Info</v>
      </c>
      <c r="D3144" s="37" t="s">
        <v>7674</v>
      </c>
      <c r="E3144" s="143">
        <v>15</v>
      </c>
      <c r="F3144" s="12" t="s">
        <v>2170</v>
      </c>
      <c r="G3144" s="38">
        <v>8.41</v>
      </c>
      <c r="H3144" s="38">
        <v>7.15</v>
      </c>
      <c r="I3144" s="38">
        <v>5.89</v>
      </c>
      <c r="J3144" s="39"/>
      <c r="K3144" s="143"/>
      <c r="L3144" s="22">
        <v>0.17</v>
      </c>
      <c r="M3144" s="22" t="s">
        <v>12488</v>
      </c>
      <c r="N3144" s="20" t="s">
        <v>8870</v>
      </c>
      <c r="O3144" s="16" t="s">
        <v>12608</v>
      </c>
      <c r="P3144" s="143">
        <v>753</v>
      </c>
      <c r="Q3144" s="122" t="s">
        <v>9227</v>
      </c>
      <c r="R3144" s="16" t="s">
        <v>8904</v>
      </c>
      <c r="S3144" s="10" t="s">
        <v>1163</v>
      </c>
      <c r="T3144" s="28" t="s">
        <v>12116</v>
      </c>
      <c r="U3144" s="20" t="s">
        <v>5359</v>
      </c>
      <c r="V3144" s="16" t="s">
        <v>7505</v>
      </c>
      <c r="W3144" s="11" t="s">
        <v>14283</v>
      </c>
      <c r="X3144" s="174">
        <v>5.33</v>
      </c>
      <c r="Y3144" s="174">
        <v>7.15</v>
      </c>
    </row>
    <row r="3145" spans="1:25" ht="15" customHeight="1" x14ac:dyDescent="0.25">
      <c r="A3145" s="20" t="s">
        <v>7507</v>
      </c>
      <c r="B3145" s="14" t="s">
        <v>7508</v>
      </c>
      <c r="C3145" s="71" t="str">
        <f t="shared" si="75"/>
        <v>Product Info</v>
      </c>
      <c r="D3145" s="37" t="s">
        <v>4873</v>
      </c>
      <c r="E3145" s="143">
        <v>100</v>
      </c>
      <c r="F3145" s="12" t="s">
        <v>2170</v>
      </c>
      <c r="G3145" s="38">
        <v>3.57</v>
      </c>
      <c r="H3145" s="38">
        <f t="shared" ref="H3145:H3153" si="76">I3145</f>
        <v>2.5</v>
      </c>
      <c r="I3145" s="38">
        <v>2.5</v>
      </c>
      <c r="J3145" s="39"/>
      <c r="K3145" s="143"/>
      <c r="L3145" s="22">
        <v>0.13600000000000001</v>
      </c>
      <c r="M3145" s="22" t="s">
        <v>12488</v>
      </c>
      <c r="N3145" s="20" t="s">
        <v>9499</v>
      </c>
      <c r="O3145" s="16" t="s">
        <v>12608</v>
      </c>
      <c r="P3145" s="143">
        <v>752</v>
      </c>
      <c r="Q3145" s="122" t="s">
        <v>9227</v>
      </c>
      <c r="R3145" s="16" t="s">
        <v>8904</v>
      </c>
      <c r="S3145" s="10" t="s">
        <v>194</v>
      </c>
      <c r="T3145" s="28" t="s">
        <v>12117</v>
      </c>
      <c r="U3145" s="20" t="s">
        <v>5359</v>
      </c>
      <c r="V3145" s="16" t="s">
        <v>7507</v>
      </c>
      <c r="W3145" s="11" t="s">
        <v>14283</v>
      </c>
      <c r="X3145" s="174">
        <v>2</v>
      </c>
      <c r="Y3145" s="174">
        <v>2.5</v>
      </c>
    </row>
    <row r="3146" spans="1:25" ht="15" customHeight="1" x14ac:dyDescent="0.25">
      <c r="A3146" s="20" t="s">
        <v>7509</v>
      </c>
      <c r="B3146" s="14" t="s">
        <v>1257</v>
      </c>
      <c r="C3146" s="71" t="str">
        <f t="shared" si="75"/>
        <v>Product Info</v>
      </c>
      <c r="D3146" s="37" t="s">
        <v>4874</v>
      </c>
      <c r="E3146" s="143">
        <v>25</v>
      </c>
      <c r="F3146" s="12" t="s">
        <v>2170</v>
      </c>
      <c r="G3146" s="38">
        <v>4.76</v>
      </c>
      <c r="H3146" s="38">
        <f t="shared" si="76"/>
        <v>3.33</v>
      </c>
      <c r="I3146" s="38">
        <v>3.33</v>
      </c>
      <c r="J3146" s="39"/>
      <c r="K3146" s="143"/>
      <c r="L3146" s="22">
        <v>6</v>
      </c>
      <c r="M3146" s="22" t="s">
        <v>12488</v>
      </c>
      <c r="N3146" s="20" t="s">
        <v>9543</v>
      </c>
      <c r="O3146" s="16" t="s">
        <v>12608</v>
      </c>
      <c r="P3146" s="143">
        <v>752</v>
      </c>
      <c r="Q3146" s="121" t="s">
        <v>14285</v>
      </c>
      <c r="R3146" s="16" t="s">
        <v>8904</v>
      </c>
      <c r="S3146" s="10" t="s">
        <v>194</v>
      </c>
      <c r="T3146" s="28" t="s">
        <v>12118</v>
      </c>
      <c r="U3146" s="20" t="s">
        <v>5359</v>
      </c>
      <c r="V3146" s="16" t="s">
        <v>7509</v>
      </c>
      <c r="W3146" s="11" t="s">
        <v>14283</v>
      </c>
      <c r="X3146" s="174">
        <v>2.66</v>
      </c>
      <c r="Y3146" s="174">
        <v>3.33</v>
      </c>
    </row>
    <row r="3147" spans="1:25" ht="15" customHeight="1" x14ac:dyDescent="0.25">
      <c r="A3147" s="20" t="s">
        <v>1258</v>
      </c>
      <c r="B3147" s="14" t="s">
        <v>1259</v>
      </c>
      <c r="C3147" s="71" t="str">
        <f t="shared" si="75"/>
        <v>Product Info</v>
      </c>
      <c r="D3147" s="37" t="s">
        <v>3471</v>
      </c>
      <c r="E3147" s="143">
        <v>15</v>
      </c>
      <c r="F3147" s="12" t="s">
        <v>2170</v>
      </c>
      <c r="G3147" s="38">
        <v>4.76</v>
      </c>
      <c r="H3147" s="38">
        <f t="shared" si="76"/>
        <v>3.33</v>
      </c>
      <c r="I3147" s="38">
        <v>3.33</v>
      </c>
      <c r="J3147" s="39"/>
      <c r="K3147" s="143"/>
      <c r="L3147" s="22">
        <v>11</v>
      </c>
      <c r="M3147" s="22" t="s">
        <v>12488</v>
      </c>
      <c r="N3147" s="20" t="s">
        <v>9455</v>
      </c>
      <c r="O3147" s="16" t="s">
        <v>12608</v>
      </c>
      <c r="P3147" s="143">
        <v>752</v>
      </c>
      <c r="Q3147" s="122" t="s">
        <v>12421</v>
      </c>
      <c r="R3147" s="16" t="s">
        <v>8904</v>
      </c>
      <c r="S3147" s="10" t="s">
        <v>194</v>
      </c>
      <c r="T3147" s="28" t="s">
        <v>12119</v>
      </c>
      <c r="U3147" s="20" t="s">
        <v>5359</v>
      </c>
      <c r="V3147" s="16" t="s">
        <v>1258</v>
      </c>
      <c r="W3147" s="11" t="s">
        <v>14283</v>
      </c>
      <c r="X3147" s="174">
        <v>3.28</v>
      </c>
      <c r="Y3147" s="174">
        <v>3.33</v>
      </c>
    </row>
    <row r="3148" spans="1:25" ht="15" customHeight="1" x14ac:dyDescent="0.25">
      <c r="A3148" s="20" t="s">
        <v>1260</v>
      </c>
      <c r="B3148" s="14" t="s">
        <v>1261</v>
      </c>
      <c r="C3148" s="71" t="str">
        <f t="shared" si="75"/>
        <v>Product Info</v>
      </c>
      <c r="D3148" s="37" t="s">
        <v>7675</v>
      </c>
      <c r="E3148" s="143">
        <v>50</v>
      </c>
      <c r="F3148" s="12" t="s">
        <v>2170</v>
      </c>
      <c r="G3148" s="38">
        <v>3.57</v>
      </c>
      <c r="H3148" s="38">
        <f t="shared" si="76"/>
        <v>2.5</v>
      </c>
      <c r="I3148" s="38">
        <v>2.5</v>
      </c>
      <c r="J3148" s="39"/>
      <c r="K3148" s="143"/>
      <c r="L3148" s="22">
        <v>0</v>
      </c>
      <c r="M3148" s="22" t="s">
        <v>12488</v>
      </c>
      <c r="N3148" s="20" t="s">
        <v>8865</v>
      </c>
      <c r="O3148" s="16" t="s">
        <v>12608</v>
      </c>
      <c r="P3148" s="143">
        <v>752</v>
      </c>
      <c r="Q3148" s="122" t="s">
        <v>12421</v>
      </c>
      <c r="R3148" s="16" t="s">
        <v>8904</v>
      </c>
      <c r="S3148" s="10" t="s">
        <v>194</v>
      </c>
      <c r="T3148" s="28" t="s">
        <v>12120</v>
      </c>
      <c r="U3148" s="20" t="s">
        <v>5359</v>
      </c>
      <c r="V3148" s="16" t="s">
        <v>1260</v>
      </c>
      <c r="W3148" s="11" t="s">
        <v>14283</v>
      </c>
      <c r="X3148" s="174">
        <v>2</v>
      </c>
      <c r="Y3148" s="174">
        <v>2.5</v>
      </c>
    </row>
    <row r="3149" spans="1:25" ht="15" customHeight="1" x14ac:dyDescent="0.25">
      <c r="A3149" s="20" t="s">
        <v>1262</v>
      </c>
      <c r="B3149" s="14" t="s">
        <v>3208</v>
      </c>
      <c r="C3149" s="71" t="str">
        <f t="shared" si="75"/>
        <v>Product Info</v>
      </c>
      <c r="D3149" s="37" t="s">
        <v>7676</v>
      </c>
      <c r="E3149" s="143">
        <v>25</v>
      </c>
      <c r="F3149" s="12" t="s">
        <v>2170</v>
      </c>
      <c r="G3149" s="38">
        <v>7.59</v>
      </c>
      <c r="H3149" s="38">
        <f t="shared" si="76"/>
        <v>5.31</v>
      </c>
      <c r="I3149" s="38">
        <v>5.31</v>
      </c>
      <c r="J3149" s="39"/>
      <c r="K3149" s="143"/>
      <c r="L3149" s="22">
        <v>2.1999999999999999E-2</v>
      </c>
      <c r="M3149" s="22" t="s">
        <v>12488</v>
      </c>
      <c r="N3149" s="20" t="s">
        <v>9329</v>
      </c>
      <c r="O3149" s="16" t="s">
        <v>12608</v>
      </c>
      <c r="P3149" s="143">
        <v>752</v>
      </c>
      <c r="Q3149" s="122" t="s">
        <v>12421</v>
      </c>
      <c r="R3149" s="16" t="s">
        <v>8904</v>
      </c>
      <c r="S3149" s="10" t="s">
        <v>194</v>
      </c>
      <c r="T3149" s="28" t="s">
        <v>12121</v>
      </c>
      <c r="U3149" s="20" t="s">
        <v>5359</v>
      </c>
      <c r="V3149" s="16" t="s">
        <v>1262</v>
      </c>
      <c r="W3149" s="11" t="s">
        <v>14283</v>
      </c>
      <c r="X3149" s="174">
        <v>4.25</v>
      </c>
      <c r="Y3149" s="174">
        <v>5.31</v>
      </c>
    </row>
    <row r="3150" spans="1:25" ht="15" customHeight="1" x14ac:dyDescent="0.25">
      <c r="A3150" s="20" t="s">
        <v>3209</v>
      </c>
      <c r="B3150" s="14" t="s">
        <v>3210</v>
      </c>
      <c r="C3150" s="71" t="str">
        <f t="shared" si="75"/>
        <v>Product Info</v>
      </c>
      <c r="D3150" s="37" t="s">
        <v>7677</v>
      </c>
      <c r="E3150" s="143">
        <v>25</v>
      </c>
      <c r="F3150" s="12" t="s">
        <v>2170</v>
      </c>
      <c r="G3150" s="38">
        <v>9.9700000000000006</v>
      </c>
      <c r="H3150" s="38">
        <f t="shared" si="76"/>
        <v>6.98</v>
      </c>
      <c r="I3150" s="38">
        <v>6.98</v>
      </c>
      <c r="J3150" s="39"/>
      <c r="K3150" s="143"/>
      <c r="L3150" s="22">
        <v>0.32</v>
      </c>
      <c r="M3150" s="22" t="s">
        <v>12488</v>
      </c>
      <c r="N3150" s="20" t="s">
        <v>9544</v>
      </c>
      <c r="O3150" s="16" t="s">
        <v>13914</v>
      </c>
      <c r="P3150" s="143">
        <v>753</v>
      </c>
      <c r="Q3150" s="122" t="s">
        <v>14461</v>
      </c>
      <c r="R3150" s="16" t="s">
        <v>8904</v>
      </c>
      <c r="S3150" s="10" t="s">
        <v>194</v>
      </c>
      <c r="T3150" s="28" t="s">
        <v>12122</v>
      </c>
      <c r="U3150" s="20" t="s">
        <v>5359</v>
      </c>
      <c r="V3150" s="16" t="s">
        <v>3209</v>
      </c>
      <c r="W3150" s="11" t="s">
        <v>14283</v>
      </c>
      <c r="X3150" s="174">
        <v>5.58</v>
      </c>
      <c r="Y3150" s="174">
        <v>6.98</v>
      </c>
    </row>
    <row r="3151" spans="1:25" ht="15" customHeight="1" x14ac:dyDescent="0.25">
      <c r="A3151" s="20" t="s">
        <v>3211</v>
      </c>
      <c r="B3151" s="14" t="s">
        <v>3212</v>
      </c>
      <c r="C3151" s="71" t="str">
        <f t="shared" si="75"/>
        <v>Product Info</v>
      </c>
      <c r="D3151" s="37" t="s">
        <v>7678</v>
      </c>
      <c r="E3151" s="143">
        <v>25</v>
      </c>
      <c r="F3151" s="12" t="s">
        <v>2170</v>
      </c>
      <c r="G3151" s="38">
        <v>6.57</v>
      </c>
      <c r="H3151" s="38">
        <f t="shared" si="76"/>
        <v>4.5999999999999996</v>
      </c>
      <c r="I3151" s="38">
        <v>4.5999999999999996</v>
      </c>
      <c r="J3151" s="39"/>
      <c r="K3151" s="143"/>
      <c r="L3151" s="22">
        <v>2.8</v>
      </c>
      <c r="M3151" s="22" t="s">
        <v>12488</v>
      </c>
      <c r="N3151" s="20" t="s">
        <v>9543</v>
      </c>
      <c r="O3151" s="16" t="s">
        <v>12608</v>
      </c>
      <c r="P3151" s="143">
        <v>753</v>
      </c>
      <c r="Q3151" s="122" t="s">
        <v>12421</v>
      </c>
      <c r="R3151" s="16" t="s">
        <v>8904</v>
      </c>
      <c r="S3151" s="10" t="s">
        <v>194</v>
      </c>
      <c r="T3151" s="28" t="s">
        <v>12123</v>
      </c>
      <c r="U3151" s="20" t="s">
        <v>5359</v>
      </c>
      <c r="V3151" s="16" t="s">
        <v>3211</v>
      </c>
      <c r="W3151" s="11" t="s">
        <v>14283</v>
      </c>
      <c r="X3151" s="174">
        <v>3.68</v>
      </c>
      <c r="Y3151" s="174">
        <v>4.5999999999999996</v>
      </c>
    </row>
    <row r="3152" spans="1:25" ht="15" customHeight="1" x14ac:dyDescent="0.25">
      <c r="A3152" s="20" t="s">
        <v>3213</v>
      </c>
      <c r="B3152" s="14" t="s">
        <v>871</v>
      </c>
      <c r="C3152" s="71" t="str">
        <f t="shared" si="75"/>
        <v>Product Info</v>
      </c>
      <c r="D3152" s="37" t="s">
        <v>7847</v>
      </c>
      <c r="E3152" s="143">
        <v>1</v>
      </c>
      <c r="F3152" s="12" t="s">
        <v>4992</v>
      </c>
      <c r="G3152" s="38">
        <v>21.2</v>
      </c>
      <c r="H3152" s="38">
        <f t="shared" si="76"/>
        <v>14.84</v>
      </c>
      <c r="I3152" s="38">
        <v>14.84</v>
      </c>
      <c r="J3152" s="39"/>
      <c r="K3152" s="143"/>
      <c r="L3152" s="22">
        <v>1.208</v>
      </c>
      <c r="M3152" s="22" t="s">
        <v>12488</v>
      </c>
      <c r="N3152" s="20" t="s">
        <v>8871</v>
      </c>
      <c r="O3152" s="16" t="s">
        <v>12608</v>
      </c>
      <c r="P3152" s="143">
        <v>755</v>
      </c>
      <c r="Q3152" s="122" t="s">
        <v>9227</v>
      </c>
      <c r="R3152" s="16" t="s">
        <v>8904</v>
      </c>
      <c r="S3152" s="10" t="s">
        <v>194</v>
      </c>
      <c r="T3152" s="28" t="s">
        <v>12124</v>
      </c>
      <c r="U3152" s="20" t="s">
        <v>5359</v>
      </c>
      <c r="V3152" s="16" t="s">
        <v>3213</v>
      </c>
      <c r="W3152" s="11" t="s">
        <v>14433</v>
      </c>
      <c r="X3152" s="174">
        <v>11.63</v>
      </c>
      <c r="Y3152" s="174">
        <v>14.84</v>
      </c>
    </row>
    <row r="3153" spans="1:25" ht="15" customHeight="1" x14ac:dyDescent="0.25">
      <c r="A3153" s="20" t="s">
        <v>3214</v>
      </c>
      <c r="B3153" s="14" t="s">
        <v>3215</v>
      </c>
      <c r="C3153" s="71" t="str">
        <f t="shared" si="75"/>
        <v>Product Info</v>
      </c>
      <c r="D3153" s="37" t="s">
        <v>3472</v>
      </c>
      <c r="E3153" s="143">
        <v>1</v>
      </c>
      <c r="F3153" s="12" t="s">
        <v>2170</v>
      </c>
      <c r="G3153" s="38">
        <v>71.459999999999994</v>
      </c>
      <c r="H3153" s="38">
        <f t="shared" si="76"/>
        <v>50.02</v>
      </c>
      <c r="I3153" s="38">
        <v>50.02</v>
      </c>
      <c r="J3153" s="39"/>
      <c r="K3153" s="143"/>
      <c r="L3153" s="22">
        <v>10</v>
      </c>
      <c r="M3153" s="22" t="s">
        <v>12488</v>
      </c>
      <c r="N3153" s="20" t="s">
        <v>9424</v>
      </c>
      <c r="O3153" s="16" t="s">
        <v>12608</v>
      </c>
      <c r="P3153" s="143">
        <v>755</v>
      </c>
      <c r="Q3153" s="121" t="s">
        <v>14285</v>
      </c>
      <c r="R3153" s="16" t="s">
        <v>8904</v>
      </c>
      <c r="S3153" s="10" t="s">
        <v>194</v>
      </c>
      <c r="T3153" s="28" t="s">
        <v>12125</v>
      </c>
      <c r="U3153" s="20" t="s">
        <v>5359</v>
      </c>
      <c r="V3153" s="16" t="s">
        <v>3214</v>
      </c>
      <c r="W3153" s="11" t="s">
        <v>14433</v>
      </c>
      <c r="X3153" s="174">
        <v>39.22</v>
      </c>
      <c r="Y3153" s="174">
        <v>50.02</v>
      </c>
    </row>
    <row r="3154" spans="1:25" ht="15" customHeight="1" x14ac:dyDescent="0.25">
      <c r="A3154" s="20" t="s">
        <v>12619</v>
      </c>
      <c r="B3154" s="29" t="s">
        <v>13179</v>
      </c>
      <c r="C3154" s="71" t="str">
        <f t="shared" si="75"/>
        <v>Product Info</v>
      </c>
      <c r="D3154" s="37" t="s">
        <v>12714</v>
      </c>
      <c r="E3154" s="143">
        <v>1</v>
      </c>
      <c r="F3154" s="150" t="s">
        <v>4992</v>
      </c>
      <c r="G3154" s="38">
        <v>9.94</v>
      </c>
      <c r="H3154" s="38">
        <v>8.4499999999999993</v>
      </c>
      <c r="I3154" s="38">
        <v>6.96</v>
      </c>
      <c r="J3154" s="39"/>
      <c r="K3154" s="143"/>
      <c r="L3154" s="22">
        <v>0.3</v>
      </c>
      <c r="M3154" s="22" t="s">
        <v>12488</v>
      </c>
      <c r="N3154" s="20" t="s">
        <v>12703</v>
      </c>
      <c r="O3154" s="16" t="s">
        <v>13912</v>
      </c>
      <c r="P3154" s="143" t="s">
        <v>12554</v>
      </c>
      <c r="Q3154" s="122" t="s">
        <v>9227</v>
      </c>
      <c r="R3154" s="16" t="s">
        <v>8904</v>
      </c>
      <c r="S3154" s="10" t="s">
        <v>1163</v>
      </c>
      <c r="T3154" s="28" t="s">
        <v>12708</v>
      </c>
      <c r="U3154" s="20" t="s">
        <v>5359</v>
      </c>
      <c r="V3154" s="11" t="s">
        <v>12619</v>
      </c>
      <c r="W3154" s="11" t="s">
        <v>13938</v>
      </c>
      <c r="X3154" s="174">
        <v>5.88</v>
      </c>
      <c r="Y3154" s="174">
        <v>8.4499999999999993</v>
      </c>
    </row>
    <row r="3155" spans="1:25" ht="15" customHeight="1" x14ac:dyDescent="0.25">
      <c r="A3155" s="20" t="s">
        <v>12995</v>
      </c>
      <c r="B3155" s="29" t="s">
        <v>13176</v>
      </c>
      <c r="C3155" s="71" t="str">
        <f t="shared" si="75"/>
        <v>Product Info</v>
      </c>
      <c r="D3155" s="37" t="s">
        <v>13210</v>
      </c>
      <c r="E3155" s="143">
        <v>1</v>
      </c>
      <c r="F3155" s="150" t="s">
        <v>4992</v>
      </c>
      <c r="G3155" s="38">
        <v>9.73</v>
      </c>
      <c r="H3155" s="38">
        <v>8.27</v>
      </c>
      <c r="I3155" s="38">
        <v>6.81</v>
      </c>
      <c r="J3155" s="39"/>
      <c r="K3155" s="143"/>
      <c r="L3155" s="22">
        <v>0.3</v>
      </c>
      <c r="M3155" s="22" t="s">
        <v>12488</v>
      </c>
      <c r="N3155" s="20" t="s">
        <v>12703</v>
      </c>
      <c r="O3155" s="16" t="s">
        <v>13912</v>
      </c>
      <c r="P3155" s="143" t="s">
        <v>12554</v>
      </c>
      <c r="Q3155" s="121" t="s">
        <v>14285</v>
      </c>
      <c r="R3155" s="16" t="s">
        <v>8904</v>
      </c>
      <c r="S3155" s="10" t="s">
        <v>1163</v>
      </c>
      <c r="T3155" s="28" t="s">
        <v>13195</v>
      </c>
      <c r="U3155" s="20" t="s">
        <v>5359</v>
      </c>
      <c r="V3155" s="11" t="s">
        <v>12995</v>
      </c>
      <c r="W3155" s="11" t="s">
        <v>13938</v>
      </c>
      <c r="X3155" s="174">
        <v>6.27</v>
      </c>
      <c r="Y3155" s="174">
        <v>8.27</v>
      </c>
    </row>
    <row r="3156" spans="1:25" s="64" customFormat="1" ht="15" customHeight="1" x14ac:dyDescent="0.25">
      <c r="A3156" s="20" t="s">
        <v>12618</v>
      </c>
      <c r="B3156" s="29" t="s">
        <v>13173</v>
      </c>
      <c r="C3156" s="71" t="str">
        <f t="shared" si="75"/>
        <v>Product Info</v>
      </c>
      <c r="D3156" s="37" t="s">
        <v>12713</v>
      </c>
      <c r="E3156" s="143">
        <v>1</v>
      </c>
      <c r="F3156" s="150" t="s">
        <v>4992</v>
      </c>
      <c r="G3156" s="38">
        <v>9.94</v>
      </c>
      <c r="H3156" s="38">
        <v>8.4499999999999993</v>
      </c>
      <c r="I3156" s="38">
        <v>6.96</v>
      </c>
      <c r="J3156" s="39"/>
      <c r="K3156" s="143"/>
      <c r="L3156" s="22">
        <v>0.3</v>
      </c>
      <c r="M3156" s="22" t="s">
        <v>12488</v>
      </c>
      <c r="N3156" s="20" t="s">
        <v>12703</v>
      </c>
      <c r="O3156" s="16" t="s">
        <v>13912</v>
      </c>
      <c r="P3156" s="143" t="s">
        <v>12554</v>
      </c>
      <c r="Q3156" s="121" t="s">
        <v>14285</v>
      </c>
      <c r="R3156" s="16" t="s">
        <v>8904</v>
      </c>
      <c r="S3156" s="10" t="s">
        <v>1163</v>
      </c>
      <c r="T3156" s="28" t="s">
        <v>12707</v>
      </c>
      <c r="U3156" s="20" t="s">
        <v>5359</v>
      </c>
      <c r="V3156" s="11" t="s">
        <v>12618</v>
      </c>
      <c r="W3156" s="11" t="s">
        <v>13938</v>
      </c>
      <c r="X3156" s="174">
        <v>6.38</v>
      </c>
      <c r="Y3156" s="174">
        <v>8.4499999999999993</v>
      </c>
    </row>
    <row r="3157" spans="1:25" ht="15" customHeight="1" x14ac:dyDescent="0.25">
      <c r="A3157" s="20" t="s">
        <v>12994</v>
      </c>
      <c r="B3157" s="29" t="s">
        <v>13170</v>
      </c>
      <c r="C3157" s="71" t="str">
        <f t="shared" si="75"/>
        <v>Product Info</v>
      </c>
      <c r="D3157" s="37" t="s">
        <v>13209</v>
      </c>
      <c r="E3157" s="143">
        <v>1</v>
      </c>
      <c r="F3157" s="150" t="s">
        <v>4992</v>
      </c>
      <c r="G3157" s="38">
        <v>9.73</v>
      </c>
      <c r="H3157" s="38">
        <v>8.27</v>
      </c>
      <c r="I3157" s="38">
        <v>6.81</v>
      </c>
      <c r="J3157" s="39"/>
      <c r="K3157" s="143"/>
      <c r="L3157" s="22">
        <v>0.3</v>
      </c>
      <c r="M3157" s="22" t="s">
        <v>12488</v>
      </c>
      <c r="N3157" s="20" t="s">
        <v>12703</v>
      </c>
      <c r="O3157" s="16" t="s">
        <v>13912</v>
      </c>
      <c r="P3157" s="143" t="s">
        <v>12554</v>
      </c>
      <c r="Q3157" s="122" t="s">
        <v>9227</v>
      </c>
      <c r="R3157" s="16" t="s">
        <v>8904</v>
      </c>
      <c r="S3157" s="10" t="s">
        <v>1163</v>
      </c>
      <c r="T3157" s="28" t="s">
        <v>13194</v>
      </c>
      <c r="U3157" s="20" t="s">
        <v>5359</v>
      </c>
      <c r="V3157" s="11" t="s">
        <v>12994</v>
      </c>
      <c r="W3157" s="11" t="s">
        <v>13938</v>
      </c>
      <c r="X3157" s="174">
        <v>6.27</v>
      </c>
      <c r="Y3157" s="174">
        <v>8.27</v>
      </c>
    </row>
    <row r="3158" spans="1:25" ht="15" customHeight="1" x14ac:dyDescent="0.25">
      <c r="A3158" s="20" t="s">
        <v>12620</v>
      </c>
      <c r="B3158" s="29" t="s">
        <v>13183</v>
      </c>
      <c r="C3158" s="71" t="str">
        <f t="shared" si="75"/>
        <v>Product Info</v>
      </c>
      <c r="D3158" s="37" t="s">
        <v>12715</v>
      </c>
      <c r="E3158" s="143">
        <v>1</v>
      </c>
      <c r="F3158" s="150" t="s">
        <v>4992</v>
      </c>
      <c r="G3158" s="38">
        <v>14.53</v>
      </c>
      <c r="H3158" s="38">
        <v>12.35</v>
      </c>
      <c r="I3158" s="38">
        <v>10.17</v>
      </c>
      <c r="J3158" s="39"/>
      <c r="K3158" s="143"/>
      <c r="L3158" s="22">
        <v>0.3</v>
      </c>
      <c r="M3158" s="22" t="s">
        <v>12488</v>
      </c>
      <c r="N3158" s="20" t="s">
        <v>12704</v>
      </c>
      <c r="O3158" s="16" t="s">
        <v>13912</v>
      </c>
      <c r="P3158" s="143" t="s">
        <v>12554</v>
      </c>
      <c r="Q3158" s="122" t="s">
        <v>9227</v>
      </c>
      <c r="R3158" s="16" t="s">
        <v>8904</v>
      </c>
      <c r="S3158" s="10" t="s">
        <v>1163</v>
      </c>
      <c r="T3158" s="28" t="s">
        <v>12709</v>
      </c>
      <c r="U3158" s="20" t="s">
        <v>5359</v>
      </c>
      <c r="V3158" s="11" t="s">
        <v>12620</v>
      </c>
      <c r="W3158" s="11" t="s">
        <v>13938</v>
      </c>
      <c r="X3158" s="174">
        <v>9.24</v>
      </c>
      <c r="Y3158" s="174">
        <v>12.35</v>
      </c>
    </row>
    <row r="3159" spans="1:25" ht="15" customHeight="1" x14ac:dyDescent="0.25">
      <c r="A3159" s="20" t="s">
        <v>12996</v>
      </c>
      <c r="B3159" s="29" t="s">
        <v>13180</v>
      </c>
      <c r="C3159" s="71" t="str">
        <f t="shared" si="75"/>
        <v>Product Info</v>
      </c>
      <c r="D3159" s="37" t="s">
        <v>13211</v>
      </c>
      <c r="E3159" s="143">
        <v>1</v>
      </c>
      <c r="F3159" s="150" t="s">
        <v>4992</v>
      </c>
      <c r="G3159" s="38">
        <v>14.21</v>
      </c>
      <c r="H3159" s="38">
        <v>12.08</v>
      </c>
      <c r="I3159" s="38">
        <v>9.9499999999999993</v>
      </c>
      <c r="J3159" s="39"/>
      <c r="K3159" s="143"/>
      <c r="L3159" s="22">
        <v>0.3</v>
      </c>
      <c r="M3159" s="22" t="s">
        <v>12488</v>
      </c>
      <c r="N3159" s="20" t="s">
        <v>12704</v>
      </c>
      <c r="O3159" s="16" t="s">
        <v>13912</v>
      </c>
      <c r="P3159" s="143" t="s">
        <v>12554</v>
      </c>
      <c r="Q3159" s="121" t="s">
        <v>14285</v>
      </c>
      <c r="R3159" s="16" t="s">
        <v>8904</v>
      </c>
      <c r="S3159" s="10" t="s">
        <v>1163</v>
      </c>
      <c r="T3159" s="28" t="s">
        <v>13196</v>
      </c>
      <c r="U3159" s="20" t="s">
        <v>5359</v>
      </c>
      <c r="V3159" s="11" t="s">
        <v>12996</v>
      </c>
      <c r="W3159" s="11" t="s">
        <v>13938</v>
      </c>
      <c r="X3159" s="174">
        <v>9.15</v>
      </c>
      <c r="Y3159" s="174">
        <v>12.08</v>
      </c>
    </row>
    <row r="3160" spans="1:25" ht="15" customHeight="1" x14ac:dyDescent="0.25">
      <c r="A3160" s="20" t="s">
        <v>12617</v>
      </c>
      <c r="B3160" s="29" t="s">
        <v>13167</v>
      </c>
      <c r="C3160" s="71" t="str">
        <f t="shared" si="75"/>
        <v>Product Info</v>
      </c>
      <c r="D3160" s="37" t="s">
        <v>12712</v>
      </c>
      <c r="E3160" s="143">
        <v>1</v>
      </c>
      <c r="F3160" s="150" t="s">
        <v>4992</v>
      </c>
      <c r="G3160" s="38">
        <v>9.94</v>
      </c>
      <c r="H3160" s="38">
        <v>8.4499999999999993</v>
      </c>
      <c r="I3160" s="38">
        <v>6.96</v>
      </c>
      <c r="J3160" s="39"/>
      <c r="K3160" s="143"/>
      <c r="L3160" s="22">
        <v>0.3</v>
      </c>
      <c r="M3160" s="22" t="s">
        <v>12488</v>
      </c>
      <c r="N3160" s="20" t="s">
        <v>12703</v>
      </c>
      <c r="O3160" s="16" t="s">
        <v>13912</v>
      </c>
      <c r="P3160" s="143" t="s">
        <v>12554</v>
      </c>
      <c r="Q3160" s="122" t="s">
        <v>9227</v>
      </c>
      <c r="R3160" s="16" t="s">
        <v>8904</v>
      </c>
      <c r="S3160" s="10" t="s">
        <v>1163</v>
      </c>
      <c r="T3160" s="28" t="s">
        <v>12706</v>
      </c>
      <c r="U3160" s="20" t="s">
        <v>5359</v>
      </c>
      <c r="V3160" s="11" t="s">
        <v>12617</v>
      </c>
      <c r="W3160" s="11" t="s">
        <v>13938</v>
      </c>
      <c r="X3160" s="174">
        <v>6.38</v>
      </c>
      <c r="Y3160" s="174">
        <v>8.4499999999999993</v>
      </c>
    </row>
    <row r="3161" spans="1:25" ht="15" customHeight="1" x14ac:dyDescent="0.25">
      <c r="A3161" s="20" t="s">
        <v>12993</v>
      </c>
      <c r="B3161" s="29" t="s">
        <v>13164</v>
      </c>
      <c r="C3161" s="71" t="str">
        <f t="shared" si="75"/>
        <v>Product Info</v>
      </c>
      <c r="D3161" s="37" t="s">
        <v>13208</v>
      </c>
      <c r="E3161" s="143">
        <v>1</v>
      </c>
      <c r="F3161" s="150" t="s">
        <v>4992</v>
      </c>
      <c r="G3161" s="38">
        <v>9.73</v>
      </c>
      <c r="H3161" s="38">
        <v>8.27</v>
      </c>
      <c r="I3161" s="38">
        <v>6.81</v>
      </c>
      <c r="J3161" s="39"/>
      <c r="K3161" s="143"/>
      <c r="L3161" s="22">
        <v>0.3</v>
      </c>
      <c r="M3161" s="22" t="s">
        <v>12488</v>
      </c>
      <c r="N3161" s="20" t="s">
        <v>12703</v>
      </c>
      <c r="O3161" s="16" t="s">
        <v>13912</v>
      </c>
      <c r="P3161" s="143" t="s">
        <v>12554</v>
      </c>
      <c r="Q3161" s="121" t="s">
        <v>14285</v>
      </c>
      <c r="R3161" s="16" t="s">
        <v>8904</v>
      </c>
      <c r="S3161" s="10" t="s">
        <v>1163</v>
      </c>
      <c r="T3161" s="28" t="s">
        <v>13193</v>
      </c>
      <c r="U3161" s="20" t="s">
        <v>5359</v>
      </c>
      <c r="V3161" s="11" t="s">
        <v>12993</v>
      </c>
      <c r="W3161" s="11" t="s">
        <v>13938</v>
      </c>
      <c r="X3161" s="174">
        <v>6.27</v>
      </c>
      <c r="Y3161" s="174">
        <v>8.27</v>
      </c>
    </row>
    <row r="3162" spans="1:25" ht="15" customHeight="1" x14ac:dyDescent="0.25">
      <c r="A3162" s="20" t="s">
        <v>12621</v>
      </c>
      <c r="B3162" s="29" t="s">
        <v>13188</v>
      </c>
      <c r="C3162" s="71" t="str">
        <f t="shared" si="75"/>
        <v>Product Info</v>
      </c>
      <c r="D3162" s="37" t="s">
        <v>12716</v>
      </c>
      <c r="E3162" s="143">
        <v>1</v>
      </c>
      <c r="F3162" s="150" t="s">
        <v>4992</v>
      </c>
      <c r="G3162" s="38">
        <v>14.53</v>
      </c>
      <c r="H3162" s="38">
        <v>12.35</v>
      </c>
      <c r="I3162" s="38">
        <v>10.17</v>
      </c>
      <c r="J3162" s="39"/>
      <c r="K3162" s="143"/>
      <c r="L3162" s="22">
        <v>0.3</v>
      </c>
      <c r="M3162" s="22" t="s">
        <v>12488</v>
      </c>
      <c r="N3162" s="20" t="s">
        <v>12704</v>
      </c>
      <c r="O3162" s="16" t="s">
        <v>13912</v>
      </c>
      <c r="P3162" s="143" t="s">
        <v>12554</v>
      </c>
      <c r="Q3162" s="121" t="s">
        <v>14285</v>
      </c>
      <c r="R3162" s="16" t="s">
        <v>8904</v>
      </c>
      <c r="S3162" s="10" t="s">
        <v>1163</v>
      </c>
      <c r="T3162" s="28" t="s">
        <v>12710</v>
      </c>
      <c r="U3162" s="20" t="s">
        <v>5359</v>
      </c>
      <c r="V3162" s="11" t="s">
        <v>12621</v>
      </c>
      <c r="W3162" s="11" t="s">
        <v>13938</v>
      </c>
      <c r="X3162" s="174">
        <v>9.24</v>
      </c>
      <c r="Y3162" s="174">
        <v>12.35</v>
      </c>
    </row>
    <row r="3163" spans="1:25" ht="15" customHeight="1" x14ac:dyDescent="0.25">
      <c r="A3163" s="20" t="s">
        <v>12622</v>
      </c>
      <c r="B3163" s="29" t="s">
        <v>13192</v>
      </c>
      <c r="C3163" s="71" t="str">
        <f t="shared" si="75"/>
        <v>Product Info</v>
      </c>
      <c r="D3163" s="37" t="s">
        <v>12717</v>
      </c>
      <c r="E3163" s="143">
        <v>1</v>
      </c>
      <c r="F3163" s="150" t="s">
        <v>4992</v>
      </c>
      <c r="G3163" s="38">
        <v>15.08</v>
      </c>
      <c r="H3163" s="38">
        <v>12.82</v>
      </c>
      <c r="I3163" s="38">
        <v>10.56</v>
      </c>
      <c r="J3163" s="39"/>
      <c r="K3163" s="143"/>
      <c r="L3163" s="22">
        <v>0.3</v>
      </c>
      <c r="M3163" s="22" t="s">
        <v>12488</v>
      </c>
      <c r="N3163" s="20" t="s">
        <v>12705</v>
      </c>
      <c r="O3163" s="16" t="s">
        <v>13912</v>
      </c>
      <c r="P3163" s="143" t="s">
        <v>12554</v>
      </c>
      <c r="Q3163" s="122" t="s">
        <v>9227</v>
      </c>
      <c r="R3163" s="16" t="s">
        <v>8904</v>
      </c>
      <c r="S3163" s="10" t="s">
        <v>1163</v>
      </c>
      <c r="T3163" s="28" t="s">
        <v>12711</v>
      </c>
      <c r="U3163" s="20" t="s">
        <v>5359</v>
      </c>
      <c r="V3163" s="11" t="s">
        <v>12622</v>
      </c>
      <c r="W3163" s="11" t="s">
        <v>13938</v>
      </c>
      <c r="X3163" s="174">
        <v>9.24</v>
      </c>
      <c r="Y3163" s="174">
        <v>12.82</v>
      </c>
    </row>
    <row r="3164" spans="1:25" ht="15" customHeight="1" x14ac:dyDescent="0.25">
      <c r="A3164" s="20" t="s">
        <v>12997</v>
      </c>
      <c r="B3164" s="29" t="s">
        <v>13189</v>
      </c>
      <c r="C3164" s="71" t="str">
        <f t="shared" si="75"/>
        <v>Product Info</v>
      </c>
      <c r="D3164" s="37" t="s">
        <v>13212</v>
      </c>
      <c r="E3164" s="143">
        <v>1</v>
      </c>
      <c r="F3164" s="150" t="s">
        <v>4992</v>
      </c>
      <c r="G3164" s="38">
        <v>14.78</v>
      </c>
      <c r="H3164" s="38">
        <v>12.56</v>
      </c>
      <c r="I3164" s="38">
        <v>10.34</v>
      </c>
      <c r="J3164" s="39"/>
      <c r="K3164" s="143"/>
      <c r="L3164" s="22">
        <v>0.3</v>
      </c>
      <c r="M3164" s="22" t="s">
        <v>12488</v>
      </c>
      <c r="N3164" s="20" t="s">
        <v>12705</v>
      </c>
      <c r="O3164" s="16" t="s">
        <v>13912</v>
      </c>
      <c r="P3164" s="143" t="s">
        <v>12554</v>
      </c>
      <c r="Q3164" s="121" t="s">
        <v>14285</v>
      </c>
      <c r="R3164" s="16" t="s">
        <v>8904</v>
      </c>
      <c r="S3164" s="10" t="s">
        <v>1163</v>
      </c>
      <c r="T3164" s="28" t="s">
        <v>13197</v>
      </c>
      <c r="U3164" s="20" t="s">
        <v>5359</v>
      </c>
      <c r="V3164" s="11" t="s">
        <v>12997</v>
      </c>
      <c r="W3164" s="11" t="s">
        <v>13938</v>
      </c>
      <c r="X3164" s="174">
        <v>9.51</v>
      </c>
      <c r="Y3164" s="174">
        <v>12.56</v>
      </c>
    </row>
    <row r="3165" spans="1:25" ht="15" customHeight="1" x14ac:dyDescent="0.25">
      <c r="A3165" s="20" t="s">
        <v>3890</v>
      </c>
      <c r="B3165" s="14" t="s">
        <v>3891</v>
      </c>
      <c r="C3165" s="71" t="str">
        <f t="shared" si="75"/>
        <v>Product Info</v>
      </c>
      <c r="D3165" s="37" t="s">
        <v>3892</v>
      </c>
      <c r="E3165" s="143">
        <v>1</v>
      </c>
      <c r="F3165" s="12" t="s">
        <v>2170</v>
      </c>
      <c r="G3165" s="38">
        <v>67.86</v>
      </c>
      <c r="H3165" s="38">
        <f>I3165</f>
        <v>47.5</v>
      </c>
      <c r="I3165" s="38">
        <v>47.5</v>
      </c>
      <c r="J3165" s="39"/>
      <c r="K3165" s="143"/>
      <c r="L3165" s="22">
        <v>0</v>
      </c>
      <c r="M3165" s="22" t="s">
        <v>12487</v>
      </c>
      <c r="N3165" s="20" t="s">
        <v>14489</v>
      </c>
      <c r="O3165" s="16">
        <v>0</v>
      </c>
      <c r="P3165" s="143" t="s">
        <v>12555</v>
      </c>
      <c r="Q3165" s="121" t="s">
        <v>14285</v>
      </c>
      <c r="R3165" s="16" t="s">
        <v>8904</v>
      </c>
      <c r="S3165" s="10" t="s">
        <v>194</v>
      </c>
      <c r="T3165" s="28" t="s">
        <v>12126</v>
      </c>
      <c r="U3165" s="20" t="s">
        <v>5359</v>
      </c>
      <c r="V3165" s="16" t="s">
        <v>3890</v>
      </c>
      <c r="W3165" s="11" t="s">
        <v>14433</v>
      </c>
      <c r="X3165" s="174">
        <v>37.07</v>
      </c>
      <c r="Y3165" s="174">
        <v>47.5</v>
      </c>
    </row>
    <row r="3166" spans="1:25" ht="15" customHeight="1" x14ac:dyDescent="0.25">
      <c r="A3166" s="20" t="s">
        <v>3893</v>
      </c>
      <c r="B3166" s="14" t="s">
        <v>3894</v>
      </c>
      <c r="C3166" s="71" t="str">
        <f t="shared" si="75"/>
        <v>Product Info</v>
      </c>
      <c r="D3166" s="37" t="s">
        <v>3895</v>
      </c>
      <c r="E3166" s="143">
        <v>5</v>
      </c>
      <c r="F3166" s="12" t="s">
        <v>2170</v>
      </c>
      <c r="G3166" s="38">
        <v>67.86</v>
      </c>
      <c r="H3166" s="38">
        <f>I3166</f>
        <v>47.5</v>
      </c>
      <c r="I3166" s="38">
        <v>47.5</v>
      </c>
      <c r="J3166" s="39"/>
      <c r="K3166" s="143"/>
      <c r="L3166" s="22">
        <v>7.9000000000000001E-2</v>
      </c>
      <c r="M3166" s="22" t="s">
        <v>12488</v>
      </c>
      <c r="N3166" s="20" t="s">
        <v>8872</v>
      </c>
      <c r="O3166" s="16" t="s">
        <v>12608</v>
      </c>
      <c r="P3166" s="143" t="s">
        <v>12555</v>
      </c>
      <c r="Q3166" s="121" t="s">
        <v>14285</v>
      </c>
      <c r="R3166" s="16" t="s">
        <v>8904</v>
      </c>
      <c r="S3166" s="10" t="s">
        <v>194</v>
      </c>
      <c r="T3166" s="28" t="s">
        <v>12127</v>
      </c>
      <c r="U3166" s="20" t="s">
        <v>5359</v>
      </c>
      <c r="V3166" s="16" t="s">
        <v>3893</v>
      </c>
      <c r="W3166" s="11" t="s">
        <v>14433</v>
      </c>
      <c r="X3166" s="174">
        <v>37.07</v>
      </c>
      <c r="Y3166" s="174">
        <v>47.5</v>
      </c>
    </row>
    <row r="3167" spans="1:25" ht="15" customHeight="1" x14ac:dyDescent="0.25">
      <c r="A3167" s="20" t="s">
        <v>3896</v>
      </c>
      <c r="B3167" s="14" t="s">
        <v>3897</v>
      </c>
      <c r="C3167" s="71" t="str">
        <f t="shared" si="75"/>
        <v>Product Info</v>
      </c>
      <c r="D3167" s="37" t="s">
        <v>3898</v>
      </c>
      <c r="E3167" s="143">
        <v>250</v>
      </c>
      <c r="F3167" s="12" t="s">
        <v>2170</v>
      </c>
      <c r="G3167" s="38">
        <v>2.16</v>
      </c>
      <c r="H3167" s="38">
        <f>I3167</f>
        <v>1.51</v>
      </c>
      <c r="I3167" s="38">
        <v>1.51</v>
      </c>
      <c r="J3167" s="39"/>
      <c r="K3167" s="143"/>
      <c r="L3167" s="22">
        <v>1</v>
      </c>
      <c r="M3167" s="22">
        <v>0</v>
      </c>
      <c r="N3167" s="20" t="s">
        <v>14489</v>
      </c>
      <c r="O3167" s="16">
        <v>0</v>
      </c>
      <c r="P3167" s="143" t="s">
        <v>12555</v>
      </c>
      <c r="Q3167" s="121" t="s">
        <v>14285</v>
      </c>
      <c r="R3167" s="16" t="s">
        <v>8904</v>
      </c>
      <c r="S3167" s="10" t="s">
        <v>194</v>
      </c>
      <c r="T3167" s="28" t="s">
        <v>12128</v>
      </c>
      <c r="U3167" s="20" t="s">
        <v>5359</v>
      </c>
      <c r="V3167" s="16" t="s">
        <v>3896</v>
      </c>
      <c r="W3167" s="11" t="s">
        <v>14433</v>
      </c>
      <c r="X3167" s="174">
        <v>1.18</v>
      </c>
      <c r="Y3167" s="174">
        <v>1.51</v>
      </c>
    </row>
    <row r="3168" spans="1:25" ht="15" customHeight="1" x14ac:dyDescent="0.25">
      <c r="A3168" s="20" t="s">
        <v>2573</v>
      </c>
      <c r="B3168" s="14" t="s">
        <v>2574</v>
      </c>
      <c r="C3168" s="71" t="str">
        <f t="shared" si="75"/>
        <v>Product Info</v>
      </c>
      <c r="D3168" s="37" t="s">
        <v>2575</v>
      </c>
      <c r="E3168" s="143">
        <v>100</v>
      </c>
      <c r="F3168" s="12" t="s">
        <v>2170</v>
      </c>
      <c r="G3168" s="38">
        <v>2.16</v>
      </c>
      <c r="H3168" s="38">
        <f>I3168</f>
        <v>1.51</v>
      </c>
      <c r="I3168" s="38">
        <v>1.51</v>
      </c>
      <c r="J3168" s="39"/>
      <c r="K3168" s="143"/>
      <c r="L3168" s="22">
        <v>1</v>
      </c>
      <c r="M3168" s="22">
        <v>0</v>
      </c>
      <c r="N3168" s="20" t="s">
        <v>14489</v>
      </c>
      <c r="O3168" s="16">
        <v>0</v>
      </c>
      <c r="P3168" s="143" t="s">
        <v>12555</v>
      </c>
      <c r="Q3168" s="121" t="s">
        <v>14285</v>
      </c>
      <c r="R3168" s="16" t="s">
        <v>8904</v>
      </c>
      <c r="S3168" s="10" t="s">
        <v>194</v>
      </c>
      <c r="T3168" s="28" t="s">
        <v>12129</v>
      </c>
      <c r="U3168" s="20" t="s">
        <v>5359</v>
      </c>
      <c r="V3168" s="16" t="s">
        <v>2573</v>
      </c>
      <c r="W3168" s="11" t="s">
        <v>14433</v>
      </c>
      <c r="X3168" s="174">
        <v>1.18</v>
      </c>
      <c r="Y3168" s="174">
        <v>1.51</v>
      </c>
    </row>
    <row r="3169" spans="1:25" ht="15" customHeight="1" x14ac:dyDescent="0.25">
      <c r="A3169" s="20" t="s">
        <v>2576</v>
      </c>
      <c r="B3169" s="14" t="s">
        <v>2088</v>
      </c>
      <c r="C3169" s="71" t="str">
        <f t="shared" si="75"/>
        <v>Product Info</v>
      </c>
      <c r="D3169" s="37" t="s">
        <v>2089</v>
      </c>
      <c r="E3169" s="143">
        <v>250</v>
      </c>
      <c r="F3169" s="12" t="s">
        <v>2170</v>
      </c>
      <c r="G3169" s="38">
        <v>2.16</v>
      </c>
      <c r="H3169" s="38">
        <f>I3169</f>
        <v>1.51</v>
      </c>
      <c r="I3169" s="38">
        <v>1.51</v>
      </c>
      <c r="J3169" s="39"/>
      <c r="K3169" s="143"/>
      <c r="L3169" s="22">
        <v>1.6740000000000001E-2</v>
      </c>
      <c r="M3169" s="22" t="s">
        <v>12488</v>
      </c>
      <c r="N3169" s="20" t="s">
        <v>9545</v>
      </c>
      <c r="O3169" s="16" t="s">
        <v>12608</v>
      </c>
      <c r="P3169" s="143" t="s">
        <v>12555</v>
      </c>
      <c r="Q3169" s="122" t="s">
        <v>12421</v>
      </c>
      <c r="R3169" s="16" t="s">
        <v>8904</v>
      </c>
      <c r="S3169" s="10" t="s">
        <v>194</v>
      </c>
      <c r="T3169" s="28" t="s">
        <v>12130</v>
      </c>
      <c r="U3169" s="20" t="s">
        <v>5359</v>
      </c>
      <c r="V3169" s="16" t="s">
        <v>2576</v>
      </c>
      <c r="W3169" s="11" t="s">
        <v>14433</v>
      </c>
      <c r="X3169" s="174">
        <v>1.18</v>
      </c>
      <c r="Y3169" s="174">
        <v>1.51</v>
      </c>
    </row>
    <row r="3170" spans="1:25" ht="15" customHeight="1" x14ac:dyDescent="0.25">
      <c r="A3170" s="20" t="s">
        <v>13680</v>
      </c>
      <c r="B3170" s="16" t="s">
        <v>13681</v>
      </c>
      <c r="C3170" s="71" t="str">
        <f t="shared" si="75"/>
        <v>Product Info</v>
      </c>
      <c r="D3170" s="145" t="s">
        <v>14895</v>
      </c>
      <c r="E3170" s="143">
        <v>0</v>
      </c>
      <c r="F3170" s="12" t="s">
        <v>4992</v>
      </c>
      <c r="G3170" s="38">
        <v>6.87</v>
      </c>
      <c r="H3170" s="38">
        <v>5.84</v>
      </c>
      <c r="I3170" s="38">
        <v>4.8099999999999996</v>
      </c>
      <c r="J3170" s="39"/>
      <c r="K3170" s="143"/>
      <c r="L3170" s="22">
        <v>4</v>
      </c>
      <c r="M3170" s="22" t="s">
        <v>12488</v>
      </c>
      <c r="N3170" s="20"/>
      <c r="O3170" s="16"/>
      <c r="P3170" s="143">
        <v>819</v>
      </c>
      <c r="Q3170" s="121" t="s">
        <v>14285</v>
      </c>
      <c r="R3170" s="16" t="s">
        <v>8904</v>
      </c>
      <c r="S3170" s="10" t="s">
        <v>1163</v>
      </c>
      <c r="T3170" s="28" t="s">
        <v>13878</v>
      </c>
      <c r="U3170" s="20" t="s">
        <v>5359</v>
      </c>
      <c r="V3170" s="16" t="s">
        <v>14101</v>
      </c>
      <c r="W3170" s="16" t="s">
        <v>13938</v>
      </c>
      <c r="X3170" s="174">
        <v>4.62</v>
      </c>
      <c r="Y3170" s="174">
        <v>5.84</v>
      </c>
    </row>
    <row r="3171" spans="1:25" ht="15" customHeight="1" x14ac:dyDescent="0.25">
      <c r="A3171" s="20" t="s">
        <v>2090</v>
      </c>
      <c r="B3171" s="14" t="s">
        <v>2091</v>
      </c>
      <c r="C3171" s="71" t="str">
        <f t="shared" si="75"/>
        <v>Product Info</v>
      </c>
      <c r="D3171" s="37" t="s">
        <v>2092</v>
      </c>
      <c r="E3171" s="143">
        <v>1000</v>
      </c>
      <c r="F3171" s="12" t="s">
        <v>2170</v>
      </c>
      <c r="G3171" s="38">
        <v>2.16</v>
      </c>
      <c r="H3171" s="38">
        <f t="shared" ref="H3171:H3202" si="77">I3171</f>
        <v>1.51</v>
      </c>
      <c r="I3171" s="38">
        <v>1.51</v>
      </c>
      <c r="J3171" s="39"/>
      <c r="K3171" s="143"/>
      <c r="L3171" s="22">
        <v>1</v>
      </c>
      <c r="M3171" s="22">
        <v>0</v>
      </c>
      <c r="N3171" s="20" t="s">
        <v>14489</v>
      </c>
      <c r="O3171" s="16">
        <v>0</v>
      </c>
      <c r="P3171" s="143" t="s">
        <v>12555</v>
      </c>
      <c r="Q3171" s="121" t="s">
        <v>14285</v>
      </c>
      <c r="R3171" s="16" t="s">
        <v>8904</v>
      </c>
      <c r="S3171" s="10" t="s">
        <v>194</v>
      </c>
      <c r="T3171" s="28" t="s">
        <v>12131</v>
      </c>
      <c r="U3171" s="20" t="s">
        <v>5359</v>
      </c>
      <c r="V3171" s="16" t="s">
        <v>2090</v>
      </c>
      <c r="W3171" s="11" t="s">
        <v>14433</v>
      </c>
      <c r="X3171" s="174">
        <v>1.18</v>
      </c>
      <c r="Y3171" s="174">
        <v>1.51</v>
      </c>
    </row>
    <row r="3172" spans="1:25" ht="15" customHeight="1" x14ac:dyDescent="0.25">
      <c r="A3172" s="20" t="s">
        <v>2405</v>
      </c>
      <c r="B3172" s="14" t="s">
        <v>2406</v>
      </c>
      <c r="C3172" s="71" t="str">
        <f t="shared" si="75"/>
        <v>Product Info</v>
      </c>
      <c r="D3172" s="37" t="s">
        <v>2007</v>
      </c>
      <c r="E3172" s="143">
        <v>250</v>
      </c>
      <c r="F3172" s="12" t="s">
        <v>2170</v>
      </c>
      <c r="G3172" s="38">
        <v>0.44</v>
      </c>
      <c r="H3172" s="38">
        <f t="shared" si="77"/>
        <v>0.31</v>
      </c>
      <c r="I3172" s="38">
        <v>0.31</v>
      </c>
      <c r="J3172" s="39"/>
      <c r="K3172" s="143"/>
      <c r="L3172" s="22">
        <v>3.3800000000000002E-3</v>
      </c>
      <c r="M3172" s="22" t="s">
        <v>14396</v>
      </c>
      <c r="N3172" s="20" t="s">
        <v>9546</v>
      </c>
      <c r="O3172" s="16" t="s">
        <v>13914</v>
      </c>
      <c r="P3172" s="143" t="s">
        <v>12555</v>
      </c>
      <c r="Q3172" s="122" t="s">
        <v>12421</v>
      </c>
      <c r="R3172" s="16" t="s">
        <v>8904</v>
      </c>
      <c r="S3172" s="10" t="s">
        <v>194</v>
      </c>
      <c r="T3172" s="28" t="s">
        <v>12132</v>
      </c>
      <c r="U3172" s="20" t="s">
        <v>5359</v>
      </c>
      <c r="V3172" s="16" t="s">
        <v>2405</v>
      </c>
      <c r="W3172" s="11" t="s">
        <v>14433</v>
      </c>
      <c r="X3172" s="174">
        <v>0.25</v>
      </c>
      <c r="Y3172" s="174">
        <v>0.31</v>
      </c>
    </row>
    <row r="3173" spans="1:25" ht="15" customHeight="1" x14ac:dyDescent="0.25">
      <c r="A3173" s="20" t="s">
        <v>2008</v>
      </c>
      <c r="B3173" s="14" t="s">
        <v>2009</v>
      </c>
      <c r="C3173" s="71" t="str">
        <f t="shared" si="75"/>
        <v>Product Info</v>
      </c>
      <c r="D3173" s="37" t="s">
        <v>2010</v>
      </c>
      <c r="E3173" s="143">
        <v>1000</v>
      </c>
      <c r="F3173" s="12" t="s">
        <v>2170</v>
      </c>
      <c r="G3173" s="38">
        <v>0.44</v>
      </c>
      <c r="H3173" s="38">
        <f t="shared" si="77"/>
        <v>0.31</v>
      </c>
      <c r="I3173" s="38">
        <v>0.31</v>
      </c>
      <c r="J3173" s="39"/>
      <c r="K3173" s="143"/>
      <c r="L3173" s="22">
        <v>2.7000000000000001E-3</v>
      </c>
      <c r="M3173" s="22" t="s">
        <v>12488</v>
      </c>
      <c r="N3173" s="20" t="s">
        <v>9547</v>
      </c>
      <c r="O3173" s="16" t="s">
        <v>12608</v>
      </c>
      <c r="P3173" s="143" t="s">
        <v>12555</v>
      </c>
      <c r="Q3173" s="122" t="s">
        <v>12421</v>
      </c>
      <c r="R3173" s="16" t="s">
        <v>8904</v>
      </c>
      <c r="S3173" s="10" t="s">
        <v>194</v>
      </c>
      <c r="T3173" s="28" t="s">
        <v>12133</v>
      </c>
      <c r="U3173" s="20" t="s">
        <v>5359</v>
      </c>
      <c r="V3173" s="16" t="s">
        <v>2008</v>
      </c>
      <c r="W3173" s="11" t="s">
        <v>14433</v>
      </c>
      <c r="X3173" s="174">
        <v>0.25</v>
      </c>
      <c r="Y3173" s="174">
        <v>0.31</v>
      </c>
    </row>
    <row r="3174" spans="1:25" ht="15" customHeight="1" x14ac:dyDescent="0.25">
      <c r="A3174" s="20" t="s">
        <v>2011</v>
      </c>
      <c r="B3174" s="14" t="s">
        <v>2012</v>
      </c>
      <c r="C3174" s="71" t="str">
        <f t="shared" si="75"/>
        <v>Product Info</v>
      </c>
      <c r="D3174" s="37" t="s">
        <v>2013</v>
      </c>
      <c r="E3174" s="143">
        <v>250</v>
      </c>
      <c r="F3174" s="12" t="s">
        <v>2170</v>
      </c>
      <c r="G3174" s="38">
        <v>0.44</v>
      </c>
      <c r="H3174" s="38">
        <f t="shared" si="77"/>
        <v>0.31</v>
      </c>
      <c r="I3174" s="38">
        <v>0.31</v>
      </c>
      <c r="J3174" s="39"/>
      <c r="K3174" s="143"/>
      <c r="L3174" s="22">
        <v>3.3600000000000001E-3</v>
      </c>
      <c r="M3174" s="22" t="s">
        <v>12488</v>
      </c>
      <c r="N3174" s="20" t="s">
        <v>9548</v>
      </c>
      <c r="O3174" s="16" t="s">
        <v>13914</v>
      </c>
      <c r="P3174" s="143" t="s">
        <v>12555</v>
      </c>
      <c r="Q3174" s="122" t="s">
        <v>9227</v>
      </c>
      <c r="R3174" s="16" t="s">
        <v>8904</v>
      </c>
      <c r="S3174" s="10" t="s">
        <v>194</v>
      </c>
      <c r="T3174" s="28" t="s">
        <v>12134</v>
      </c>
      <c r="U3174" s="20" t="s">
        <v>5359</v>
      </c>
      <c r="V3174" s="16" t="s">
        <v>2011</v>
      </c>
      <c r="W3174" s="11" t="s">
        <v>14433</v>
      </c>
      <c r="X3174" s="174">
        <v>0.25</v>
      </c>
      <c r="Y3174" s="174">
        <v>0.31</v>
      </c>
    </row>
    <row r="3175" spans="1:25" ht="15" customHeight="1" x14ac:dyDescent="0.25">
      <c r="A3175" s="20" t="s">
        <v>2014</v>
      </c>
      <c r="B3175" s="14" t="s">
        <v>2015</v>
      </c>
      <c r="C3175" s="71" t="str">
        <f t="shared" si="75"/>
        <v>Product Info</v>
      </c>
      <c r="D3175" s="37" t="s">
        <v>2016</v>
      </c>
      <c r="E3175" s="143">
        <v>1000</v>
      </c>
      <c r="F3175" s="12" t="s">
        <v>2170</v>
      </c>
      <c r="G3175" s="38">
        <v>0.44</v>
      </c>
      <c r="H3175" s="38">
        <f t="shared" si="77"/>
        <v>0.31</v>
      </c>
      <c r="I3175" s="38">
        <v>0.31</v>
      </c>
      <c r="J3175" s="39"/>
      <c r="K3175" s="143"/>
      <c r="L3175" s="22">
        <v>1.6999999999999999E-3</v>
      </c>
      <c r="M3175" s="22" t="s">
        <v>12488</v>
      </c>
      <c r="N3175" s="20" t="s">
        <v>9549</v>
      </c>
      <c r="O3175" s="16" t="s">
        <v>12608</v>
      </c>
      <c r="P3175" s="143" t="s">
        <v>12555</v>
      </c>
      <c r="Q3175" s="122" t="s">
        <v>9227</v>
      </c>
      <c r="R3175" s="16" t="s">
        <v>8904</v>
      </c>
      <c r="S3175" s="10" t="s">
        <v>194</v>
      </c>
      <c r="T3175" s="28" t="s">
        <v>12135</v>
      </c>
      <c r="U3175" s="20" t="s">
        <v>5359</v>
      </c>
      <c r="V3175" s="16" t="s">
        <v>2014</v>
      </c>
      <c r="W3175" s="11" t="s">
        <v>14433</v>
      </c>
      <c r="X3175" s="174">
        <v>0.25</v>
      </c>
      <c r="Y3175" s="174">
        <v>0.31</v>
      </c>
    </row>
    <row r="3176" spans="1:25" ht="15" customHeight="1" x14ac:dyDescent="0.25">
      <c r="A3176" s="20" t="s">
        <v>2017</v>
      </c>
      <c r="B3176" s="14" t="s">
        <v>2018</v>
      </c>
      <c r="C3176" s="71" t="str">
        <f t="shared" si="75"/>
        <v>Product Info</v>
      </c>
      <c r="D3176" s="37" t="s">
        <v>8953</v>
      </c>
      <c r="E3176" s="143">
        <v>2500</v>
      </c>
      <c r="F3176" s="12" t="s">
        <v>2170</v>
      </c>
      <c r="G3176" s="38">
        <v>0.44</v>
      </c>
      <c r="H3176" s="38">
        <f t="shared" si="77"/>
        <v>0.31</v>
      </c>
      <c r="I3176" s="38">
        <v>0.31</v>
      </c>
      <c r="J3176" s="39"/>
      <c r="K3176" s="143"/>
      <c r="L3176" s="22">
        <v>1</v>
      </c>
      <c r="M3176" s="22">
        <v>0</v>
      </c>
      <c r="N3176" s="20" t="s">
        <v>14489</v>
      </c>
      <c r="O3176" s="16">
        <v>0</v>
      </c>
      <c r="P3176" s="143" t="s">
        <v>12555</v>
      </c>
      <c r="Q3176" s="121" t="s">
        <v>14285</v>
      </c>
      <c r="R3176" s="16" t="s">
        <v>8904</v>
      </c>
      <c r="S3176" s="10" t="s">
        <v>194</v>
      </c>
      <c r="T3176" s="28" t="s">
        <v>12136</v>
      </c>
      <c r="U3176" s="20" t="s">
        <v>5359</v>
      </c>
      <c r="V3176" s="16" t="s">
        <v>2017</v>
      </c>
      <c r="W3176" s="11" t="s">
        <v>14433</v>
      </c>
      <c r="X3176" s="174">
        <v>0.25</v>
      </c>
      <c r="Y3176" s="174">
        <v>0.31</v>
      </c>
    </row>
    <row r="3177" spans="1:25" ht="15" customHeight="1" x14ac:dyDescent="0.25">
      <c r="A3177" s="20" t="s">
        <v>2019</v>
      </c>
      <c r="B3177" s="14" t="s">
        <v>2020</v>
      </c>
      <c r="C3177" s="71" t="str">
        <f t="shared" si="75"/>
        <v>Product Info</v>
      </c>
      <c r="D3177" s="37" t="s">
        <v>3370</v>
      </c>
      <c r="E3177" s="143">
        <v>250</v>
      </c>
      <c r="F3177" s="12" t="s">
        <v>2170</v>
      </c>
      <c r="G3177" s="38">
        <v>0.5</v>
      </c>
      <c r="H3177" s="38">
        <f t="shared" si="77"/>
        <v>0.35</v>
      </c>
      <c r="I3177" s="38">
        <v>0.35</v>
      </c>
      <c r="J3177" s="39"/>
      <c r="K3177" s="143"/>
      <c r="L3177" s="22">
        <v>6.0000000000000001E-3</v>
      </c>
      <c r="M3177" s="22" t="s">
        <v>12488</v>
      </c>
      <c r="N3177" s="20" t="s">
        <v>8778</v>
      </c>
      <c r="O3177" s="16" t="s">
        <v>12608</v>
      </c>
      <c r="P3177" s="143" t="s">
        <v>12555</v>
      </c>
      <c r="Q3177" s="121" t="s">
        <v>14285</v>
      </c>
      <c r="R3177" s="16" t="s">
        <v>8904</v>
      </c>
      <c r="S3177" s="10" t="s">
        <v>194</v>
      </c>
      <c r="T3177" s="28" t="s">
        <v>12137</v>
      </c>
      <c r="U3177" s="20" t="s">
        <v>5359</v>
      </c>
      <c r="V3177" s="16" t="s">
        <v>2019</v>
      </c>
      <c r="W3177" s="11" t="s">
        <v>14433</v>
      </c>
      <c r="X3177" s="174">
        <v>0.27</v>
      </c>
      <c r="Y3177" s="174">
        <v>0.35</v>
      </c>
    </row>
    <row r="3178" spans="1:25" ht="15" customHeight="1" x14ac:dyDescent="0.25">
      <c r="A3178" s="20" t="s">
        <v>3371</v>
      </c>
      <c r="B3178" s="14" t="s">
        <v>3372</v>
      </c>
      <c r="C3178" s="71" t="str">
        <f t="shared" si="75"/>
        <v>Product Info</v>
      </c>
      <c r="D3178" s="37" t="s">
        <v>3373</v>
      </c>
      <c r="E3178" s="143">
        <v>1000</v>
      </c>
      <c r="F3178" s="12" t="s">
        <v>2170</v>
      </c>
      <c r="G3178" s="38">
        <v>0.5</v>
      </c>
      <c r="H3178" s="38">
        <f t="shared" si="77"/>
        <v>0.35</v>
      </c>
      <c r="I3178" s="38">
        <v>0.35</v>
      </c>
      <c r="J3178" s="39"/>
      <c r="K3178" s="143"/>
      <c r="L3178" s="22">
        <v>1.8E-3</v>
      </c>
      <c r="M3178" s="22" t="s">
        <v>12488</v>
      </c>
      <c r="N3178" s="20" t="s">
        <v>9550</v>
      </c>
      <c r="O3178" s="16" t="s">
        <v>12608</v>
      </c>
      <c r="P3178" s="143" t="s">
        <v>12555</v>
      </c>
      <c r="Q3178" s="121" t="s">
        <v>14285</v>
      </c>
      <c r="R3178" s="16" t="s">
        <v>8904</v>
      </c>
      <c r="S3178" s="10" t="s">
        <v>194</v>
      </c>
      <c r="T3178" s="28" t="s">
        <v>12138</v>
      </c>
      <c r="U3178" s="20" t="s">
        <v>5359</v>
      </c>
      <c r="V3178" s="16" t="s">
        <v>3371</v>
      </c>
      <c r="W3178" s="11" t="s">
        <v>14433</v>
      </c>
      <c r="X3178" s="174">
        <v>0.27</v>
      </c>
      <c r="Y3178" s="174">
        <v>0.35</v>
      </c>
    </row>
    <row r="3179" spans="1:25" ht="15" customHeight="1" x14ac:dyDescent="0.25">
      <c r="A3179" s="20" t="s">
        <v>3374</v>
      </c>
      <c r="B3179" s="14" t="s">
        <v>3375</v>
      </c>
      <c r="C3179" s="71" t="str">
        <f t="shared" si="75"/>
        <v>Product Info</v>
      </c>
      <c r="D3179" s="37" t="s">
        <v>3376</v>
      </c>
      <c r="E3179" s="143">
        <v>2500</v>
      </c>
      <c r="F3179" s="12" t="s">
        <v>2170</v>
      </c>
      <c r="G3179" s="38">
        <v>0.5</v>
      </c>
      <c r="H3179" s="38">
        <f t="shared" si="77"/>
        <v>0.35</v>
      </c>
      <c r="I3179" s="38">
        <v>0.35</v>
      </c>
      <c r="J3179" s="39"/>
      <c r="K3179" s="143"/>
      <c r="L3179" s="22">
        <v>1</v>
      </c>
      <c r="M3179" s="22">
        <v>0</v>
      </c>
      <c r="N3179" s="20" t="s">
        <v>14489</v>
      </c>
      <c r="O3179" s="16">
        <v>0</v>
      </c>
      <c r="P3179" s="143" t="s">
        <v>12555</v>
      </c>
      <c r="Q3179" s="121" t="s">
        <v>14285</v>
      </c>
      <c r="R3179" s="16" t="s">
        <v>8904</v>
      </c>
      <c r="S3179" s="10" t="s">
        <v>194</v>
      </c>
      <c r="T3179" s="28" t="s">
        <v>12139</v>
      </c>
      <c r="U3179" s="20" t="s">
        <v>5359</v>
      </c>
      <c r="V3179" s="16" t="s">
        <v>3374</v>
      </c>
      <c r="W3179" s="11" t="s">
        <v>14433</v>
      </c>
      <c r="X3179" s="174">
        <v>0.27</v>
      </c>
      <c r="Y3179" s="174">
        <v>0.35</v>
      </c>
    </row>
    <row r="3180" spans="1:25" ht="15" customHeight="1" x14ac:dyDescent="0.25">
      <c r="A3180" s="20" t="s">
        <v>4859</v>
      </c>
      <c r="B3180" s="14" t="s">
        <v>4860</v>
      </c>
      <c r="C3180" s="71" t="str">
        <f t="shared" si="75"/>
        <v>Product Info</v>
      </c>
      <c r="D3180" s="37" t="s">
        <v>4861</v>
      </c>
      <c r="E3180" s="143">
        <v>250</v>
      </c>
      <c r="F3180" s="12" t="s">
        <v>2170</v>
      </c>
      <c r="G3180" s="38">
        <v>0.5</v>
      </c>
      <c r="H3180" s="38">
        <f t="shared" si="77"/>
        <v>0.35</v>
      </c>
      <c r="I3180" s="38">
        <v>0.35</v>
      </c>
      <c r="J3180" s="39"/>
      <c r="K3180" s="143"/>
      <c r="L3180" s="22">
        <v>1</v>
      </c>
      <c r="M3180" s="22">
        <v>0</v>
      </c>
      <c r="N3180" s="20" t="s">
        <v>14489</v>
      </c>
      <c r="O3180" s="16">
        <v>0</v>
      </c>
      <c r="P3180" s="143" t="s">
        <v>12555</v>
      </c>
      <c r="Q3180" s="121" t="s">
        <v>14285</v>
      </c>
      <c r="R3180" s="16" t="s">
        <v>8904</v>
      </c>
      <c r="S3180" s="10" t="s">
        <v>194</v>
      </c>
      <c r="T3180" s="28" t="s">
        <v>12140</v>
      </c>
      <c r="U3180" s="20" t="s">
        <v>5359</v>
      </c>
      <c r="V3180" s="16" t="s">
        <v>4859</v>
      </c>
      <c r="W3180" s="11" t="s">
        <v>14433</v>
      </c>
      <c r="X3180" s="174">
        <v>0.27</v>
      </c>
      <c r="Y3180" s="174">
        <v>0.35</v>
      </c>
    </row>
    <row r="3181" spans="1:25" ht="15" customHeight="1" x14ac:dyDescent="0.25">
      <c r="A3181" s="20" t="s">
        <v>4862</v>
      </c>
      <c r="B3181" s="14" t="s">
        <v>4863</v>
      </c>
      <c r="C3181" s="71" t="str">
        <f t="shared" si="75"/>
        <v>Product Info</v>
      </c>
      <c r="D3181" s="37" t="s">
        <v>4864</v>
      </c>
      <c r="E3181" s="143">
        <v>1000</v>
      </c>
      <c r="F3181" s="12" t="s">
        <v>2170</v>
      </c>
      <c r="G3181" s="38">
        <v>0.5</v>
      </c>
      <c r="H3181" s="38">
        <f t="shared" si="77"/>
        <v>0.35</v>
      </c>
      <c r="I3181" s="38">
        <v>0.35</v>
      </c>
      <c r="J3181" s="39"/>
      <c r="K3181" s="143"/>
      <c r="L3181" s="22">
        <v>1</v>
      </c>
      <c r="M3181" s="22">
        <v>0</v>
      </c>
      <c r="N3181" s="20" t="s">
        <v>14489</v>
      </c>
      <c r="O3181" s="16">
        <v>0</v>
      </c>
      <c r="P3181" s="143" t="s">
        <v>12555</v>
      </c>
      <c r="Q3181" s="121" t="s">
        <v>14285</v>
      </c>
      <c r="R3181" s="16" t="s">
        <v>8904</v>
      </c>
      <c r="S3181" s="10" t="s">
        <v>194</v>
      </c>
      <c r="T3181" s="28" t="s">
        <v>12141</v>
      </c>
      <c r="U3181" s="20" t="s">
        <v>5359</v>
      </c>
      <c r="V3181" s="16" t="s">
        <v>4862</v>
      </c>
      <c r="W3181" s="11" t="s">
        <v>14433</v>
      </c>
      <c r="X3181" s="174">
        <v>0.27</v>
      </c>
      <c r="Y3181" s="174">
        <v>0.35</v>
      </c>
    </row>
    <row r="3182" spans="1:25" ht="15" customHeight="1" x14ac:dyDescent="0.25">
      <c r="A3182" s="20" t="s">
        <v>4865</v>
      </c>
      <c r="B3182" s="14" t="s">
        <v>4866</v>
      </c>
      <c r="C3182" s="71" t="str">
        <f t="shared" si="75"/>
        <v>Product Info</v>
      </c>
      <c r="D3182" s="37" t="s">
        <v>4867</v>
      </c>
      <c r="E3182" s="143">
        <v>250</v>
      </c>
      <c r="F3182" s="12" t="s">
        <v>2170</v>
      </c>
      <c r="G3182" s="38">
        <v>0.5</v>
      </c>
      <c r="H3182" s="38">
        <f t="shared" si="77"/>
        <v>0.35</v>
      </c>
      <c r="I3182" s="38">
        <v>0.35</v>
      </c>
      <c r="J3182" s="39"/>
      <c r="K3182" s="143"/>
      <c r="L3182" s="22">
        <v>1</v>
      </c>
      <c r="M3182" s="22">
        <v>0</v>
      </c>
      <c r="N3182" s="20" t="s">
        <v>14489</v>
      </c>
      <c r="O3182" s="16" t="s">
        <v>4992</v>
      </c>
      <c r="P3182" s="143" t="s">
        <v>12555</v>
      </c>
      <c r="Q3182" s="121" t="s">
        <v>14285</v>
      </c>
      <c r="R3182" s="16" t="s">
        <v>8904</v>
      </c>
      <c r="S3182" s="10" t="s">
        <v>194</v>
      </c>
      <c r="T3182" s="28" t="s">
        <v>12142</v>
      </c>
      <c r="U3182" s="20" t="s">
        <v>5359</v>
      </c>
      <c r="V3182" s="16" t="s">
        <v>4865</v>
      </c>
      <c r="W3182" s="11" t="s">
        <v>14433</v>
      </c>
      <c r="X3182" s="174">
        <v>0.27</v>
      </c>
      <c r="Y3182" s="174">
        <v>0.35</v>
      </c>
    </row>
    <row r="3183" spans="1:25" ht="15" customHeight="1" x14ac:dyDescent="0.25">
      <c r="A3183" s="20" t="s">
        <v>4868</v>
      </c>
      <c r="B3183" s="14" t="s">
        <v>7538</v>
      </c>
      <c r="C3183" s="71" t="str">
        <f t="shared" si="75"/>
        <v>Product Info</v>
      </c>
      <c r="D3183" s="37" t="s">
        <v>7539</v>
      </c>
      <c r="E3183" s="143">
        <v>1000</v>
      </c>
      <c r="F3183" s="12" t="s">
        <v>2170</v>
      </c>
      <c r="G3183" s="38">
        <v>0.5</v>
      </c>
      <c r="H3183" s="38">
        <f t="shared" si="77"/>
        <v>0.35</v>
      </c>
      <c r="I3183" s="38">
        <v>0.35</v>
      </c>
      <c r="J3183" s="39"/>
      <c r="K3183" s="143"/>
      <c r="L3183" s="22">
        <v>1</v>
      </c>
      <c r="M3183" s="22">
        <v>0</v>
      </c>
      <c r="N3183" s="20" t="s">
        <v>14489</v>
      </c>
      <c r="O3183" s="16">
        <v>0</v>
      </c>
      <c r="P3183" s="143" t="s">
        <v>12555</v>
      </c>
      <c r="Q3183" s="121" t="s">
        <v>14285</v>
      </c>
      <c r="R3183" s="16" t="s">
        <v>8904</v>
      </c>
      <c r="S3183" s="10" t="s">
        <v>194</v>
      </c>
      <c r="T3183" s="28" t="s">
        <v>12143</v>
      </c>
      <c r="U3183" s="20" t="s">
        <v>5359</v>
      </c>
      <c r="V3183" s="16" t="s">
        <v>4868</v>
      </c>
      <c r="W3183" s="11" t="s">
        <v>14433</v>
      </c>
      <c r="X3183" s="174">
        <v>0.27</v>
      </c>
      <c r="Y3183" s="174">
        <v>0.35</v>
      </c>
    </row>
    <row r="3184" spans="1:25" ht="15" customHeight="1" x14ac:dyDescent="0.25">
      <c r="A3184" s="20" t="s">
        <v>7540</v>
      </c>
      <c r="B3184" s="14" t="s">
        <v>7541</v>
      </c>
      <c r="C3184" s="71" t="str">
        <f t="shared" si="75"/>
        <v>Product Info</v>
      </c>
      <c r="D3184" s="37" t="s">
        <v>7542</v>
      </c>
      <c r="E3184" s="143">
        <v>2500</v>
      </c>
      <c r="F3184" s="12" t="s">
        <v>2170</v>
      </c>
      <c r="G3184" s="38">
        <v>0.5</v>
      </c>
      <c r="H3184" s="38">
        <f t="shared" si="77"/>
        <v>0.35</v>
      </c>
      <c r="I3184" s="38">
        <v>0.35</v>
      </c>
      <c r="J3184" s="39"/>
      <c r="K3184" s="143"/>
      <c r="L3184" s="22">
        <v>1</v>
      </c>
      <c r="M3184" s="22">
        <v>0</v>
      </c>
      <c r="N3184" s="20" t="s">
        <v>14489</v>
      </c>
      <c r="O3184" s="16">
        <v>0</v>
      </c>
      <c r="P3184" s="143" t="s">
        <v>12555</v>
      </c>
      <c r="Q3184" s="121" t="s">
        <v>14285</v>
      </c>
      <c r="R3184" s="16" t="s">
        <v>8904</v>
      </c>
      <c r="S3184" s="10" t="s">
        <v>194</v>
      </c>
      <c r="T3184" s="28" t="s">
        <v>12144</v>
      </c>
      <c r="U3184" s="20" t="s">
        <v>5359</v>
      </c>
      <c r="V3184" s="16" t="s">
        <v>7540</v>
      </c>
      <c r="W3184" s="11" t="s">
        <v>14433</v>
      </c>
      <c r="X3184" s="174">
        <v>0.27</v>
      </c>
      <c r="Y3184" s="174">
        <v>0.35</v>
      </c>
    </row>
    <row r="3185" spans="1:25" ht="15" customHeight="1" x14ac:dyDescent="0.25">
      <c r="A3185" s="20" t="s">
        <v>7543</v>
      </c>
      <c r="B3185" s="14" t="s">
        <v>7544</v>
      </c>
      <c r="C3185" s="71" t="str">
        <f t="shared" si="75"/>
        <v>Product Info</v>
      </c>
      <c r="D3185" s="37" t="s">
        <v>7545</v>
      </c>
      <c r="E3185" s="143">
        <v>250</v>
      </c>
      <c r="F3185" s="12" t="s">
        <v>2170</v>
      </c>
      <c r="G3185" s="38">
        <v>0.41</v>
      </c>
      <c r="H3185" s="38">
        <f t="shared" si="77"/>
        <v>0.28999999999999998</v>
      </c>
      <c r="I3185" s="38">
        <v>0.28999999999999998</v>
      </c>
      <c r="J3185" s="39"/>
      <c r="K3185" s="143"/>
      <c r="L3185" s="22">
        <v>1E-3</v>
      </c>
      <c r="M3185" s="22" t="s">
        <v>12488</v>
      </c>
      <c r="N3185" s="20" t="s">
        <v>9550</v>
      </c>
      <c r="O3185" s="16" t="s">
        <v>12608</v>
      </c>
      <c r="P3185" s="143" t="s">
        <v>12555</v>
      </c>
      <c r="Q3185" s="121" t="s">
        <v>14285</v>
      </c>
      <c r="R3185" s="16" t="s">
        <v>8904</v>
      </c>
      <c r="S3185" s="10" t="s">
        <v>194</v>
      </c>
      <c r="T3185" s="28" t="s">
        <v>12145</v>
      </c>
      <c r="U3185" s="20" t="s">
        <v>5359</v>
      </c>
      <c r="V3185" s="16" t="s">
        <v>7543</v>
      </c>
      <c r="W3185" s="11" t="s">
        <v>14433</v>
      </c>
      <c r="X3185" s="174">
        <v>0.23</v>
      </c>
      <c r="Y3185" s="174">
        <v>0.28999999999999998</v>
      </c>
    </row>
    <row r="3186" spans="1:25" ht="15" customHeight="1" x14ac:dyDescent="0.25">
      <c r="A3186" s="20" t="s">
        <v>7546</v>
      </c>
      <c r="B3186" s="14" t="s">
        <v>3621</v>
      </c>
      <c r="C3186" s="71" t="str">
        <f t="shared" si="75"/>
        <v>Product Info</v>
      </c>
      <c r="D3186" s="37" t="s">
        <v>3622</v>
      </c>
      <c r="E3186" s="143">
        <v>250</v>
      </c>
      <c r="F3186" s="12" t="s">
        <v>2170</v>
      </c>
      <c r="G3186" s="38">
        <v>0.41</v>
      </c>
      <c r="H3186" s="38">
        <f t="shared" si="77"/>
        <v>0.28999999999999998</v>
      </c>
      <c r="I3186" s="38">
        <v>0.28999999999999998</v>
      </c>
      <c r="J3186" s="39"/>
      <c r="K3186" s="143"/>
      <c r="L3186" s="22">
        <v>9.8999999999999999E-4</v>
      </c>
      <c r="M3186" s="22" t="s">
        <v>12488</v>
      </c>
      <c r="N3186" s="20" t="s">
        <v>9551</v>
      </c>
      <c r="O3186" s="16" t="s">
        <v>12608</v>
      </c>
      <c r="P3186" s="143" t="s">
        <v>12555</v>
      </c>
      <c r="Q3186" s="122" t="s">
        <v>12421</v>
      </c>
      <c r="R3186" s="16" t="s">
        <v>8904</v>
      </c>
      <c r="S3186" s="10" t="s">
        <v>194</v>
      </c>
      <c r="T3186" s="28" t="s">
        <v>12146</v>
      </c>
      <c r="U3186" s="20" t="s">
        <v>5359</v>
      </c>
      <c r="V3186" s="16" t="s">
        <v>7546</v>
      </c>
      <c r="W3186" s="11" t="s">
        <v>14433</v>
      </c>
      <c r="X3186" s="174">
        <v>0.23</v>
      </c>
      <c r="Y3186" s="174">
        <v>0.28999999999999998</v>
      </c>
    </row>
    <row r="3187" spans="1:25" ht="15" customHeight="1" x14ac:dyDescent="0.25">
      <c r="A3187" s="20" t="s">
        <v>1458</v>
      </c>
      <c r="B3187" s="14" t="s">
        <v>1459</v>
      </c>
      <c r="C3187" s="71" t="str">
        <f t="shared" si="75"/>
        <v>Product Info</v>
      </c>
      <c r="D3187" s="37" t="s">
        <v>1460</v>
      </c>
      <c r="E3187" s="143">
        <v>1000</v>
      </c>
      <c r="F3187" s="12" t="s">
        <v>2170</v>
      </c>
      <c r="G3187" s="38">
        <v>0.41</v>
      </c>
      <c r="H3187" s="38">
        <f t="shared" si="77"/>
        <v>0.28999999999999998</v>
      </c>
      <c r="I3187" s="38">
        <v>0.28999999999999998</v>
      </c>
      <c r="J3187" s="39"/>
      <c r="K3187" s="143"/>
      <c r="L3187" s="22">
        <v>3.7</v>
      </c>
      <c r="M3187" s="22" t="s">
        <v>12488</v>
      </c>
      <c r="N3187" s="20" t="s">
        <v>9552</v>
      </c>
      <c r="O3187" s="16" t="s">
        <v>12608</v>
      </c>
      <c r="P3187" s="143" t="s">
        <v>12555</v>
      </c>
      <c r="Q3187" s="122" t="s">
        <v>12421</v>
      </c>
      <c r="R3187" s="16" t="s">
        <v>8904</v>
      </c>
      <c r="S3187" s="10" t="s">
        <v>194</v>
      </c>
      <c r="T3187" s="28" t="s">
        <v>12147</v>
      </c>
      <c r="U3187" s="20" t="s">
        <v>5359</v>
      </c>
      <c r="V3187" s="16" t="s">
        <v>1458</v>
      </c>
      <c r="W3187" s="11" t="s">
        <v>14433</v>
      </c>
      <c r="X3187" s="174">
        <v>0.23</v>
      </c>
      <c r="Y3187" s="174">
        <v>0.28999999999999998</v>
      </c>
    </row>
    <row r="3188" spans="1:25" ht="15" customHeight="1" x14ac:dyDescent="0.25">
      <c r="A3188" s="20" t="s">
        <v>1461</v>
      </c>
      <c r="B3188" s="14" t="s">
        <v>1462</v>
      </c>
      <c r="C3188" s="71" t="str">
        <f t="shared" si="75"/>
        <v>Product Info</v>
      </c>
      <c r="D3188" s="37" t="s">
        <v>1463</v>
      </c>
      <c r="E3188" s="143">
        <v>2500</v>
      </c>
      <c r="F3188" s="12" t="s">
        <v>2170</v>
      </c>
      <c r="G3188" s="38">
        <v>0.41</v>
      </c>
      <c r="H3188" s="38">
        <f t="shared" si="77"/>
        <v>0.28999999999999998</v>
      </c>
      <c r="I3188" s="38">
        <v>0.28999999999999998</v>
      </c>
      <c r="J3188" s="39"/>
      <c r="K3188" s="143"/>
      <c r="L3188" s="22">
        <v>1</v>
      </c>
      <c r="M3188" s="22">
        <v>0</v>
      </c>
      <c r="N3188" s="20" t="s">
        <v>14489</v>
      </c>
      <c r="O3188" s="16">
        <v>0</v>
      </c>
      <c r="P3188" s="143" t="s">
        <v>12555</v>
      </c>
      <c r="Q3188" s="121" t="s">
        <v>14285</v>
      </c>
      <c r="R3188" s="16" t="s">
        <v>8904</v>
      </c>
      <c r="S3188" s="10" t="s">
        <v>194</v>
      </c>
      <c r="T3188" s="28" t="s">
        <v>12148</v>
      </c>
      <c r="U3188" s="20" t="s">
        <v>5359</v>
      </c>
      <c r="V3188" s="16" t="s">
        <v>1461</v>
      </c>
      <c r="W3188" s="11" t="s">
        <v>14433</v>
      </c>
      <c r="X3188" s="174">
        <v>0.23</v>
      </c>
      <c r="Y3188" s="174">
        <v>0.28999999999999998</v>
      </c>
    </row>
    <row r="3189" spans="1:25" ht="15" customHeight="1" x14ac:dyDescent="0.25">
      <c r="A3189" s="20" t="s">
        <v>1464</v>
      </c>
      <c r="B3189" s="14" t="s">
        <v>1465</v>
      </c>
      <c r="C3189" s="71" t="str">
        <f t="shared" si="75"/>
        <v>Product Info</v>
      </c>
      <c r="D3189" s="37" t="s">
        <v>1466</v>
      </c>
      <c r="E3189" s="143">
        <v>250</v>
      </c>
      <c r="F3189" s="12" t="s">
        <v>2170</v>
      </c>
      <c r="G3189" s="38">
        <v>0.44</v>
      </c>
      <c r="H3189" s="38">
        <f t="shared" si="77"/>
        <v>0.31</v>
      </c>
      <c r="I3189" s="38">
        <v>0.31</v>
      </c>
      <c r="J3189" s="39"/>
      <c r="K3189" s="143"/>
      <c r="L3189" s="22">
        <v>1</v>
      </c>
      <c r="M3189" s="22">
        <v>0</v>
      </c>
      <c r="N3189" s="20" t="s">
        <v>14489</v>
      </c>
      <c r="O3189" s="16">
        <v>0</v>
      </c>
      <c r="P3189" s="143" t="s">
        <v>12555</v>
      </c>
      <c r="Q3189" s="121" t="s">
        <v>14285</v>
      </c>
      <c r="R3189" s="16" t="s">
        <v>8904</v>
      </c>
      <c r="S3189" s="10" t="s">
        <v>194</v>
      </c>
      <c r="T3189" s="28" t="s">
        <v>12149</v>
      </c>
      <c r="U3189" s="20" t="s">
        <v>5359</v>
      </c>
      <c r="V3189" s="16" t="s">
        <v>1464</v>
      </c>
      <c r="W3189" s="11" t="s">
        <v>14433</v>
      </c>
      <c r="X3189" s="174">
        <v>0.25</v>
      </c>
      <c r="Y3189" s="174">
        <v>0.31</v>
      </c>
    </row>
    <row r="3190" spans="1:25" ht="15" customHeight="1" x14ac:dyDescent="0.25">
      <c r="A3190" s="20" t="s">
        <v>1467</v>
      </c>
      <c r="B3190" s="14" t="s">
        <v>1468</v>
      </c>
      <c r="C3190" s="71" t="str">
        <f t="shared" si="75"/>
        <v>Product Info</v>
      </c>
      <c r="D3190" s="37" t="s">
        <v>1469</v>
      </c>
      <c r="E3190" s="143">
        <v>1000</v>
      </c>
      <c r="F3190" s="12" t="s">
        <v>2170</v>
      </c>
      <c r="G3190" s="38">
        <v>0.44</v>
      </c>
      <c r="H3190" s="38">
        <f t="shared" si="77"/>
        <v>0.31</v>
      </c>
      <c r="I3190" s="38">
        <v>0.31</v>
      </c>
      <c r="J3190" s="39"/>
      <c r="K3190" s="143"/>
      <c r="L3190" s="22">
        <v>1.48E-3</v>
      </c>
      <c r="M3190" s="22" t="s">
        <v>12488</v>
      </c>
      <c r="N3190" s="20" t="s">
        <v>9553</v>
      </c>
      <c r="O3190" s="16" t="s">
        <v>13914</v>
      </c>
      <c r="P3190" s="143" t="s">
        <v>12555</v>
      </c>
      <c r="Q3190" s="121" t="s">
        <v>14285</v>
      </c>
      <c r="R3190" s="16" t="s">
        <v>8904</v>
      </c>
      <c r="S3190" s="10" t="s">
        <v>194</v>
      </c>
      <c r="T3190" s="28" t="s">
        <v>12150</v>
      </c>
      <c r="U3190" s="20" t="s">
        <v>5359</v>
      </c>
      <c r="V3190" s="16" t="s">
        <v>1467</v>
      </c>
      <c r="W3190" s="11" t="s">
        <v>14433</v>
      </c>
      <c r="X3190" s="174">
        <v>0.25</v>
      </c>
      <c r="Y3190" s="174">
        <v>0.31</v>
      </c>
    </row>
    <row r="3191" spans="1:25" ht="15" customHeight="1" x14ac:dyDescent="0.25">
      <c r="A3191" s="20" t="s">
        <v>1470</v>
      </c>
      <c r="B3191" s="14" t="s">
        <v>1471</v>
      </c>
      <c r="C3191" s="71" t="str">
        <f t="shared" si="75"/>
        <v>Product Info</v>
      </c>
      <c r="D3191" s="37" t="s">
        <v>1472</v>
      </c>
      <c r="E3191" s="143">
        <v>2500</v>
      </c>
      <c r="F3191" s="12" t="s">
        <v>2170</v>
      </c>
      <c r="G3191" s="38">
        <v>0.44</v>
      </c>
      <c r="H3191" s="38">
        <f t="shared" si="77"/>
        <v>0.31</v>
      </c>
      <c r="I3191" s="38">
        <v>0.31</v>
      </c>
      <c r="J3191" s="39"/>
      <c r="K3191" s="143"/>
      <c r="L3191" s="22">
        <v>1</v>
      </c>
      <c r="M3191" s="22">
        <v>0</v>
      </c>
      <c r="N3191" s="20" t="s">
        <v>14489</v>
      </c>
      <c r="O3191" s="16">
        <v>0</v>
      </c>
      <c r="P3191" s="143" t="s">
        <v>12555</v>
      </c>
      <c r="Q3191" s="121" t="s">
        <v>14285</v>
      </c>
      <c r="R3191" s="16" t="s">
        <v>8904</v>
      </c>
      <c r="S3191" s="10" t="s">
        <v>194</v>
      </c>
      <c r="T3191" s="28" t="s">
        <v>12151</v>
      </c>
      <c r="U3191" s="20" t="s">
        <v>5359</v>
      </c>
      <c r="V3191" s="16" t="s">
        <v>1470</v>
      </c>
      <c r="W3191" s="11" t="s">
        <v>14433</v>
      </c>
      <c r="X3191" s="174">
        <v>0.25</v>
      </c>
      <c r="Y3191" s="174">
        <v>0.31</v>
      </c>
    </row>
    <row r="3192" spans="1:25" ht="15" customHeight="1" x14ac:dyDescent="0.25">
      <c r="A3192" s="20" t="s">
        <v>1473</v>
      </c>
      <c r="B3192" s="14" t="s">
        <v>1474</v>
      </c>
      <c r="C3192" s="71" t="str">
        <f t="shared" si="75"/>
        <v>Product Info</v>
      </c>
      <c r="D3192" s="37" t="s">
        <v>1475</v>
      </c>
      <c r="E3192" s="143">
        <v>250</v>
      </c>
      <c r="F3192" s="12" t="s">
        <v>2170</v>
      </c>
      <c r="G3192" s="38">
        <v>0.44</v>
      </c>
      <c r="H3192" s="38">
        <f t="shared" si="77"/>
        <v>0.31</v>
      </c>
      <c r="I3192" s="38">
        <v>0.31</v>
      </c>
      <c r="J3192" s="39"/>
      <c r="K3192" s="143"/>
      <c r="L3192" s="22">
        <v>1</v>
      </c>
      <c r="M3192" s="22">
        <v>0</v>
      </c>
      <c r="N3192" s="20" t="s">
        <v>14489</v>
      </c>
      <c r="O3192" s="16">
        <v>0</v>
      </c>
      <c r="P3192" s="143" t="s">
        <v>12555</v>
      </c>
      <c r="Q3192" s="121" t="s">
        <v>14285</v>
      </c>
      <c r="R3192" s="16" t="s">
        <v>8904</v>
      </c>
      <c r="S3192" s="10" t="s">
        <v>194</v>
      </c>
      <c r="T3192" s="28" t="s">
        <v>12152</v>
      </c>
      <c r="U3192" s="20" t="s">
        <v>5359</v>
      </c>
      <c r="V3192" s="16" t="s">
        <v>1473</v>
      </c>
      <c r="W3192" s="11" t="s">
        <v>14433</v>
      </c>
      <c r="X3192" s="174">
        <v>0.25</v>
      </c>
      <c r="Y3192" s="174">
        <v>0.31</v>
      </c>
    </row>
    <row r="3193" spans="1:25" ht="15" customHeight="1" x14ac:dyDescent="0.25">
      <c r="A3193" s="20" t="s">
        <v>1476</v>
      </c>
      <c r="B3193" s="14" t="s">
        <v>1477</v>
      </c>
      <c r="C3193" s="71" t="str">
        <f t="shared" si="75"/>
        <v>Product Info</v>
      </c>
      <c r="D3193" s="37" t="s">
        <v>1478</v>
      </c>
      <c r="E3193" s="143">
        <v>1000</v>
      </c>
      <c r="F3193" s="12" t="s">
        <v>2170</v>
      </c>
      <c r="G3193" s="38">
        <v>0.44</v>
      </c>
      <c r="H3193" s="38">
        <f t="shared" si="77"/>
        <v>0.31</v>
      </c>
      <c r="I3193" s="38">
        <v>0.31</v>
      </c>
      <c r="J3193" s="39"/>
      <c r="K3193" s="143"/>
      <c r="L3193" s="22">
        <v>3.3600000000000001E-3</v>
      </c>
      <c r="M3193" s="22" t="s">
        <v>12488</v>
      </c>
      <c r="N3193" s="20" t="s">
        <v>9548</v>
      </c>
      <c r="O3193" s="16" t="s">
        <v>12608</v>
      </c>
      <c r="P3193" s="143" t="s">
        <v>12555</v>
      </c>
      <c r="Q3193" s="121" t="s">
        <v>14285</v>
      </c>
      <c r="R3193" s="16" t="s">
        <v>8904</v>
      </c>
      <c r="S3193" s="10" t="s">
        <v>194</v>
      </c>
      <c r="T3193" s="28" t="s">
        <v>12153</v>
      </c>
      <c r="U3193" s="20" t="s">
        <v>5359</v>
      </c>
      <c r="V3193" s="16" t="s">
        <v>1476</v>
      </c>
      <c r="W3193" s="11" t="s">
        <v>14433</v>
      </c>
      <c r="X3193" s="174">
        <v>0.25</v>
      </c>
      <c r="Y3193" s="174">
        <v>0.31</v>
      </c>
    </row>
    <row r="3194" spans="1:25" ht="15" customHeight="1" x14ac:dyDescent="0.25">
      <c r="A3194" s="20" t="s">
        <v>1479</v>
      </c>
      <c r="B3194" s="14" t="s">
        <v>1480</v>
      </c>
      <c r="C3194" s="71" t="str">
        <f t="shared" si="75"/>
        <v>Product Info</v>
      </c>
      <c r="D3194" s="37" t="s">
        <v>1481</v>
      </c>
      <c r="E3194" s="143">
        <v>250</v>
      </c>
      <c r="F3194" s="12" t="s">
        <v>2170</v>
      </c>
      <c r="G3194" s="38">
        <v>0.44</v>
      </c>
      <c r="H3194" s="38">
        <f t="shared" si="77"/>
        <v>0.31</v>
      </c>
      <c r="I3194" s="38">
        <v>0.31</v>
      </c>
      <c r="J3194" s="39"/>
      <c r="K3194" s="143"/>
      <c r="L3194" s="22">
        <v>1</v>
      </c>
      <c r="M3194" s="22">
        <v>0</v>
      </c>
      <c r="N3194" s="20" t="s">
        <v>14489</v>
      </c>
      <c r="O3194" s="16">
        <v>0</v>
      </c>
      <c r="P3194" s="143" t="s">
        <v>12555</v>
      </c>
      <c r="Q3194" s="121" t="s">
        <v>14285</v>
      </c>
      <c r="R3194" s="16" t="s">
        <v>8904</v>
      </c>
      <c r="S3194" s="10" t="s">
        <v>194</v>
      </c>
      <c r="T3194" s="28" t="s">
        <v>12154</v>
      </c>
      <c r="U3194" s="20" t="s">
        <v>5359</v>
      </c>
      <c r="V3194" s="16" t="s">
        <v>1479</v>
      </c>
      <c r="W3194" s="11" t="s">
        <v>14433</v>
      </c>
      <c r="X3194" s="174">
        <v>0.25</v>
      </c>
      <c r="Y3194" s="174">
        <v>0.31</v>
      </c>
    </row>
    <row r="3195" spans="1:25" ht="15" customHeight="1" x14ac:dyDescent="0.25">
      <c r="A3195" s="20" t="s">
        <v>1482</v>
      </c>
      <c r="B3195" s="14" t="s">
        <v>1483</v>
      </c>
      <c r="C3195" s="71" t="str">
        <f t="shared" si="75"/>
        <v>Product Info</v>
      </c>
      <c r="D3195" s="37" t="s">
        <v>1484</v>
      </c>
      <c r="E3195" s="143">
        <v>250</v>
      </c>
      <c r="F3195" s="12" t="s">
        <v>2170</v>
      </c>
      <c r="G3195" s="38">
        <v>0.44</v>
      </c>
      <c r="H3195" s="38">
        <f t="shared" si="77"/>
        <v>0.31</v>
      </c>
      <c r="I3195" s="38">
        <v>0.31</v>
      </c>
      <c r="J3195" s="39"/>
      <c r="K3195" s="143"/>
      <c r="L3195" s="22">
        <v>1</v>
      </c>
      <c r="M3195" s="22">
        <v>0</v>
      </c>
      <c r="N3195" s="20" t="s">
        <v>14489</v>
      </c>
      <c r="O3195" s="16">
        <v>0</v>
      </c>
      <c r="P3195" s="143" t="s">
        <v>12555</v>
      </c>
      <c r="Q3195" s="121" t="s">
        <v>14285</v>
      </c>
      <c r="R3195" s="16" t="s">
        <v>8904</v>
      </c>
      <c r="S3195" s="10" t="s">
        <v>194</v>
      </c>
      <c r="T3195" s="28" t="s">
        <v>12155</v>
      </c>
      <c r="U3195" s="20" t="s">
        <v>5359</v>
      </c>
      <c r="V3195" s="16" t="s">
        <v>1482</v>
      </c>
      <c r="W3195" s="11" t="s">
        <v>14433</v>
      </c>
      <c r="X3195" s="174">
        <v>0.25</v>
      </c>
      <c r="Y3195" s="174">
        <v>0.31</v>
      </c>
    </row>
    <row r="3196" spans="1:25" ht="15" customHeight="1" x14ac:dyDescent="0.25">
      <c r="A3196" s="20" t="s">
        <v>7371</v>
      </c>
      <c r="B3196" s="14" t="s">
        <v>7372</v>
      </c>
      <c r="C3196" s="71" t="str">
        <f t="shared" si="75"/>
        <v>Product Info</v>
      </c>
      <c r="D3196" s="37" t="s">
        <v>7373</v>
      </c>
      <c r="E3196" s="143">
        <v>2500</v>
      </c>
      <c r="F3196" s="12" t="s">
        <v>2170</v>
      </c>
      <c r="G3196" s="38">
        <v>0.44</v>
      </c>
      <c r="H3196" s="38">
        <f t="shared" si="77"/>
        <v>0.31</v>
      </c>
      <c r="I3196" s="38">
        <v>0.31</v>
      </c>
      <c r="J3196" s="39"/>
      <c r="K3196" s="143"/>
      <c r="L3196" s="22">
        <v>0</v>
      </c>
      <c r="M3196" s="22">
        <v>0</v>
      </c>
      <c r="N3196" s="20" t="s">
        <v>14489</v>
      </c>
      <c r="O3196" s="16" t="s">
        <v>12608</v>
      </c>
      <c r="P3196" s="143" t="s">
        <v>12555</v>
      </c>
      <c r="Q3196" s="121" t="s">
        <v>14285</v>
      </c>
      <c r="R3196" s="16" t="s">
        <v>8904</v>
      </c>
      <c r="S3196" s="10" t="s">
        <v>194</v>
      </c>
      <c r="T3196" s="28" t="s">
        <v>12156</v>
      </c>
      <c r="U3196" s="20" t="s">
        <v>5359</v>
      </c>
      <c r="V3196" s="16" t="s">
        <v>7371</v>
      </c>
      <c r="W3196" s="11" t="s">
        <v>14433</v>
      </c>
      <c r="X3196" s="174">
        <v>0.25</v>
      </c>
      <c r="Y3196" s="174">
        <v>0.31</v>
      </c>
    </row>
    <row r="3197" spans="1:25" ht="15" customHeight="1" x14ac:dyDescent="0.25">
      <c r="A3197" s="20" t="s">
        <v>7374</v>
      </c>
      <c r="B3197" s="14" t="s">
        <v>7375</v>
      </c>
      <c r="C3197" s="71" t="str">
        <f t="shared" si="75"/>
        <v>Product Info</v>
      </c>
      <c r="D3197" s="37" t="s">
        <v>7376</v>
      </c>
      <c r="E3197" s="143">
        <v>250</v>
      </c>
      <c r="F3197" s="12" t="s">
        <v>2170</v>
      </c>
      <c r="G3197" s="38">
        <v>0.4</v>
      </c>
      <c r="H3197" s="38">
        <f t="shared" si="77"/>
        <v>0.28000000000000003</v>
      </c>
      <c r="I3197" s="38">
        <v>0.28000000000000003</v>
      </c>
      <c r="J3197" s="39"/>
      <c r="K3197" s="143"/>
      <c r="L3197" s="22">
        <v>2.9399999999999999E-3</v>
      </c>
      <c r="M3197" s="22" t="s">
        <v>12488</v>
      </c>
      <c r="N3197" s="20" t="s">
        <v>9554</v>
      </c>
      <c r="O3197" s="16" t="s">
        <v>12608</v>
      </c>
      <c r="P3197" s="143" t="s">
        <v>12555</v>
      </c>
      <c r="Q3197" s="121" t="s">
        <v>14285</v>
      </c>
      <c r="R3197" s="16" t="s">
        <v>8904</v>
      </c>
      <c r="S3197" s="10" t="s">
        <v>194</v>
      </c>
      <c r="T3197" s="28" t="s">
        <v>12157</v>
      </c>
      <c r="U3197" s="20" t="s">
        <v>5359</v>
      </c>
      <c r="V3197" s="16" t="s">
        <v>7374</v>
      </c>
      <c r="W3197" s="11" t="s">
        <v>14433</v>
      </c>
      <c r="X3197" s="174">
        <v>0.22</v>
      </c>
      <c r="Y3197" s="174">
        <v>0.28000000000000003</v>
      </c>
    </row>
    <row r="3198" spans="1:25" ht="15" customHeight="1" x14ac:dyDescent="0.25">
      <c r="A3198" s="20" t="s">
        <v>5111</v>
      </c>
      <c r="B3198" s="14" t="s">
        <v>5112</v>
      </c>
      <c r="C3198" s="71" t="str">
        <f t="shared" si="75"/>
        <v>Product Info</v>
      </c>
      <c r="D3198" s="37" t="s">
        <v>5113</v>
      </c>
      <c r="E3198" s="143">
        <v>1000</v>
      </c>
      <c r="F3198" s="12" t="s">
        <v>2170</v>
      </c>
      <c r="G3198" s="38">
        <v>0.4</v>
      </c>
      <c r="H3198" s="38">
        <f t="shared" si="77"/>
        <v>0.28000000000000003</v>
      </c>
      <c r="I3198" s="38">
        <v>0.28000000000000003</v>
      </c>
      <c r="J3198" s="39"/>
      <c r="K3198" s="143"/>
      <c r="L3198" s="22">
        <v>1</v>
      </c>
      <c r="M3198" s="22">
        <v>0</v>
      </c>
      <c r="N3198" s="20" t="s">
        <v>14489</v>
      </c>
      <c r="O3198" s="16">
        <v>0</v>
      </c>
      <c r="P3198" s="143" t="s">
        <v>12555</v>
      </c>
      <c r="Q3198" s="121" t="s">
        <v>14285</v>
      </c>
      <c r="R3198" s="16" t="s">
        <v>8904</v>
      </c>
      <c r="S3198" s="10" t="s">
        <v>194</v>
      </c>
      <c r="T3198" s="28" t="s">
        <v>12158</v>
      </c>
      <c r="U3198" s="20" t="s">
        <v>5359</v>
      </c>
      <c r="V3198" s="16" t="s">
        <v>5111</v>
      </c>
      <c r="W3198" s="11" t="s">
        <v>14433</v>
      </c>
      <c r="X3198" s="174">
        <v>0.22</v>
      </c>
      <c r="Y3198" s="174">
        <v>0.28000000000000003</v>
      </c>
    </row>
    <row r="3199" spans="1:25" ht="15" customHeight="1" x14ac:dyDescent="0.25">
      <c r="A3199" s="20" t="s">
        <v>5114</v>
      </c>
      <c r="B3199" s="14" t="s">
        <v>5115</v>
      </c>
      <c r="C3199" s="71" t="str">
        <f t="shared" si="75"/>
        <v>Product Info</v>
      </c>
      <c r="D3199" s="37" t="s">
        <v>5116</v>
      </c>
      <c r="E3199" s="143">
        <v>250</v>
      </c>
      <c r="F3199" s="12" t="s">
        <v>2170</v>
      </c>
      <c r="G3199" s="38">
        <v>0.4</v>
      </c>
      <c r="H3199" s="38">
        <f t="shared" si="77"/>
        <v>0.28000000000000003</v>
      </c>
      <c r="I3199" s="38">
        <v>0.28000000000000003</v>
      </c>
      <c r="J3199" s="39"/>
      <c r="K3199" s="143"/>
      <c r="L3199" s="22">
        <v>3.0799999999999998E-3</v>
      </c>
      <c r="M3199" s="22" t="s">
        <v>12488</v>
      </c>
      <c r="N3199" s="20" t="s">
        <v>9555</v>
      </c>
      <c r="O3199" s="16" t="s">
        <v>12608</v>
      </c>
      <c r="P3199" s="143" t="s">
        <v>12555</v>
      </c>
      <c r="Q3199" s="122" t="s">
        <v>12421</v>
      </c>
      <c r="R3199" s="16" t="s">
        <v>8904</v>
      </c>
      <c r="S3199" s="10" t="s">
        <v>194</v>
      </c>
      <c r="T3199" s="28" t="s">
        <v>12159</v>
      </c>
      <c r="U3199" s="20" t="s">
        <v>5359</v>
      </c>
      <c r="V3199" s="16" t="s">
        <v>5114</v>
      </c>
      <c r="W3199" s="11" t="s">
        <v>14433</v>
      </c>
      <c r="X3199" s="174">
        <v>0.22</v>
      </c>
      <c r="Y3199" s="174">
        <v>0.28000000000000003</v>
      </c>
    </row>
    <row r="3200" spans="1:25" ht="15" customHeight="1" x14ac:dyDescent="0.25">
      <c r="A3200" s="20" t="s">
        <v>5117</v>
      </c>
      <c r="B3200" s="14" t="s">
        <v>5118</v>
      </c>
      <c r="C3200" s="71" t="str">
        <f t="shared" si="75"/>
        <v>Product Info</v>
      </c>
      <c r="D3200" s="37" t="s">
        <v>7332</v>
      </c>
      <c r="E3200" s="143">
        <v>1000</v>
      </c>
      <c r="F3200" s="12" t="s">
        <v>2170</v>
      </c>
      <c r="G3200" s="38">
        <v>0.4</v>
      </c>
      <c r="H3200" s="38">
        <f t="shared" si="77"/>
        <v>0.28000000000000003</v>
      </c>
      <c r="I3200" s="38">
        <v>0.28000000000000003</v>
      </c>
      <c r="J3200" s="39"/>
      <c r="K3200" s="143"/>
      <c r="L3200" s="22">
        <v>1.3500000000000001E-3</v>
      </c>
      <c r="M3200" s="22" t="s">
        <v>12488</v>
      </c>
      <c r="N3200" s="20" t="s">
        <v>9550</v>
      </c>
      <c r="O3200" s="16" t="s">
        <v>12608</v>
      </c>
      <c r="P3200" s="143" t="s">
        <v>12555</v>
      </c>
      <c r="Q3200" s="121" t="s">
        <v>14285</v>
      </c>
      <c r="R3200" s="16" t="s">
        <v>8904</v>
      </c>
      <c r="S3200" s="10" t="s">
        <v>194</v>
      </c>
      <c r="T3200" s="28" t="s">
        <v>12160</v>
      </c>
      <c r="U3200" s="20" t="s">
        <v>5359</v>
      </c>
      <c r="V3200" s="16" t="s">
        <v>5117</v>
      </c>
      <c r="W3200" s="11" t="s">
        <v>14433</v>
      </c>
      <c r="X3200" s="174">
        <v>0.22</v>
      </c>
      <c r="Y3200" s="174">
        <v>0.28000000000000003</v>
      </c>
    </row>
    <row r="3201" spans="1:25" ht="15" customHeight="1" x14ac:dyDescent="0.25">
      <c r="A3201" s="20" t="s">
        <v>7333</v>
      </c>
      <c r="B3201" s="14" t="s">
        <v>7334</v>
      </c>
      <c r="C3201" s="71" t="str">
        <f t="shared" si="75"/>
        <v>Product Info</v>
      </c>
      <c r="D3201" s="37" t="s">
        <v>7335</v>
      </c>
      <c r="E3201" s="143">
        <v>2500</v>
      </c>
      <c r="F3201" s="12" t="s">
        <v>2170</v>
      </c>
      <c r="G3201" s="38">
        <v>0.4</v>
      </c>
      <c r="H3201" s="38">
        <f t="shared" si="77"/>
        <v>0.28000000000000003</v>
      </c>
      <c r="I3201" s="38">
        <v>0.28000000000000003</v>
      </c>
      <c r="J3201" s="39"/>
      <c r="K3201" s="143"/>
      <c r="L3201" s="22">
        <v>1</v>
      </c>
      <c r="M3201" s="22">
        <v>0</v>
      </c>
      <c r="N3201" s="20" t="s">
        <v>14489</v>
      </c>
      <c r="O3201" s="16">
        <v>0</v>
      </c>
      <c r="P3201" s="143" t="s">
        <v>12555</v>
      </c>
      <c r="Q3201" s="121" t="s">
        <v>14285</v>
      </c>
      <c r="R3201" s="16" t="s">
        <v>8904</v>
      </c>
      <c r="S3201" s="10" t="s">
        <v>194</v>
      </c>
      <c r="T3201" s="28" t="s">
        <v>12161</v>
      </c>
      <c r="U3201" s="20" t="s">
        <v>5359</v>
      </c>
      <c r="V3201" s="16" t="s">
        <v>7333</v>
      </c>
      <c r="W3201" s="11" t="s">
        <v>14433</v>
      </c>
      <c r="X3201" s="174">
        <v>0.22</v>
      </c>
      <c r="Y3201" s="174">
        <v>0.28000000000000003</v>
      </c>
    </row>
    <row r="3202" spans="1:25" ht="15" customHeight="1" x14ac:dyDescent="0.25">
      <c r="A3202" s="20" t="s">
        <v>1320</v>
      </c>
      <c r="B3202" s="14" t="s">
        <v>1321</v>
      </c>
      <c r="C3202" s="71" t="str">
        <f t="shared" si="75"/>
        <v>Product Info</v>
      </c>
      <c r="D3202" s="37" t="s">
        <v>1322</v>
      </c>
      <c r="E3202" s="143">
        <v>250</v>
      </c>
      <c r="F3202" s="12" t="s">
        <v>2170</v>
      </c>
      <c r="G3202" s="38">
        <v>0.44</v>
      </c>
      <c r="H3202" s="38">
        <f t="shared" si="77"/>
        <v>0.31</v>
      </c>
      <c r="I3202" s="38">
        <v>0.31</v>
      </c>
      <c r="J3202" s="39"/>
      <c r="K3202" s="143"/>
      <c r="L3202" s="22">
        <v>1</v>
      </c>
      <c r="M3202" s="22">
        <v>0</v>
      </c>
      <c r="N3202" s="20" t="s">
        <v>14489</v>
      </c>
      <c r="O3202" s="16">
        <v>0</v>
      </c>
      <c r="P3202" s="143" t="s">
        <v>12555</v>
      </c>
      <c r="Q3202" s="121" t="s">
        <v>14285</v>
      </c>
      <c r="R3202" s="16" t="s">
        <v>8904</v>
      </c>
      <c r="S3202" s="10" t="s">
        <v>194</v>
      </c>
      <c r="T3202" s="28" t="s">
        <v>12162</v>
      </c>
      <c r="U3202" s="20" t="s">
        <v>5359</v>
      </c>
      <c r="V3202" s="16" t="s">
        <v>1320</v>
      </c>
      <c r="W3202" s="11" t="s">
        <v>14433</v>
      </c>
      <c r="X3202" s="174">
        <v>0.25</v>
      </c>
      <c r="Y3202" s="174">
        <v>0.31</v>
      </c>
    </row>
    <row r="3203" spans="1:25" ht="15" customHeight="1" x14ac:dyDescent="0.25">
      <c r="A3203" s="20" t="s">
        <v>1323</v>
      </c>
      <c r="B3203" s="14" t="s">
        <v>1324</v>
      </c>
      <c r="C3203" s="71" t="str">
        <f t="shared" si="75"/>
        <v>Product Info</v>
      </c>
      <c r="D3203" s="37" t="s">
        <v>1325</v>
      </c>
      <c r="E3203" s="143">
        <v>1000</v>
      </c>
      <c r="F3203" s="12" t="s">
        <v>2170</v>
      </c>
      <c r="G3203" s="38">
        <v>0.44</v>
      </c>
      <c r="H3203" s="38">
        <f t="shared" ref="H3203:H3234" si="78">I3203</f>
        <v>0.31</v>
      </c>
      <c r="I3203" s="38">
        <v>0.31</v>
      </c>
      <c r="J3203" s="39"/>
      <c r="K3203" s="143"/>
      <c r="L3203" s="22">
        <v>2.3600000000000001E-3</v>
      </c>
      <c r="M3203" s="22" t="s">
        <v>12488</v>
      </c>
      <c r="N3203" s="20" t="s">
        <v>9548</v>
      </c>
      <c r="O3203" s="16" t="s">
        <v>12608</v>
      </c>
      <c r="P3203" s="143" t="s">
        <v>12555</v>
      </c>
      <c r="Q3203" s="122" t="s">
        <v>12421</v>
      </c>
      <c r="R3203" s="16" t="s">
        <v>8904</v>
      </c>
      <c r="S3203" s="10" t="s">
        <v>194</v>
      </c>
      <c r="T3203" s="28" t="s">
        <v>12163</v>
      </c>
      <c r="U3203" s="20" t="s">
        <v>5359</v>
      </c>
      <c r="V3203" s="16" t="s">
        <v>1323</v>
      </c>
      <c r="W3203" s="11" t="s">
        <v>14433</v>
      </c>
      <c r="X3203" s="174">
        <v>0.25</v>
      </c>
      <c r="Y3203" s="174">
        <v>0.31</v>
      </c>
    </row>
    <row r="3204" spans="1:25" ht="15" customHeight="1" x14ac:dyDescent="0.25">
      <c r="A3204" s="20" t="s">
        <v>1326</v>
      </c>
      <c r="B3204" s="14" t="s">
        <v>1327</v>
      </c>
      <c r="C3204" s="71" t="str">
        <f t="shared" si="75"/>
        <v>Product Info</v>
      </c>
      <c r="D3204" s="37" t="s">
        <v>4144</v>
      </c>
      <c r="E3204" s="143">
        <v>2500</v>
      </c>
      <c r="F3204" s="12" t="s">
        <v>2170</v>
      </c>
      <c r="G3204" s="38">
        <v>0.44</v>
      </c>
      <c r="H3204" s="38">
        <f t="shared" si="78"/>
        <v>0.31</v>
      </c>
      <c r="I3204" s="38">
        <v>0.31</v>
      </c>
      <c r="J3204" s="39"/>
      <c r="K3204" s="143"/>
      <c r="L3204" s="22">
        <v>1</v>
      </c>
      <c r="M3204" s="22">
        <v>0</v>
      </c>
      <c r="N3204" s="20" t="s">
        <v>14489</v>
      </c>
      <c r="O3204" s="16">
        <v>0</v>
      </c>
      <c r="P3204" s="143" t="s">
        <v>12555</v>
      </c>
      <c r="Q3204" s="121" t="s">
        <v>14285</v>
      </c>
      <c r="R3204" s="16" t="s">
        <v>8904</v>
      </c>
      <c r="S3204" s="10" t="s">
        <v>194</v>
      </c>
      <c r="T3204" s="28" t="s">
        <v>12164</v>
      </c>
      <c r="U3204" s="20" t="s">
        <v>5359</v>
      </c>
      <c r="V3204" s="16" t="s">
        <v>1326</v>
      </c>
      <c r="W3204" s="11" t="s">
        <v>14433</v>
      </c>
      <c r="X3204" s="174">
        <v>0.25</v>
      </c>
      <c r="Y3204" s="174">
        <v>0.31</v>
      </c>
    </row>
    <row r="3205" spans="1:25" ht="15" customHeight="1" x14ac:dyDescent="0.25">
      <c r="A3205" s="20" t="s">
        <v>4145</v>
      </c>
      <c r="B3205" s="14" t="s">
        <v>4146</v>
      </c>
      <c r="C3205" s="71" t="str">
        <f t="shared" si="75"/>
        <v>Product Info</v>
      </c>
      <c r="D3205" s="37" t="s">
        <v>4147</v>
      </c>
      <c r="E3205" s="143">
        <v>250</v>
      </c>
      <c r="F3205" s="12" t="s">
        <v>2170</v>
      </c>
      <c r="G3205" s="38">
        <v>0.44</v>
      </c>
      <c r="H3205" s="38">
        <f t="shared" si="78"/>
        <v>0.31</v>
      </c>
      <c r="I3205" s="38">
        <v>0.31</v>
      </c>
      <c r="J3205" s="39"/>
      <c r="K3205" s="143"/>
      <c r="L3205" s="22">
        <v>1</v>
      </c>
      <c r="M3205" s="22">
        <v>0</v>
      </c>
      <c r="N3205" s="20" t="s">
        <v>14489</v>
      </c>
      <c r="O3205" s="16">
        <v>0</v>
      </c>
      <c r="P3205" s="143" t="s">
        <v>12555</v>
      </c>
      <c r="Q3205" s="121" t="s">
        <v>14285</v>
      </c>
      <c r="R3205" s="16" t="s">
        <v>8904</v>
      </c>
      <c r="S3205" s="10" t="s">
        <v>194</v>
      </c>
      <c r="T3205" s="28" t="s">
        <v>12165</v>
      </c>
      <c r="U3205" s="20" t="s">
        <v>5359</v>
      </c>
      <c r="V3205" s="16" t="s">
        <v>4145</v>
      </c>
      <c r="W3205" s="11" t="s">
        <v>14433</v>
      </c>
      <c r="X3205" s="174">
        <v>0.25</v>
      </c>
      <c r="Y3205" s="174">
        <v>0.31</v>
      </c>
    </row>
    <row r="3206" spans="1:25" ht="15" customHeight="1" x14ac:dyDescent="0.25">
      <c r="A3206" s="20" t="s">
        <v>4148</v>
      </c>
      <c r="B3206" s="14" t="s">
        <v>4149</v>
      </c>
      <c r="C3206" s="71" t="str">
        <f t="shared" ref="C3206:C3269" si="79">HYPERLINK(T3206,U3206)</f>
        <v>Product Info</v>
      </c>
      <c r="D3206" s="37" t="s">
        <v>4150</v>
      </c>
      <c r="E3206" s="143">
        <v>250</v>
      </c>
      <c r="F3206" s="12" t="s">
        <v>2170</v>
      </c>
      <c r="G3206" s="38">
        <v>0.44</v>
      </c>
      <c r="H3206" s="38">
        <f t="shared" si="78"/>
        <v>0.31</v>
      </c>
      <c r="I3206" s="38">
        <v>0.31</v>
      </c>
      <c r="J3206" s="39"/>
      <c r="K3206" s="143"/>
      <c r="L3206" s="22">
        <v>1</v>
      </c>
      <c r="M3206" s="22">
        <v>0</v>
      </c>
      <c r="N3206" s="20" t="s">
        <v>14489</v>
      </c>
      <c r="O3206" s="16">
        <v>0</v>
      </c>
      <c r="P3206" s="143" t="s">
        <v>12555</v>
      </c>
      <c r="Q3206" s="121" t="s">
        <v>14285</v>
      </c>
      <c r="R3206" s="16" t="s">
        <v>8904</v>
      </c>
      <c r="S3206" s="10" t="s">
        <v>194</v>
      </c>
      <c r="T3206" s="28" t="s">
        <v>12166</v>
      </c>
      <c r="U3206" s="20" t="s">
        <v>5359</v>
      </c>
      <c r="V3206" s="16" t="s">
        <v>4148</v>
      </c>
      <c r="W3206" s="11" t="s">
        <v>14433</v>
      </c>
      <c r="X3206" s="174">
        <v>0.25</v>
      </c>
      <c r="Y3206" s="174">
        <v>0.31</v>
      </c>
    </row>
    <row r="3207" spans="1:25" ht="15" customHeight="1" x14ac:dyDescent="0.25">
      <c r="A3207" s="20" t="s">
        <v>4151</v>
      </c>
      <c r="B3207" s="14" t="s">
        <v>4152</v>
      </c>
      <c r="C3207" s="71" t="str">
        <f t="shared" si="79"/>
        <v>Product Info</v>
      </c>
      <c r="D3207" s="37" t="s">
        <v>4153</v>
      </c>
      <c r="E3207" s="143">
        <v>2500</v>
      </c>
      <c r="F3207" s="12" t="s">
        <v>2170</v>
      </c>
      <c r="G3207" s="38">
        <v>0.44</v>
      </c>
      <c r="H3207" s="38">
        <f t="shared" si="78"/>
        <v>0.31</v>
      </c>
      <c r="I3207" s="38">
        <v>0.31</v>
      </c>
      <c r="J3207" s="39"/>
      <c r="K3207" s="143"/>
      <c r="L3207" s="22">
        <v>1</v>
      </c>
      <c r="M3207" s="22">
        <v>0</v>
      </c>
      <c r="N3207" s="20" t="s">
        <v>14489</v>
      </c>
      <c r="O3207" s="16" t="s">
        <v>13914</v>
      </c>
      <c r="P3207" s="143" t="s">
        <v>12555</v>
      </c>
      <c r="Q3207" s="121" t="s">
        <v>14285</v>
      </c>
      <c r="R3207" s="16" t="s">
        <v>8904</v>
      </c>
      <c r="S3207" s="10" t="s">
        <v>194</v>
      </c>
      <c r="T3207" s="28" t="s">
        <v>12167</v>
      </c>
      <c r="U3207" s="20" t="s">
        <v>5359</v>
      </c>
      <c r="V3207" s="16" t="s">
        <v>4151</v>
      </c>
      <c r="W3207" s="11" t="s">
        <v>14433</v>
      </c>
      <c r="X3207" s="174">
        <v>0.25</v>
      </c>
      <c r="Y3207" s="174">
        <v>0.31</v>
      </c>
    </row>
    <row r="3208" spans="1:25" ht="15" customHeight="1" x14ac:dyDescent="0.25">
      <c r="A3208" s="20" t="s">
        <v>4154</v>
      </c>
      <c r="B3208" s="14" t="s">
        <v>4155</v>
      </c>
      <c r="C3208" s="71" t="str">
        <f t="shared" si="79"/>
        <v>Product Info</v>
      </c>
      <c r="D3208" s="37" t="s">
        <v>4156</v>
      </c>
      <c r="E3208" s="143">
        <v>250</v>
      </c>
      <c r="F3208" s="12" t="s">
        <v>2170</v>
      </c>
      <c r="G3208" s="38">
        <v>1.06</v>
      </c>
      <c r="H3208" s="38">
        <f t="shared" si="78"/>
        <v>0.74</v>
      </c>
      <c r="I3208" s="38">
        <v>0.74</v>
      </c>
      <c r="J3208" s="39"/>
      <c r="K3208" s="143"/>
      <c r="L3208" s="22">
        <v>4.4000000000000003E-3</v>
      </c>
      <c r="M3208" s="22" t="s">
        <v>12488</v>
      </c>
      <c r="N3208" s="20" t="s">
        <v>9556</v>
      </c>
      <c r="O3208" s="16" t="s">
        <v>12608</v>
      </c>
      <c r="P3208" s="143" t="s">
        <v>12555</v>
      </c>
      <c r="Q3208" s="121" t="s">
        <v>14285</v>
      </c>
      <c r="R3208" s="16" t="s">
        <v>8904</v>
      </c>
      <c r="S3208" s="10" t="s">
        <v>194</v>
      </c>
      <c r="T3208" s="28" t="s">
        <v>12168</v>
      </c>
      <c r="U3208" s="20" t="s">
        <v>5359</v>
      </c>
      <c r="V3208" s="16" t="s">
        <v>4154</v>
      </c>
      <c r="W3208" s="11" t="s">
        <v>14433</v>
      </c>
      <c r="X3208" s="174">
        <v>0.57999999999999996</v>
      </c>
      <c r="Y3208" s="174">
        <v>0.74</v>
      </c>
    </row>
    <row r="3209" spans="1:25" ht="15" customHeight="1" x14ac:dyDescent="0.25">
      <c r="A3209" s="20" t="s">
        <v>4157</v>
      </c>
      <c r="B3209" s="14" t="s">
        <v>4158</v>
      </c>
      <c r="C3209" s="71" t="str">
        <f t="shared" si="79"/>
        <v>Product Info</v>
      </c>
      <c r="D3209" s="37" t="s">
        <v>4159</v>
      </c>
      <c r="E3209" s="143">
        <v>1000</v>
      </c>
      <c r="F3209" s="12" t="s">
        <v>2170</v>
      </c>
      <c r="G3209" s="38">
        <v>1.06</v>
      </c>
      <c r="H3209" s="38">
        <f t="shared" si="78"/>
        <v>0.74</v>
      </c>
      <c r="I3209" s="38">
        <v>0.74</v>
      </c>
      <c r="J3209" s="39"/>
      <c r="K3209" s="143"/>
      <c r="L3209" s="22">
        <v>1</v>
      </c>
      <c r="M3209" s="22">
        <v>0</v>
      </c>
      <c r="N3209" s="20" t="s">
        <v>14489</v>
      </c>
      <c r="O3209" s="16">
        <v>0</v>
      </c>
      <c r="P3209" s="143" t="s">
        <v>12555</v>
      </c>
      <c r="Q3209" s="121" t="s">
        <v>14285</v>
      </c>
      <c r="R3209" s="16" t="s">
        <v>8904</v>
      </c>
      <c r="S3209" s="10" t="s">
        <v>194</v>
      </c>
      <c r="T3209" s="28" t="s">
        <v>12169</v>
      </c>
      <c r="U3209" s="20" t="s">
        <v>5359</v>
      </c>
      <c r="V3209" s="16" t="s">
        <v>4157</v>
      </c>
      <c r="W3209" s="11" t="s">
        <v>14433</v>
      </c>
      <c r="X3209" s="174">
        <v>0.57999999999999996</v>
      </c>
      <c r="Y3209" s="174">
        <v>0.74</v>
      </c>
    </row>
    <row r="3210" spans="1:25" ht="15" customHeight="1" x14ac:dyDescent="0.25">
      <c r="A3210" s="20" t="s">
        <v>4160</v>
      </c>
      <c r="B3210" s="14" t="s">
        <v>4161</v>
      </c>
      <c r="C3210" s="71" t="str">
        <f t="shared" si="79"/>
        <v>Product Info</v>
      </c>
      <c r="D3210" s="37" t="s">
        <v>3239</v>
      </c>
      <c r="E3210" s="143">
        <v>250</v>
      </c>
      <c r="F3210" s="12" t="s">
        <v>2170</v>
      </c>
      <c r="G3210" s="38">
        <v>1.06</v>
      </c>
      <c r="H3210" s="38">
        <f t="shared" si="78"/>
        <v>0.74</v>
      </c>
      <c r="I3210" s="38">
        <v>0.74</v>
      </c>
      <c r="J3210" s="39"/>
      <c r="K3210" s="143"/>
      <c r="L3210" s="22">
        <v>4.3E-3</v>
      </c>
      <c r="M3210" s="22" t="s">
        <v>12488</v>
      </c>
      <c r="N3210" s="20" t="s">
        <v>9556</v>
      </c>
      <c r="O3210" s="16" t="s">
        <v>12608</v>
      </c>
      <c r="P3210" s="143" t="s">
        <v>12555</v>
      </c>
      <c r="Q3210" s="122" t="s">
        <v>12421</v>
      </c>
      <c r="R3210" s="16" t="s">
        <v>8904</v>
      </c>
      <c r="S3210" s="10" t="s">
        <v>194</v>
      </c>
      <c r="T3210" s="28" t="s">
        <v>12170</v>
      </c>
      <c r="U3210" s="20" t="s">
        <v>5359</v>
      </c>
      <c r="V3210" s="16" t="s">
        <v>4160</v>
      </c>
      <c r="W3210" s="11" t="s">
        <v>14433</v>
      </c>
      <c r="X3210" s="174">
        <v>0.57999999999999996</v>
      </c>
      <c r="Y3210" s="174">
        <v>0.74</v>
      </c>
    </row>
    <row r="3211" spans="1:25" ht="15" customHeight="1" x14ac:dyDescent="0.25">
      <c r="A3211" s="20" t="s">
        <v>3240</v>
      </c>
      <c r="B3211" s="14" t="s">
        <v>3241</v>
      </c>
      <c r="C3211" s="71" t="str">
        <f t="shared" si="79"/>
        <v>Product Info</v>
      </c>
      <c r="D3211" s="37" t="s">
        <v>3242</v>
      </c>
      <c r="E3211" s="143">
        <v>1000</v>
      </c>
      <c r="F3211" s="12" t="s">
        <v>2170</v>
      </c>
      <c r="G3211" s="38">
        <v>1.06</v>
      </c>
      <c r="H3211" s="38">
        <f t="shared" si="78"/>
        <v>0.74</v>
      </c>
      <c r="I3211" s="38">
        <v>0.74</v>
      </c>
      <c r="J3211" s="39"/>
      <c r="K3211" s="143"/>
      <c r="L3211" s="22">
        <v>4.5999999999999996</v>
      </c>
      <c r="M3211" s="22" t="s">
        <v>12488</v>
      </c>
      <c r="N3211" s="20" t="s">
        <v>9545</v>
      </c>
      <c r="O3211" s="16" t="s">
        <v>12608</v>
      </c>
      <c r="P3211" s="143" t="s">
        <v>12555</v>
      </c>
      <c r="Q3211" s="122" t="s">
        <v>12421</v>
      </c>
      <c r="R3211" s="16" t="s">
        <v>8904</v>
      </c>
      <c r="S3211" s="10" t="s">
        <v>194</v>
      </c>
      <c r="T3211" s="28" t="s">
        <v>12171</v>
      </c>
      <c r="U3211" s="20" t="s">
        <v>5359</v>
      </c>
      <c r="V3211" s="16" t="s">
        <v>3240</v>
      </c>
      <c r="W3211" s="11" t="s">
        <v>14433</v>
      </c>
      <c r="X3211" s="174">
        <v>0.57999999999999996</v>
      </c>
      <c r="Y3211" s="174">
        <v>0.74</v>
      </c>
    </row>
    <row r="3212" spans="1:25" ht="15" customHeight="1" x14ac:dyDescent="0.25">
      <c r="A3212" s="20" t="s">
        <v>3236</v>
      </c>
      <c r="B3212" s="14" t="s">
        <v>3237</v>
      </c>
      <c r="C3212" s="71" t="str">
        <f t="shared" si="79"/>
        <v>Product Info</v>
      </c>
      <c r="D3212" s="37" t="s">
        <v>3238</v>
      </c>
      <c r="E3212" s="143">
        <v>1000</v>
      </c>
      <c r="F3212" s="12" t="s">
        <v>2170</v>
      </c>
      <c r="G3212" s="38">
        <v>1.1399999999999999</v>
      </c>
      <c r="H3212" s="38">
        <f t="shared" si="78"/>
        <v>0.8</v>
      </c>
      <c r="I3212" s="38">
        <v>0.8</v>
      </c>
      <c r="J3212" s="39"/>
      <c r="K3212" s="143"/>
      <c r="L3212" s="22">
        <v>1</v>
      </c>
      <c r="M3212" s="22">
        <v>0</v>
      </c>
      <c r="N3212" s="20" t="s">
        <v>14489</v>
      </c>
      <c r="O3212" s="16">
        <v>0</v>
      </c>
      <c r="P3212" s="143" t="s">
        <v>12555</v>
      </c>
      <c r="Q3212" s="121" t="s">
        <v>14285</v>
      </c>
      <c r="R3212" s="16" t="s">
        <v>8904</v>
      </c>
      <c r="S3212" s="10" t="s">
        <v>194</v>
      </c>
      <c r="T3212" s="28" t="s">
        <v>12172</v>
      </c>
      <c r="U3212" s="20" t="s">
        <v>5359</v>
      </c>
      <c r="V3212" s="16" t="s">
        <v>3236</v>
      </c>
      <c r="W3212" s="11" t="s">
        <v>14433</v>
      </c>
      <c r="X3212" s="174">
        <v>0.62</v>
      </c>
      <c r="Y3212" s="174">
        <v>0.8</v>
      </c>
    </row>
    <row r="3213" spans="1:25" ht="15" customHeight="1" x14ac:dyDescent="0.25">
      <c r="A3213" s="20" t="s">
        <v>2656</v>
      </c>
      <c r="B3213" s="14" t="s">
        <v>2657</v>
      </c>
      <c r="C3213" s="71" t="str">
        <f t="shared" si="79"/>
        <v>Product Info</v>
      </c>
      <c r="D3213" s="37" t="s">
        <v>2658</v>
      </c>
      <c r="E3213" s="143">
        <v>250</v>
      </c>
      <c r="F3213" s="12" t="s">
        <v>2170</v>
      </c>
      <c r="G3213" s="38">
        <v>1.1399999999999999</v>
      </c>
      <c r="H3213" s="38">
        <f t="shared" si="78"/>
        <v>0.8</v>
      </c>
      <c r="I3213" s="38">
        <v>0.8</v>
      </c>
      <c r="J3213" s="39"/>
      <c r="K3213" s="143"/>
      <c r="L3213" s="22">
        <v>1</v>
      </c>
      <c r="M3213" s="22">
        <v>0</v>
      </c>
      <c r="N3213" s="20" t="s">
        <v>14489</v>
      </c>
      <c r="O3213" s="16">
        <v>0</v>
      </c>
      <c r="P3213" s="143" t="s">
        <v>12555</v>
      </c>
      <c r="Q3213" s="121" t="s">
        <v>14285</v>
      </c>
      <c r="R3213" s="16" t="s">
        <v>8904</v>
      </c>
      <c r="S3213" s="10" t="s">
        <v>194</v>
      </c>
      <c r="T3213" s="28" t="s">
        <v>12173</v>
      </c>
      <c r="U3213" s="20" t="s">
        <v>5359</v>
      </c>
      <c r="V3213" s="16" t="s">
        <v>2656</v>
      </c>
      <c r="W3213" s="11" t="s">
        <v>14433</v>
      </c>
      <c r="X3213" s="174">
        <v>0.62</v>
      </c>
      <c r="Y3213" s="174">
        <v>0.8</v>
      </c>
    </row>
    <row r="3214" spans="1:25" s="95" customFormat="1" ht="15" customHeight="1" x14ac:dyDescent="0.3">
      <c r="A3214" s="20" t="s">
        <v>5301</v>
      </c>
      <c r="B3214" s="14" t="s">
        <v>5302</v>
      </c>
      <c r="C3214" s="71" t="str">
        <f t="shared" si="79"/>
        <v>Product Info</v>
      </c>
      <c r="D3214" s="37" t="s">
        <v>5303</v>
      </c>
      <c r="E3214" s="143">
        <v>250</v>
      </c>
      <c r="F3214" s="12" t="s">
        <v>2170</v>
      </c>
      <c r="G3214" s="38">
        <v>1.1399999999999999</v>
      </c>
      <c r="H3214" s="38">
        <f t="shared" si="78"/>
        <v>0.8</v>
      </c>
      <c r="I3214" s="38">
        <v>0.8</v>
      </c>
      <c r="J3214" s="39"/>
      <c r="K3214" s="143"/>
      <c r="L3214" s="22">
        <v>1</v>
      </c>
      <c r="M3214" s="22">
        <v>0</v>
      </c>
      <c r="N3214" s="20" t="s">
        <v>14489</v>
      </c>
      <c r="O3214" s="16">
        <v>0</v>
      </c>
      <c r="P3214" s="143" t="s">
        <v>12555</v>
      </c>
      <c r="Q3214" s="121" t="s">
        <v>14285</v>
      </c>
      <c r="R3214" s="16" t="s">
        <v>8904</v>
      </c>
      <c r="S3214" s="10" t="s">
        <v>194</v>
      </c>
      <c r="T3214" s="28" t="s">
        <v>12174</v>
      </c>
      <c r="U3214" s="20" t="s">
        <v>5359</v>
      </c>
      <c r="V3214" s="16" t="s">
        <v>5301</v>
      </c>
      <c r="W3214" s="11" t="s">
        <v>14433</v>
      </c>
      <c r="X3214" s="174">
        <v>0.62</v>
      </c>
      <c r="Y3214" s="174">
        <v>0.8</v>
      </c>
    </row>
    <row r="3215" spans="1:25" ht="15" customHeight="1" x14ac:dyDescent="0.25">
      <c r="A3215" s="20" t="s">
        <v>5304</v>
      </c>
      <c r="B3215" s="14" t="s">
        <v>5305</v>
      </c>
      <c r="C3215" s="71" t="str">
        <f t="shared" si="79"/>
        <v>Product Info</v>
      </c>
      <c r="D3215" s="37" t="s">
        <v>5306</v>
      </c>
      <c r="E3215" s="143">
        <v>250</v>
      </c>
      <c r="F3215" s="12" t="s">
        <v>2170</v>
      </c>
      <c r="G3215" s="38">
        <v>1.46</v>
      </c>
      <c r="H3215" s="38">
        <f t="shared" si="78"/>
        <v>1.02</v>
      </c>
      <c r="I3215" s="38">
        <v>1.02</v>
      </c>
      <c r="J3215" s="39"/>
      <c r="K3215" s="143"/>
      <c r="L3215" s="22">
        <v>6.2399999999999999E-3</v>
      </c>
      <c r="M3215" s="22" t="s">
        <v>12488</v>
      </c>
      <c r="N3215" s="20" t="s">
        <v>9549</v>
      </c>
      <c r="O3215" s="16" t="s">
        <v>12608</v>
      </c>
      <c r="P3215" s="143" t="s">
        <v>12555</v>
      </c>
      <c r="Q3215" s="121" t="s">
        <v>14285</v>
      </c>
      <c r="R3215" s="16" t="s">
        <v>8904</v>
      </c>
      <c r="S3215" s="10" t="s">
        <v>194</v>
      </c>
      <c r="T3215" s="28" t="s">
        <v>12175</v>
      </c>
      <c r="U3215" s="20" t="s">
        <v>5359</v>
      </c>
      <c r="V3215" s="16" t="s">
        <v>5304</v>
      </c>
      <c r="W3215" s="11" t="s">
        <v>14433</v>
      </c>
      <c r="X3215" s="174">
        <v>0.79</v>
      </c>
      <c r="Y3215" s="174">
        <v>1.02</v>
      </c>
    </row>
    <row r="3216" spans="1:25" s="95" customFormat="1" ht="15" customHeight="1" x14ac:dyDescent="0.3">
      <c r="A3216" s="20" t="s">
        <v>5307</v>
      </c>
      <c r="B3216" s="14" t="s">
        <v>5308</v>
      </c>
      <c r="C3216" s="71" t="str">
        <f t="shared" si="79"/>
        <v>Product Info</v>
      </c>
      <c r="D3216" s="37" t="s">
        <v>5309</v>
      </c>
      <c r="E3216" s="143">
        <v>1000</v>
      </c>
      <c r="F3216" s="12" t="s">
        <v>2170</v>
      </c>
      <c r="G3216" s="38">
        <v>1.46</v>
      </c>
      <c r="H3216" s="38">
        <f t="shared" si="78"/>
        <v>1.02</v>
      </c>
      <c r="I3216" s="38">
        <v>1.02</v>
      </c>
      <c r="J3216" s="39"/>
      <c r="K3216" s="143"/>
      <c r="L3216" s="22">
        <v>6.4999999999999997E-3</v>
      </c>
      <c r="M3216" s="22" t="s">
        <v>14396</v>
      </c>
      <c r="N3216" s="20" t="s">
        <v>9557</v>
      </c>
      <c r="O3216" s="16" t="s">
        <v>13914</v>
      </c>
      <c r="P3216" s="143" t="s">
        <v>12555</v>
      </c>
      <c r="Q3216" s="121" t="s">
        <v>14285</v>
      </c>
      <c r="R3216" s="16" t="s">
        <v>8904</v>
      </c>
      <c r="S3216" s="10" t="s">
        <v>194</v>
      </c>
      <c r="T3216" s="28" t="s">
        <v>12176</v>
      </c>
      <c r="U3216" s="20" t="s">
        <v>5359</v>
      </c>
      <c r="V3216" s="16" t="s">
        <v>5307</v>
      </c>
      <c r="W3216" s="11" t="s">
        <v>14433</v>
      </c>
      <c r="X3216" s="174">
        <v>0.79</v>
      </c>
      <c r="Y3216" s="174">
        <v>1.02</v>
      </c>
    </row>
    <row r="3217" spans="1:25" ht="15" customHeight="1" x14ac:dyDescent="0.25">
      <c r="A3217" s="20" t="s">
        <v>5310</v>
      </c>
      <c r="B3217" s="14" t="s">
        <v>5311</v>
      </c>
      <c r="C3217" s="71" t="str">
        <f t="shared" si="79"/>
        <v>Product Info</v>
      </c>
      <c r="D3217" s="37" t="s">
        <v>5312</v>
      </c>
      <c r="E3217" s="143">
        <v>250</v>
      </c>
      <c r="F3217" s="12" t="s">
        <v>2170</v>
      </c>
      <c r="G3217" s="38">
        <v>1.46</v>
      </c>
      <c r="H3217" s="38">
        <f t="shared" si="78"/>
        <v>1.02</v>
      </c>
      <c r="I3217" s="38">
        <v>1.02</v>
      </c>
      <c r="J3217" s="39"/>
      <c r="K3217" s="143"/>
      <c r="L3217" s="22">
        <v>6.4200000000000004E-3</v>
      </c>
      <c r="M3217" s="22" t="s">
        <v>12488</v>
      </c>
      <c r="N3217" s="20" t="s">
        <v>9558</v>
      </c>
      <c r="O3217" s="16" t="s">
        <v>12608</v>
      </c>
      <c r="P3217" s="143" t="s">
        <v>12555</v>
      </c>
      <c r="Q3217" s="122" t="s">
        <v>12421</v>
      </c>
      <c r="R3217" s="16" t="s">
        <v>8904</v>
      </c>
      <c r="S3217" s="10" t="s">
        <v>194</v>
      </c>
      <c r="T3217" s="28" t="s">
        <v>12177</v>
      </c>
      <c r="U3217" s="20" t="s">
        <v>5359</v>
      </c>
      <c r="V3217" s="16" t="s">
        <v>5310</v>
      </c>
      <c r="W3217" s="11" t="s">
        <v>14433</v>
      </c>
      <c r="X3217" s="174">
        <v>0.79</v>
      </c>
      <c r="Y3217" s="174">
        <v>1.02</v>
      </c>
    </row>
    <row r="3218" spans="1:25" ht="15" customHeight="1" x14ac:dyDescent="0.25">
      <c r="A3218" s="20" t="s">
        <v>5313</v>
      </c>
      <c r="B3218" s="14" t="s">
        <v>5055</v>
      </c>
      <c r="C3218" s="71" t="str">
        <f t="shared" si="79"/>
        <v>Product Info</v>
      </c>
      <c r="D3218" s="37" t="s">
        <v>5056</v>
      </c>
      <c r="E3218" s="143">
        <v>1000</v>
      </c>
      <c r="F3218" s="12" t="s">
        <v>2170</v>
      </c>
      <c r="G3218" s="38">
        <v>1.46</v>
      </c>
      <c r="H3218" s="38">
        <f t="shared" si="78"/>
        <v>1.02</v>
      </c>
      <c r="I3218" s="38">
        <v>1.02</v>
      </c>
      <c r="J3218" s="39"/>
      <c r="K3218" s="143"/>
      <c r="L3218" s="22">
        <v>6.0000000000000001E-3</v>
      </c>
      <c r="M3218" s="22" t="s">
        <v>12488</v>
      </c>
      <c r="N3218" s="20" t="s">
        <v>9559</v>
      </c>
      <c r="O3218" s="16" t="s">
        <v>12608</v>
      </c>
      <c r="P3218" s="143" t="s">
        <v>12555</v>
      </c>
      <c r="Q3218" s="121" t="s">
        <v>14285</v>
      </c>
      <c r="R3218" s="16" t="s">
        <v>8904</v>
      </c>
      <c r="S3218" s="10" t="s">
        <v>194</v>
      </c>
      <c r="T3218" s="28" t="s">
        <v>12178</v>
      </c>
      <c r="U3218" s="20" t="s">
        <v>5359</v>
      </c>
      <c r="V3218" s="16" t="s">
        <v>5313</v>
      </c>
      <c r="W3218" s="11" t="s">
        <v>14433</v>
      </c>
      <c r="X3218" s="174">
        <v>0.79</v>
      </c>
      <c r="Y3218" s="174">
        <v>1.02</v>
      </c>
    </row>
    <row r="3219" spans="1:25" ht="15" customHeight="1" x14ac:dyDescent="0.25">
      <c r="A3219" s="20" t="s">
        <v>5057</v>
      </c>
      <c r="B3219" s="14" t="s">
        <v>5058</v>
      </c>
      <c r="C3219" s="71" t="str">
        <f t="shared" si="79"/>
        <v>Product Info</v>
      </c>
      <c r="D3219" s="37" t="s">
        <v>5059</v>
      </c>
      <c r="E3219" s="143">
        <v>250</v>
      </c>
      <c r="F3219" s="12" t="s">
        <v>2170</v>
      </c>
      <c r="G3219" s="38">
        <v>1.6</v>
      </c>
      <c r="H3219" s="38">
        <f t="shared" si="78"/>
        <v>1.1200000000000001</v>
      </c>
      <c r="I3219" s="38">
        <v>1.1200000000000001</v>
      </c>
      <c r="J3219" s="39"/>
      <c r="K3219" s="143"/>
      <c r="L3219" s="22">
        <v>1</v>
      </c>
      <c r="M3219" s="22">
        <v>0</v>
      </c>
      <c r="N3219" s="20" t="s">
        <v>14489</v>
      </c>
      <c r="O3219" s="16">
        <v>0</v>
      </c>
      <c r="P3219" s="143" t="s">
        <v>12555</v>
      </c>
      <c r="Q3219" s="121" t="s">
        <v>14285</v>
      </c>
      <c r="R3219" s="16" t="s">
        <v>8904</v>
      </c>
      <c r="S3219" s="10" t="s">
        <v>194</v>
      </c>
      <c r="T3219" s="28" t="s">
        <v>12179</v>
      </c>
      <c r="U3219" s="20" t="s">
        <v>5359</v>
      </c>
      <c r="V3219" s="16" t="s">
        <v>5057</v>
      </c>
      <c r="W3219" s="11" t="s">
        <v>14433</v>
      </c>
      <c r="X3219" s="174">
        <v>0.87</v>
      </c>
      <c r="Y3219" s="174">
        <v>1.1200000000000001</v>
      </c>
    </row>
    <row r="3220" spans="1:25" ht="15" customHeight="1" x14ac:dyDescent="0.25">
      <c r="A3220" s="20" t="s">
        <v>5060</v>
      </c>
      <c r="B3220" s="14" t="s">
        <v>2695</v>
      </c>
      <c r="C3220" s="71" t="str">
        <f t="shared" si="79"/>
        <v>Product Info</v>
      </c>
      <c r="D3220" s="37" t="s">
        <v>2696</v>
      </c>
      <c r="E3220" s="143">
        <v>250</v>
      </c>
      <c r="F3220" s="12" t="s">
        <v>2170</v>
      </c>
      <c r="G3220" s="38">
        <v>1.6</v>
      </c>
      <c r="H3220" s="38">
        <f t="shared" si="78"/>
        <v>1.1200000000000001</v>
      </c>
      <c r="I3220" s="38">
        <v>1.1200000000000001</v>
      </c>
      <c r="J3220" s="39"/>
      <c r="K3220" s="143"/>
      <c r="L3220" s="22">
        <v>1</v>
      </c>
      <c r="M3220" s="22">
        <v>0</v>
      </c>
      <c r="N3220" s="20" t="s">
        <v>14489</v>
      </c>
      <c r="O3220" s="16">
        <v>0</v>
      </c>
      <c r="P3220" s="143" t="s">
        <v>12555</v>
      </c>
      <c r="Q3220" s="121" t="s">
        <v>14285</v>
      </c>
      <c r="R3220" s="16" t="s">
        <v>8904</v>
      </c>
      <c r="S3220" s="10" t="s">
        <v>194</v>
      </c>
      <c r="T3220" s="28" t="s">
        <v>12180</v>
      </c>
      <c r="U3220" s="20" t="s">
        <v>5359</v>
      </c>
      <c r="V3220" s="16" t="s">
        <v>5060</v>
      </c>
      <c r="W3220" s="11" t="s">
        <v>14433</v>
      </c>
      <c r="X3220" s="174">
        <v>0.87</v>
      </c>
      <c r="Y3220" s="174">
        <v>1.1200000000000001</v>
      </c>
    </row>
    <row r="3221" spans="1:25" s="95" customFormat="1" ht="15" customHeight="1" x14ac:dyDescent="0.3">
      <c r="A3221" s="20" t="s">
        <v>3263</v>
      </c>
      <c r="B3221" s="14" t="s">
        <v>5931</v>
      </c>
      <c r="C3221" s="71" t="str">
        <f t="shared" si="79"/>
        <v>Product Info</v>
      </c>
      <c r="D3221" s="37" t="s">
        <v>5932</v>
      </c>
      <c r="E3221" s="143">
        <v>250</v>
      </c>
      <c r="F3221" s="12" t="s">
        <v>2170</v>
      </c>
      <c r="G3221" s="38">
        <v>1.6</v>
      </c>
      <c r="H3221" s="38">
        <f t="shared" si="78"/>
        <v>1.1200000000000001</v>
      </c>
      <c r="I3221" s="38">
        <v>1.1200000000000001</v>
      </c>
      <c r="J3221" s="39"/>
      <c r="K3221" s="143"/>
      <c r="L3221" s="22">
        <v>1</v>
      </c>
      <c r="M3221" s="22">
        <v>0</v>
      </c>
      <c r="N3221" s="20" t="s">
        <v>14489</v>
      </c>
      <c r="O3221" s="16">
        <v>0</v>
      </c>
      <c r="P3221" s="143" t="s">
        <v>12555</v>
      </c>
      <c r="Q3221" s="121" t="s">
        <v>14285</v>
      </c>
      <c r="R3221" s="16" t="s">
        <v>8904</v>
      </c>
      <c r="S3221" s="10" t="s">
        <v>194</v>
      </c>
      <c r="T3221" s="28" t="s">
        <v>12181</v>
      </c>
      <c r="U3221" s="20" t="s">
        <v>5359</v>
      </c>
      <c r="V3221" s="16" t="s">
        <v>3263</v>
      </c>
      <c r="W3221" s="11" t="s">
        <v>14433</v>
      </c>
      <c r="X3221" s="174">
        <v>0.87</v>
      </c>
      <c r="Y3221" s="174">
        <v>1.1200000000000001</v>
      </c>
    </row>
    <row r="3222" spans="1:25" s="95" customFormat="1" ht="15" customHeight="1" x14ac:dyDescent="0.3">
      <c r="A3222" s="20" t="s">
        <v>5933</v>
      </c>
      <c r="B3222" s="14" t="s">
        <v>5934</v>
      </c>
      <c r="C3222" s="71" t="str">
        <f t="shared" si="79"/>
        <v>Product Info</v>
      </c>
      <c r="D3222" s="37" t="s">
        <v>5935</v>
      </c>
      <c r="E3222" s="143">
        <v>1</v>
      </c>
      <c r="F3222" s="12" t="s">
        <v>2170</v>
      </c>
      <c r="G3222" s="38">
        <v>66.66</v>
      </c>
      <c r="H3222" s="38">
        <f t="shared" si="78"/>
        <v>46.66</v>
      </c>
      <c r="I3222" s="38">
        <v>46.66</v>
      </c>
      <c r="J3222" s="39"/>
      <c r="K3222" s="143"/>
      <c r="L3222" s="22">
        <v>0.22</v>
      </c>
      <c r="M3222" s="22" t="s">
        <v>12488</v>
      </c>
      <c r="N3222" s="20" t="s">
        <v>8873</v>
      </c>
      <c r="O3222" s="16" t="s">
        <v>12608</v>
      </c>
      <c r="P3222" s="143" t="s">
        <v>12555</v>
      </c>
      <c r="Q3222" s="121" t="s">
        <v>14285</v>
      </c>
      <c r="R3222" s="16" t="s">
        <v>8904</v>
      </c>
      <c r="S3222" s="10" t="s">
        <v>194</v>
      </c>
      <c r="T3222" s="28" t="s">
        <v>12182</v>
      </c>
      <c r="U3222" s="20" t="s">
        <v>5359</v>
      </c>
      <c r="V3222" s="16" t="s">
        <v>5933</v>
      </c>
      <c r="W3222" s="11" t="s">
        <v>14433</v>
      </c>
      <c r="X3222" s="174">
        <v>36.409999999999997</v>
      </c>
      <c r="Y3222" s="174">
        <v>46.66</v>
      </c>
    </row>
    <row r="3223" spans="1:25" s="95" customFormat="1" ht="15" customHeight="1" x14ac:dyDescent="0.3">
      <c r="A3223" s="20" t="s">
        <v>5936</v>
      </c>
      <c r="B3223" s="14" t="s">
        <v>5937</v>
      </c>
      <c r="C3223" s="71" t="str">
        <f t="shared" si="79"/>
        <v>Product Info</v>
      </c>
      <c r="D3223" s="37" t="s">
        <v>5938</v>
      </c>
      <c r="E3223" s="143">
        <v>1000</v>
      </c>
      <c r="F3223" s="12" t="s">
        <v>4992</v>
      </c>
      <c r="G3223" s="38">
        <v>0.69</v>
      </c>
      <c r="H3223" s="38">
        <f t="shared" si="78"/>
        <v>0.48</v>
      </c>
      <c r="I3223" s="38">
        <v>0.48</v>
      </c>
      <c r="J3223" s="39"/>
      <c r="K3223" s="143"/>
      <c r="L3223" s="22">
        <v>0</v>
      </c>
      <c r="M3223" s="22">
        <v>0</v>
      </c>
      <c r="N3223" s="20" t="s">
        <v>14489</v>
      </c>
      <c r="O3223" s="16">
        <v>0</v>
      </c>
      <c r="P3223" s="143" t="s">
        <v>12555</v>
      </c>
      <c r="Q3223" s="121" t="s">
        <v>14285</v>
      </c>
      <c r="R3223" s="16" t="s">
        <v>8904</v>
      </c>
      <c r="S3223" s="10" t="s">
        <v>194</v>
      </c>
      <c r="T3223" s="28" t="s">
        <v>12183</v>
      </c>
      <c r="U3223" s="20" t="s">
        <v>5359</v>
      </c>
      <c r="V3223" s="16" t="s">
        <v>5936</v>
      </c>
      <c r="W3223" s="11" t="s">
        <v>14433</v>
      </c>
      <c r="X3223" s="174">
        <v>0.38</v>
      </c>
      <c r="Y3223" s="174">
        <v>0.48</v>
      </c>
    </row>
    <row r="3224" spans="1:25" ht="15" customHeight="1" x14ac:dyDescent="0.25">
      <c r="A3224" s="20" t="s">
        <v>5927</v>
      </c>
      <c r="B3224" s="14" t="s">
        <v>5928</v>
      </c>
      <c r="C3224" s="71" t="str">
        <f t="shared" si="79"/>
        <v>Product Info</v>
      </c>
      <c r="D3224" s="37" t="s">
        <v>2614</v>
      </c>
      <c r="E3224" s="143">
        <v>1000</v>
      </c>
      <c r="F3224" s="12" t="s">
        <v>4992</v>
      </c>
      <c r="G3224" s="38">
        <v>0.69</v>
      </c>
      <c r="H3224" s="38">
        <f t="shared" si="78"/>
        <v>0.48</v>
      </c>
      <c r="I3224" s="38">
        <v>0.48</v>
      </c>
      <c r="J3224" s="39"/>
      <c r="K3224" s="143"/>
      <c r="L3224" s="22">
        <v>0</v>
      </c>
      <c r="M3224" s="22">
        <v>0</v>
      </c>
      <c r="N3224" s="20" t="s">
        <v>14489</v>
      </c>
      <c r="O3224" s="16">
        <v>0</v>
      </c>
      <c r="P3224" s="143" t="s">
        <v>12555</v>
      </c>
      <c r="Q3224" s="121" t="s">
        <v>14285</v>
      </c>
      <c r="R3224" s="16" t="s">
        <v>8904</v>
      </c>
      <c r="S3224" s="10" t="s">
        <v>194</v>
      </c>
      <c r="T3224" s="28" t="s">
        <v>12184</v>
      </c>
      <c r="U3224" s="20" t="s">
        <v>5359</v>
      </c>
      <c r="V3224" s="16" t="s">
        <v>5927</v>
      </c>
      <c r="W3224" s="11" t="s">
        <v>14433</v>
      </c>
      <c r="X3224" s="174">
        <v>0.38</v>
      </c>
      <c r="Y3224" s="174">
        <v>0.48</v>
      </c>
    </row>
    <row r="3225" spans="1:25" s="95" customFormat="1" ht="15" customHeight="1" x14ac:dyDescent="0.3">
      <c r="A3225" s="20" t="s">
        <v>2306</v>
      </c>
      <c r="B3225" s="14" t="s">
        <v>2307</v>
      </c>
      <c r="C3225" s="71" t="str">
        <f t="shared" si="79"/>
        <v>Product Info</v>
      </c>
      <c r="D3225" s="37" t="s">
        <v>6136</v>
      </c>
      <c r="E3225" s="143">
        <v>50</v>
      </c>
      <c r="F3225" s="12" t="s">
        <v>4992</v>
      </c>
      <c r="G3225" s="38">
        <v>11.1</v>
      </c>
      <c r="H3225" s="38">
        <v>9.44</v>
      </c>
      <c r="I3225" s="38">
        <v>7.77</v>
      </c>
      <c r="J3225" s="39"/>
      <c r="K3225" s="143"/>
      <c r="L3225" s="22">
        <v>0</v>
      </c>
      <c r="M3225" s="22">
        <v>0</v>
      </c>
      <c r="N3225" s="20" t="s">
        <v>14489</v>
      </c>
      <c r="O3225" s="16">
        <v>0</v>
      </c>
      <c r="P3225" s="143">
        <v>822</v>
      </c>
      <c r="Q3225" s="121" t="s">
        <v>14285</v>
      </c>
      <c r="R3225" s="16" t="s">
        <v>8904</v>
      </c>
      <c r="S3225" s="10" t="s">
        <v>1163</v>
      </c>
      <c r="T3225" s="28" t="s">
        <v>12185</v>
      </c>
      <c r="U3225" s="20" t="s">
        <v>5359</v>
      </c>
      <c r="V3225" s="16" t="s">
        <v>8582</v>
      </c>
      <c r="W3225" s="11" t="s">
        <v>14395</v>
      </c>
      <c r="X3225" s="174">
        <v>7.07</v>
      </c>
      <c r="Y3225" s="174">
        <v>9.44</v>
      </c>
    </row>
    <row r="3226" spans="1:25" s="95" customFormat="1" ht="15" customHeight="1" x14ac:dyDescent="0.3">
      <c r="A3226" s="20" t="s">
        <v>2308</v>
      </c>
      <c r="B3226" s="14" t="s">
        <v>2309</v>
      </c>
      <c r="C3226" s="71" t="str">
        <f t="shared" si="79"/>
        <v>Product Info</v>
      </c>
      <c r="D3226" s="37" t="s">
        <v>6137</v>
      </c>
      <c r="E3226" s="143">
        <v>50</v>
      </c>
      <c r="F3226" s="12" t="s">
        <v>2170</v>
      </c>
      <c r="G3226" s="38">
        <v>6.14</v>
      </c>
      <c r="H3226" s="38">
        <v>5.22</v>
      </c>
      <c r="I3226" s="38">
        <v>4.3</v>
      </c>
      <c r="J3226" s="39"/>
      <c r="K3226" s="143"/>
      <c r="L3226" s="22">
        <v>0.06</v>
      </c>
      <c r="M3226" s="22" t="s">
        <v>12487</v>
      </c>
      <c r="N3226" s="20" t="s">
        <v>14489</v>
      </c>
      <c r="O3226" s="16" t="s">
        <v>12608</v>
      </c>
      <c r="P3226" s="143">
        <v>822</v>
      </c>
      <c r="Q3226" s="122" t="s">
        <v>9227</v>
      </c>
      <c r="R3226" s="16" t="s">
        <v>8904</v>
      </c>
      <c r="S3226" s="10" t="s">
        <v>1163</v>
      </c>
      <c r="T3226" s="28" t="s">
        <v>12186</v>
      </c>
      <c r="U3226" s="20" t="s">
        <v>5359</v>
      </c>
      <c r="V3226" s="16" t="s">
        <v>8583</v>
      </c>
      <c r="W3226" s="11" t="s">
        <v>14395</v>
      </c>
      <c r="X3226" s="174">
        <v>3.92</v>
      </c>
      <c r="Y3226" s="174">
        <v>5.22</v>
      </c>
    </row>
    <row r="3227" spans="1:25" s="95" customFormat="1" ht="15" customHeight="1" x14ac:dyDescent="0.3">
      <c r="A3227" s="20" t="s">
        <v>5520</v>
      </c>
      <c r="B3227" s="14" t="s">
        <v>5521</v>
      </c>
      <c r="C3227" s="71" t="str">
        <f t="shared" si="79"/>
        <v>Product Info</v>
      </c>
      <c r="D3227" s="37" t="s">
        <v>5710</v>
      </c>
      <c r="E3227" s="143">
        <v>1</v>
      </c>
      <c r="F3227" s="12" t="s">
        <v>4992</v>
      </c>
      <c r="G3227" s="38">
        <v>253.97</v>
      </c>
      <c r="H3227" s="38">
        <v>215.88</v>
      </c>
      <c r="I3227" s="38">
        <v>177.78</v>
      </c>
      <c r="J3227" s="39"/>
      <c r="K3227" s="143"/>
      <c r="L3227" s="22">
        <v>0</v>
      </c>
      <c r="M3227" s="22">
        <v>0</v>
      </c>
      <c r="N3227" s="20" t="s">
        <v>14489</v>
      </c>
      <c r="O3227" s="16">
        <v>0</v>
      </c>
      <c r="P3227" s="143">
        <v>749</v>
      </c>
      <c r="Q3227" s="121" t="s">
        <v>14285</v>
      </c>
      <c r="R3227" s="16" t="s">
        <v>9235</v>
      </c>
      <c r="S3227" s="10" t="s">
        <v>1163</v>
      </c>
      <c r="T3227" s="28" t="s">
        <v>12187</v>
      </c>
      <c r="U3227" s="20" t="s">
        <v>5359</v>
      </c>
      <c r="V3227" s="16" t="s">
        <v>5520</v>
      </c>
      <c r="W3227" s="11" t="s">
        <v>14433</v>
      </c>
      <c r="X3227" s="174">
        <v>161.66999999999999</v>
      </c>
      <c r="Y3227" s="174">
        <v>215.88</v>
      </c>
    </row>
    <row r="3228" spans="1:25" ht="15" customHeight="1" x14ac:dyDescent="0.25">
      <c r="A3228" s="20" t="s">
        <v>3216</v>
      </c>
      <c r="B3228" s="14" t="s">
        <v>3217</v>
      </c>
      <c r="C3228" s="71" t="str">
        <f t="shared" si="79"/>
        <v>Product Info</v>
      </c>
      <c r="D3228" s="37" t="s">
        <v>7565</v>
      </c>
      <c r="E3228" s="143">
        <v>1</v>
      </c>
      <c r="F3228" s="12" t="s">
        <v>4992</v>
      </c>
      <c r="G3228" s="38">
        <v>196.01</v>
      </c>
      <c r="H3228" s="38">
        <v>166.62</v>
      </c>
      <c r="I3228" s="38">
        <v>137.21</v>
      </c>
      <c r="J3228" s="39"/>
      <c r="K3228" s="143"/>
      <c r="L3228" s="22">
        <v>3</v>
      </c>
      <c r="M3228" s="22" t="s">
        <v>12488</v>
      </c>
      <c r="N3228" s="20" t="s">
        <v>9343</v>
      </c>
      <c r="O3228" s="16" t="s">
        <v>12608</v>
      </c>
      <c r="P3228" s="143">
        <v>749</v>
      </c>
      <c r="Q3228" s="121" t="s">
        <v>14285</v>
      </c>
      <c r="R3228" s="16" t="s">
        <v>8904</v>
      </c>
      <c r="S3228" s="10" t="s">
        <v>1163</v>
      </c>
      <c r="T3228" s="28" t="s">
        <v>12188</v>
      </c>
      <c r="U3228" s="20" t="s">
        <v>5359</v>
      </c>
      <c r="V3228" s="16" t="s">
        <v>3216</v>
      </c>
      <c r="W3228" s="11" t="s">
        <v>14433</v>
      </c>
      <c r="X3228" s="174">
        <v>124.78</v>
      </c>
      <c r="Y3228" s="174">
        <v>166.62</v>
      </c>
    </row>
    <row r="3229" spans="1:25" ht="15" customHeight="1" x14ac:dyDescent="0.25">
      <c r="A3229" s="20" t="s">
        <v>5522</v>
      </c>
      <c r="B3229" s="14" t="s">
        <v>5523</v>
      </c>
      <c r="C3229" s="71" t="str">
        <f t="shared" si="79"/>
        <v>Product Info</v>
      </c>
      <c r="D3229" s="37" t="s">
        <v>5711</v>
      </c>
      <c r="E3229" s="143">
        <v>1</v>
      </c>
      <c r="F3229" s="12" t="s">
        <v>4992</v>
      </c>
      <c r="G3229" s="38">
        <v>253.97</v>
      </c>
      <c r="H3229" s="38">
        <v>215.88</v>
      </c>
      <c r="I3229" s="38">
        <v>177.78</v>
      </c>
      <c r="J3229" s="39"/>
      <c r="K3229" s="143"/>
      <c r="L3229" s="22">
        <v>0</v>
      </c>
      <c r="M3229" s="22" t="s">
        <v>14396</v>
      </c>
      <c r="N3229" s="20" t="s">
        <v>14489</v>
      </c>
      <c r="O3229" s="16" t="s">
        <v>14482</v>
      </c>
      <c r="P3229" s="143">
        <v>749</v>
      </c>
      <c r="Q3229" s="121" t="s">
        <v>14285</v>
      </c>
      <c r="R3229" s="16" t="s">
        <v>9235</v>
      </c>
      <c r="S3229" s="10" t="s">
        <v>1163</v>
      </c>
      <c r="T3229" s="28" t="s">
        <v>12189</v>
      </c>
      <c r="U3229" s="20" t="s">
        <v>5359</v>
      </c>
      <c r="V3229" s="16" t="s">
        <v>5522</v>
      </c>
      <c r="W3229" s="11" t="s">
        <v>14433</v>
      </c>
      <c r="X3229" s="174">
        <v>161.66999999999999</v>
      </c>
      <c r="Y3229" s="174">
        <v>215.88</v>
      </c>
    </row>
    <row r="3230" spans="1:25" s="95" customFormat="1" ht="15" customHeight="1" x14ac:dyDescent="0.3">
      <c r="A3230" s="20" t="s">
        <v>3218</v>
      </c>
      <c r="B3230" s="14" t="s">
        <v>3219</v>
      </c>
      <c r="C3230" s="71" t="str">
        <f t="shared" si="79"/>
        <v>Product Info</v>
      </c>
      <c r="D3230" s="37" t="s">
        <v>7566</v>
      </c>
      <c r="E3230" s="143">
        <v>1</v>
      </c>
      <c r="F3230" s="12" t="s">
        <v>4992</v>
      </c>
      <c r="G3230" s="38">
        <v>196.01</v>
      </c>
      <c r="H3230" s="38">
        <v>166.62</v>
      </c>
      <c r="I3230" s="38">
        <v>137.21</v>
      </c>
      <c r="J3230" s="39"/>
      <c r="K3230" s="143"/>
      <c r="L3230" s="22">
        <v>3.7</v>
      </c>
      <c r="M3230" s="22" t="s">
        <v>12488</v>
      </c>
      <c r="N3230" s="20" t="s">
        <v>9343</v>
      </c>
      <c r="O3230" s="16" t="s">
        <v>12608</v>
      </c>
      <c r="P3230" s="143">
        <v>749</v>
      </c>
      <c r="Q3230" s="121" t="s">
        <v>14285</v>
      </c>
      <c r="R3230" s="16" t="s">
        <v>9235</v>
      </c>
      <c r="S3230" s="10" t="s">
        <v>1163</v>
      </c>
      <c r="T3230" s="28" t="s">
        <v>12190</v>
      </c>
      <c r="U3230" s="20" t="s">
        <v>5359</v>
      </c>
      <c r="V3230" s="16" t="s">
        <v>3218</v>
      </c>
      <c r="W3230" s="11" t="s">
        <v>14433</v>
      </c>
      <c r="X3230" s="174">
        <v>124.78</v>
      </c>
      <c r="Y3230" s="174">
        <v>166.62</v>
      </c>
    </row>
    <row r="3231" spans="1:25" s="95" customFormat="1" ht="15" customHeight="1" x14ac:dyDescent="0.3">
      <c r="A3231" s="20" t="s">
        <v>5518</v>
      </c>
      <c r="B3231" s="14" t="s">
        <v>5519</v>
      </c>
      <c r="C3231" s="71" t="str">
        <f t="shared" si="79"/>
        <v>Product Info</v>
      </c>
      <c r="D3231" s="37" t="s">
        <v>5709</v>
      </c>
      <c r="E3231" s="143">
        <v>1</v>
      </c>
      <c r="F3231" s="12" t="s">
        <v>4992</v>
      </c>
      <c r="G3231" s="38">
        <v>253.97</v>
      </c>
      <c r="H3231" s="38">
        <v>215.88</v>
      </c>
      <c r="I3231" s="38">
        <v>177.78</v>
      </c>
      <c r="J3231" s="39"/>
      <c r="K3231" s="143"/>
      <c r="L3231" s="22">
        <v>0</v>
      </c>
      <c r="M3231" s="22" t="s">
        <v>14396</v>
      </c>
      <c r="N3231" s="20" t="s">
        <v>14489</v>
      </c>
      <c r="O3231" s="16" t="s">
        <v>14482</v>
      </c>
      <c r="P3231" s="143">
        <v>749</v>
      </c>
      <c r="Q3231" s="121" t="s">
        <v>14285</v>
      </c>
      <c r="R3231" s="16" t="s">
        <v>9235</v>
      </c>
      <c r="S3231" s="10" t="s">
        <v>1163</v>
      </c>
      <c r="T3231" s="28" t="s">
        <v>12191</v>
      </c>
      <c r="U3231" s="20" t="s">
        <v>5359</v>
      </c>
      <c r="V3231" s="16" t="s">
        <v>5518</v>
      </c>
      <c r="W3231" s="11" t="s">
        <v>14433</v>
      </c>
      <c r="X3231" s="174">
        <v>161.66999999999999</v>
      </c>
      <c r="Y3231" s="174">
        <v>215.88</v>
      </c>
    </row>
    <row r="3232" spans="1:25" ht="15" customHeight="1" x14ac:dyDescent="0.25">
      <c r="A3232" s="20" t="s">
        <v>951</v>
      </c>
      <c r="B3232" s="14" t="s">
        <v>952</v>
      </c>
      <c r="C3232" s="71" t="str">
        <f t="shared" si="79"/>
        <v>Product Info</v>
      </c>
      <c r="D3232" s="37" t="s">
        <v>7567</v>
      </c>
      <c r="E3232" s="143">
        <v>1</v>
      </c>
      <c r="F3232" s="12" t="s">
        <v>4992</v>
      </c>
      <c r="G3232" s="38">
        <v>196.01</v>
      </c>
      <c r="H3232" s="38">
        <v>166.62</v>
      </c>
      <c r="I3232" s="38">
        <v>137.21</v>
      </c>
      <c r="J3232" s="39"/>
      <c r="K3232" s="143"/>
      <c r="L3232" s="22">
        <v>3</v>
      </c>
      <c r="M3232" s="22" t="s">
        <v>12488</v>
      </c>
      <c r="N3232" s="20" t="s">
        <v>9343</v>
      </c>
      <c r="O3232" s="16" t="s">
        <v>12608</v>
      </c>
      <c r="P3232" s="143">
        <v>749</v>
      </c>
      <c r="Q3232" s="121" t="s">
        <v>14285</v>
      </c>
      <c r="R3232" s="16" t="s">
        <v>8904</v>
      </c>
      <c r="S3232" s="10" t="s">
        <v>1163</v>
      </c>
      <c r="T3232" s="28" t="s">
        <v>12192</v>
      </c>
      <c r="U3232" s="20" t="s">
        <v>5359</v>
      </c>
      <c r="V3232" s="16" t="s">
        <v>951</v>
      </c>
      <c r="W3232" s="11" t="s">
        <v>14433</v>
      </c>
      <c r="X3232" s="174">
        <v>124.78</v>
      </c>
      <c r="Y3232" s="174">
        <v>166.62</v>
      </c>
    </row>
    <row r="3233" spans="1:25" ht="15" customHeight="1" x14ac:dyDescent="0.25">
      <c r="A3233" s="20" t="s">
        <v>5524</v>
      </c>
      <c r="B3233" s="14" t="s">
        <v>5525</v>
      </c>
      <c r="C3233" s="71" t="str">
        <f t="shared" si="79"/>
        <v>Product Info</v>
      </c>
      <c r="D3233" s="37" t="s">
        <v>5712</v>
      </c>
      <c r="E3233" s="143">
        <v>1</v>
      </c>
      <c r="F3233" s="12" t="s">
        <v>4992</v>
      </c>
      <c r="G3233" s="38">
        <v>253.97</v>
      </c>
      <c r="H3233" s="38">
        <v>215.88</v>
      </c>
      <c r="I3233" s="38">
        <v>177.78</v>
      </c>
      <c r="J3233" s="39"/>
      <c r="K3233" s="143"/>
      <c r="L3233" s="22">
        <v>0</v>
      </c>
      <c r="M3233" s="22" t="s">
        <v>14396</v>
      </c>
      <c r="N3233" s="20" t="s">
        <v>14489</v>
      </c>
      <c r="O3233" s="16" t="s">
        <v>12608</v>
      </c>
      <c r="P3233" s="143">
        <v>749</v>
      </c>
      <c r="Q3233" s="122" t="s">
        <v>9227</v>
      </c>
      <c r="R3233" s="16" t="s">
        <v>9235</v>
      </c>
      <c r="S3233" s="10" t="s">
        <v>1163</v>
      </c>
      <c r="T3233" s="28" t="s">
        <v>12193</v>
      </c>
      <c r="U3233" s="20" t="s">
        <v>5359</v>
      </c>
      <c r="V3233" s="16" t="s">
        <v>5524</v>
      </c>
      <c r="W3233" s="11" t="s">
        <v>14433</v>
      </c>
      <c r="X3233" s="174">
        <v>161.66999999999999</v>
      </c>
      <c r="Y3233" s="174">
        <v>215.88</v>
      </c>
    </row>
    <row r="3234" spans="1:25" ht="15" customHeight="1" x14ac:dyDescent="0.25">
      <c r="A3234" s="20" t="s">
        <v>953</v>
      </c>
      <c r="B3234" s="14" t="s">
        <v>954</v>
      </c>
      <c r="C3234" s="71" t="str">
        <f t="shared" si="79"/>
        <v>Product Info</v>
      </c>
      <c r="D3234" s="37" t="s">
        <v>7848</v>
      </c>
      <c r="E3234" s="143">
        <v>1</v>
      </c>
      <c r="F3234" s="12" t="s">
        <v>4992</v>
      </c>
      <c r="G3234" s="38">
        <v>196.01</v>
      </c>
      <c r="H3234" s="38">
        <v>166.62</v>
      </c>
      <c r="I3234" s="38">
        <v>137.21</v>
      </c>
      <c r="J3234" s="39"/>
      <c r="K3234" s="143"/>
      <c r="L3234" s="22">
        <v>4</v>
      </c>
      <c r="M3234" s="22" t="s">
        <v>12488</v>
      </c>
      <c r="N3234" s="20" t="s">
        <v>9560</v>
      </c>
      <c r="O3234" s="16" t="s">
        <v>12608</v>
      </c>
      <c r="P3234" s="143">
        <v>749</v>
      </c>
      <c r="Q3234" s="121" t="s">
        <v>14285</v>
      </c>
      <c r="R3234" s="16" t="s">
        <v>8904</v>
      </c>
      <c r="S3234" s="10" t="s">
        <v>1163</v>
      </c>
      <c r="T3234" s="28" t="s">
        <v>12194</v>
      </c>
      <c r="U3234" s="20" t="s">
        <v>5359</v>
      </c>
      <c r="V3234" s="16" t="s">
        <v>953</v>
      </c>
      <c r="W3234" s="11" t="s">
        <v>14433</v>
      </c>
      <c r="X3234" s="174">
        <v>124.78</v>
      </c>
      <c r="Y3234" s="174">
        <v>166.62</v>
      </c>
    </row>
    <row r="3235" spans="1:25" ht="15" customHeight="1" x14ac:dyDescent="0.25">
      <c r="A3235" s="20" t="s">
        <v>8187</v>
      </c>
      <c r="B3235" s="14" t="s">
        <v>8188</v>
      </c>
      <c r="C3235" s="71" t="str">
        <f t="shared" si="79"/>
        <v>Product Info</v>
      </c>
      <c r="D3235" s="37" t="s">
        <v>8757</v>
      </c>
      <c r="E3235" s="143">
        <v>1</v>
      </c>
      <c r="F3235" s="12" t="s">
        <v>4992</v>
      </c>
      <c r="G3235" s="38">
        <v>741.47</v>
      </c>
      <c r="H3235" s="38">
        <f>I3235</f>
        <v>519.03</v>
      </c>
      <c r="I3235" s="38">
        <v>519.03</v>
      </c>
      <c r="J3235" s="39"/>
      <c r="K3235" s="143"/>
      <c r="L3235" s="22">
        <v>510</v>
      </c>
      <c r="M3235" s="22" t="s">
        <v>12609</v>
      </c>
      <c r="N3235" s="20" t="s">
        <v>8874</v>
      </c>
      <c r="O3235" s="16" t="s">
        <v>12608</v>
      </c>
      <c r="P3235" s="143">
        <v>710</v>
      </c>
      <c r="Q3235" s="121" t="s">
        <v>14285</v>
      </c>
      <c r="R3235" s="16" t="s">
        <v>8904</v>
      </c>
      <c r="S3235" s="10" t="s">
        <v>194</v>
      </c>
      <c r="T3235" s="28" t="s">
        <v>12195</v>
      </c>
      <c r="U3235" s="20" t="s">
        <v>5359</v>
      </c>
      <c r="V3235" s="16" t="s">
        <v>8187</v>
      </c>
      <c r="W3235" s="11"/>
      <c r="X3235" s="174">
        <v>508.8</v>
      </c>
      <c r="Y3235" s="174">
        <v>519.03</v>
      </c>
    </row>
    <row r="3236" spans="1:25" ht="15" customHeight="1" x14ac:dyDescent="0.25">
      <c r="A3236" s="20" t="s">
        <v>8189</v>
      </c>
      <c r="B3236" s="14" t="s">
        <v>14288</v>
      </c>
      <c r="C3236" s="71" t="str">
        <f t="shared" si="79"/>
        <v>Product Info</v>
      </c>
      <c r="D3236" s="37" t="s">
        <v>8758</v>
      </c>
      <c r="E3236" s="143">
        <v>1</v>
      </c>
      <c r="F3236" s="12" t="s">
        <v>4992</v>
      </c>
      <c r="G3236" s="38">
        <v>1518.73</v>
      </c>
      <c r="H3236" s="38">
        <f>I3236</f>
        <v>875.47</v>
      </c>
      <c r="I3236" s="38">
        <v>875.47</v>
      </c>
      <c r="J3236" s="39"/>
      <c r="K3236" s="143"/>
      <c r="L3236" s="22">
        <v>510</v>
      </c>
      <c r="M3236" s="22" t="s">
        <v>12609</v>
      </c>
      <c r="N3236" s="20" t="s">
        <v>8875</v>
      </c>
      <c r="O3236" s="16" t="s">
        <v>12608</v>
      </c>
      <c r="P3236" s="143">
        <v>710</v>
      </c>
      <c r="Q3236" s="121" t="s">
        <v>14285</v>
      </c>
      <c r="R3236" s="16" t="s">
        <v>8904</v>
      </c>
      <c r="S3236" s="10" t="s">
        <v>194</v>
      </c>
      <c r="T3236" s="28" t="s">
        <v>12196</v>
      </c>
      <c r="U3236" s="20" t="s">
        <v>5359</v>
      </c>
      <c r="V3236" s="16" t="s">
        <v>8189</v>
      </c>
      <c r="W3236" s="11"/>
      <c r="X3236" s="174">
        <v>686.58</v>
      </c>
      <c r="Y3236" s="174">
        <v>875.47</v>
      </c>
    </row>
    <row r="3237" spans="1:25" ht="15" customHeight="1" x14ac:dyDescent="0.25">
      <c r="A3237" s="20" t="s">
        <v>955</v>
      </c>
      <c r="B3237" s="14" t="s">
        <v>956</v>
      </c>
      <c r="C3237" s="71" t="str">
        <f t="shared" si="79"/>
        <v>Product Info</v>
      </c>
      <c r="D3237" s="37" t="s">
        <v>7363</v>
      </c>
      <c r="E3237" s="143">
        <v>1</v>
      </c>
      <c r="F3237" s="12" t="s">
        <v>2170</v>
      </c>
      <c r="G3237" s="38">
        <v>224.81</v>
      </c>
      <c r="H3237" s="38">
        <v>191.1</v>
      </c>
      <c r="I3237" s="38">
        <v>157.37</v>
      </c>
      <c r="J3237" s="39">
        <v>50</v>
      </c>
      <c r="K3237" s="143"/>
      <c r="L3237" s="22">
        <v>2</v>
      </c>
      <c r="M3237" s="22" t="s">
        <v>12488</v>
      </c>
      <c r="N3237" s="20" t="s">
        <v>9570</v>
      </c>
      <c r="O3237" s="16" t="s">
        <v>12608</v>
      </c>
      <c r="P3237" s="143">
        <v>755</v>
      </c>
      <c r="Q3237" s="121" t="s">
        <v>14285</v>
      </c>
      <c r="R3237" s="16" t="s">
        <v>8904</v>
      </c>
      <c r="S3237" s="10" t="s">
        <v>1163</v>
      </c>
      <c r="T3237" s="28" t="s">
        <v>12197</v>
      </c>
      <c r="U3237" s="20" t="s">
        <v>5359</v>
      </c>
      <c r="V3237" s="16" t="s">
        <v>955</v>
      </c>
      <c r="W3237" s="11" t="s">
        <v>14433</v>
      </c>
      <c r="X3237" s="174">
        <v>148.1</v>
      </c>
      <c r="Y3237" s="174">
        <v>157.37</v>
      </c>
    </row>
    <row r="3238" spans="1:25" ht="15" customHeight="1" x14ac:dyDescent="0.25">
      <c r="A3238" s="20" t="s">
        <v>957</v>
      </c>
      <c r="B3238" s="14" t="s">
        <v>958</v>
      </c>
      <c r="C3238" s="71" t="str">
        <f t="shared" si="79"/>
        <v>Product Info</v>
      </c>
      <c r="D3238" s="37" t="s">
        <v>7349</v>
      </c>
      <c r="E3238" s="143">
        <v>1</v>
      </c>
      <c r="F3238" s="12" t="s">
        <v>2170</v>
      </c>
      <c r="G3238" s="38">
        <v>271.02999999999997</v>
      </c>
      <c r="H3238" s="38">
        <v>230.38</v>
      </c>
      <c r="I3238" s="38">
        <v>189.72</v>
      </c>
      <c r="J3238" s="39">
        <v>50</v>
      </c>
      <c r="K3238" s="143"/>
      <c r="L3238" s="22">
        <v>2</v>
      </c>
      <c r="M3238" s="22" t="s">
        <v>12488</v>
      </c>
      <c r="N3238" s="20" t="s">
        <v>9571</v>
      </c>
      <c r="O3238" s="16" t="s">
        <v>12608</v>
      </c>
      <c r="P3238" s="143">
        <v>755</v>
      </c>
      <c r="Q3238" s="121" t="s">
        <v>14285</v>
      </c>
      <c r="R3238" s="16" t="s">
        <v>8904</v>
      </c>
      <c r="S3238" s="10" t="s">
        <v>1163</v>
      </c>
      <c r="T3238" s="28" t="s">
        <v>12198</v>
      </c>
      <c r="U3238" s="20" t="s">
        <v>5359</v>
      </c>
      <c r="V3238" s="16" t="s">
        <v>957</v>
      </c>
      <c r="W3238" s="11" t="s">
        <v>14433</v>
      </c>
      <c r="X3238" s="174">
        <v>178.54</v>
      </c>
      <c r="Y3238" s="174">
        <v>189.72</v>
      </c>
    </row>
    <row r="3239" spans="1:25" ht="15" customHeight="1" x14ac:dyDescent="0.25">
      <c r="A3239" s="20" t="s">
        <v>959</v>
      </c>
      <c r="B3239" s="14" t="s">
        <v>960</v>
      </c>
      <c r="C3239" s="71" t="str">
        <f t="shared" si="79"/>
        <v>Product Info</v>
      </c>
      <c r="D3239" s="37" t="s">
        <v>7355</v>
      </c>
      <c r="E3239" s="143">
        <v>1</v>
      </c>
      <c r="F3239" s="12" t="s">
        <v>2170</v>
      </c>
      <c r="G3239" s="38">
        <v>318.24</v>
      </c>
      <c r="H3239" s="38">
        <v>270.52</v>
      </c>
      <c r="I3239" s="38">
        <v>222.77</v>
      </c>
      <c r="J3239" s="39">
        <v>50</v>
      </c>
      <c r="K3239" s="143"/>
      <c r="L3239" s="22">
        <v>2</v>
      </c>
      <c r="M3239" s="22" t="s">
        <v>12488</v>
      </c>
      <c r="N3239" s="20" t="s">
        <v>9428</v>
      </c>
      <c r="O3239" s="16" t="s">
        <v>12608</v>
      </c>
      <c r="P3239" s="143">
        <v>755</v>
      </c>
      <c r="Q3239" s="121" t="s">
        <v>14285</v>
      </c>
      <c r="R3239" s="16" t="s">
        <v>8904</v>
      </c>
      <c r="S3239" s="10" t="s">
        <v>1163</v>
      </c>
      <c r="T3239" s="28" t="s">
        <v>12199</v>
      </c>
      <c r="U3239" s="20" t="s">
        <v>5359</v>
      </c>
      <c r="V3239" s="16" t="s">
        <v>959</v>
      </c>
      <c r="W3239" s="11" t="s">
        <v>14433</v>
      </c>
      <c r="X3239" s="174">
        <v>209.64</v>
      </c>
      <c r="Y3239" s="174">
        <v>222.77</v>
      </c>
    </row>
    <row r="3240" spans="1:25" ht="15" customHeight="1" x14ac:dyDescent="0.25">
      <c r="A3240" s="20" t="s">
        <v>961</v>
      </c>
      <c r="B3240" s="14" t="s">
        <v>962</v>
      </c>
      <c r="C3240" s="71" t="str">
        <f t="shared" si="79"/>
        <v>Product Info</v>
      </c>
      <c r="D3240" s="37" t="s">
        <v>7354</v>
      </c>
      <c r="E3240" s="143">
        <v>1</v>
      </c>
      <c r="F3240" s="12" t="s">
        <v>2170</v>
      </c>
      <c r="G3240" s="38">
        <v>360.46</v>
      </c>
      <c r="H3240" s="38">
        <v>306.39999999999998</v>
      </c>
      <c r="I3240" s="38">
        <v>252.32</v>
      </c>
      <c r="J3240" s="39">
        <v>50</v>
      </c>
      <c r="K3240" s="143"/>
      <c r="L3240" s="22">
        <v>4</v>
      </c>
      <c r="M3240" s="22" t="s">
        <v>12488</v>
      </c>
      <c r="N3240" s="20" t="s">
        <v>9571</v>
      </c>
      <c r="O3240" s="16" t="s">
        <v>12608</v>
      </c>
      <c r="P3240" s="143">
        <v>755</v>
      </c>
      <c r="Q3240" s="121" t="s">
        <v>14285</v>
      </c>
      <c r="R3240" s="16" t="s">
        <v>8904</v>
      </c>
      <c r="S3240" s="10" t="s">
        <v>1163</v>
      </c>
      <c r="T3240" s="28" t="s">
        <v>12200</v>
      </c>
      <c r="U3240" s="20" t="s">
        <v>5359</v>
      </c>
      <c r="V3240" s="16" t="s">
        <v>961</v>
      </c>
      <c r="W3240" s="11" t="s">
        <v>14433</v>
      </c>
      <c r="X3240" s="174">
        <v>237.46</v>
      </c>
      <c r="Y3240" s="174">
        <v>252.32</v>
      </c>
    </row>
    <row r="3241" spans="1:25" ht="15" customHeight="1" x14ac:dyDescent="0.25">
      <c r="A3241" s="20" t="s">
        <v>963</v>
      </c>
      <c r="B3241" s="14" t="s">
        <v>6015</v>
      </c>
      <c r="C3241" s="71" t="str">
        <f t="shared" si="79"/>
        <v>Product Info</v>
      </c>
      <c r="D3241" s="37" t="s">
        <v>7358</v>
      </c>
      <c r="E3241" s="143">
        <v>1</v>
      </c>
      <c r="F3241" s="12" t="s">
        <v>2170</v>
      </c>
      <c r="G3241" s="38">
        <v>557.42999999999995</v>
      </c>
      <c r="H3241" s="38">
        <v>473.83</v>
      </c>
      <c r="I3241" s="38">
        <v>390.2</v>
      </c>
      <c r="J3241" s="39"/>
      <c r="K3241" s="143"/>
      <c r="L3241" s="22">
        <v>4</v>
      </c>
      <c r="M3241" s="22" t="s">
        <v>12488</v>
      </c>
      <c r="N3241" s="20" t="s">
        <v>9572</v>
      </c>
      <c r="O3241" s="16" t="s">
        <v>12608</v>
      </c>
      <c r="P3241" s="143">
        <v>755</v>
      </c>
      <c r="Q3241" s="121" t="s">
        <v>14285</v>
      </c>
      <c r="R3241" s="16" t="s">
        <v>8904</v>
      </c>
      <c r="S3241" s="10" t="s">
        <v>1163</v>
      </c>
      <c r="T3241" s="28" t="s">
        <v>12201</v>
      </c>
      <c r="U3241" s="20" t="s">
        <v>5359</v>
      </c>
      <c r="V3241" s="16" t="s">
        <v>963</v>
      </c>
      <c r="W3241" s="11" t="s">
        <v>14433</v>
      </c>
      <c r="X3241" s="174">
        <v>367.21</v>
      </c>
      <c r="Y3241" s="174">
        <v>390.2</v>
      </c>
    </row>
    <row r="3242" spans="1:25" ht="15" customHeight="1" x14ac:dyDescent="0.25">
      <c r="A3242" s="20" t="s">
        <v>6016</v>
      </c>
      <c r="B3242" s="14" t="s">
        <v>6017</v>
      </c>
      <c r="C3242" s="71" t="str">
        <f t="shared" si="79"/>
        <v>Product Info</v>
      </c>
      <c r="D3242" s="37" t="s">
        <v>6295</v>
      </c>
      <c r="E3242" s="143">
        <v>1</v>
      </c>
      <c r="F3242" s="12" t="s">
        <v>2170</v>
      </c>
      <c r="G3242" s="38">
        <v>316.20999999999998</v>
      </c>
      <c r="H3242" s="38">
        <v>268.79000000000002</v>
      </c>
      <c r="I3242" s="38">
        <v>221.35</v>
      </c>
      <c r="J3242" s="39">
        <v>50</v>
      </c>
      <c r="K3242" s="143"/>
      <c r="L3242" s="22">
        <v>2.4049999999999998</v>
      </c>
      <c r="M3242" s="22" t="s">
        <v>12488</v>
      </c>
      <c r="N3242" s="20" t="s">
        <v>9573</v>
      </c>
      <c r="O3242" s="16" t="s">
        <v>12608</v>
      </c>
      <c r="P3242" s="143">
        <v>755</v>
      </c>
      <c r="Q3242" s="121" t="s">
        <v>14285</v>
      </c>
      <c r="R3242" s="16" t="s">
        <v>8904</v>
      </c>
      <c r="S3242" s="10" t="s">
        <v>1163</v>
      </c>
      <c r="T3242" s="28" t="s">
        <v>12202</v>
      </c>
      <c r="U3242" s="20" t="s">
        <v>5359</v>
      </c>
      <c r="V3242" s="16" t="s">
        <v>6016</v>
      </c>
      <c r="W3242" s="11" t="s">
        <v>14433</v>
      </c>
      <c r="X3242" s="174">
        <v>208.31</v>
      </c>
      <c r="Y3242" s="174">
        <v>221.35</v>
      </c>
    </row>
    <row r="3243" spans="1:25" ht="15" customHeight="1" x14ac:dyDescent="0.25">
      <c r="A3243" s="20" t="s">
        <v>6018</v>
      </c>
      <c r="B3243" s="14" t="s">
        <v>6019</v>
      </c>
      <c r="C3243" s="71" t="str">
        <f t="shared" si="79"/>
        <v>Product Info</v>
      </c>
      <c r="D3243" s="37" t="s">
        <v>7353</v>
      </c>
      <c r="E3243" s="143">
        <v>1</v>
      </c>
      <c r="F3243" s="12" t="s">
        <v>2170</v>
      </c>
      <c r="G3243" s="38">
        <v>386.41</v>
      </c>
      <c r="H3243" s="38">
        <v>328.46</v>
      </c>
      <c r="I3243" s="38">
        <v>270.49</v>
      </c>
      <c r="J3243" s="39">
        <v>50</v>
      </c>
      <c r="K3243" s="143"/>
      <c r="L3243" s="22">
        <v>1.885</v>
      </c>
      <c r="M3243" s="22" t="s">
        <v>12488</v>
      </c>
      <c r="N3243" s="20" t="s">
        <v>9574</v>
      </c>
      <c r="O3243" s="16" t="s">
        <v>12608</v>
      </c>
      <c r="P3243" s="143">
        <v>755</v>
      </c>
      <c r="Q3243" s="121" t="s">
        <v>14285</v>
      </c>
      <c r="R3243" s="16" t="s">
        <v>8904</v>
      </c>
      <c r="S3243" s="10" t="s">
        <v>1163</v>
      </c>
      <c r="T3243" s="28" t="s">
        <v>12203</v>
      </c>
      <c r="U3243" s="20" t="s">
        <v>5359</v>
      </c>
      <c r="V3243" s="16" t="s">
        <v>6018</v>
      </c>
      <c r="W3243" s="11" t="s">
        <v>14433</v>
      </c>
      <c r="X3243" s="174">
        <v>254.55</v>
      </c>
      <c r="Y3243" s="174">
        <v>270.49</v>
      </c>
    </row>
    <row r="3244" spans="1:25" ht="15" customHeight="1" x14ac:dyDescent="0.25">
      <c r="A3244" s="20" t="s">
        <v>6020</v>
      </c>
      <c r="B3244" s="14" t="s">
        <v>6021</v>
      </c>
      <c r="C3244" s="71" t="str">
        <f t="shared" si="79"/>
        <v>Product Info</v>
      </c>
      <c r="D3244" s="37" t="s">
        <v>7351</v>
      </c>
      <c r="E3244" s="143">
        <v>1</v>
      </c>
      <c r="F3244" s="12" t="s">
        <v>2170</v>
      </c>
      <c r="G3244" s="38">
        <v>826.06</v>
      </c>
      <c r="H3244" s="38">
        <v>702.17</v>
      </c>
      <c r="I3244" s="38">
        <v>578.24</v>
      </c>
      <c r="J3244" s="39">
        <v>50</v>
      </c>
      <c r="K3244" s="143"/>
      <c r="L3244" s="22">
        <v>5.2750000000000004</v>
      </c>
      <c r="M3244" s="22" t="s">
        <v>12488</v>
      </c>
      <c r="N3244" s="20" t="s">
        <v>9330</v>
      </c>
      <c r="O3244" s="16" t="s">
        <v>12608</v>
      </c>
      <c r="P3244" s="143">
        <v>755</v>
      </c>
      <c r="Q3244" s="122" t="s">
        <v>12421</v>
      </c>
      <c r="R3244" s="16" t="s">
        <v>8904</v>
      </c>
      <c r="S3244" s="10" t="s">
        <v>1163</v>
      </c>
      <c r="T3244" s="28" t="s">
        <v>12204</v>
      </c>
      <c r="U3244" s="20" t="s">
        <v>5359</v>
      </c>
      <c r="V3244" s="16" t="s">
        <v>6020</v>
      </c>
      <c r="W3244" s="11" t="s">
        <v>14433</v>
      </c>
      <c r="X3244" s="174">
        <v>544.16999999999996</v>
      </c>
      <c r="Y3244" s="174">
        <v>578.24</v>
      </c>
    </row>
    <row r="3245" spans="1:25" ht="15" customHeight="1" x14ac:dyDescent="0.25">
      <c r="A3245" s="20" t="s">
        <v>6022</v>
      </c>
      <c r="B3245" s="14" t="s">
        <v>6023</v>
      </c>
      <c r="C3245" s="71" t="str">
        <f t="shared" si="79"/>
        <v>Product Info</v>
      </c>
      <c r="D3245" s="37" t="s">
        <v>6296</v>
      </c>
      <c r="E3245" s="143">
        <v>1</v>
      </c>
      <c r="F3245" s="12" t="s">
        <v>2170</v>
      </c>
      <c r="G3245" s="38">
        <v>903.17</v>
      </c>
      <c r="H3245" s="38">
        <v>767.72</v>
      </c>
      <c r="I3245" s="38">
        <v>632.22</v>
      </c>
      <c r="J3245" s="39">
        <v>50</v>
      </c>
      <c r="K3245" s="143"/>
      <c r="L3245" s="22">
        <v>7.01</v>
      </c>
      <c r="M3245" s="22" t="s">
        <v>12488</v>
      </c>
      <c r="N3245" s="20" t="s">
        <v>9486</v>
      </c>
      <c r="O3245" s="16" t="s">
        <v>12608</v>
      </c>
      <c r="P3245" s="143">
        <v>755</v>
      </c>
      <c r="Q3245" s="121" t="s">
        <v>14285</v>
      </c>
      <c r="R3245" s="16" t="s">
        <v>8904</v>
      </c>
      <c r="S3245" s="10" t="s">
        <v>1163</v>
      </c>
      <c r="T3245" s="28" t="s">
        <v>12205</v>
      </c>
      <c r="U3245" s="20" t="s">
        <v>5359</v>
      </c>
      <c r="V3245" s="16" t="s">
        <v>6022</v>
      </c>
      <c r="W3245" s="11" t="s">
        <v>14433</v>
      </c>
      <c r="X3245" s="174">
        <v>594.97</v>
      </c>
      <c r="Y3245" s="174">
        <v>632.22</v>
      </c>
    </row>
    <row r="3246" spans="1:25" ht="15" customHeight="1" x14ac:dyDescent="0.25">
      <c r="A3246" s="20" t="s">
        <v>6024</v>
      </c>
      <c r="B3246" s="14" t="s">
        <v>6025</v>
      </c>
      <c r="C3246" s="71" t="str">
        <f t="shared" si="79"/>
        <v>Product Info</v>
      </c>
      <c r="D3246" s="37" t="s">
        <v>7679</v>
      </c>
      <c r="E3246" s="143">
        <v>1</v>
      </c>
      <c r="F3246" s="12" t="s">
        <v>2170</v>
      </c>
      <c r="G3246" s="38">
        <v>765.03</v>
      </c>
      <c r="H3246" s="38">
        <v>650.29999999999995</v>
      </c>
      <c r="I3246" s="38">
        <v>535.52</v>
      </c>
      <c r="J3246" s="39">
        <v>50</v>
      </c>
      <c r="K3246" s="143"/>
      <c r="L3246" s="22">
        <v>1.24</v>
      </c>
      <c r="M3246" s="22" t="s">
        <v>12488</v>
      </c>
      <c r="N3246" s="20" t="s">
        <v>9440</v>
      </c>
      <c r="O3246" s="16" t="s">
        <v>12608</v>
      </c>
      <c r="P3246" s="143">
        <v>752</v>
      </c>
      <c r="Q3246" s="122" t="s">
        <v>12421</v>
      </c>
      <c r="R3246" s="16" t="s">
        <v>8904</v>
      </c>
      <c r="S3246" s="10" t="s">
        <v>1163</v>
      </c>
      <c r="T3246" s="28" t="s">
        <v>12206</v>
      </c>
      <c r="U3246" s="20" t="s">
        <v>5359</v>
      </c>
      <c r="V3246" s="16" t="s">
        <v>6024</v>
      </c>
      <c r="W3246" s="11" t="s">
        <v>14283</v>
      </c>
      <c r="X3246" s="174">
        <v>484.59</v>
      </c>
      <c r="Y3246" s="174">
        <v>650.29999999999995</v>
      </c>
    </row>
    <row r="3247" spans="1:25" ht="15" customHeight="1" x14ac:dyDescent="0.25">
      <c r="A3247" s="20" t="s">
        <v>6026</v>
      </c>
      <c r="B3247" s="14" t="s">
        <v>6027</v>
      </c>
      <c r="C3247" s="71" t="str">
        <f t="shared" si="79"/>
        <v>Product Info</v>
      </c>
      <c r="D3247" s="37" t="s">
        <v>7680</v>
      </c>
      <c r="E3247" s="143">
        <v>1</v>
      </c>
      <c r="F3247" s="12" t="s">
        <v>2170</v>
      </c>
      <c r="G3247" s="38">
        <v>1158.24</v>
      </c>
      <c r="H3247" s="38">
        <v>984.54</v>
      </c>
      <c r="I3247" s="38">
        <v>810.77</v>
      </c>
      <c r="J3247" s="39">
        <v>50</v>
      </c>
      <c r="K3247" s="143"/>
      <c r="L3247" s="22">
        <v>7.95</v>
      </c>
      <c r="M3247" s="22" t="s">
        <v>12488</v>
      </c>
      <c r="N3247" s="20" t="s">
        <v>9324</v>
      </c>
      <c r="O3247" s="16" t="s">
        <v>12608</v>
      </c>
      <c r="P3247" s="143">
        <v>752</v>
      </c>
      <c r="Q3247" s="122" t="s">
        <v>12421</v>
      </c>
      <c r="R3247" s="16" t="s">
        <v>8904</v>
      </c>
      <c r="S3247" s="10" t="s">
        <v>1163</v>
      </c>
      <c r="T3247" s="28" t="s">
        <v>12207</v>
      </c>
      <c r="U3247" s="20" t="s">
        <v>5359</v>
      </c>
      <c r="V3247" s="16" t="s">
        <v>6026</v>
      </c>
      <c r="W3247" s="11" t="s">
        <v>14283</v>
      </c>
      <c r="X3247" s="174">
        <v>733.66</v>
      </c>
      <c r="Y3247" s="174">
        <v>984.54</v>
      </c>
    </row>
    <row r="3248" spans="1:25" ht="15" customHeight="1" x14ac:dyDescent="0.25">
      <c r="A3248" s="20" t="s">
        <v>6028</v>
      </c>
      <c r="B3248" s="14" t="s">
        <v>6139</v>
      </c>
      <c r="C3248" s="71" t="str">
        <f t="shared" si="79"/>
        <v>Product Info</v>
      </c>
      <c r="D3248" s="37" t="s">
        <v>2407</v>
      </c>
      <c r="E3248" s="143">
        <v>3</v>
      </c>
      <c r="F3248" s="12" t="s">
        <v>2170</v>
      </c>
      <c r="G3248" s="38">
        <v>75.56</v>
      </c>
      <c r="H3248" s="38">
        <v>64.23</v>
      </c>
      <c r="I3248" s="38">
        <v>52.89</v>
      </c>
      <c r="J3248" s="39"/>
      <c r="K3248" s="12" t="s">
        <v>8905</v>
      </c>
      <c r="L3248" s="22">
        <v>2.58</v>
      </c>
      <c r="M3248" s="22" t="s">
        <v>12488</v>
      </c>
      <c r="N3248" s="20" t="s">
        <v>8792</v>
      </c>
      <c r="O3248" s="16" t="s">
        <v>12608</v>
      </c>
      <c r="P3248" s="143">
        <v>751</v>
      </c>
      <c r="Q3248" s="122" t="s">
        <v>14461</v>
      </c>
      <c r="R3248" s="16" t="s">
        <v>9235</v>
      </c>
      <c r="S3248" s="10" t="s">
        <v>1163</v>
      </c>
      <c r="T3248" s="28" t="s">
        <v>12208</v>
      </c>
      <c r="U3248" s="20" t="s">
        <v>5359</v>
      </c>
      <c r="V3248" s="16" t="s">
        <v>6028</v>
      </c>
      <c r="W3248" s="11" t="s">
        <v>14284</v>
      </c>
      <c r="X3248" s="174">
        <v>48.8</v>
      </c>
      <c r="Y3248" s="174">
        <v>64.23</v>
      </c>
    </row>
    <row r="3249" spans="1:25" ht="15" customHeight="1" x14ac:dyDescent="0.25">
      <c r="A3249" s="20" t="s">
        <v>6140</v>
      </c>
      <c r="B3249" s="14" t="s">
        <v>6141</v>
      </c>
      <c r="C3249" s="71" t="str">
        <f t="shared" si="79"/>
        <v>Product Info</v>
      </c>
      <c r="D3249" s="37" t="s">
        <v>7681</v>
      </c>
      <c r="E3249" s="143">
        <v>1</v>
      </c>
      <c r="F3249" s="12" t="s">
        <v>2170</v>
      </c>
      <c r="G3249" s="38">
        <v>53.74</v>
      </c>
      <c r="H3249" s="38">
        <v>45.68</v>
      </c>
      <c r="I3249" s="38">
        <v>37.619999999999997</v>
      </c>
      <c r="J3249" s="39"/>
      <c r="K3249" s="12" t="s">
        <v>8905</v>
      </c>
      <c r="L3249" s="22">
        <v>1</v>
      </c>
      <c r="M3249" s="22" t="s">
        <v>12488</v>
      </c>
      <c r="N3249" s="20" t="s">
        <v>9575</v>
      </c>
      <c r="O3249" s="16" t="s">
        <v>13914</v>
      </c>
      <c r="P3249" s="143">
        <v>751</v>
      </c>
      <c r="Q3249" s="122" t="s">
        <v>14461</v>
      </c>
      <c r="R3249" s="16" t="s">
        <v>9235</v>
      </c>
      <c r="S3249" s="10" t="s">
        <v>1163</v>
      </c>
      <c r="T3249" s="28" t="s">
        <v>12209</v>
      </c>
      <c r="U3249" s="20" t="s">
        <v>5359</v>
      </c>
      <c r="V3249" s="16" t="s">
        <v>6140</v>
      </c>
      <c r="W3249" s="11" t="s">
        <v>14284</v>
      </c>
      <c r="X3249" s="174">
        <v>34.71</v>
      </c>
      <c r="Y3249" s="174">
        <v>45.68</v>
      </c>
    </row>
    <row r="3250" spans="1:25" ht="15" customHeight="1" x14ac:dyDescent="0.25">
      <c r="A3250" s="20" t="s">
        <v>6009</v>
      </c>
      <c r="B3250" s="14" t="s">
        <v>6010</v>
      </c>
      <c r="C3250" s="71" t="str">
        <f t="shared" si="79"/>
        <v>Product Info</v>
      </c>
      <c r="D3250" s="37" t="s">
        <v>7682</v>
      </c>
      <c r="E3250" s="143">
        <v>1</v>
      </c>
      <c r="F3250" s="12" t="s">
        <v>2170</v>
      </c>
      <c r="G3250" s="38">
        <v>62.4</v>
      </c>
      <c r="H3250" s="38">
        <v>53.04</v>
      </c>
      <c r="I3250" s="38">
        <v>43.68</v>
      </c>
      <c r="J3250" s="39"/>
      <c r="K3250" s="143"/>
      <c r="L3250" s="22">
        <v>2</v>
      </c>
      <c r="M3250" s="22" t="s">
        <v>12488</v>
      </c>
      <c r="N3250" s="20" t="s">
        <v>9576</v>
      </c>
      <c r="O3250" s="16" t="s">
        <v>12608</v>
      </c>
      <c r="P3250" s="143">
        <v>751</v>
      </c>
      <c r="Q3250" s="122" t="s">
        <v>9227</v>
      </c>
      <c r="R3250" s="16" t="s">
        <v>9235</v>
      </c>
      <c r="S3250" s="10" t="s">
        <v>1163</v>
      </c>
      <c r="T3250" s="28" t="s">
        <v>12210</v>
      </c>
      <c r="U3250" s="20" t="s">
        <v>5359</v>
      </c>
      <c r="V3250" s="16" t="s">
        <v>6009</v>
      </c>
      <c r="W3250" s="11" t="s">
        <v>14284</v>
      </c>
      <c r="X3250" s="174">
        <v>40.299999999999997</v>
      </c>
      <c r="Y3250" s="174">
        <v>53.04</v>
      </c>
    </row>
    <row r="3251" spans="1:25" ht="15" customHeight="1" x14ac:dyDescent="0.25">
      <c r="A3251" s="20" t="s">
        <v>5677</v>
      </c>
      <c r="B3251" s="14" t="s">
        <v>5678</v>
      </c>
      <c r="C3251" s="71" t="str">
        <f t="shared" si="79"/>
        <v>Product Info</v>
      </c>
      <c r="D3251" s="37" t="s">
        <v>4959</v>
      </c>
      <c r="E3251" s="143">
        <v>1</v>
      </c>
      <c r="F3251" s="12" t="s">
        <v>2170</v>
      </c>
      <c r="G3251" s="38">
        <v>73.790000000000006</v>
      </c>
      <c r="H3251" s="38">
        <v>62.72</v>
      </c>
      <c r="I3251" s="38">
        <v>51.65</v>
      </c>
      <c r="J3251" s="39"/>
      <c r="K3251" s="143"/>
      <c r="L3251" s="22">
        <v>0</v>
      </c>
      <c r="M3251" s="22">
        <v>0</v>
      </c>
      <c r="N3251" s="20" t="s">
        <v>14489</v>
      </c>
      <c r="O3251" s="16">
        <v>0</v>
      </c>
      <c r="P3251" s="143">
        <v>751</v>
      </c>
      <c r="Q3251" s="121" t="s">
        <v>14285</v>
      </c>
      <c r="R3251" s="16" t="s">
        <v>9235</v>
      </c>
      <c r="S3251" s="10" t="s">
        <v>1163</v>
      </c>
      <c r="T3251" s="28" t="s">
        <v>12211</v>
      </c>
      <c r="U3251" s="20" t="s">
        <v>5359</v>
      </c>
      <c r="V3251" s="16" t="s">
        <v>5677</v>
      </c>
      <c r="W3251" s="11" t="s">
        <v>14284</v>
      </c>
      <c r="X3251" s="174">
        <v>47.66</v>
      </c>
      <c r="Y3251" s="174">
        <v>62.72</v>
      </c>
    </row>
    <row r="3252" spans="1:25" ht="15" customHeight="1" x14ac:dyDescent="0.25">
      <c r="A3252" s="20" t="s">
        <v>6011</v>
      </c>
      <c r="B3252" s="14" t="s">
        <v>6012</v>
      </c>
      <c r="C3252" s="71" t="str">
        <f t="shared" si="79"/>
        <v>Product Info</v>
      </c>
      <c r="D3252" s="37" t="s">
        <v>6298</v>
      </c>
      <c r="E3252" s="143">
        <v>3</v>
      </c>
      <c r="F3252" s="12" t="s">
        <v>2170</v>
      </c>
      <c r="G3252" s="38">
        <v>72.81</v>
      </c>
      <c r="H3252" s="38">
        <v>61.89</v>
      </c>
      <c r="I3252" s="38">
        <v>50.97</v>
      </c>
      <c r="J3252" s="39"/>
      <c r="K3252" s="12" t="s">
        <v>8905</v>
      </c>
      <c r="L3252" s="22">
        <v>0.93</v>
      </c>
      <c r="M3252" s="22" t="s">
        <v>12488</v>
      </c>
      <c r="N3252" s="20" t="s">
        <v>8792</v>
      </c>
      <c r="O3252" s="16" t="s">
        <v>12608</v>
      </c>
      <c r="P3252" s="143">
        <v>751</v>
      </c>
      <c r="Q3252" s="122" t="s">
        <v>14461</v>
      </c>
      <c r="R3252" s="16" t="s">
        <v>9235</v>
      </c>
      <c r="S3252" s="10" t="s">
        <v>1163</v>
      </c>
      <c r="T3252" s="28" t="s">
        <v>12212</v>
      </c>
      <c r="U3252" s="20" t="s">
        <v>5359</v>
      </c>
      <c r="V3252" s="16" t="s">
        <v>6011</v>
      </c>
      <c r="W3252" s="11" t="s">
        <v>14284</v>
      </c>
      <c r="X3252" s="174">
        <v>47.03</v>
      </c>
      <c r="Y3252" s="174">
        <v>61.89</v>
      </c>
    </row>
    <row r="3253" spans="1:25" ht="15" customHeight="1" x14ac:dyDescent="0.25">
      <c r="A3253" s="20" t="s">
        <v>6013</v>
      </c>
      <c r="B3253" s="14" t="s">
        <v>6014</v>
      </c>
      <c r="C3253" s="71" t="str">
        <f t="shared" si="79"/>
        <v>Product Info</v>
      </c>
      <c r="D3253" s="37" t="s">
        <v>7683</v>
      </c>
      <c r="E3253" s="143">
        <v>3</v>
      </c>
      <c r="F3253" s="12" t="s">
        <v>2170</v>
      </c>
      <c r="G3253" s="38">
        <v>103.86</v>
      </c>
      <c r="H3253" s="38">
        <v>88.28</v>
      </c>
      <c r="I3253" s="38">
        <v>72.7</v>
      </c>
      <c r="J3253" s="39"/>
      <c r="K3253" s="12" t="s">
        <v>8905</v>
      </c>
      <c r="L3253" s="22">
        <v>3.23</v>
      </c>
      <c r="M3253" s="22" t="s">
        <v>12488</v>
      </c>
      <c r="N3253" s="20" t="s">
        <v>9577</v>
      </c>
      <c r="O3253" s="16" t="s">
        <v>12608</v>
      </c>
      <c r="P3253" s="143">
        <v>751</v>
      </c>
      <c r="Q3253" s="122" t="s">
        <v>14461</v>
      </c>
      <c r="R3253" s="16" t="s">
        <v>9235</v>
      </c>
      <c r="S3253" s="10" t="s">
        <v>1163</v>
      </c>
      <c r="T3253" s="28" t="s">
        <v>12213</v>
      </c>
      <c r="U3253" s="20" t="s">
        <v>5359</v>
      </c>
      <c r="V3253" s="16" t="s">
        <v>6013</v>
      </c>
      <c r="W3253" s="11" t="s">
        <v>14284</v>
      </c>
      <c r="X3253" s="174">
        <v>67.08</v>
      </c>
      <c r="Y3253" s="174">
        <v>88.28</v>
      </c>
    </row>
    <row r="3254" spans="1:25" ht="15" customHeight="1" x14ac:dyDescent="0.25">
      <c r="A3254" s="20" t="s">
        <v>1318</v>
      </c>
      <c r="B3254" s="14" t="s">
        <v>1319</v>
      </c>
      <c r="C3254" s="71" t="str">
        <f t="shared" si="79"/>
        <v>Product Info</v>
      </c>
      <c r="D3254" s="37" t="s">
        <v>8954</v>
      </c>
      <c r="E3254" s="143">
        <v>3</v>
      </c>
      <c r="F3254" s="12" t="s">
        <v>2170</v>
      </c>
      <c r="G3254" s="38">
        <v>89</v>
      </c>
      <c r="H3254" s="38">
        <v>75.650000000000006</v>
      </c>
      <c r="I3254" s="38">
        <v>62.3</v>
      </c>
      <c r="J3254" s="39"/>
      <c r="K3254" s="12" t="s">
        <v>8905</v>
      </c>
      <c r="L3254" s="22">
        <v>3.0390000000000001</v>
      </c>
      <c r="M3254" s="22" t="s">
        <v>12488</v>
      </c>
      <c r="N3254" s="20" t="s">
        <v>9577</v>
      </c>
      <c r="O3254" s="16" t="s">
        <v>12608</v>
      </c>
      <c r="P3254" s="143">
        <v>751</v>
      </c>
      <c r="Q3254" s="122" t="s">
        <v>14461</v>
      </c>
      <c r="R3254" s="16" t="s">
        <v>9235</v>
      </c>
      <c r="S3254" s="10" t="s">
        <v>1163</v>
      </c>
      <c r="T3254" s="28" t="s">
        <v>12214</v>
      </c>
      <c r="U3254" s="20" t="s">
        <v>5359</v>
      </c>
      <c r="V3254" s="16" t="s">
        <v>1318</v>
      </c>
      <c r="W3254" s="11" t="s">
        <v>14284</v>
      </c>
      <c r="X3254" s="174">
        <v>57.48</v>
      </c>
      <c r="Y3254" s="174">
        <v>75.650000000000006</v>
      </c>
    </row>
    <row r="3255" spans="1:25" ht="15" customHeight="1" x14ac:dyDescent="0.25">
      <c r="A3255" s="20" t="s">
        <v>2750</v>
      </c>
      <c r="B3255" s="14" t="s">
        <v>2751</v>
      </c>
      <c r="C3255" s="71" t="str">
        <f t="shared" si="79"/>
        <v>Product Info</v>
      </c>
      <c r="D3255" s="37" t="s">
        <v>8955</v>
      </c>
      <c r="E3255" s="143">
        <v>3</v>
      </c>
      <c r="F3255" s="12" t="s">
        <v>2170</v>
      </c>
      <c r="G3255" s="38">
        <v>130.61000000000001</v>
      </c>
      <c r="H3255" s="38">
        <v>111.03</v>
      </c>
      <c r="I3255" s="38">
        <v>91.43</v>
      </c>
      <c r="J3255" s="39"/>
      <c r="K3255" s="12" t="s">
        <v>8905</v>
      </c>
      <c r="L3255" s="22">
        <v>3.39</v>
      </c>
      <c r="M3255" s="22" t="s">
        <v>12488</v>
      </c>
      <c r="N3255" s="20" t="s">
        <v>9407</v>
      </c>
      <c r="O3255" s="16" t="s">
        <v>13914</v>
      </c>
      <c r="P3255" s="143">
        <v>751</v>
      </c>
      <c r="Q3255" s="122" t="s">
        <v>14461</v>
      </c>
      <c r="R3255" s="16" t="s">
        <v>9235</v>
      </c>
      <c r="S3255" s="10" t="s">
        <v>1163</v>
      </c>
      <c r="T3255" s="28" t="s">
        <v>12215</v>
      </c>
      <c r="U3255" s="20" t="s">
        <v>5359</v>
      </c>
      <c r="V3255" s="16" t="s">
        <v>2750</v>
      </c>
      <c r="W3255" s="11" t="s">
        <v>14284</v>
      </c>
      <c r="X3255" s="174">
        <v>84.36</v>
      </c>
      <c r="Y3255" s="174">
        <v>111.03</v>
      </c>
    </row>
    <row r="3256" spans="1:25" ht="15" customHeight="1" x14ac:dyDescent="0.25">
      <c r="A3256" s="20" t="s">
        <v>2752</v>
      </c>
      <c r="B3256" s="14" t="s">
        <v>2753</v>
      </c>
      <c r="C3256" s="71" t="str">
        <f t="shared" si="79"/>
        <v>Product Info</v>
      </c>
      <c r="D3256" s="37" t="s">
        <v>7684</v>
      </c>
      <c r="E3256" s="143">
        <v>1</v>
      </c>
      <c r="F3256" s="12" t="s">
        <v>2170</v>
      </c>
      <c r="G3256" s="38">
        <v>67.63</v>
      </c>
      <c r="H3256" s="38">
        <v>57.49</v>
      </c>
      <c r="I3256" s="38">
        <v>47.34</v>
      </c>
      <c r="J3256" s="39"/>
      <c r="K3256" s="143"/>
      <c r="L3256" s="22">
        <v>1</v>
      </c>
      <c r="M3256" s="22" t="s">
        <v>12488</v>
      </c>
      <c r="N3256" s="20" t="s">
        <v>9467</v>
      </c>
      <c r="O3256" s="16" t="s">
        <v>13914</v>
      </c>
      <c r="P3256" s="143">
        <v>751</v>
      </c>
      <c r="Q3256" s="122" t="s">
        <v>14461</v>
      </c>
      <c r="R3256" s="16" t="s">
        <v>9235</v>
      </c>
      <c r="S3256" s="10" t="s">
        <v>1163</v>
      </c>
      <c r="T3256" s="28" t="s">
        <v>12216</v>
      </c>
      <c r="U3256" s="20" t="s">
        <v>5359</v>
      </c>
      <c r="V3256" s="16" t="s">
        <v>2752</v>
      </c>
      <c r="W3256" s="11" t="s">
        <v>14284</v>
      </c>
      <c r="X3256" s="174">
        <v>43.68</v>
      </c>
      <c r="Y3256" s="174">
        <v>57.49</v>
      </c>
    </row>
    <row r="3257" spans="1:25" ht="15" customHeight="1" x14ac:dyDescent="0.25">
      <c r="A3257" s="20" t="s">
        <v>2754</v>
      </c>
      <c r="B3257" s="14" t="s">
        <v>2755</v>
      </c>
      <c r="C3257" s="71" t="str">
        <f t="shared" si="79"/>
        <v>Product Info</v>
      </c>
      <c r="D3257" s="37" t="s">
        <v>7685</v>
      </c>
      <c r="E3257" s="143">
        <v>3</v>
      </c>
      <c r="F3257" s="12" t="s">
        <v>2170</v>
      </c>
      <c r="G3257" s="38">
        <v>92.3</v>
      </c>
      <c r="H3257" s="38">
        <v>78.459999999999994</v>
      </c>
      <c r="I3257" s="38">
        <v>64.61</v>
      </c>
      <c r="J3257" s="39"/>
      <c r="K3257" s="12" t="s">
        <v>8905</v>
      </c>
      <c r="L3257" s="22">
        <v>4</v>
      </c>
      <c r="M3257" s="22" t="s">
        <v>12488</v>
      </c>
      <c r="N3257" s="20" t="s">
        <v>9356</v>
      </c>
      <c r="O3257" s="16" t="s">
        <v>12608</v>
      </c>
      <c r="P3257" s="143">
        <v>751</v>
      </c>
      <c r="Q3257" s="122" t="s">
        <v>14461</v>
      </c>
      <c r="R3257" s="16" t="s">
        <v>9235</v>
      </c>
      <c r="S3257" s="10" t="s">
        <v>1163</v>
      </c>
      <c r="T3257" s="28" t="s">
        <v>12217</v>
      </c>
      <c r="U3257" s="20" t="s">
        <v>5359</v>
      </c>
      <c r="V3257" s="16" t="s">
        <v>2754</v>
      </c>
      <c r="W3257" s="11" t="s">
        <v>14284</v>
      </c>
      <c r="X3257" s="174">
        <v>59.62</v>
      </c>
      <c r="Y3257" s="174">
        <v>78.459999999999994</v>
      </c>
    </row>
    <row r="3258" spans="1:25" ht="15" customHeight="1" x14ac:dyDescent="0.25">
      <c r="A3258" s="20" t="s">
        <v>2756</v>
      </c>
      <c r="B3258" s="14" t="s">
        <v>2757</v>
      </c>
      <c r="C3258" s="71" t="str">
        <f t="shared" si="79"/>
        <v>Product Info</v>
      </c>
      <c r="D3258" s="37" t="s">
        <v>7686</v>
      </c>
      <c r="E3258" s="143">
        <v>3</v>
      </c>
      <c r="F3258" s="12" t="s">
        <v>2170</v>
      </c>
      <c r="G3258" s="38">
        <v>113.8</v>
      </c>
      <c r="H3258" s="38">
        <v>96.73</v>
      </c>
      <c r="I3258" s="38">
        <v>79.66</v>
      </c>
      <c r="J3258" s="39"/>
      <c r="K3258" s="12" t="s">
        <v>8905</v>
      </c>
      <c r="L3258" s="22">
        <v>1.278</v>
      </c>
      <c r="M3258" s="22" t="s">
        <v>12488</v>
      </c>
      <c r="N3258" s="20" t="s">
        <v>9333</v>
      </c>
      <c r="O3258" s="16" t="s">
        <v>12608</v>
      </c>
      <c r="P3258" s="143">
        <v>751</v>
      </c>
      <c r="Q3258" s="122" t="s">
        <v>14461</v>
      </c>
      <c r="R3258" s="16" t="s">
        <v>9235</v>
      </c>
      <c r="S3258" s="10" t="s">
        <v>1163</v>
      </c>
      <c r="T3258" s="28" t="s">
        <v>12218</v>
      </c>
      <c r="U3258" s="20" t="s">
        <v>5359</v>
      </c>
      <c r="V3258" s="16" t="s">
        <v>2756</v>
      </c>
      <c r="W3258" s="11" t="s">
        <v>14284</v>
      </c>
      <c r="X3258" s="174">
        <v>73.510000000000005</v>
      </c>
      <c r="Y3258" s="174">
        <v>96.73</v>
      </c>
    </row>
    <row r="3259" spans="1:25" ht="15" customHeight="1" x14ac:dyDescent="0.25">
      <c r="A3259" s="20" t="s">
        <v>2758</v>
      </c>
      <c r="B3259" s="14" t="s">
        <v>2759</v>
      </c>
      <c r="C3259" s="71" t="str">
        <f t="shared" si="79"/>
        <v>Product Info</v>
      </c>
      <c r="D3259" s="37" t="s">
        <v>7849</v>
      </c>
      <c r="E3259" s="143">
        <v>3</v>
      </c>
      <c r="F3259" s="12" t="s">
        <v>4992</v>
      </c>
      <c r="G3259" s="38">
        <v>172.2</v>
      </c>
      <c r="H3259" s="38">
        <v>146.38</v>
      </c>
      <c r="I3259" s="38">
        <v>120.54</v>
      </c>
      <c r="J3259" s="39"/>
      <c r="K3259" s="143"/>
      <c r="L3259" s="22">
        <v>0</v>
      </c>
      <c r="M3259" s="22">
        <v>0</v>
      </c>
      <c r="N3259" s="20" t="s">
        <v>14489</v>
      </c>
      <c r="O3259" s="16">
        <v>0</v>
      </c>
      <c r="P3259" s="143">
        <v>751</v>
      </c>
      <c r="Q3259" s="121" t="s">
        <v>14285</v>
      </c>
      <c r="R3259" s="16" t="s">
        <v>9235</v>
      </c>
      <c r="S3259" s="10" t="s">
        <v>1163</v>
      </c>
      <c r="T3259" s="28" t="s">
        <v>12219</v>
      </c>
      <c r="U3259" s="20" t="s">
        <v>5359</v>
      </c>
      <c r="V3259" s="16" t="s">
        <v>2758</v>
      </c>
      <c r="W3259" s="11" t="s">
        <v>14284</v>
      </c>
      <c r="X3259" s="174">
        <v>111.23</v>
      </c>
      <c r="Y3259" s="174">
        <v>146.38</v>
      </c>
    </row>
    <row r="3260" spans="1:25" ht="15" customHeight="1" x14ac:dyDescent="0.25">
      <c r="A3260" s="20" t="s">
        <v>2760</v>
      </c>
      <c r="B3260" s="14" t="s">
        <v>2761</v>
      </c>
      <c r="C3260" s="71" t="str">
        <f t="shared" si="79"/>
        <v>Product Info</v>
      </c>
      <c r="D3260" s="37" t="s">
        <v>8956</v>
      </c>
      <c r="E3260" s="143">
        <v>3</v>
      </c>
      <c r="F3260" s="12" t="s">
        <v>2170</v>
      </c>
      <c r="G3260" s="38">
        <v>96.3</v>
      </c>
      <c r="H3260" s="38">
        <v>81.86</v>
      </c>
      <c r="I3260" s="38">
        <v>67.41</v>
      </c>
      <c r="J3260" s="39"/>
      <c r="K3260" s="12" t="s">
        <v>8905</v>
      </c>
      <c r="L3260" s="22">
        <v>4</v>
      </c>
      <c r="M3260" s="22" t="s">
        <v>12488</v>
      </c>
      <c r="N3260" s="20" t="s">
        <v>9356</v>
      </c>
      <c r="O3260" s="16" t="s">
        <v>12608</v>
      </c>
      <c r="P3260" s="143">
        <v>751</v>
      </c>
      <c r="Q3260" s="122" t="s">
        <v>14461</v>
      </c>
      <c r="R3260" s="16" t="s">
        <v>9235</v>
      </c>
      <c r="S3260" s="10" t="s">
        <v>1163</v>
      </c>
      <c r="T3260" s="28" t="s">
        <v>12220</v>
      </c>
      <c r="U3260" s="20" t="s">
        <v>5359</v>
      </c>
      <c r="V3260" s="16" t="s">
        <v>2760</v>
      </c>
      <c r="W3260" s="11" t="s">
        <v>14284</v>
      </c>
      <c r="X3260" s="174">
        <v>62.2</v>
      </c>
      <c r="Y3260" s="174">
        <v>81.86</v>
      </c>
    </row>
    <row r="3261" spans="1:25" ht="15" customHeight="1" x14ac:dyDescent="0.25">
      <c r="A3261" s="20" t="s">
        <v>2762</v>
      </c>
      <c r="B3261" s="14" t="s">
        <v>2763</v>
      </c>
      <c r="C3261" s="71" t="str">
        <f t="shared" si="79"/>
        <v>Product Info</v>
      </c>
      <c r="D3261" s="37" t="s">
        <v>8957</v>
      </c>
      <c r="E3261" s="143">
        <v>3</v>
      </c>
      <c r="F3261" s="12" t="s">
        <v>2170</v>
      </c>
      <c r="G3261" s="38">
        <v>159.6</v>
      </c>
      <c r="H3261" s="38">
        <v>135.66</v>
      </c>
      <c r="I3261" s="38">
        <v>111.72</v>
      </c>
      <c r="J3261" s="39"/>
      <c r="K3261" s="12" t="s">
        <v>8905</v>
      </c>
      <c r="L3261" s="22">
        <v>4</v>
      </c>
      <c r="M3261" s="22" t="s">
        <v>12488</v>
      </c>
      <c r="N3261" s="20" t="s">
        <v>9407</v>
      </c>
      <c r="O3261" s="16" t="s">
        <v>13914</v>
      </c>
      <c r="P3261" s="143">
        <v>751</v>
      </c>
      <c r="Q3261" s="122" t="s">
        <v>14461</v>
      </c>
      <c r="R3261" s="16" t="s">
        <v>9235</v>
      </c>
      <c r="S3261" s="10" t="s">
        <v>1163</v>
      </c>
      <c r="T3261" s="28" t="s">
        <v>12221</v>
      </c>
      <c r="U3261" s="20" t="s">
        <v>5359</v>
      </c>
      <c r="V3261" s="16" t="s">
        <v>2762</v>
      </c>
      <c r="W3261" s="11" t="s">
        <v>14284</v>
      </c>
      <c r="X3261" s="174">
        <v>103.08</v>
      </c>
      <c r="Y3261" s="174">
        <v>135.66</v>
      </c>
    </row>
    <row r="3262" spans="1:25" ht="15" customHeight="1" x14ac:dyDescent="0.25">
      <c r="A3262" s="20" t="s">
        <v>2764</v>
      </c>
      <c r="B3262" s="14" t="s">
        <v>2765</v>
      </c>
      <c r="C3262" s="71" t="str">
        <f t="shared" si="79"/>
        <v>Product Info</v>
      </c>
      <c r="D3262" s="37" t="s">
        <v>6397</v>
      </c>
      <c r="E3262" s="143">
        <v>1</v>
      </c>
      <c r="F3262" s="12" t="s">
        <v>2170</v>
      </c>
      <c r="G3262" s="38">
        <v>103.27</v>
      </c>
      <c r="H3262" s="38">
        <v>87.78</v>
      </c>
      <c r="I3262" s="38">
        <v>72.290000000000006</v>
      </c>
      <c r="J3262" s="39"/>
      <c r="K3262" s="143"/>
      <c r="L3262" s="22">
        <v>1.3</v>
      </c>
      <c r="M3262" s="22" t="s">
        <v>12488</v>
      </c>
      <c r="N3262" s="20" t="s">
        <v>9578</v>
      </c>
      <c r="O3262" s="16" t="s">
        <v>12608</v>
      </c>
      <c r="P3262" s="143">
        <v>751</v>
      </c>
      <c r="Q3262" s="122" t="s">
        <v>14461</v>
      </c>
      <c r="R3262" s="16" t="s">
        <v>9235</v>
      </c>
      <c r="S3262" s="10" t="s">
        <v>1163</v>
      </c>
      <c r="T3262" s="28" t="s">
        <v>12222</v>
      </c>
      <c r="U3262" s="20" t="s">
        <v>5359</v>
      </c>
      <c r="V3262" s="16" t="s">
        <v>2764</v>
      </c>
      <c r="W3262" s="11" t="s">
        <v>14284</v>
      </c>
      <c r="X3262" s="174">
        <v>66.7</v>
      </c>
      <c r="Y3262" s="174">
        <v>87.78</v>
      </c>
    </row>
    <row r="3263" spans="1:25" ht="15" customHeight="1" x14ac:dyDescent="0.25">
      <c r="A3263" s="20" t="s">
        <v>2766</v>
      </c>
      <c r="B3263" s="14" t="s">
        <v>2767</v>
      </c>
      <c r="C3263" s="71" t="str">
        <f t="shared" si="79"/>
        <v>Product Info</v>
      </c>
      <c r="D3263" s="37" t="s">
        <v>6398</v>
      </c>
      <c r="E3263" s="143">
        <v>3</v>
      </c>
      <c r="F3263" s="12" t="s">
        <v>2170</v>
      </c>
      <c r="G3263" s="38">
        <v>114.71</v>
      </c>
      <c r="H3263" s="38">
        <v>97.51</v>
      </c>
      <c r="I3263" s="38">
        <v>80.3</v>
      </c>
      <c r="J3263" s="39"/>
      <c r="K3263" s="143"/>
      <c r="L3263" s="22">
        <v>4</v>
      </c>
      <c r="M3263" s="22" t="s">
        <v>12488</v>
      </c>
      <c r="N3263" s="20" t="s">
        <v>9356</v>
      </c>
      <c r="O3263" s="16" t="s">
        <v>12608</v>
      </c>
      <c r="P3263" s="143">
        <v>751</v>
      </c>
      <c r="Q3263" s="121" t="s">
        <v>14285</v>
      </c>
      <c r="R3263" s="16" t="s">
        <v>9235</v>
      </c>
      <c r="S3263" s="10" t="s">
        <v>1163</v>
      </c>
      <c r="T3263" s="28" t="s">
        <v>12223</v>
      </c>
      <c r="U3263" s="20" t="s">
        <v>5359</v>
      </c>
      <c r="V3263" s="16" t="s">
        <v>2766</v>
      </c>
      <c r="W3263" s="11" t="s">
        <v>14284</v>
      </c>
      <c r="X3263" s="174">
        <v>74.099999999999994</v>
      </c>
      <c r="Y3263" s="174">
        <v>97.51</v>
      </c>
    </row>
    <row r="3264" spans="1:25" ht="15" customHeight="1" x14ac:dyDescent="0.25">
      <c r="A3264" s="20" t="s">
        <v>2768</v>
      </c>
      <c r="B3264" s="14" t="s">
        <v>2769</v>
      </c>
      <c r="C3264" s="71" t="str">
        <f t="shared" si="79"/>
        <v>Product Info</v>
      </c>
      <c r="D3264" s="37" t="s">
        <v>2823</v>
      </c>
      <c r="E3264" s="143">
        <v>3</v>
      </c>
      <c r="F3264" s="12" t="s">
        <v>2170</v>
      </c>
      <c r="G3264" s="38">
        <v>161.99</v>
      </c>
      <c r="H3264" s="38">
        <v>137.69</v>
      </c>
      <c r="I3264" s="38">
        <v>113.39</v>
      </c>
      <c r="J3264" s="39"/>
      <c r="K3264" s="143"/>
      <c r="L3264" s="22">
        <v>1.33</v>
      </c>
      <c r="M3264" s="22" t="s">
        <v>12488</v>
      </c>
      <c r="N3264" s="20" t="s">
        <v>9356</v>
      </c>
      <c r="O3264" s="16" t="s">
        <v>12608</v>
      </c>
      <c r="P3264" s="143">
        <v>751</v>
      </c>
      <c r="Q3264" s="122" t="s">
        <v>12421</v>
      </c>
      <c r="R3264" s="16" t="s">
        <v>9235</v>
      </c>
      <c r="S3264" s="10" t="s">
        <v>1163</v>
      </c>
      <c r="T3264" s="28" t="s">
        <v>12224</v>
      </c>
      <c r="U3264" s="20" t="s">
        <v>5359</v>
      </c>
      <c r="V3264" s="16" t="s">
        <v>2768</v>
      </c>
      <c r="W3264" s="11" t="s">
        <v>14284</v>
      </c>
      <c r="X3264" s="174">
        <v>104.63</v>
      </c>
      <c r="Y3264" s="174">
        <v>137.69</v>
      </c>
    </row>
    <row r="3265" spans="1:25" ht="15" customHeight="1" x14ac:dyDescent="0.25">
      <c r="A3265" s="20" t="s">
        <v>7795</v>
      </c>
      <c r="B3265" s="14" t="s">
        <v>7796</v>
      </c>
      <c r="C3265" s="71" t="str">
        <f t="shared" si="79"/>
        <v>Product Info</v>
      </c>
      <c r="D3265" s="37" t="s">
        <v>8958</v>
      </c>
      <c r="E3265" s="143">
        <v>3</v>
      </c>
      <c r="F3265" s="12" t="s">
        <v>2170</v>
      </c>
      <c r="G3265" s="38">
        <v>127.46</v>
      </c>
      <c r="H3265" s="38">
        <v>108.34</v>
      </c>
      <c r="I3265" s="38">
        <v>89.22</v>
      </c>
      <c r="J3265" s="39"/>
      <c r="K3265" s="12" t="s">
        <v>8905</v>
      </c>
      <c r="L3265" s="22">
        <v>1.2333339999999999</v>
      </c>
      <c r="M3265" s="22" t="s">
        <v>2170</v>
      </c>
      <c r="N3265" s="20" t="s">
        <v>14489</v>
      </c>
      <c r="O3265" s="16" t="s">
        <v>12608</v>
      </c>
      <c r="P3265" s="143">
        <v>751</v>
      </c>
      <c r="Q3265" s="122" t="s">
        <v>14461</v>
      </c>
      <c r="R3265" s="16" t="s">
        <v>9235</v>
      </c>
      <c r="S3265" s="10" t="s">
        <v>1163</v>
      </c>
      <c r="T3265" s="28" t="s">
        <v>12225</v>
      </c>
      <c r="U3265" s="20" t="s">
        <v>5359</v>
      </c>
      <c r="V3265" s="16" t="s">
        <v>7795</v>
      </c>
      <c r="W3265" s="11" t="s">
        <v>14284</v>
      </c>
      <c r="X3265" s="174">
        <v>82.32</v>
      </c>
      <c r="Y3265" s="174">
        <v>108.34</v>
      </c>
    </row>
    <row r="3266" spans="1:25" ht="15" customHeight="1" x14ac:dyDescent="0.25">
      <c r="A3266" s="20" t="s">
        <v>7797</v>
      </c>
      <c r="B3266" s="14" t="s">
        <v>7798</v>
      </c>
      <c r="C3266" s="71" t="str">
        <f t="shared" si="79"/>
        <v>Product Info</v>
      </c>
      <c r="D3266" s="37" t="s">
        <v>8959</v>
      </c>
      <c r="E3266" s="143">
        <v>3</v>
      </c>
      <c r="F3266" s="12" t="s">
        <v>2170</v>
      </c>
      <c r="G3266" s="38">
        <v>177.49</v>
      </c>
      <c r="H3266" s="38">
        <v>150.87</v>
      </c>
      <c r="I3266" s="38">
        <v>124.24</v>
      </c>
      <c r="J3266" s="39"/>
      <c r="K3266" s="12"/>
      <c r="L3266" s="22">
        <v>1.5</v>
      </c>
      <c r="M3266" s="22" t="s">
        <v>12488</v>
      </c>
      <c r="N3266" s="20" t="s">
        <v>9499</v>
      </c>
      <c r="O3266" s="16" t="s">
        <v>12608</v>
      </c>
      <c r="P3266" s="143">
        <v>751</v>
      </c>
      <c r="Q3266" s="122" t="s">
        <v>14461</v>
      </c>
      <c r="R3266" s="16" t="s">
        <v>9235</v>
      </c>
      <c r="S3266" s="10" t="s">
        <v>1163</v>
      </c>
      <c r="T3266" s="28" t="s">
        <v>12226</v>
      </c>
      <c r="U3266" s="20" t="s">
        <v>5359</v>
      </c>
      <c r="V3266" s="16" t="s">
        <v>7797</v>
      </c>
      <c r="W3266" s="11" t="s">
        <v>14284</v>
      </c>
      <c r="X3266" s="174">
        <v>114.63</v>
      </c>
      <c r="Y3266" s="174">
        <v>150.87</v>
      </c>
    </row>
    <row r="3267" spans="1:25" ht="15" customHeight="1" x14ac:dyDescent="0.25">
      <c r="A3267" s="20" t="s">
        <v>7799</v>
      </c>
      <c r="B3267" s="14" t="s">
        <v>7800</v>
      </c>
      <c r="C3267" s="71" t="str">
        <f t="shared" si="79"/>
        <v>Product Info</v>
      </c>
      <c r="D3267" s="37" t="s">
        <v>6399</v>
      </c>
      <c r="E3267" s="143">
        <v>1</v>
      </c>
      <c r="F3267" s="12" t="s">
        <v>2170</v>
      </c>
      <c r="G3267" s="38">
        <v>119.4</v>
      </c>
      <c r="H3267" s="38">
        <v>101.49</v>
      </c>
      <c r="I3267" s="38">
        <v>83.58</v>
      </c>
      <c r="J3267" s="39"/>
      <c r="K3267" s="143"/>
      <c r="L3267" s="22">
        <v>2</v>
      </c>
      <c r="M3267" s="22" t="s">
        <v>12488</v>
      </c>
      <c r="N3267" s="20" t="s">
        <v>9418</v>
      </c>
      <c r="O3267" s="16" t="s">
        <v>12608</v>
      </c>
      <c r="P3267" s="143">
        <v>751</v>
      </c>
      <c r="Q3267" s="122" t="s">
        <v>9227</v>
      </c>
      <c r="R3267" s="16" t="s">
        <v>9235</v>
      </c>
      <c r="S3267" s="10" t="s">
        <v>1163</v>
      </c>
      <c r="T3267" s="28" t="s">
        <v>12227</v>
      </c>
      <c r="U3267" s="20" t="s">
        <v>5359</v>
      </c>
      <c r="V3267" s="16" t="s">
        <v>7799</v>
      </c>
      <c r="W3267" s="11" t="s">
        <v>14284</v>
      </c>
      <c r="X3267" s="174">
        <v>77.12</v>
      </c>
      <c r="Y3267" s="174">
        <v>101.49</v>
      </c>
    </row>
    <row r="3268" spans="1:25" ht="15" customHeight="1" x14ac:dyDescent="0.25">
      <c r="A3268" s="20" t="s">
        <v>7801</v>
      </c>
      <c r="B3268" s="14" t="s">
        <v>7802</v>
      </c>
      <c r="C3268" s="71" t="str">
        <f t="shared" si="79"/>
        <v>Product Info</v>
      </c>
      <c r="D3268" s="37" t="s">
        <v>6400</v>
      </c>
      <c r="E3268" s="143">
        <v>3</v>
      </c>
      <c r="F3268" s="12" t="s">
        <v>2170</v>
      </c>
      <c r="G3268" s="38">
        <v>207</v>
      </c>
      <c r="H3268" s="38">
        <v>175.96</v>
      </c>
      <c r="I3268" s="38">
        <v>144.9</v>
      </c>
      <c r="J3268" s="39"/>
      <c r="K3268" s="143"/>
      <c r="L3268" s="22">
        <v>4</v>
      </c>
      <c r="M3268" s="22" t="s">
        <v>12488</v>
      </c>
      <c r="N3268" s="20" t="s">
        <v>9380</v>
      </c>
      <c r="O3268" s="16" t="s">
        <v>12608</v>
      </c>
      <c r="P3268" s="143">
        <v>751</v>
      </c>
      <c r="Q3268" s="121" t="s">
        <v>14285</v>
      </c>
      <c r="R3268" s="16" t="s">
        <v>9235</v>
      </c>
      <c r="S3268" s="10" t="s">
        <v>1163</v>
      </c>
      <c r="T3268" s="28" t="s">
        <v>12228</v>
      </c>
      <c r="U3268" s="20" t="s">
        <v>5359</v>
      </c>
      <c r="V3268" s="16" t="s">
        <v>7801</v>
      </c>
      <c r="W3268" s="11" t="s">
        <v>14284</v>
      </c>
      <c r="X3268" s="174">
        <v>133.69999999999999</v>
      </c>
      <c r="Y3268" s="174">
        <v>175.96</v>
      </c>
    </row>
    <row r="3269" spans="1:25" ht="15" customHeight="1" x14ac:dyDescent="0.25">
      <c r="A3269" s="20" t="s">
        <v>7803</v>
      </c>
      <c r="B3269" s="14" t="s">
        <v>7804</v>
      </c>
      <c r="C3269" s="71" t="str">
        <f t="shared" si="79"/>
        <v>Product Info</v>
      </c>
      <c r="D3269" s="37" t="s">
        <v>6432</v>
      </c>
      <c r="E3269" s="143">
        <v>3</v>
      </c>
      <c r="F3269" s="12" t="s">
        <v>2170</v>
      </c>
      <c r="G3269" s="38">
        <v>220.27</v>
      </c>
      <c r="H3269" s="38">
        <v>187.24</v>
      </c>
      <c r="I3269" s="38">
        <v>154.19</v>
      </c>
      <c r="J3269" s="39"/>
      <c r="K3269" s="143"/>
      <c r="L3269" s="22">
        <v>2.48</v>
      </c>
      <c r="M3269" s="22" t="s">
        <v>12488</v>
      </c>
      <c r="N3269" s="20" t="s">
        <v>9356</v>
      </c>
      <c r="O3269" s="16" t="s">
        <v>12608</v>
      </c>
      <c r="P3269" s="143">
        <v>751</v>
      </c>
      <c r="Q3269" s="121" t="s">
        <v>14285</v>
      </c>
      <c r="R3269" s="16" t="s">
        <v>9235</v>
      </c>
      <c r="S3269" s="10" t="s">
        <v>1163</v>
      </c>
      <c r="T3269" s="28" t="s">
        <v>12229</v>
      </c>
      <c r="U3269" s="20" t="s">
        <v>5359</v>
      </c>
      <c r="V3269" s="16" t="s">
        <v>7803</v>
      </c>
      <c r="W3269" s="11" t="s">
        <v>14284</v>
      </c>
      <c r="X3269" s="174">
        <v>142.28</v>
      </c>
      <c r="Y3269" s="174">
        <v>187.24</v>
      </c>
    </row>
    <row r="3270" spans="1:25" ht="15" customHeight="1" x14ac:dyDescent="0.25">
      <c r="A3270" s="20" t="s">
        <v>7805</v>
      </c>
      <c r="B3270" s="14" t="s">
        <v>7806</v>
      </c>
      <c r="C3270" s="71" t="str">
        <f t="shared" ref="C3270:C3333" si="80">HYPERLINK(T3270,U3270)</f>
        <v>Product Info</v>
      </c>
      <c r="D3270" s="37" t="s">
        <v>6401</v>
      </c>
      <c r="E3270" s="143">
        <v>1</v>
      </c>
      <c r="F3270" s="12" t="s">
        <v>2170</v>
      </c>
      <c r="G3270" s="38">
        <v>90.59</v>
      </c>
      <c r="H3270" s="38">
        <v>77</v>
      </c>
      <c r="I3270" s="38">
        <v>63.41</v>
      </c>
      <c r="J3270" s="39"/>
      <c r="K3270" s="143"/>
      <c r="L3270" s="22">
        <v>1</v>
      </c>
      <c r="M3270" s="22" t="s">
        <v>12488</v>
      </c>
      <c r="N3270" s="20" t="s">
        <v>9467</v>
      </c>
      <c r="O3270" s="16" t="s">
        <v>13914</v>
      </c>
      <c r="P3270" s="143">
        <v>751</v>
      </c>
      <c r="Q3270" s="122" t="s">
        <v>14461</v>
      </c>
      <c r="R3270" s="16" t="s">
        <v>9235</v>
      </c>
      <c r="S3270" s="10" t="s">
        <v>1163</v>
      </c>
      <c r="T3270" s="28" t="s">
        <v>12230</v>
      </c>
      <c r="U3270" s="20" t="s">
        <v>5359</v>
      </c>
      <c r="V3270" s="16" t="s">
        <v>7805</v>
      </c>
      <c r="W3270" s="11" t="s">
        <v>14284</v>
      </c>
      <c r="X3270" s="174">
        <v>58.51</v>
      </c>
      <c r="Y3270" s="174">
        <v>77</v>
      </c>
    </row>
    <row r="3271" spans="1:25" ht="15" customHeight="1" x14ac:dyDescent="0.25">
      <c r="A3271" s="20" t="s">
        <v>7807</v>
      </c>
      <c r="B3271" s="14" t="s">
        <v>3027</v>
      </c>
      <c r="C3271" s="71" t="str">
        <f t="shared" si="80"/>
        <v>Product Info</v>
      </c>
      <c r="D3271" s="37" t="s">
        <v>6402</v>
      </c>
      <c r="E3271" s="143">
        <v>1</v>
      </c>
      <c r="F3271" s="12" t="s">
        <v>2170</v>
      </c>
      <c r="G3271" s="38">
        <v>111.57</v>
      </c>
      <c r="H3271" s="38">
        <v>94.84</v>
      </c>
      <c r="I3271" s="38">
        <v>78.099999999999994</v>
      </c>
      <c r="J3271" s="39"/>
      <c r="K3271" s="143"/>
      <c r="L3271" s="22">
        <v>0</v>
      </c>
      <c r="M3271" s="22" t="s">
        <v>14396</v>
      </c>
      <c r="N3271" s="20" t="s">
        <v>14489</v>
      </c>
      <c r="O3271" s="16" t="s">
        <v>13914</v>
      </c>
      <c r="P3271" s="143">
        <v>751</v>
      </c>
      <c r="Q3271" s="122" t="s">
        <v>9227</v>
      </c>
      <c r="R3271" s="16" t="s">
        <v>9235</v>
      </c>
      <c r="S3271" s="10" t="s">
        <v>1163</v>
      </c>
      <c r="T3271" s="28" t="s">
        <v>12231</v>
      </c>
      <c r="U3271" s="20" t="s">
        <v>5359</v>
      </c>
      <c r="V3271" s="16" t="s">
        <v>7807</v>
      </c>
      <c r="W3271" s="11" t="s">
        <v>14284</v>
      </c>
      <c r="X3271" s="174">
        <v>72.069999999999993</v>
      </c>
      <c r="Y3271" s="174">
        <v>94.84</v>
      </c>
    </row>
    <row r="3272" spans="1:25" ht="15" customHeight="1" x14ac:dyDescent="0.25">
      <c r="A3272" s="20" t="s">
        <v>3028</v>
      </c>
      <c r="B3272" s="14" t="s">
        <v>3029</v>
      </c>
      <c r="C3272" s="71" t="str">
        <f t="shared" si="80"/>
        <v>Product Info</v>
      </c>
      <c r="D3272" s="37" t="s">
        <v>6403</v>
      </c>
      <c r="E3272" s="143">
        <v>3</v>
      </c>
      <c r="F3272" s="12" t="s">
        <v>2170</v>
      </c>
      <c r="G3272" s="38">
        <v>166.87</v>
      </c>
      <c r="H3272" s="38">
        <v>141.85</v>
      </c>
      <c r="I3272" s="38">
        <v>116.81</v>
      </c>
      <c r="J3272" s="39"/>
      <c r="K3272" s="143"/>
      <c r="L3272" s="22">
        <v>1.1499999999999999</v>
      </c>
      <c r="M3272" s="22" t="s">
        <v>12488</v>
      </c>
      <c r="N3272" s="20" t="s">
        <v>9380</v>
      </c>
      <c r="O3272" s="16" t="s">
        <v>12608</v>
      </c>
      <c r="P3272" s="143">
        <v>751</v>
      </c>
      <c r="Q3272" s="121" t="s">
        <v>14285</v>
      </c>
      <c r="R3272" s="16" t="s">
        <v>9235</v>
      </c>
      <c r="S3272" s="10" t="s">
        <v>1163</v>
      </c>
      <c r="T3272" s="28" t="s">
        <v>12232</v>
      </c>
      <c r="U3272" s="20" t="s">
        <v>5359</v>
      </c>
      <c r="V3272" s="16" t="s">
        <v>3028</v>
      </c>
      <c r="W3272" s="11" t="s">
        <v>14284</v>
      </c>
      <c r="X3272" s="174">
        <v>107.78</v>
      </c>
      <c r="Y3272" s="174">
        <v>141.85</v>
      </c>
    </row>
    <row r="3273" spans="1:25" ht="15" customHeight="1" x14ac:dyDescent="0.25">
      <c r="A3273" s="20" t="s">
        <v>3030</v>
      </c>
      <c r="B3273" s="14" t="s">
        <v>3031</v>
      </c>
      <c r="C3273" s="71" t="str">
        <f t="shared" si="80"/>
        <v>Product Info</v>
      </c>
      <c r="D3273" s="37" t="s">
        <v>6404</v>
      </c>
      <c r="E3273" s="143">
        <v>3</v>
      </c>
      <c r="F3273" s="12" t="s">
        <v>2170</v>
      </c>
      <c r="G3273" s="38">
        <v>177.81</v>
      </c>
      <c r="H3273" s="38">
        <v>151.15</v>
      </c>
      <c r="I3273" s="38">
        <v>124.47</v>
      </c>
      <c r="J3273" s="39"/>
      <c r="K3273" s="143"/>
      <c r="L3273" s="22">
        <v>3.99</v>
      </c>
      <c r="M3273" s="22" t="s">
        <v>12488</v>
      </c>
      <c r="N3273" s="20" t="s">
        <v>9380</v>
      </c>
      <c r="O3273" s="16" t="s">
        <v>12608</v>
      </c>
      <c r="P3273" s="143">
        <v>751</v>
      </c>
      <c r="Q3273" s="121" t="s">
        <v>14285</v>
      </c>
      <c r="R3273" s="16" t="s">
        <v>9235</v>
      </c>
      <c r="S3273" s="10" t="s">
        <v>1163</v>
      </c>
      <c r="T3273" s="28" t="s">
        <v>12233</v>
      </c>
      <c r="U3273" s="20" t="s">
        <v>5359</v>
      </c>
      <c r="V3273" s="16" t="s">
        <v>3030</v>
      </c>
      <c r="W3273" s="11" t="s">
        <v>14284</v>
      </c>
      <c r="X3273" s="174">
        <v>114.85</v>
      </c>
      <c r="Y3273" s="174">
        <v>151.15</v>
      </c>
    </row>
    <row r="3274" spans="1:25" ht="15" customHeight="1" x14ac:dyDescent="0.25">
      <c r="A3274" s="20" t="s">
        <v>3032</v>
      </c>
      <c r="B3274" s="14" t="s">
        <v>3033</v>
      </c>
      <c r="C3274" s="71" t="str">
        <f t="shared" si="80"/>
        <v>Product Info</v>
      </c>
      <c r="D3274" s="37" t="s">
        <v>6405</v>
      </c>
      <c r="E3274" s="143">
        <v>1</v>
      </c>
      <c r="F3274" s="12" t="s">
        <v>2170</v>
      </c>
      <c r="G3274" s="38">
        <v>96.49</v>
      </c>
      <c r="H3274" s="38">
        <v>82.02</v>
      </c>
      <c r="I3274" s="38">
        <v>67.540000000000006</v>
      </c>
      <c r="J3274" s="39"/>
      <c r="K3274" s="143"/>
      <c r="L3274" s="22">
        <v>1.96</v>
      </c>
      <c r="M3274" s="22" t="s">
        <v>12488</v>
      </c>
      <c r="N3274" s="20" t="s">
        <v>9579</v>
      </c>
      <c r="O3274" s="16" t="s">
        <v>12608</v>
      </c>
      <c r="P3274" s="143">
        <v>751</v>
      </c>
      <c r="Q3274" s="122" t="s">
        <v>14461</v>
      </c>
      <c r="R3274" s="16" t="s">
        <v>9235</v>
      </c>
      <c r="S3274" s="10" t="s">
        <v>1163</v>
      </c>
      <c r="T3274" s="28" t="s">
        <v>12234</v>
      </c>
      <c r="U3274" s="20" t="s">
        <v>5359</v>
      </c>
      <c r="V3274" s="16" t="s">
        <v>3032</v>
      </c>
      <c r="W3274" s="11" t="s">
        <v>14284</v>
      </c>
      <c r="X3274" s="174">
        <v>62.32</v>
      </c>
      <c r="Y3274" s="174">
        <v>82.02</v>
      </c>
    </row>
    <row r="3275" spans="1:25" ht="15" customHeight="1" x14ac:dyDescent="0.25">
      <c r="A3275" s="20" t="s">
        <v>5679</v>
      </c>
      <c r="B3275" s="14" t="s">
        <v>5680</v>
      </c>
      <c r="C3275" s="71" t="str">
        <f t="shared" si="80"/>
        <v>Product Info</v>
      </c>
      <c r="D3275" s="37" t="s">
        <v>4960</v>
      </c>
      <c r="E3275" s="143">
        <v>1</v>
      </c>
      <c r="F3275" s="12" t="s">
        <v>2170</v>
      </c>
      <c r="G3275" s="38">
        <v>123.01</v>
      </c>
      <c r="H3275" s="38">
        <v>104.57</v>
      </c>
      <c r="I3275" s="38">
        <v>86.11</v>
      </c>
      <c r="J3275" s="39"/>
      <c r="K3275" s="143"/>
      <c r="L3275" s="22">
        <v>0</v>
      </c>
      <c r="M3275" s="22" t="s">
        <v>14396</v>
      </c>
      <c r="N3275" s="20" t="s">
        <v>14489</v>
      </c>
      <c r="O3275" s="16" t="s">
        <v>13914</v>
      </c>
      <c r="P3275" s="143">
        <v>751</v>
      </c>
      <c r="Q3275" s="121" t="s">
        <v>14285</v>
      </c>
      <c r="R3275" s="16" t="s">
        <v>9235</v>
      </c>
      <c r="S3275" s="10" t="s">
        <v>1163</v>
      </c>
      <c r="T3275" s="28" t="s">
        <v>12235</v>
      </c>
      <c r="U3275" s="20" t="s">
        <v>5359</v>
      </c>
      <c r="V3275" s="16" t="s">
        <v>5679</v>
      </c>
      <c r="W3275" s="11" t="s">
        <v>14284</v>
      </c>
      <c r="X3275" s="174">
        <v>79.45</v>
      </c>
      <c r="Y3275" s="174">
        <v>104.57</v>
      </c>
    </row>
    <row r="3276" spans="1:25" ht="15" customHeight="1" x14ac:dyDescent="0.25">
      <c r="A3276" s="20" t="s">
        <v>5681</v>
      </c>
      <c r="B3276" s="14" t="s">
        <v>5682</v>
      </c>
      <c r="C3276" s="71" t="str">
        <f t="shared" si="80"/>
        <v>Product Info</v>
      </c>
      <c r="D3276" s="37" t="s">
        <v>4961</v>
      </c>
      <c r="E3276" s="143">
        <v>1</v>
      </c>
      <c r="F3276" s="12" t="s">
        <v>2170</v>
      </c>
      <c r="G3276" s="38">
        <v>121.57</v>
      </c>
      <c r="H3276" s="38">
        <v>103.34</v>
      </c>
      <c r="I3276" s="38">
        <v>85.1</v>
      </c>
      <c r="J3276" s="39"/>
      <c r="K3276" s="143"/>
      <c r="L3276" s="22">
        <v>0</v>
      </c>
      <c r="M3276" s="22">
        <v>0</v>
      </c>
      <c r="N3276" s="20" t="s">
        <v>14489</v>
      </c>
      <c r="O3276" s="16">
        <v>0</v>
      </c>
      <c r="P3276" s="143">
        <v>751</v>
      </c>
      <c r="Q3276" s="121" t="s">
        <v>14285</v>
      </c>
      <c r="R3276" s="16" t="s">
        <v>9235</v>
      </c>
      <c r="S3276" s="10" t="s">
        <v>1163</v>
      </c>
      <c r="T3276" s="28" t="s">
        <v>12236</v>
      </c>
      <c r="U3276" s="20" t="s">
        <v>5359</v>
      </c>
      <c r="V3276" s="16" t="s">
        <v>5681</v>
      </c>
      <c r="W3276" s="11" t="s">
        <v>14284</v>
      </c>
      <c r="X3276" s="174">
        <v>78.52</v>
      </c>
      <c r="Y3276" s="174">
        <v>103.34</v>
      </c>
    </row>
    <row r="3277" spans="1:25" ht="15" customHeight="1" x14ac:dyDescent="0.25">
      <c r="A3277" s="20" t="s">
        <v>3034</v>
      </c>
      <c r="B3277" s="14" t="s">
        <v>3035</v>
      </c>
      <c r="C3277" s="71" t="str">
        <f t="shared" si="80"/>
        <v>Product Info</v>
      </c>
      <c r="D3277" s="37" t="s">
        <v>6406</v>
      </c>
      <c r="E3277" s="143">
        <v>3</v>
      </c>
      <c r="F3277" s="12" t="s">
        <v>2170</v>
      </c>
      <c r="G3277" s="38">
        <v>175.03</v>
      </c>
      <c r="H3277" s="38">
        <v>148.78</v>
      </c>
      <c r="I3277" s="38">
        <v>122.52</v>
      </c>
      <c r="J3277" s="39"/>
      <c r="K3277" s="143"/>
      <c r="L3277" s="22">
        <v>1.33</v>
      </c>
      <c r="M3277" s="22" t="s">
        <v>12488</v>
      </c>
      <c r="N3277" s="20" t="s">
        <v>8792</v>
      </c>
      <c r="O3277" s="16" t="s">
        <v>12608</v>
      </c>
      <c r="P3277" s="143">
        <v>751</v>
      </c>
      <c r="Q3277" s="122" t="s">
        <v>12421</v>
      </c>
      <c r="R3277" s="16" t="s">
        <v>9235</v>
      </c>
      <c r="S3277" s="10" t="s">
        <v>1163</v>
      </c>
      <c r="T3277" s="28" t="s">
        <v>12237</v>
      </c>
      <c r="U3277" s="20" t="s">
        <v>5359</v>
      </c>
      <c r="V3277" s="16" t="s">
        <v>3034</v>
      </c>
      <c r="W3277" s="11" t="s">
        <v>14284</v>
      </c>
      <c r="X3277" s="174">
        <v>113.05</v>
      </c>
      <c r="Y3277" s="174">
        <v>148.78</v>
      </c>
    </row>
    <row r="3278" spans="1:25" ht="15" customHeight="1" x14ac:dyDescent="0.25">
      <c r="A3278" s="20" t="s">
        <v>3036</v>
      </c>
      <c r="B3278" s="14" t="s">
        <v>3015</v>
      </c>
      <c r="C3278" s="71" t="str">
        <f t="shared" si="80"/>
        <v>Product Info</v>
      </c>
      <c r="D3278" s="37" t="s">
        <v>6407</v>
      </c>
      <c r="E3278" s="143">
        <v>3</v>
      </c>
      <c r="F3278" s="12" t="s">
        <v>2170</v>
      </c>
      <c r="G3278" s="38">
        <v>184.73</v>
      </c>
      <c r="H3278" s="38">
        <v>157.02000000000001</v>
      </c>
      <c r="I3278" s="38">
        <v>129.31</v>
      </c>
      <c r="J3278" s="39"/>
      <c r="K3278" s="143"/>
      <c r="L3278" s="22">
        <v>5</v>
      </c>
      <c r="M3278" s="22" t="s">
        <v>12488</v>
      </c>
      <c r="N3278" s="20" t="s">
        <v>9380</v>
      </c>
      <c r="O3278" s="16" t="s">
        <v>12608</v>
      </c>
      <c r="P3278" s="143">
        <v>751</v>
      </c>
      <c r="Q3278" s="121" t="s">
        <v>14285</v>
      </c>
      <c r="R3278" s="16" t="s">
        <v>9235</v>
      </c>
      <c r="S3278" s="10" t="s">
        <v>1163</v>
      </c>
      <c r="T3278" s="28" t="s">
        <v>12238</v>
      </c>
      <c r="U3278" s="20" t="s">
        <v>5359</v>
      </c>
      <c r="V3278" s="16" t="s">
        <v>3036</v>
      </c>
      <c r="W3278" s="11" t="s">
        <v>14284</v>
      </c>
      <c r="X3278" s="174">
        <v>119.31</v>
      </c>
      <c r="Y3278" s="174">
        <v>157.02000000000001</v>
      </c>
    </row>
    <row r="3279" spans="1:25" ht="15" customHeight="1" x14ac:dyDescent="0.25">
      <c r="A3279" s="20" t="s">
        <v>3016</v>
      </c>
      <c r="B3279" s="14" t="s">
        <v>3017</v>
      </c>
      <c r="C3279" s="71" t="str">
        <f t="shared" si="80"/>
        <v>Product Info</v>
      </c>
      <c r="D3279" s="37" t="s">
        <v>6408</v>
      </c>
      <c r="E3279" s="143">
        <v>3</v>
      </c>
      <c r="F3279" s="12" t="s">
        <v>2170</v>
      </c>
      <c r="G3279" s="38">
        <v>182.96</v>
      </c>
      <c r="H3279" s="38">
        <v>155.52000000000001</v>
      </c>
      <c r="I3279" s="38">
        <v>128.07</v>
      </c>
      <c r="J3279" s="39"/>
      <c r="K3279" s="143"/>
      <c r="L3279" s="22">
        <v>1.433333</v>
      </c>
      <c r="M3279" s="22" t="s">
        <v>2170</v>
      </c>
      <c r="N3279" s="20" t="s">
        <v>14489</v>
      </c>
      <c r="O3279" s="16" t="s">
        <v>12608</v>
      </c>
      <c r="P3279" s="143">
        <v>751</v>
      </c>
      <c r="Q3279" s="121" t="s">
        <v>14285</v>
      </c>
      <c r="R3279" s="16" t="s">
        <v>9235</v>
      </c>
      <c r="S3279" s="10" t="s">
        <v>1163</v>
      </c>
      <c r="T3279" s="28" t="s">
        <v>12239</v>
      </c>
      <c r="U3279" s="20" t="s">
        <v>5359</v>
      </c>
      <c r="V3279" s="16" t="s">
        <v>3016</v>
      </c>
      <c r="W3279" s="11" t="s">
        <v>14284</v>
      </c>
      <c r="X3279" s="174">
        <v>118.18</v>
      </c>
      <c r="Y3279" s="174">
        <v>155.52000000000001</v>
      </c>
    </row>
    <row r="3280" spans="1:25" ht="15" customHeight="1" x14ac:dyDescent="0.25">
      <c r="A3280" s="20" t="s">
        <v>3018</v>
      </c>
      <c r="B3280" s="14" t="s">
        <v>3019</v>
      </c>
      <c r="C3280" s="71" t="str">
        <f t="shared" si="80"/>
        <v>Product Info</v>
      </c>
      <c r="D3280" s="37" t="s">
        <v>6409</v>
      </c>
      <c r="E3280" s="143">
        <v>1</v>
      </c>
      <c r="F3280" s="12" t="s">
        <v>2170</v>
      </c>
      <c r="G3280" s="38">
        <v>128.01</v>
      </c>
      <c r="H3280" s="38">
        <v>108.82</v>
      </c>
      <c r="I3280" s="38">
        <v>89.61</v>
      </c>
      <c r="J3280" s="39"/>
      <c r="K3280" s="143"/>
      <c r="L3280" s="22">
        <v>1.4</v>
      </c>
      <c r="M3280" s="22" t="s">
        <v>12488</v>
      </c>
      <c r="N3280" s="20" t="s">
        <v>9579</v>
      </c>
      <c r="O3280" s="16" t="s">
        <v>12608</v>
      </c>
      <c r="P3280" s="143">
        <v>751</v>
      </c>
      <c r="Q3280" s="122" t="s">
        <v>12421</v>
      </c>
      <c r="R3280" s="16" t="s">
        <v>9235</v>
      </c>
      <c r="S3280" s="10" t="s">
        <v>1163</v>
      </c>
      <c r="T3280" s="28" t="s">
        <v>12240</v>
      </c>
      <c r="U3280" s="20" t="s">
        <v>5359</v>
      </c>
      <c r="V3280" s="16" t="s">
        <v>3018</v>
      </c>
      <c r="W3280" s="11" t="s">
        <v>14284</v>
      </c>
      <c r="X3280" s="174">
        <v>82.68</v>
      </c>
      <c r="Y3280" s="174">
        <v>108.82</v>
      </c>
    </row>
    <row r="3281" spans="1:25" ht="15" customHeight="1" x14ac:dyDescent="0.25">
      <c r="A3281" s="20" t="s">
        <v>3020</v>
      </c>
      <c r="B3281" s="14" t="s">
        <v>3021</v>
      </c>
      <c r="C3281" s="71" t="str">
        <f t="shared" si="80"/>
        <v>Product Info</v>
      </c>
      <c r="D3281" s="37" t="s">
        <v>6410</v>
      </c>
      <c r="E3281" s="143">
        <v>3</v>
      </c>
      <c r="F3281" s="12" t="s">
        <v>2170</v>
      </c>
      <c r="G3281" s="38">
        <v>186.31</v>
      </c>
      <c r="H3281" s="38">
        <v>158.37</v>
      </c>
      <c r="I3281" s="38">
        <v>130.41999999999999</v>
      </c>
      <c r="J3281" s="39"/>
      <c r="K3281" s="143"/>
      <c r="L3281" s="22">
        <v>1.667</v>
      </c>
      <c r="M3281" s="22" t="s">
        <v>12488</v>
      </c>
      <c r="N3281" s="20" t="s">
        <v>9333</v>
      </c>
      <c r="O3281" s="16" t="s">
        <v>12608</v>
      </c>
      <c r="P3281" s="143">
        <v>751</v>
      </c>
      <c r="Q3281" s="121" t="s">
        <v>14285</v>
      </c>
      <c r="R3281" s="16" t="s">
        <v>9235</v>
      </c>
      <c r="S3281" s="10" t="s">
        <v>1163</v>
      </c>
      <c r="T3281" s="28" t="s">
        <v>12241</v>
      </c>
      <c r="U3281" s="20" t="s">
        <v>5359</v>
      </c>
      <c r="V3281" s="16" t="s">
        <v>3020</v>
      </c>
      <c r="W3281" s="11" t="s">
        <v>14284</v>
      </c>
      <c r="X3281" s="174">
        <v>120.34</v>
      </c>
      <c r="Y3281" s="174">
        <v>158.37</v>
      </c>
    </row>
    <row r="3282" spans="1:25" ht="15" customHeight="1" x14ac:dyDescent="0.25">
      <c r="A3282" s="20" t="s">
        <v>3022</v>
      </c>
      <c r="B3282" s="14" t="s">
        <v>3023</v>
      </c>
      <c r="C3282" s="71" t="str">
        <f t="shared" si="80"/>
        <v>Product Info</v>
      </c>
      <c r="D3282" s="37" t="s">
        <v>6411</v>
      </c>
      <c r="E3282" s="143">
        <v>3</v>
      </c>
      <c r="F3282" s="12" t="s">
        <v>2170</v>
      </c>
      <c r="G3282" s="38">
        <v>220.7</v>
      </c>
      <c r="H3282" s="38">
        <v>187.6</v>
      </c>
      <c r="I3282" s="38">
        <v>154.49</v>
      </c>
      <c r="J3282" s="39"/>
      <c r="K3282" s="143"/>
      <c r="L3282" s="22">
        <v>1.66</v>
      </c>
      <c r="M3282" s="22" t="s">
        <v>12488</v>
      </c>
      <c r="N3282" s="20" t="s">
        <v>9407</v>
      </c>
      <c r="O3282" s="16" t="s">
        <v>12608</v>
      </c>
      <c r="P3282" s="143">
        <v>751</v>
      </c>
      <c r="Q3282" s="121" t="s">
        <v>14285</v>
      </c>
      <c r="R3282" s="16" t="s">
        <v>9235</v>
      </c>
      <c r="S3282" s="10" t="s">
        <v>1163</v>
      </c>
      <c r="T3282" s="28" t="s">
        <v>12242</v>
      </c>
      <c r="U3282" s="20" t="s">
        <v>5359</v>
      </c>
      <c r="V3282" s="16" t="s">
        <v>3022</v>
      </c>
      <c r="W3282" s="11" t="s">
        <v>14284</v>
      </c>
      <c r="X3282" s="174">
        <v>142.55000000000001</v>
      </c>
      <c r="Y3282" s="174">
        <v>187.6</v>
      </c>
    </row>
    <row r="3283" spans="1:25" ht="15" customHeight="1" x14ac:dyDescent="0.25">
      <c r="A3283" s="20" t="s">
        <v>3024</v>
      </c>
      <c r="B3283" s="14" t="s">
        <v>3025</v>
      </c>
      <c r="C3283" s="71" t="str">
        <f t="shared" si="80"/>
        <v>Product Info</v>
      </c>
      <c r="D3283" s="37" t="s">
        <v>7942</v>
      </c>
      <c r="E3283" s="143">
        <v>1</v>
      </c>
      <c r="F3283" s="12" t="s">
        <v>2170</v>
      </c>
      <c r="G3283" s="38">
        <v>129.94</v>
      </c>
      <c r="H3283" s="38">
        <v>110.46</v>
      </c>
      <c r="I3283" s="38">
        <v>90.96</v>
      </c>
      <c r="J3283" s="39"/>
      <c r="K3283" s="143"/>
      <c r="L3283" s="22">
        <v>2</v>
      </c>
      <c r="M3283" s="22" t="s">
        <v>12488</v>
      </c>
      <c r="N3283" s="20" t="s">
        <v>9580</v>
      </c>
      <c r="O3283" s="16" t="s">
        <v>13914</v>
      </c>
      <c r="P3283" s="143">
        <v>751</v>
      </c>
      <c r="Q3283" s="121" t="s">
        <v>14285</v>
      </c>
      <c r="R3283" s="16" t="s">
        <v>9235</v>
      </c>
      <c r="S3283" s="10" t="s">
        <v>1163</v>
      </c>
      <c r="T3283" s="28" t="s">
        <v>12243</v>
      </c>
      <c r="U3283" s="20" t="s">
        <v>5359</v>
      </c>
      <c r="V3283" s="16" t="s">
        <v>3024</v>
      </c>
      <c r="W3283" s="11" t="s">
        <v>14284</v>
      </c>
      <c r="X3283" s="174">
        <v>83.93</v>
      </c>
      <c r="Y3283" s="174">
        <v>110.46</v>
      </c>
    </row>
    <row r="3284" spans="1:25" ht="15" customHeight="1" x14ac:dyDescent="0.25">
      <c r="A3284" s="20" t="s">
        <v>3026</v>
      </c>
      <c r="B3284" s="14" t="s">
        <v>2659</v>
      </c>
      <c r="C3284" s="71" t="str">
        <f t="shared" si="80"/>
        <v>Product Info</v>
      </c>
      <c r="D3284" s="37" t="s">
        <v>7946</v>
      </c>
      <c r="E3284" s="143">
        <v>1</v>
      </c>
      <c r="F3284" s="12" t="s">
        <v>2170</v>
      </c>
      <c r="G3284" s="38">
        <v>199.6</v>
      </c>
      <c r="H3284" s="38">
        <v>169.67</v>
      </c>
      <c r="I3284" s="38">
        <v>139.72</v>
      </c>
      <c r="J3284" s="39"/>
      <c r="K3284" s="143"/>
      <c r="L3284" s="22">
        <v>0</v>
      </c>
      <c r="M3284" s="22">
        <v>0</v>
      </c>
      <c r="N3284" s="20" t="s">
        <v>14489</v>
      </c>
      <c r="O3284" s="16">
        <v>0</v>
      </c>
      <c r="P3284" s="143">
        <v>751</v>
      </c>
      <c r="Q3284" s="121" t="s">
        <v>14285</v>
      </c>
      <c r="R3284" s="16" t="s">
        <v>9235</v>
      </c>
      <c r="S3284" s="10" t="s">
        <v>1163</v>
      </c>
      <c r="T3284" s="28" t="s">
        <v>12244</v>
      </c>
      <c r="U3284" s="20" t="s">
        <v>5359</v>
      </c>
      <c r="V3284" s="16" t="s">
        <v>3026</v>
      </c>
      <c r="W3284" s="11" t="s">
        <v>14284</v>
      </c>
      <c r="X3284" s="174">
        <v>128.91999999999999</v>
      </c>
      <c r="Y3284" s="174">
        <v>169.67</v>
      </c>
    </row>
    <row r="3285" spans="1:25" ht="15" customHeight="1" x14ac:dyDescent="0.25">
      <c r="A3285" s="20" t="s">
        <v>2660</v>
      </c>
      <c r="B3285" s="14" t="s">
        <v>2661</v>
      </c>
      <c r="C3285" s="71" t="str">
        <f t="shared" si="80"/>
        <v>Product Info</v>
      </c>
      <c r="D3285" s="37" t="s">
        <v>7943</v>
      </c>
      <c r="E3285" s="143">
        <v>3</v>
      </c>
      <c r="F3285" s="12" t="s">
        <v>2170</v>
      </c>
      <c r="G3285" s="38">
        <v>275.23</v>
      </c>
      <c r="H3285" s="38">
        <v>233.95</v>
      </c>
      <c r="I3285" s="38">
        <v>192.66</v>
      </c>
      <c r="J3285" s="39"/>
      <c r="K3285" s="143"/>
      <c r="L3285" s="22">
        <v>5</v>
      </c>
      <c r="M3285" s="22" t="s">
        <v>12488</v>
      </c>
      <c r="N3285" s="20" t="s">
        <v>9380</v>
      </c>
      <c r="O3285" s="16" t="s">
        <v>12608</v>
      </c>
      <c r="P3285" s="143">
        <v>751</v>
      </c>
      <c r="Q3285" s="121" t="s">
        <v>14285</v>
      </c>
      <c r="R3285" s="16" t="s">
        <v>9235</v>
      </c>
      <c r="S3285" s="10" t="s">
        <v>1163</v>
      </c>
      <c r="T3285" s="28" t="s">
        <v>12245</v>
      </c>
      <c r="U3285" s="20" t="s">
        <v>5359</v>
      </c>
      <c r="V3285" s="16" t="s">
        <v>2660</v>
      </c>
      <c r="W3285" s="11" t="s">
        <v>14284</v>
      </c>
      <c r="X3285" s="174">
        <v>177.77</v>
      </c>
      <c r="Y3285" s="174">
        <v>233.95</v>
      </c>
    </row>
    <row r="3286" spans="1:25" ht="15" customHeight="1" x14ac:dyDescent="0.25">
      <c r="A3286" s="20" t="s">
        <v>2662</v>
      </c>
      <c r="B3286" s="14" t="s">
        <v>2663</v>
      </c>
      <c r="C3286" s="71" t="str">
        <f t="shared" si="80"/>
        <v>Product Info</v>
      </c>
      <c r="D3286" s="37" t="s">
        <v>7944</v>
      </c>
      <c r="E3286" s="143">
        <v>3</v>
      </c>
      <c r="F3286" s="12" t="s">
        <v>2170</v>
      </c>
      <c r="G3286" s="38">
        <v>251.1</v>
      </c>
      <c r="H3286" s="38">
        <v>213.44</v>
      </c>
      <c r="I3286" s="38">
        <v>175.77</v>
      </c>
      <c r="J3286" s="39"/>
      <c r="K3286" s="143"/>
      <c r="L3286" s="22">
        <v>5</v>
      </c>
      <c r="M3286" s="22" t="s">
        <v>12488</v>
      </c>
      <c r="N3286" s="20" t="s">
        <v>9380</v>
      </c>
      <c r="O3286" s="16" t="s">
        <v>12608</v>
      </c>
      <c r="P3286" s="143">
        <v>751</v>
      </c>
      <c r="Q3286" s="121" t="s">
        <v>14285</v>
      </c>
      <c r="R3286" s="16" t="s">
        <v>9235</v>
      </c>
      <c r="S3286" s="10" t="s">
        <v>1163</v>
      </c>
      <c r="T3286" s="28" t="s">
        <v>12246</v>
      </c>
      <c r="U3286" s="20" t="s">
        <v>5359</v>
      </c>
      <c r="V3286" s="16" t="s">
        <v>2662</v>
      </c>
      <c r="W3286" s="11" t="s">
        <v>14284</v>
      </c>
      <c r="X3286" s="174">
        <v>162.18</v>
      </c>
      <c r="Y3286" s="174">
        <v>213.44</v>
      </c>
    </row>
    <row r="3287" spans="1:25" ht="15" customHeight="1" x14ac:dyDescent="0.25">
      <c r="A3287" s="20" t="s">
        <v>2664</v>
      </c>
      <c r="B3287" s="14" t="s">
        <v>2665</v>
      </c>
      <c r="C3287" s="71" t="str">
        <f t="shared" si="80"/>
        <v>Product Info</v>
      </c>
      <c r="D3287" s="37" t="s">
        <v>7945</v>
      </c>
      <c r="E3287" s="143">
        <v>3</v>
      </c>
      <c r="F3287" s="12" t="s">
        <v>2170</v>
      </c>
      <c r="G3287" s="38">
        <v>282.10000000000002</v>
      </c>
      <c r="H3287" s="38">
        <v>239.79</v>
      </c>
      <c r="I3287" s="38">
        <v>197.47</v>
      </c>
      <c r="J3287" s="39"/>
      <c r="K3287" s="143"/>
      <c r="L3287" s="22">
        <v>5</v>
      </c>
      <c r="M3287" s="22" t="s">
        <v>12488</v>
      </c>
      <c r="N3287" s="20" t="s">
        <v>9380</v>
      </c>
      <c r="O3287" s="16" t="s">
        <v>12608</v>
      </c>
      <c r="P3287" s="143">
        <v>751</v>
      </c>
      <c r="Q3287" s="121" t="s">
        <v>14285</v>
      </c>
      <c r="R3287" s="16" t="s">
        <v>9235</v>
      </c>
      <c r="S3287" s="10" t="s">
        <v>1163</v>
      </c>
      <c r="T3287" s="28" t="s">
        <v>12247</v>
      </c>
      <c r="U3287" s="20" t="s">
        <v>5359</v>
      </c>
      <c r="V3287" s="16" t="s">
        <v>2664</v>
      </c>
      <c r="W3287" s="11" t="s">
        <v>14284</v>
      </c>
      <c r="X3287" s="174">
        <v>182.21</v>
      </c>
      <c r="Y3287" s="174">
        <v>239.79</v>
      </c>
    </row>
    <row r="3288" spans="1:25" ht="15" customHeight="1" x14ac:dyDescent="0.25">
      <c r="A3288" s="20" t="s">
        <v>2666</v>
      </c>
      <c r="B3288" s="14" t="s">
        <v>2667</v>
      </c>
      <c r="C3288" s="71" t="str">
        <f t="shared" si="80"/>
        <v>Product Info</v>
      </c>
      <c r="D3288" s="37" t="s">
        <v>7947</v>
      </c>
      <c r="E3288" s="143">
        <v>1</v>
      </c>
      <c r="F3288" s="12" t="s">
        <v>2170</v>
      </c>
      <c r="G3288" s="38">
        <v>187.7</v>
      </c>
      <c r="H3288" s="38">
        <v>159.55000000000001</v>
      </c>
      <c r="I3288" s="38">
        <v>131.38999999999999</v>
      </c>
      <c r="J3288" s="39"/>
      <c r="K3288" s="143"/>
      <c r="L3288" s="22">
        <v>3</v>
      </c>
      <c r="M3288" s="22" t="s">
        <v>12488</v>
      </c>
      <c r="N3288" s="20" t="s">
        <v>9578</v>
      </c>
      <c r="O3288" s="16" t="s">
        <v>12608</v>
      </c>
      <c r="P3288" s="143">
        <v>751</v>
      </c>
      <c r="Q3288" s="122" t="s">
        <v>14461</v>
      </c>
      <c r="R3288" s="16" t="s">
        <v>9235</v>
      </c>
      <c r="S3288" s="10" t="s">
        <v>1163</v>
      </c>
      <c r="T3288" s="28" t="s">
        <v>12248</v>
      </c>
      <c r="U3288" s="20" t="s">
        <v>5359</v>
      </c>
      <c r="V3288" s="16" t="s">
        <v>2666</v>
      </c>
      <c r="W3288" s="11" t="s">
        <v>14284</v>
      </c>
      <c r="X3288" s="174">
        <v>121.23</v>
      </c>
      <c r="Y3288" s="174">
        <v>159.55000000000001</v>
      </c>
    </row>
    <row r="3289" spans="1:25" ht="15" customHeight="1" x14ac:dyDescent="0.25">
      <c r="A3289" s="20" t="s">
        <v>2668</v>
      </c>
      <c r="B3289" s="14" t="s">
        <v>2669</v>
      </c>
      <c r="C3289" s="71" t="str">
        <f t="shared" si="80"/>
        <v>Product Info</v>
      </c>
      <c r="D3289" s="37" t="s">
        <v>7948</v>
      </c>
      <c r="E3289" s="143">
        <v>3</v>
      </c>
      <c r="F3289" s="12" t="s">
        <v>2170</v>
      </c>
      <c r="G3289" s="38">
        <v>245.99</v>
      </c>
      <c r="H3289" s="38">
        <v>209.1</v>
      </c>
      <c r="I3289" s="38">
        <v>172.19</v>
      </c>
      <c r="J3289" s="39"/>
      <c r="K3289" s="143"/>
      <c r="L3289" s="22">
        <v>6</v>
      </c>
      <c r="M3289" s="22" t="s">
        <v>12488</v>
      </c>
      <c r="N3289" s="20" t="s">
        <v>9380</v>
      </c>
      <c r="O3289" s="16" t="s">
        <v>12608</v>
      </c>
      <c r="P3289" s="143">
        <v>751</v>
      </c>
      <c r="Q3289" s="122" t="s">
        <v>12421</v>
      </c>
      <c r="R3289" s="16" t="s">
        <v>9235</v>
      </c>
      <c r="S3289" s="10" t="s">
        <v>1163</v>
      </c>
      <c r="T3289" s="28" t="s">
        <v>12249</v>
      </c>
      <c r="U3289" s="20" t="s">
        <v>5359</v>
      </c>
      <c r="V3289" s="16" t="s">
        <v>2668</v>
      </c>
      <c r="W3289" s="11" t="s">
        <v>14284</v>
      </c>
      <c r="X3289" s="174">
        <v>158.88</v>
      </c>
      <c r="Y3289" s="174">
        <v>209.1</v>
      </c>
    </row>
    <row r="3290" spans="1:25" ht="15" customHeight="1" x14ac:dyDescent="0.25">
      <c r="A3290" s="20" t="s">
        <v>2670</v>
      </c>
      <c r="B3290" s="14" t="s">
        <v>2671</v>
      </c>
      <c r="C3290" s="71" t="str">
        <f t="shared" si="80"/>
        <v>Product Info</v>
      </c>
      <c r="D3290" s="37" t="s">
        <v>7377</v>
      </c>
      <c r="E3290" s="143">
        <v>3</v>
      </c>
      <c r="F3290" s="12" t="s">
        <v>2170</v>
      </c>
      <c r="G3290" s="38">
        <v>282.49</v>
      </c>
      <c r="H3290" s="38">
        <v>240.12</v>
      </c>
      <c r="I3290" s="38">
        <v>197.74</v>
      </c>
      <c r="J3290" s="39"/>
      <c r="K3290" s="143"/>
      <c r="L3290" s="22">
        <v>6</v>
      </c>
      <c r="M3290" s="22" t="s">
        <v>12488</v>
      </c>
      <c r="N3290" s="20" t="s">
        <v>9380</v>
      </c>
      <c r="O3290" s="16" t="s">
        <v>12608</v>
      </c>
      <c r="P3290" s="143">
        <v>751</v>
      </c>
      <c r="Q3290" s="121" t="s">
        <v>14285</v>
      </c>
      <c r="R3290" s="16" t="s">
        <v>9235</v>
      </c>
      <c r="S3290" s="10" t="s">
        <v>1163</v>
      </c>
      <c r="T3290" s="28" t="s">
        <v>12250</v>
      </c>
      <c r="U3290" s="20" t="s">
        <v>5359</v>
      </c>
      <c r="V3290" s="16" t="s">
        <v>2670</v>
      </c>
      <c r="W3290" s="11" t="s">
        <v>14284</v>
      </c>
      <c r="X3290" s="174">
        <v>182.46</v>
      </c>
      <c r="Y3290" s="174">
        <v>240.12</v>
      </c>
    </row>
    <row r="3291" spans="1:25" ht="15" customHeight="1" x14ac:dyDescent="0.25">
      <c r="A3291" s="20" t="s">
        <v>2672</v>
      </c>
      <c r="B3291" s="14" t="s">
        <v>2673</v>
      </c>
      <c r="C3291" s="71" t="str">
        <f t="shared" si="80"/>
        <v>Product Info</v>
      </c>
      <c r="D3291" s="37" t="s">
        <v>7378</v>
      </c>
      <c r="E3291" s="143">
        <v>3</v>
      </c>
      <c r="F3291" s="12" t="s">
        <v>2170</v>
      </c>
      <c r="G3291" s="38">
        <v>291.43</v>
      </c>
      <c r="H3291" s="38">
        <v>247.72</v>
      </c>
      <c r="I3291" s="38">
        <v>204</v>
      </c>
      <c r="J3291" s="39"/>
      <c r="K3291" s="12"/>
      <c r="L3291" s="22">
        <v>6</v>
      </c>
      <c r="M3291" s="22" t="s">
        <v>12488</v>
      </c>
      <c r="N3291" s="20" t="s">
        <v>9380</v>
      </c>
      <c r="O3291" s="16" t="s">
        <v>12608</v>
      </c>
      <c r="P3291" s="143">
        <v>751</v>
      </c>
      <c r="Q3291" s="122" t="s">
        <v>14461</v>
      </c>
      <c r="R3291" s="16" t="s">
        <v>9235</v>
      </c>
      <c r="S3291" s="10" t="s">
        <v>1163</v>
      </c>
      <c r="T3291" s="28" t="s">
        <v>12251</v>
      </c>
      <c r="U3291" s="20" t="s">
        <v>5359</v>
      </c>
      <c r="V3291" s="16" t="s">
        <v>2672</v>
      </c>
      <c r="W3291" s="11" t="s">
        <v>14284</v>
      </c>
      <c r="X3291" s="174">
        <v>188.24</v>
      </c>
      <c r="Y3291" s="174">
        <v>247.72</v>
      </c>
    </row>
    <row r="3292" spans="1:25" ht="15" customHeight="1" x14ac:dyDescent="0.25">
      <c r="A3292" s="20" t="s">
        <v>2674</v>
      </c>
      <c r="B3292" s="14" t="s">
        <v>2675</v>
      </c>
      <c r="C3292" s="71" t="str">
        <f t="shared" si="80"/>
        <v>Product Info</v>
      </c>
      <c r="D3292" s="37" t="s">
        <v>7379</v>
      </c>
      <c r="E3292" s="143">
        <v>1</v>
      </c>
      <c r="F3292" s="12" t="s">
        <v>2170</v>
      </c>
      <c r="G3292" s="38">
        <v>231.83</v>
      </c>
      <c r="H3292" s="38">
        <v>197.06</v>
      </c>
      <c r="I3292" s="38">
        <v>162.28</v>
      </c>
      <c r="J3292" s="39"/>
      <c r="K3292" s="143"/>
      <c r="L3292" s="22">
        <v>2.2639999999999998</v>
      </c>
      <c r="M3292" s="22" t="s">
        <v>12488</v>
      </c>
      <c r="N3292" s="20" t="s">
        <v>9580</v>
      </c>
      <c r="O3292" s="16" t="s">
        <v>13914</v>
      </c>
      <c r="P3292" s="143">
        <v>751</v>
      </c>
      <c r="Q3292" s="122" t="s">
        <v>12421</v>
      </c>
      <c r="R3292" s="16" t="s">
        <v>9235</v>
      </c>
      <c r="S3292" s="10" t="s">
        <v>1163</v>
      </c>
      <c r="T3292" s="28" t="s">
        <v>12252</v>
      </c>
      <c r="U3292" s="20" t="s">
        <v>5359</v>
      </c>
      <c r="V3292" s="16" t="s">
        <v>2674</v>
      </c>
      <c r="W3292" s="11" t="s">
        <v>14284</v>
      </c>
      <c r="X3292" s="174">
        <v>149.74</v>
      </c>
      <c r="Y3292" s="174">
        <v>197.06</v>
      </c>
    </row>
    <row r="3293" spans="1:25" ht="15" customHeight="1" x14ac:dyDescent="0.25">
      <c r="A3293" s="20" t="s">
        <v>2676</v>
      </c>
      <c r="B3293" s="14" t="s">
        <v>2677</v>
      </c>
      <c r="C3293" s="71" t="str">
        <f t="shared" si="80"/>
        <v>Product Info</v>
      </c>
      <c r="D3293" s="37" t="s">
        <v>7380</v>
      </c>
      <c r="E3293" s="143">
        <v>3</v>
      </c>
      <c r="F3293" s="12" t="s">
        <v>2170</v>
      </c>
      <c r="G3293" s="38">
        <v>313.83</v>
      </c>
      <c r="H3293" s="38">
        <v>266.76</v>
      </c>
      <c r="I3293" s="38">
        <v>219.68</v>
      </c>
      <c r="J3293" s="39"/>
      <c r="K3293" s="143"/>
      <c r="L3293" s="22">
        <v>6</v>
      </c>
      <c r="M3293" s="22" t="s">
        <v>12488</v>
      </c>
      <c r="N3293" s="20" t="s">
        <v>9380</v>
      </c>
      <c r="O3293" s="16" t="s">
        <v>12608</v>
      </c>
      <c r="P3293" s="143">
        <v>751</v>
      </c>
      <c r="Q3293" s="121" t="s">
        <v>14285</v>
      </c>
      <c r="R3293" s="16" t="s">
        <v>9235</v>
      </c>
      <c r="S3293" s="10" t="s">
        <v>1163</v>
      </c>
      <c r="T3293" s="28" t="s">
        <v>12253</v>
      </c>
      <c r="U3293" s="20" t="s">
        <v>5359</v>
      </c>
      <c r="V3293" s="16" t="s">
        <v>2676</v>
      </c>
      <c r="W3293" s="11" t="s">
        <v>14284</v>
      </c>
      <c r="X3293" s="174">
        <v>202.7</v>
      </c>
      <c r="Y3293" s="174">
        <v>266.76</v>
      </c>
    </row>
    <row r="3294" spans="1:25" ht="15" customHeight="1" x14ac:dyDescent="0.25">
      <c r="A3294" s="20" t="s">
        <v>2678</v>
      </c>
      <c r="B3294" s="14" t="s">
        <v>2679</v>
      </c>
      <c r="C3294" s="71" t="str">
        <f t="shared" si="80"/>
        <v>Product Info</v>
      </c>
      <c r="D3294" s="37" t="s">
        <v>7381</v>
      </c>
      <c r="E3294" s="143">
        <v>3</v>
      </c>
      <c r="F3294" s="12" t="s">
        <v>2170</v>
      </c>
      <c r="G3294" s="38">
        <v>333.99</v>
      </c>
      <c r="H3294" s="38">
        <v>283.89999999999998</v>
      </c>
      <c r="I3294" s="38">
        <v>233.79</v>
      </c>
      <c r="J3294" s="39"/>
      <c r="K3294" s="143"/>
      <c r="L3294" s="22">
        <v>2.62</v>
      </c>
      <c r="M3294" s="22" t="s">
        <v>12488</v>
      </c>
      <c r="N3294" s="20" t="s">
        <v>9581</v>
      </c>
      <c r="O3294" s="16" t="s">
        <v>12608</v>
      </c>
      <c r="P3294" s="143">
        <v>751</v>
      </c>
      <c r="Q3294" s="122" t="s">
        <v>12421</v>
      </c>
      <c r="R3294" s="16" t="s">
        <v>9235</v>
      </c>
      <c r="S3294" s="10" t="s">
        <v>1163</v>
      </c>
      <c r="T3294" s="28" t="s">
        <v>12254</v>
      </c>
      <c r="U3294" s="20" t="s">
        <v>5359</v>
      </c>
      <c r="V3294" s="16" t="s">
        <v>2678</v>
      </c>
      <c r="W3294" s="11" t="s">
        <v>14284</v>
      </c>
      <c r="X3294" s="174">
        <v>215.73</v>
      </c>
      <c r="Y3294" s="174">
        <v>283.89999999999998</v>
      </c>
    </row>
    <row r="3295" spans="1:25" ht="15" customHeight="1" x14ac:dyDescent="0.25">
      <c r="A3295" s="20" t="s">
        <v>2680</v>
      </c>
      <c r="B3295" s="14" t="s">
        <v>2681</v>
      </c>
      <c r="C3295" s="71" t="str">
        <f t="shared" si="80"/>
        <v>Product Info</v>
      </c>
      <c r="D3295" s="37" t="s">
        <v>5193</v>
      </c>
      <c r="E3295" s="143">
        <v>1</v>
      </c>
      <c r="F3295" s="12" t="s">
        <v>2170</v>
      </c>
      <c r="G3295" s="38">
        <v>250.04</v>
      </c>
      <c r="H3295" s="38">
        <v>212.54</v>
      </c>
      <c r="I3295" s="38">
        <v>175.03</v>
      </c>
      <c r="J3295" s="39"/>
      <c r="K3295" s="143"/>
      <c r="L3295" s="22">
        <v>3</v>
      </c>
      <c r="M3295" s="22" t="s">
        <v>12488</v>
      </c>
      <c r="N3295" s="20" t="s">
        <v>9582</v>
      </c>
      <c r="O3295" s="16" t="s">
        <v>12608</v>
      </c>
      <c r="P3295" s="143">
        <v>751</v>
      </c>
      <c r="Q3295" s="122" t="s">
        <v>9227</v>
      </c>
      <c r="R3295" s="16" t="s">
        <v>9235</v>
      </c>
      <c r="S3295" s="10" t="s">
        <v>1163</v>
      </c>
      <c r="T3295" s="28" t="s">
        <v>12255</v>
      </c>
      <c r="U3295" s="20" t="s">
        <v>5359</v>
      </c>
      <c r="V3295" s="16" t="s">
        <v>2680</v>
      </c>
      <c r="W3295" s="11" t="s">
        <v>14284</v>
      </c>
      <c r="X3295" s="174">
        <v>161.51</v>
      </c>
      <c r="Y3295" s="174">
        <v>212.54</v>
      </c>
    </row>
    <row r="3296" spans="1:25" ht="15" customHeight="1" x14ac:dyDescent="0.25">
      <c r="A3296" s="20" t="s">
        <v>2682</v>
      </c>
      <c r="B3296" s="14" t="s">
        <v>2683</v>
      </c>
      <c r="C3296" s="71" t="str">
        <f t="shared" si="80"/>
        <v>Product Info</v>
      </c>
      <c r="D3296" s="37" t="s">
        <v>5194</v>
      </c>
      <c r="E3296" s="143">
        <v>3</v>
      </c>
      <c r="F3296" s="12" t="s">
        <v>2170</v>
      </c>
      <c r="G3296" s="38">
        <v>322.81</v>
      </c>
      <c r="H3296" s="38">
        <v>274.39999999999998</v>
      </c>
      <c r="I3296" s="38">
        <v>225.97</v>
      </c>
      <c r="J3296" s="39"/>
      <c r="K3296" s="143"/>
      <c r="L3296" s="22">
        <v>3.3</v>
      </c>
      <c r="M3296" s="22" t="s">
        <v>12488</v>
      </c>
      <c r="N3296" s="20" t="s">
        <v>9269</v>
      </c>
      <c r="O3296" s="16" t="s">
        <v>12608</v>
      </c>
      <c r="P3296" s="143">
        <v>751</v>
      </c>
      <c r="Q3296" s="121" t="s">
        <v>14285</v>
      </c>
      <c r="R3296" s="16" t="s">
        <v>9235</v>
      </c>
      <c r="S3296" s="10" t="s">
        <v>1163</v>
      </c>
      <c r="T3296" s="28" t="s">
        <v>12256</v>
      </c>
      <c r="U3296" s="20" t="s">
        <v>5359</v>
      </c>
      <c r="V3296" s="16" t="s">
        <v>2682</v>
      </c>
      <c r="W3296" s="11" t="s">
        <v>14284</v>
      </c>
      <c r="X3296" s="174">
        <v>208.51</v>
      </c>
      <c r="Y3296" s="174">
        <v>274.39999999999998</v>
      </c>
    </row>
    <row r="3297" spans="1:25" ht="15" customHeight="1" x14ac:dyDescent="0.25">
      <c r="A3297" s="20" t="s">
        <v>2684</v>
      </c>
      <c r="B3297" s="14" t="s">
        <v>2685</v>
      </c>
      <c r="C3297" s="71" t="str">
        <f t="shared" si="80"/>
        <v>Product Info</v>
      </c>
      <c r="D3297" s="37" t="s">
        <v>5195</v>
      </c>
      <c r="E3297" s="143">
        <v>3</v>
      </c>
      <c r="F3297" s="12" t="s">
        <v>2170</v>
      </c>
      <c r="G3297" s="38">
        <v>381.74</v>
      </c>
      <c r="H3297" s="38">
        <v>324.49</v>
      </c>
      <c r="I3297" s="38">
        <v>267.22000000000003</v>
      </c>
      <c r="J3297" s="39"/>
      <c r="K3297" s="143"/>
      <c r="L3297" s="22">
        <v>3.6666669999999999</v>
      </c>
      <c r="M3297" s="22" t="s">
        <v>12488</v>
      </c>
      <c r="N3297" s="20" t="s">
        <v>9583</v>
      </c>
      <c r="O3297" s="16" t="s">
        <v>13914</v>
      </c>
      <c r="P3297" s="143">
        <v>751</v>
      </c>
      <c r="Q3297" s="122" t="s">
        <v>9227</v>
      </c>
      <c r="R3297" s="16" t="s">
        <v>9235</v>
      </c>
      <c r="S3297" s="10" t="s">
        <v>1163</v>
      </c>
      <c r="T3297" s="28" t="s">
        <v>12257</v>
      </c>
      <c r="U3297" s="20" t="s">
        <v>5359</v>
      </c>
      <c r="V3297" s="16" t="s">
        <v>2684</v>
      </c>
      <c r="W3297" s="11" t="s">
        <v>14284</v>
      </c>
      <c r="X3297" s="174">
        <v>246.57</v>
      </c>
      <c r="Y3297" s="174">
        <v>324.49</v>
      </c>
    </row>
    <row r="3298" spans="1:25" ht="15" customHeight="1" x14ac:dyDescent="0.25">
      <c r="A3298" s="20" t="s">
        <v>2686</v>
      </c>
      <c r="B3298" s="14" t="s">
        <v>2687</v>
      </c>
      <c r="C3298" s="71" t="str">
        <f t="shared" si="80"/>
        <v>Product Info</v>
      </c>
      <c r="D3298" s="37" t="s">
        <v>6433</v>
      </c>
      <c r="E3298" s="143">
        <v>3</v>
      </c>
      <c r="F3298" s="12" t="s">
        <v>2170</v>
      </c>
      <c r="G3298" s="38">
        <v>41.6</v>
      </c>
      <c r="H3298" s="38">
        <v>35.36</v>
      </c>
      <c r="I3298" s="38">
        <v>29.12</v>
      </c>
      <c r="J3298" s="39"/>
      <c r="K3298" s="143"/>
      <c r="L3298" s="22">
        <v>4</v>
      </c>
      <c r="M3298" s="22" t="s">
        <v>12488</v>
      </c>
      <c r="N3298" s="20" t="s">
        <v>9306</v>
      </c>
      <c r="O3298" s="16" t="s">
        <v>12608</v>
      </c>
      <c r="P3298" s="143">
        <v>751</v>
      </c>
      <c r="Q3298" s="121" t="s">
        <v>14285</v>
      </c>
      <c r="R3298" s="16" t="s">
        <v>9235</v>
      </c>
      <c r="S3298" s="10" t="s">
        <v>1163</v>
      </c>
      <c r="T3298" s="28" t="s">
        <v>12258</v>
      </c>
      <c r="U3298" s="20" t="s">
        <v>5359</v>
      </c>
      <c r="V3298" s="16" t="s">
        <v>2686</v>
      </c>
      <c r="W3298" s="11" t="s">
        <v>14284</v>
      </c>
      <c r="X3298" s="174">
        <v>26.87</v>
      </c>
      <c r="Y3298" s="174">
        <v>35.36</v>
      </c>
    </row>
    <row r="3299" spans="1:25" ht="15" customHeight="1" x14ac:dyDescent="0.25">
      <c r="A3299" s="20" t="s">
        <v>2688</v>
      </c>
      <c r="B3299" s="14" t="s">
        <v>2689</v>
      </c>
      <c r="C3299" s="71" t="str">
        <f t="shared" si="80"/>
        <v>Product Info</v>
      </c>
      <c r="D3299" s="37" t="s">
        <v>6434</v>
      </c>
      <c r="E3299" s="143">
        <v>3</v>
      </c>
      <c r="F3299" s="12" t="s">
        <v>2170</v>
      </c>
      <c r="G3299" s="38">
        <v>44.93</v>
      </c>
      <c r="H3299" s="38">
        <v>38.19</v>
      </c>
      <c r="I3299" s="38">
        <v>31.45</v>
      </c>
      <c r="J3299" s="39"/>
      <c r="K3299" s="143"/>
      <c r="L3299" s="22">
        <v>4</v>
      </c>
      <c r="M3299" s="22" t="s">
        <v>12488</v>
      </c>
      <c r="N3299" s="20" t="s">
        <v>9306</v>
      </c>
      <c r="O3299" s="16" t="s">
        <v>12608</v>
      </c>
      <c r="P3299" s="143">
        <v>751</v>
      </c>
      <c r="Q3299" s="121" t="s">
        <v>14285</v>
      </c>
      <c r="R3299" s="16" t="s">
        <v>9235</v>
      </c>
      <c r="S3299" s="10" t="s">
        <v>1163</v>
      </c>
      <c r="T3299" s="28" t="s">
        <v>12259</v>
      </c>
      <c r="U3299" s="20" t="s">
        <v>5359</v>
      </c>
      <c r="V3299" s="16" t="s">
        <v>2688</v>
      </c>
      <c r="W3299" s="11" t="s">
        <v>14284</v>
      </c>
      <c r="X3299" s="174">
        <v>29.02</v>
      </c>
      <c r="Y3299" s="174">
        <v>38.19</v>
      </c>
    </row>
    <row r="3300" spans="1:25" ht="15" customHeight="1" x14ac:dyDescent="0.25">
      <c r="A3300" s="20" t="s">
        <v>2690</v>
      </c>
      <c r="B3300" s="14" t="s">
        <v>2691</v>
      </c>
      <c r="C3300" s="71" t="str">
        <f t="shared" si="80"/>
        <v>Product Info</v>
      </c>
      <c r="D3300" s="37" t="s">
        <v>6435</v>
      </c>
      <c r="E3300" s="143">
        <v>3</v>
      </c>
      <c r="F3300" s="12" t="s">
        <v>2170</v>
      </c>
      <c r="G3300" s="38">
        <v>46.57</v>
      </c>
      <c r="H3300" s="38">
        <v>39.590000000000003</v>
      </c>
      <c r="I3300" s="38">
        <v>32.6</v>
      </c>
      <c r="J3300" s="39"/>
      <c r="K3300" s="143"/>
      <c r="L3300" s="22">
        <v>4</v>
      </c>
      <c r="M3300" s="22" t="s">
        <v>12488</v>
      </c>
      <c r="N3300" s="20" t="s">
        <v>9306</v>
      </c>
      <c r="O3300" s="16" t="s">
        <v>12608</v>
      </c>
      <c r="P3300" s="143">
        <v>751</v>
      </c>
      <c r="Q3300" s="121" t="s">
        <v>14285</v>
      </c>
      <c r="R3300" s="16" t="s">
        <v>9235</v>
      </c>
      <c r="S3300" s="10" t="s">
        <v>1163</v>
      </c>
      <c r="T3300" s="28" t="s">
        <v>12260</v>
      </c>
      <c r="U3300" s="20" t="s">
        <v>5359</v>
      </c>
      <c r="V3300" s="16" t="s">
        <v>2690</v>
      </c>
      <c r="W3300" s="11" t="s">
        <v>14284</v>
      </c>
      <c r="X3300" s="174">
        <v>30.08</v>
      </c>
      <c r="Y3300" s="174">
        <v>39.590000000000003</v>
      </c>
    </row>
    <row r="3301" spans="1:25" ht="15" customHeight="1" x14ac:dyDescent="0.25">
      <c r="A3301" s="20" t="s">
        <v>2692</v>
      </c>
      <c r="B3301" s="14" t="s">
        <v>2693</v>
      </c>
      <c r="C3301" s="71" t="str">
        <f t="shared" si="80"/>
        <v>Product Info</v>
      </c>
      <c r="D3301" s="37" t="s">
        <v>6436</v>
      </c>
      <c r="E3301" s="143">
        <v>3</v>
      </c>
      <c r="F3301" s="12" t="s">
        <v>2170</v>
      </c>
      <c r="G3301" s="38">
        <v>47.53</v>
      </c>
      <c r="H3301" s="38">
        <v>40.4</v>
      </c>
      <c r="I3301" s="38">
        <v>33.270000000000003</v>
      </c>
      <c r="J3301" s="39"/>
      <c r="K3301" s="143"/>
      <c r="L3301" s="22">
        <v>4</v>
      </c>
      <c r="M3301" s="22" t="s">
        <v>12488</v>
      </c>
      <c r="N3301" s="20" t="s">
        <v>9306</v>
      </c>
      <c r="O3301" s="16" t="s">
        <v>12608</v>
      </c>
      <c r="P3301" s="143">
        <v>751</v>
      </c>
      <c r="Q3301" s="121" t="s">
        <v>14285</v>
      </c>
      <c r="R3301" s="16" t="s">
        <v>9235</v>
      </c>
      <c r="S3301" s="10" t="s">
        <v>1163</v>
      </c>
      <c r="T3301" s="28" t="s">
        <v>12261</v>
      </c>
      <c r="U3301" s="20" t="s">
        <v>5359</v>
      </c>
      <c r="V3301" s="16" t="s">
        <v>2692</v>
      </c>
      <c r="W3301" s="11" t="s">
        <v>14284</v>
      </c>
      <c r="X3301" s="174">
        <v>30.7</v>
      </c>
      <c r="Y3301" s="174">
        <v>40.4</v>
      </c>
    </row>
    <row r="3302" spans="1:25" ht="15" customHeight="1" x14ac:dyDescent="0.25">
      <c r="A3302" s="20" t="s">
        <v>1072</v>
      </c>
      <c r="B3302" s="14" t="s">
        <v>872</v>
      </c>
      <c r="C3302" s="71" t="str">
        <f t="shared" si="80"/>
        <v>Product Info</v>
      </c>
      <c r="D3302" s="37" t="s">
        <v>1073</v>
      </c>
      <c r="E3302" s="143">
        <v>1</v>
      </c>
      <c r="F3302" s="12" t="s">
        <v>2170</v>
      </c>
      <c r="G3302" s="38">
        <v>15.47</v>
      </c>
      <c r="H3302" s="38">
        <v>13.15</v>
      </c>
      <c r="I3302" s="38">
        <v>10.83</v>
      </c>
      <c r="J3302" s="39"/>
      <c r="K3302" s="143"/>
      <c r="L3302" s="22">
        <v>0</v>
      </c>
      <c r="M3302" s="22">
        <v>0</v>
      </c>
      <c r="N3302" s="20" t="s">
        <v>14489</v>
      </c>
      <c r="O3302" s="16" t="s">
        <v>12608</v>
      </c>
      <c r="P3302" s="143">
        <v>761</v>
      </c>
      <c r="Q3302" s="121" t="s">
        <v>14285</v>
      </c>
      <c r="R3302" s="16" t="s">
        <v>9235</v>
      </c>
      <c r="S3302" s="10" t="s">
        <v>1163</v>
      </c>
      <c r="T3302" s="28" t="s">
        <v>12262</v>
      </c>
      <c r="U3302" s="20" t="s">
        <v>5359</v>
      </c>
      <c r="V3302" s="16" t="s">
        <v>1072</v>
      </c>
      <c r="W3302" s="11" t="s">
        <v>14283</v>
      </c>
      <c r="X3302" s="174">
        <v>10.09</v>
      </c>
      <c r="Y3302" s="174">
        <v>13.15</v>
      </c>
    </row>
    <row r="3303" spans="1:25" ht="15" customHeight="1" x14ac:dyDescent="0.25">
      <c r="A3303" s="20" t="s">
        <v>2694</v>
      </c>
      <c r="B3303" s="14" t="s">
        <v>2770</v>
      </c>
      <c r="C3303" s="71" t="str">
        <f t="shared" si="80"/>
        <v>Product Info</v>
      </c>
      <c r="D3303" s="37" t="s">
        <v>6045</v>
      </c>
      <c r="E3303" s="143">
        <v>1</v>
      </c>
      <c r="F3303" s="12" t="s">
        <v>2170</v>
      </c>
      <c r="G3303" s="38">
        <v>18.43</v>
      </c>
      <c r="H3303" s="38">
        <v>15.66</v>
      </c>
      <c r="I3303" s="38">
        <v>12.9</v>
      </c>
      <c r="J3303" s="39"/>
      <c r="K3303" s="143"/>
      <c r="L3303" s="22">
        <v>0</v>
      </c>
      <c r="M3303" s="22">
        <v>0</v>
      </c>
      <c r="N3303" s="20" t="s">
        <v>14489</v>
      </c>
      <c r="O3303" s="16" t="s">
        <v>12608</v>
      </c>
      <c r="P3303" s="143">
        <v>761</v>
      </c>
      <c r="Q3303" s="121" t="s">
        <v>14285</v>
      </c>
      <c r="R3303" s="16" t="s">
        <v>9235</v>
      </c>
      <c r="S3303" s="10" t="s">
        <v>1163</v>
      </c>
      <c r="T3303" s="28" t="s">
        <v>12263</v>
      </c>
      <c r="U3303" s="20" t="s">
        <v>5359</v>
      </c>
      <c r="V3303" s="16" t="s">
        <v>2694</v>
      </c>
      <c r="W3303" s="11" t="s">
        <v>14283</v>
      </c>
      <c r="X3303" s="174">
        <v>12.02</v>
      </c>
      <c r="Y3303" s="174">
        <v>15.66</v>
      </c>
    </row>
    <row r="3304" spans="1:25" ht="15" customHeight="1" x14ac:dyDescent="0.25">
      <c r="A3304" s="20" t="s">
        <v>1074</v>
      </c>
      <c r="B3304" s="14" t="s">
        <v>1075</v>
      </c>
      <c r="C3304" s="71" t="str">
        <f t="shared" si="80"/>
        <v>Product Info</v>
      </c>
      <c r="D3304" s="37" t="s">
        <v>1076</v>
      </c>
      <c r="E3304" s="143">
        <v>1</v>
      </c>
      <c r="F3304" s="12" t="s">
        <v>2170</v>
      </c>
      <c r="G3304" s="38">
        <v>25.27</v>
      </c>
      <c r="H3304" s="38">
        <v>21.48</v>
      </c>
      <c r="I3304" s="38">
        <v>17.690000000000001</v>
      </c>
      <c r="J3304" s="39"/>
      <c r="K3304" s="143"/>
      <c r="L3304" s="22">
        <v>0</v>
      </c>
      <c r="M3304" s="22">
        <v>0</v>
      </c>
      <c r="N3304" s="20" t="s">
        <v>14489</v>
      </c>
      <c r="O3304" s="16">
        <v>0</v>
      </c>
      <c r="P3304" s="143">
        <v>761</v>
      </c>
      <c r="Q3304" s="121" t="s">
        <v>14285</v>
      </c>
      <c r="R3304" s="16" t="s">
        <v>9235</v>
      </c>
      <c r="S3304" s="10" t="s">
        <v>1163</v>
      </c>
      <c r="T3304" s="28" t="s">
        <v>12264</v>
      </c>
      <c r="U3304" s="20" t="s">
        <v>5359</v>
      </c>
      <c r="V3304" s="16" t="s">
        <v>1074</v>
      </c>
      <c r="W3304" s="11" t="s">
        <v>14283</v>
      </c>
      <c r="X3304" s="174">
        <v>16.48</v>
      </c>
      <c r="Y3304" s="174">
        <v>21.48</v>
      </c>
    </row>
    <row r="3305" spans="1:25" ht="15" customHeight="1" x14ac:dyDescent="0.25">
      <c r="A3305" s="20" t="s">
        <v>1097</v>
      </c>
      <c r="B3305" s="14" t="s">
        <v>1098</v>
      </c>
      <c r="C3305" s="71" t="str">
        <f t="shared" si="80"/>
        <v>Product Info</v>
      </c>
      <c r="D3305" s="37" t="s">
        <v>1096</v>
      </c>
      <c r="E3305" s="143">
        <v>3</v>
      </c>
      <c r="F3305" s="12" t="s">
        <v>4992</v>
      </c>
      <c r="G3305" s="38">
        <v>37.07</v>
      </c>
      <c r="H3305" s="38">
        <v>31.51</v>
      </c>
      <c r="I3305" s="38">
        <v>25.95</v>
      </c>
      <c r="J3305" s="39"/>
      <c r="K3305" s="12" t="s">
        <v>8905</v>
      </c>
      <c r="L3305" s="22">
        <v>0</v>
      </c>
      <c r="M3305" s="22" t="s">
        <v>12488</v>
      </c>
      <c r="N3305" s="20" t="s">
        <v>14489</v>
      </c>
      <c r="O3305" s="16" t="s">
        <v>12608</v>
      </c>
      <c r="P3305" s="143">
        <v>751</v>
      </c>
      <c r="Q3305" s="122" t="s">
        <v>12421</v>
      </c>
      <c r="R3305" s="16" t="s">
        <v>9235</v>
      </c>
      <c r="S3305" s="10" t="s">
        <v>1163</v>
      </c>
      <c r="T3305" s="28" t="s">
        <v>12265</v>
      </c>
      <c r="U3305" s="20" t="s">
        <v>5359</v>
      </c>
      <c r="V3305" s="16" t="s">
        <v>1097</v>
      </c>
      <c r="W3305" s="11" t="s">
        <v>14284</v>
      </c>
      <c r="X3305" s="174">
        <v>23.94</v>
      </c>
      <c r="Y3305" s="174">
        <v>31.51</v>
      </c>
    </row>
    <row r="3306" spans="1:25" ht="15" customHeight="1" x14ac:dyDescent="0.25">
      <c r="A3306" s="20" t="s">
        <v>6437</v>
      </c>
      <c r="B3306" s="14" t="s">
        <v>6438</v>
      </c>
      <c r="C3306" s="71" t="str">
        <f t="shared" si="80"/>
        <v>Product Info</v>
      </c>
      <c r="D3306" s="37" t="s">
        <v>6439</v>
      </c>
      <c r="E3306" s="143">
        <v>1</v>
      </c>
      <c r="F3306" s="12" t="s">
        <v>4992</v>
      </c>
      <c r="G3306" s="38">
        <v>0.91</v>
      </c>
      <c r="H3306" s="38">
        <f t="shared" ref="H3306:H3337" si="81">I3306</f>
        <v>0.64</v>
      </c>
      <c r="I3306" s="38">
        <v>0.64</v>
      </c>
      <c r="J3306" s="39"/>
      <c r="K3306" s="143"/>
      <c r="L3306" s="22">
        <v>0</v>
      </c>
      <c r="M3306" s="22">
        <v>0</v>
      </c>
      <c r="N3306" s="20" t="s">
        <v>14489</v>
      </c>
      <c r="O3306" s="16">
        <v>0</v>
      </c>
      <c r="P3306" s="143" t="s">
        <v>12554</v>
      </c>
      <c r="Q3306" s="121" t="s">
        <v>14285</v>
      </c>
      <c r="R3306" s="16" t="s">
        <v>8904</v>
      </c>
      <c r="S3306" s="10" t="s">
        <v>194</v>
      </c>
      <c r="T3306" s="28" t="s">
        <v>12266</v>
      </c>
      <c r="U3306" s="20" t="s">
        <v>5359</v>
      </c>
      <c r="V3306" s="16" t="s">
        <v>8584</v>
      </c>
      <c r="W3306" s="11" t="s">
        <v>13938</v>
      </c>
      <c r="X3306" s="174">
        <v>0.5</v>
      </c>
      <c r="Y3306" s="174">
        <v>0.64</v>
      </c>
    </row>
    <row r="3307" spans="1:25" ht="15" customHeight="1" x14ac:dyDescent="0.25">
      <c r="A3307" s="20" t="s">
        <v>6440</v>
      </c>
      <c r="B3307" s="14" t="s">
        <v>6441</v>
      </c>
      <c r="C3307" s="71" t="str">
        <f t="shared" si="80"/>
        <v>Product Info</v>
      </c>
      <c r="D3307" s="37" t="s">
        <v>6442</v>
      </c>
      <c r="E3307" s="143">
        <v>1</v>
      </c>
      <c r="F3307" s="12" t="s">
        <v>4992</v>
      </c>
      <c r="G3307" s="38">
        <v>1.2</v>
      </c>
      <c r="H3307" s="38">
        <f t="shared" si="81"/>
        <v>0.84</v>
      </c>
      <c r="I3307" s="38">
        <v>0.84</v>
      </c>
      <c r="J3307" s="39"/>
      <c r="K3307" s="143"/>
      <c r="L3307" s="22">
        <v>0</v>
      </c>
      <c r="M3307" s="22">
        <v>0</v>
      </c>
      <c r="N3307" s="20" t="s">
        <v>14489</v>
      </c>
      <c r="O3307" s="16">
        <v>0</v>
      </c>
      <c r="P3307" s="143" t="s">
        <v>12554</v>
      </c>
      <c r="Q3307" s="121" t="s">
        <v>14285</v>
      </c>
      <c r="R3307" s="16" t="s">
        <v>8904</v>
      </c>
      <c r="S3307" s="10" t="s">
        <v>194</v>
      </c>
      <c r="T3307" s="28" t="s">
        <v>12267</v>
      </c>
      <c r="U3307" s="20" t="s">
        <v>5359</v>
      </c>
      <c r="V3307" s="16" t="s">
        <v>8585</v>
      </c>
      <c r="W3307" s="11" t="s">
        <v>13938</v>
      </c>
      <c r="X3307" s="174">
        <v>0.66</v>
      </c>
      <c r="Y3307" s="174">
        <v>0.84</v>
      </c>
    </row>
    <row r="3308" spans="1:25" ht="15" customHeight="1" x14ac:dyDescent="0.25">
      <c r="A3308" s="20" t="s">
        <v>2273</v>
      </c>
      <c r="B3308" s="14" t="s">
        <v>2274</v>
      </c>
      <c r="C3308" s="71" t="str">
        <f t="shared" si="80"/>
        <v>Product Info</v>
      </c>
      <c r="D3308" s="37" t="s">
        <v>2275</v>
      </c>
      <c r="E3308" s="143">
        <v>1</v>
      </c>
      <c r="F3308" s="12" t="s">
        <v>4992</v>
      </c>
      <c r="G3308" s="38">
        <v>2.21</v>
      </c>
      <c r="H3308" s="38">
        <f t="shared" si="81"/>
        <v>1.55</v>
      </c>
      <c r="I3308" s="38">
        <v>1.55</v>
      </c>
      <c r="J3308" s="39"/>
      <c r="K3308" s="143"/>
      <c r="L3308" s="22">
        <v>7.0832999999999993E-2</v>
      </c>
      <c r="M3308" s="22" t="s">
        <v>12488</v>
      </c>
      <c r="N3308" s="20" t="s">
        <v>8877</v>
      </c>
      <c r="O3308" s="16" t="s">
        <v>12608</v>
      </c>
      <c r="P3308" s="143" t="s">
        <v>12554</v>
      </c>
      <c r="Q3308" s="121" t="s">
        <v>14285</v>
      </c>
      <c r="R3308" s="16" t="s">
        <v>8904</v>
      </c>
      <c r="S3308" s="10" t="s">
        <v>194</v>
      </c>
      <c r="T3308" s="28" t="s">
        <v>12268</v>
      </c>
      <c r="U3308" s="20" t="s">
        <v>5359</v>
      </c>
      <c r="V3308" s="16" t="s">
        <v>8586</v>
      </c>
      <c r="W3308" s="11" t="s">
        <v>13938</v>
      </c>
      <c r="X3308" s="174">
        <v>1.22</v>
      </c>
      <c r="Y3308" s="174">
        <v>1.55</v>
      </c>
    </row>
    <row r="3309" spans="1:25" ht="15" customHeight="1" x14ac:dyDescent="0.25">
      <c r="A3309" s="20" t="s">
        <v>3049</v>
      </c>
      <c r="B3309" s="14" t="s">
        <v>3050</v>
      </c>
      <c r="C3309" s="71" t="str">
        <f t="shared" si="80"/>
        <v>Product Info</v>
      </c>
      <c r="D3309" s="37" t="s">
        <v>3051</v>
      </c>
      <c r="E3309" s="143">
        <v>1</v>
      </c>
      <c r="F3309" s="12" t="s">
        <v>4992</v>
      </c>
      <c r="G3309" s="38">
        <v>2.57</v>
      </c>
      <c r="H3309" s="38">
        <f t="shared" si="81"/>
        <v>1.8</v>
      </c>
      <c r="I3309" s="38">
        <v>1.8</v>
      </c>
      <c r="J3309" s="39"/>
      <c r="K3309" s="143"/>
      <c r="L3309" s="22">
        <v>4.25</v>
      </c>
      <c r="M3309" s="22" t="s">
        <v>12488</v>
      </c>
      <c r="N3309" s="20" t="s">
        <v>8878</v>
      </c>
      <c r="O3309" s="16" t="s">
        <v>12608</v>
      </c>
      <c r="P3309" s="143" t="s">
        <v>12554</v>
      </c>
      <c r="Q3309" s="121" t="s">
        <v>14285</v>
      </c>
      <c r="R3309" s="16" t="s">
        <v>8904</v>
      </c>
      <c r="S3309" s="10" t="s">
        <v>194</v>
      </c>
      <c r="T3309" s="28" t="s">
        <v>12269</v>
      </c>
      <c r="U3309" s="20" t="s">
        <v>5359</v>
      </c>
      <c r="V3309" s="16" t="s">
        <v>8587</v>
      </c>
      <c r="W3309" s="11" t="s">
        <v>13938</v>
      </c>
      <c r="X3309" s="174">
        <v>1.41</v>
      </c>
      <c r="Y3309" s="174">
        <v>1.8</v>
      </c>
    </row>
    <row r="3310" spans="1:25" ht="15" customHeight="1" x14ac:dyDescent="0.25">
      <c r="A3310" s="20" t="s">
        <v>3052</v>
      </c>
      <c r="B3310" s="14" t="s">
        <v>6102</v>
      </c>
      <c r="C3310" s="71" t="str">
        <f t="shared" si="80"/>
        <v>Product Info</v>
      </c>
      <c r="D3310" s="37" t="s">
        <v>6103</v>
      </c>
      <c r="E3310" s="143">
        <v>1</v>
      </c>
      <c r="F3310" s="12" t="s">
        <v>4992</v>
      </c>
      <c r="G3310" s="38">
        <v>2.97</v>
      </c>
      <c r="H3310" s="38">
        <f t="shared" si="81"/>
        <v>2.08</v>
      </c>
      <c r="I3310" s="38">
        <v>2.08</v>
      </c>
      <c r="J3310" s="39"/>
      <c r="K3310" s="143"/>
      <c r="L3310" s="22">
        <v>0</v>
      </c>
      <c r="M3310" s="22">
        <v>0</v>
      </c>
      <c r="N3310" s="20" t="s">
        <v>14489</v>
      </c>
      <c r="O3310" s="16">
        <v>0</v>
      </c>
      <c r="P3310" s="143" t="s">
        <v>12554</v>
      </c>
      <c r="Q3310" s="121" t="s">
        <v>14285</v>
      </c>
      <c r="R3310" s="16" t="s">
        <v>8904</v>
      </c>
      <c r="S3310" s="10" t="s">
        <v>194</v>
      </c>
      <c r="T3310" s="28" t="s">
        <v>12270</v>
      </c>
      <c r="U3310" s="20" t="s">
        <v>5359</v>
      </c>
      <c r="V3310" s="16" t="s">
        <v>8588</v>
      </c>
      <c r="W3310" s="11" t="s">
        <v>13938</v>
      </c>
      <c r="X3310" s="174">
        <v>1.63</v>
      </c>
      <c r="Y3310" s="174">
        <v>2.08</v>
      </c>
    </row>
    <row r="3311" spans="1:25" ht="15" customHeight="1" x14ac:dyDescent="0.25">
      <c r="A3311" s="20" t="s">
        <v>6104</v>
      </c>
      <c r="B3311" s="14" t="s">
        <v>4614</v>
      </c>
      <c r="C3311" s="71" t="str">
        <f t="shared" si="80"/>
        <v>Product Info</v>
      </c>
      <c r="D3311" s="37" t="s">
        <v>4615</v>
      </c>
      <c r="E3311" s="143">
        <v>1</v>
      </c>
      <c r="F3311" s="12" t="s">
        <v>4992</v>
      </c>
      <c r="G3311" s="38">
        <v>1.26</v>
      </c>
      <c r="H3311" s="38">
        <f t="shared" si="81"/>
        <v>0.88</v>
      </c>
      <c r="I3311" s="38">
        <v>0.88</v>
      </c>
      <c r="J3311" s="39"/>
      <c r="K3311" s="143"/>
      <c r="L3311" s="22">
        <v>3.3125000000000002E-2</v>
      </c>
      <c r="M3311" s="22" t="s">
        <v>14396</v>
      </c>
      <c r="N3311" s="20" t="s">
        <v>8879</v>
      </c>
      <c r="O3311" s="16" t="s">
        <v>13914</v>
      </c>
      <c r="P3311" s="143" t="s">
        <v>12554</v>
      </c>
      <c r="Q3311" s="121" t="s">
        <v>14285</v>
      </c>
      <c r="R3311" s="16" t="s">
        <v>8904</v>
      </c>
      <c r="S3311" s="10" t="s">
        <v>194</v>
      </c>
      <c r="T3311" s="28" t="s">
        <v>12271</v>
      </c>
      <c r="U3311" s="20" t="s">
        <v>5359</v>
      </c>
      <c r="V3311" s="16" t="s">
        <v>8589</v>
      </c>
      <c r="W3311" s="11" t="s">
        <v>13938</v>
      </c>
      <c r="X3311" s="174">
        <v>0.69</v>
      </c>
      <c r="Y3311" s="174">
        <v>0.88</v>
      </c>
    </row>
    <row r="3312" spans="1:25" ht="15" customHeight="1" x14ac:dyDescent="0.25">
      <c r="A3312" s="20" t="s">
        <v>4616</v>
      </c>
      <c r="B3312" s="14" t="s">
        <v>4617</v>
      </c>
      <c r="C3312" s="71" t="str">
        <f t="shared" si="80"/>
        <v>Product Info</v>
      </c>
      <c r="D3312" s="37" t="s">
        <v>4618</v>
      </c>
      <c r="E3312" s="143">
        <v>1</v>
      </c>
      <c r="F3312" s="12" t="s">
        <v>4992</v>
      </c>
      <c r="G3312" s="38">
        <v>1.69</v>
      </c>
      <c r="H3312" s="38">
        <f t="shared" si="81"/>
        <v>1.18</v>
      </c>
      <c r="I3312" s="38">
        <v>1.18</v>
      </c>
      <c r="J3312" s="39"/>
      <c r="K3312" s="143"/>
      <c r="L3312" s="22">
        <v>2.6232999999999999E-2</v>
      </c>
      <c r="M3312" s="22" t="s">
        <v>12488</v>
      </c>
      <c r="N3312" s="20" t="s">
        <v>8880</v>
      </c>
      <c r="O3312" s="16" t="s">
        <v>12608</v>
      </c>
      <c r="P3312" s="143" t="s">
        <v>12554</v>
      </c>
      <c r="Q3312" s="121" t="s">
        <v>14285</v>
      </c>
      <c r="R3312" s="16" t="s">
        <v>8904</v>
      </c>
      <c r="S3312" s="10" t="s">
        <v>194</v>
      </c>
      <c r="T3312" s="28" t="s">
        <v>12272</v>
      </c>
      <c r="U3312" s="20" t="s">
        <v>5359</v>
      </c>
      <c r="V3312" s="16" t="s">
        <v>8590</v>
      </c>
      <c r="W3312" s="11" t="s">
        <v>13938</v>
      </c>
      <c r="X3312" s="174">
        <v>0.93</v>
      </c>
      <c r="Y3312" s="174">
        <v>1.18</v>
      </c>
    </row>
    <row r="3313" spans="1:25" ht="15" customHeight="1" x14ac:dyDescent="0.25">
      <c r="A3313" s="20" t="s">
        <v>4686</v>
      </c>
      <c r="B3313" s="14" t="s">
        <v>3935</v>
      </c>
      <c r="C3313" s="71" t="str">
        <f t="shared" si="80"/>
        <v>Product Info</v>
      </c>
      <c r="D3313" s="37" t="s">
        <v>3936</v>
      </c>
      <c r="E3313" s="143">
        <v>1</v>
      </c>
      <c r="F3313" s="12" t="s">
        <v>4992</v>
      </c>
      <c r="G3313" s="38">
        <v>2.81</v>
      </c>
      <c r="H3313" s="38">
        <f t="shared" si="81"/>
        <v>1.97</v>
      </c>
      <c r="I3313" s="38">
        <v>1.97</v>
      </c>
      <c r="J3313" s="39"/>
      <c r="K3313" s="143"/>
      <c r="L3313" s="22">
        <v>4.82E-2</v>
      </c>
      <c r="M3313" s="22" t="s">
        <v>12488</v>
      </c>
      <c r="N3313" s="20" t="s">
        <v>8880</v>
      </c>
      <c r="O3313" s="16" t="s">
        <v>12608</v>
      </c>
      <c r="P3313" s="143" t="s">
        <v>12554</v>
      </c>
      <c r="Q3313" s="121" t="s">
        <v>14285</v>
      </c>
      <c r="R3313" s="16" t="s">
        <v>8904</v>
      </c>
      <c r="S3313" s="10" t="s">
        <v>194</v>
      </c>
      <c r="T3313" s="28" t="s">
        <v>12273</v>
      </c>
      <c r="U3313" s="20" t="s">
        <v>5359</v>
      </c>
      <c r="V3313" s="16" t="s">
        <v>8591</v>
      </c>
      <c r="W3313" s="11" t="s">
        <v>13938</v>
      </c>
      <c r="X3313" s="174">
        <v>1.54</v>
      </c>
      <c r="Y3313" s="174">
        <v>1.97</v>
      </c>
    </row>
    <row r="3314" spans="1:25" ht="15" customHeight="1" x14ac:dyDescent="0.25">
      <c r="A3314" s="20" t="s">
        <v>7183</v>
      </c>
      <c r="B3314" s="14" t="s">
        <v>7184</v>
      </c>
      <c r="C3314" s="71" t="str">
        <f t="shared" si="80"/>
        <v>Product Info</v>
      </c>
      <c r="D3314" s="37" t="s">
        <v>7185</v>
      </c>
      <c r="E3314" s="143">
        <v>1</v>
      </c>
      <c r="F3314" s="12" t="s">
        <v>4992</v>
      </c>
      <c r="G3314" s="38">
        <v>3.64</v>
      </c>
      <c r="H3314" s="38">
        <f t="shared" si="81"/>
        <v>2.5499999999999998</v>
      </c>
      <c r="I3314" s="38">
        <v>2.5499999999999998</v>
      </c>
      <c r="J3314" s="39"/>
      <c r="K3314" s="143"/>
      <c r="L3314" s="22">
        <v>6.6250000000000003E-2</v>
      </c>
      <c r="M3314" s="22" t="s">
        <v>14396</v>
      </c>
      <c r="N3314" s="20" t="s">
        <v>8880</v>
      </c>
      <c r="O3314" s="16" t="s">
        <v>13914</v>
      </c>
      <c r="P3314" s="143" t="s">
        <v>12554</v>
      </c>
      <c r="Q3314" s="121" t="s">
        <v>14285</v>
      </c>
      <c r="R3314" s="16" t="s">
        <v>8904</v>
      </c>
      <c r="S3314" s="10" t="s">
        <v>194</v>
      </c>
      <c r="T3314" s="28" t="s">
        <v>12274</v>
      </c>
      <c r="U3314" s="20" t="s">
        <v>5359</v>
      </c>
      <c r="V3314" s="16" t="s">
        <v>8592</v>
      </c>
      <c r="W3314" s="11" t="s">
        <v>13938</v>
      </c>
      <c r="X3314" s="174">
        <v>2</v>
      </c>
      <c r="Y3314" s="174">
        <v>2.5499999999999998</v>
      </c>
    </row>
    <row r="3315" spans="1:25" ht="15" customHeight="1" x14ac:dyDescent="0.25">
      <c r="A3315" s="20" t="s">
        <v>7186</v>
      </c>
      <c r="B3315" s="14" t="s">
        <v>7187</v>
      </c>
      <c r="C3315" s="71" t="str">
        <f t="shared" si="80"/>
        <v>Product Info</v>
      </c>
      <c r="D3315" s="37" t="s">
        <v>7188</v>
      </c>
      <c r="E3315" s="143">
        <v>1</v>
      </c>
      <c r="F3315" s="12" t="s">
        <v>4992</v>
      </c>
      <c r="G3315" s="38">
        <v>3.11</v>
      </c>
      <c r="H3315" s="38">
        <f t="shared" si="81"/>
        <v>2.1800000000000002</v>
      </c>
      <c r="I3315" s="38">
        <v>2.1800000000000002</v>
      </c>
      <c r="J3315" s="39"/>
      <c r="K3315" s="143"/>
      <c r="L3315" s="22">
        <v>7.3832999999999996E-2</v>
      </c>
      <c r="M3315" s="22" t="s">
        <v>14396</v>
      </c>
      <c r="N3315" s="20" t="s">
        <v>8881</v>
      </c>
      <c r="O3315" s="16" t="s">
        <v>13914</v>
      </c>
      <c r="P3315" s="143" t="s">
        <v>12554</v>
      </c>
      <c r="Q3315" s="121" t="s">
        <v>14285</v>
      </c>
      <c r="R3315" s="16" t="s">
        <v>8904</v>
      </c>
      <c r="S3315" s="10" t="s">
        <v>194</v>
      </c>
      <c r="T3315" s="28" t="s">
        <v>12275</v>
      </c>
      <c r="U3315" s="20" t="s">
        <v>5359</v>
      </c>
      <c r="V3315" s="16" t="s">
        <v>8593</v>
      </c>
      <c r="W3315" s="11" t="s">
        <v>13938</v>
      </c>
      <c r="X3315" s="174">
        <v>1.71</v>
      </c>
      <c r="Y3315" s="174">
        <v>2.1800000000000002</v>
      </c>
    </row>
    <row r="3316" spans="1:25" ht="15" customHeight="1" x14ac:dyDescent="0.25">
      <c r="A3316" s="20" t="s">
        <v>7189</v>
      </c>
      <c r="B3316" s="14" t="s">
        <v>7190</v>
      </c>
      <c r="C3316" s="71" t="str">
        <f t="shared" si="80"/>
        <v>Product Info</v>
      </c>
      <c r="D3316" s="37" t="s">
        <v>7191</v>
      </c>
      <c r="E3316" s="143">
        <v>1</v>
      </c>
      <c r="F3316" s="12" t="s">
        <v>4992</v>
      </c>
      <c r="G3316" s="38">
        <v>3.17</v>
      </c>
      <c r="H3316" s="38">
        <f t="shared" si="81"/>
        <v>2.2200000000000002</v>
      </c>
      <c r="I3316" s="38">
        <v>2.2200000000000002</v>
      </c>
      <c r="J3316" s="39"/>
      <c r="K3316" s="143"/>
      <c r="L3316" s="22">
        <v>8.7999999999999995E-2</v>
      </c>
      <c r="M3316" s="22" t="s">
        <v>12488</v>
      </c>
      <c r="N3316" s="20" t="s">
        <v>8880</v>
      </c>
      <c r="O3316" s="16" t="s">
        <v>12608</v>
      </c>
      <c r="P3316" s="143" t="s">
        <v>12554</v>
      </c>
      <c r="Q3316" s="121" t="s">
        <v>14285</v>
      </c>
      <c r="R3316" s="16" t="s">
        <v>8904</v>
      </c>
      <c r="S3316" s="10" t="s">
        <v>194</v>
      </c>
      <c r="T3316" s="28" t="s">
        <v>12276</v>
      </c>
      <c r="U3316" s="20" t="s">
        <v>5359</v>
      </c>
      <c r="V3316" s="16" t="s">
        <v>8594</v>
      </c>
      <c r="W3316" s="11" t="s">
        <v>13938</v>
      </c>
      <c r="X3316" s="174">
        <v>1.74</v>
      </c>
      <c r="Y3316" s="174">
        <v>2.2200000000000002</v>
      </c>
    </row>
    <row r="3317" spans="1:25" ht="15" customHeight="1" x14ac:dyDescent="0.25">
      <c r="A3317" s="20" t="s">
        <v>7192</v>
      </c>
      <c r="B3317" s="14" t="s">
        <v>7193</v>
      </c>
      <c r="C3317" s="71" t="str">
        <f t="shared" si="80"/>
        <v>Product Info</v>
      </c>
      <c r="D3317" s="37" t="s">
        <v>6248</v>
      </c>
      <c r="E3317" s="143">
        <v>1</v>
      </c>
      <c r="F3317" s="12" t="s">
        <v>4992</v>
      </c>
      <c r="G3317" s="38">
        <v>3.67</v>
      </c>
      <c r="H3317" s="38">
        <f t="shared" si="81"/>
        <v>2.57</v>
      </c>
      <c r="I3317" s="38">
        <v>2.57</v>
      </c>
      <c r="J3317" s="39"/>
      <c r="K3317" s="143"/>
      <c r="L3317" s="22">
        <v>0.214</v>
      </c>
      <c r="M3317" s="22" t="s">
        <v>14396</v>
      </c>
      <c r="N3317" s="20" t="s">
        <v>8882</v>
      </c>
      <c r="O3317" s="16" t="s">
        <v>13914</v>
      </c>
      <c r="P3317" s="143" t="s">
        <v>12554</v>
      </c>
      <c r="Q3317" s="121" t="s">
        <v>14285</v>
      </c>
      <c r="R3317" s="16" t="s">
        <v>8904</v>
      </c>
      <c r="S3317" s="10" t="s">
        <v>194</v>
      </c>
      <c r="T3317" s="28" t="s">
        <v>12277</v>
      </c>
      <c r="U3317" s="20" t="s">
        <v>5359</v>
      </c>
      <c r="V3317" s="16" t="s">
        <v>8595</v>
      </c>
      <c r="W3317" s="11" t="s">
        <v>13938</v>
      </c>
      <c r="X3317" s="174">
        <v>2.02</v>
      </c>
      <c r="Y3317" s="174">
        <v>2.57</v>
      </c>
    </row>
    <row r="3318" spans="1:25" ht="15" customHeight="1" x14ac:dyDescent="0.25">
      <c r="A3318" s="20" t="s">
        <v>6249</v>
      </c>
      <c r="B3318" s="14" t="s">
        <v>6250</v>
      </c>
      <c r="C3318" s="71" t="str">
        <f t="shared" si="80"/>
        <v>Product Info</v>
      </c>
      <c r="D3318" s="37" t="s">
        <v>6251</v>
      </c>
      <c r="E3318" s="143">
        <v>1</v>
      </c>
      <c r="F3318" s="12" t="s">
        <v>4992</v>
      </c>
      <c r="G3318" s="38">
        <v>3.93</v>
      </c>
      <c r="H3318" s="38">
        <f t="shared" si="81"/>
        <v>2.75</v>
      </c>
      <c r="I3318" s="38">
        <v>2.75</v>
      </c>
      <c r="J3318" s="39"/>
      <c r="K3318" s="143" t="s">
        <v>8905</v>
      </c>
      <c r="L3318" s="22">
        <v>1.7000000000000001E-2</v>
      </c>
      <c r="M3318" s="22" t="s">
        <v>14396</v>
      </c>
      <c r="N3318" s="20" t="s">
        <v>8883</v>
      </c>
      <c r="O3318" s="16" t="s">
        <v>13914</v>
      </c>
      <c r="P3318" s="143" t="s">
        <v>12554</v>
      </c>
      <c r="Q3318" s="121" t="s">
        <v>14285</v>
      </c>
      <c r="R3318" s="16" t="s">
        <v>8904</v>
      </c>
      <c r="S3318" s="10" t="s">
        <v>194</v>
      </c>
      <c r="T3318" s="28" t="s">
        <v>12278</v>
      </c>
      <c r="U3318" s="20" t="s">
        <v>5359</v>
      </c>
      <c r="V3318" s="16" t="s">
        <v>8596</v>
      </c>
      <c r="W3318" s="11" t="s">
        <v>13938</v>
      </c>
      <c r="X3318" s="174">
        <v>2.16</v>
      </c>
      <c r="Y3318" s="174">
        <v>2.75</v>
      </c>
    </row>
    <row r="3319" spans="1:25" ht="15" customHeight="1" x14ac:dyDescent="0.25">
      <c r="A3319" s="20" t="s">
        <v>6252</v>
      </c>
      <c r="B3319" s="14" t="s">
        <v>6253</v>
      </c>
      <c r="C3319" s="71" t="str">
        <f t="shared" si="80"/>
        <v>Product Info</v>
      </c>
      <c r="D3319" s="37" t="s">
        <v>6254</v>
      </c>
      <c r="E3319" s="143">
        <v>1</v>
      </c>
      <c r="F3319" s="12" t="s">
        <v>4992</v>
      </c>
      <c r="G3319" s="38">
        <v>6.06</v>
      </c>
      <c r="H3319" s="38">
        <f t="shared" si="81"/>
        <v>4.24</v>
      </c>
      <c r="I3319" s="38">
        <v>4.24</v>
      </c>
      <c r="J3319" s="39"/>
      <c r="K3319" s="143"/>
      <c r="L3319" s="22">
        <v>0</v>
      </c>
      <c r="M3319" s="22">
        <v>0</v>
      </c>
      <c r="N3319" s="20" t="s">
        <v>14489</v>
      </c>
      <c r="O3319" s="16">
        <v>0</v>
      </c>
      <c r="P3319" s="143" t="s">
        <v>12554</v>
      </c>
      <c r="Q3319" s="121" t="s">
        <v>14285</v>
      </c>
      <c r="R3319" s="16" t="s">
        <v>8904</v>
      </c>
      <c r="S3319" s="10" t="s">
        <v>194</v>
      </c>
      <c r="T3319" s="28" t="s">
        <v>12279</v>
      </c>
      <c r="U3319" s="20" t="s">
        <v>5359</v>
      </c>
      <c r="V3319" s="16" t="s">
        <v>8597</v>
      </c>
      <c r="W3319" s="11" t="s">
        <v>13938</v>
      </c>
      <c r="X3319" s="174">
        <v>3.33</v>
      </c>
      <c r="Y3319" s="174">
        <v>4.24</v>
      </c>
    </row>
    <row r="3320" spans="1:25" ht="15" customHeight="1" x14ac:dyDescent="0.25">
      <c r="A3320" s="20" t="s">
        <v>6255</v>
      </c>
      <c r="B3320" s="14" t="s">
        <v>6256</v>
      </c>
      <c r="C3320" s="71" t="str">
        <f t="shared" si="80"/>
        <v>Product Info</v>
      </c>
      <c r="D3320" s="37" t="s">
        <v>6257</v>
      </c>
      <c r="E3320" s="143">
        <v>1</v>
      </c>
      <c r="F3320" s="12" t="s">
        <v>4992</v>
      </c>
      <c r="G3320" s="38">
        <v>4.6399999999999997</v>
      </c>
      <c r="H3320" s="38">
        <f t="shared" si="81"/>
        <v>3.25</v>
      </c>
      <c r="I3320" s="38">
        <v>3.25</v>
      </c>
      <c r="J3320" s="39"/>
      <c r="K3320" s="12" t="s">
        <v>8905</v>
      </c>
      <c r="L3320" s="22">
        <v>0</v>
      </c>
      <c r="M3320" s="22">
        <v>0</v>
      </c>
      <c r="N3320" s="20" t="s">
        <v>14489</v>
      </c>
      <c r="O3320" s="16" t="s">
        <v>13912</v>
      </c>
      <c r="P3320" s="143" t="s">
        <v>12554</v>
      </c>
      <c r="Q3320" s="122" t="s">
        <v>9227</v>
      </c>
      <c r="R3320" s="16" t="s">
        <v>8904</v>
      </c>
      <c r="S3320" s="10" t="s">
        <v>194</v>
      </c>
      <c r="T3320" s="28" t="s">
        <v>12280</v>
      </c>
      <c r="U3320" s="20" t="s">
        <v>5359</v>
      </c>
      <c r="V3320" s="16" t="s">
        <v>8598</v>
      </c>
      <c r="W3320" s="11" t="s">
        <v>13938</v>
      </c>
      <c r="X3320" s="174">
        <v>2.5499999999999998</v>
      </c>
      <c r="Y3320" s="174">
        <v>3.25</v>
      </c>
    </row>
    <row r="3321" spans="1:25" ht="15" customHeight="1" x14ac:dyDescent="0.25">
      <c r="A3321" s="20" t="s">
        <v>7510</v>
      </c>
      <c r="B3321" s="14" t="s">
        <v>7511</v>
      </c>
      <c r="C3321" s="71" t="str">
        <f t="shared" si="80"/>
        <v>Product Info</v>
      </c>
      <c r="D3321" s="37" t="s">
        <v>7512</v>
      </c>
      <c r="E3321" s="143">
        <v>1</v>
      </c>
      <c r="F3321" s="12" t="s">
        <v>4992</v>
      </c>
      <c r="G3321" s="38">
        <v>5.24</v>
      </c>
      <c r="H3321" s="38">
        <f t="shared" si="81"/>
        <v>3.67</v>
      </c>
      <c r="I3321" s="38">
        <v>3.67</v>
      </c>
      <c r="J3321" s="39"/>
      <c r="K3321" s="143"/>
      <c r="L3321" s="22">
        <v>0</v>
      </c>
      <c r="M3321" s="22">
        <v>0</v>
      </c>
      <c r="N3321" s="20" t="s">
        <v>14489</v>
      </c>
      <c r="O3321" s="16">
        <v>0</v>
      </c>
      <c r="P3321" s="143" t="s">
        <v>12554</v>
      </c>
      <c r="Q3321" s="121" t="s">
        <v>14285</v>
      </c>
      <c r="R3321" s="16" t="s">
        <v>8904</v>
      </c>
      <c r="S3321" s="10" t="s">
        <v>194</v>
      </c>
      <c r="T3321" s="28" t="s">
        <v>12281</v>
      </c>
      <c r="U3321" s="20" t="s">
        <v>5359</v>
      </c>
      <c r="V3321" s="16" t="s">
        <v>8599</v>
      </c>
      <c r="W3321" s="11" t="s">
        <v>13938</v>
      </c>
      <c r="X3321" s="174">
        <v>2.88</v>
      </c>
      <c r="Y3321" s="174">
        <v>3.67</v>
      </c>
    </row>
    <row r="3322" spans="1:25" ht="15" customHeight="1" x14ac:dyDescent="0.25">
      <c r="A3322" s="20" t="s">
        <v>9033</v>
      </c>
      <c r="B3322" s="14" t="s">
        <v>9034</v>
      </c>
      <c r="C3322" s="71" t="str">
        <f t="shared" si="80"/>
        <v>Product Info</v>
      </c>
      <c r="D3322" s="37" t="s">
        <v>9035</v>
      </c>
      <c r="E3322" s="143">
        <v>1</v>
      </c>
      <c r="F3322" s="12" t="s">
        <v>4992</v>
      </c>
      <c r="G3322" s="38">
        <v>4.1399999999999997</v>
      </c>
      <c r="H3322" s="38">
        <f t="shared" si="81"/>
        <v>2.9</v>
      </c>
      <c r="I3322" s="38">
        <v>2.9</v>
      </c>
      <c r="J3322" s="39"/>
      <c r="K3322" s="12" t="s">
        <v>8905</v>
      </c>
      <c r="L3322" s="22">
        <v>0.23</v>
      </c>
      <c r="M3322" s="22" t="s">
        <v>12488</v>
      </c>
      <c r="N3322" s="20" t="s">
        <v>8884</v>
      </c>
      <c r="O3322" s="16" t="s">
        <v>12608</v>
      </c>
      <c r="P3322" s="143" t="s">
        <v>12554</v>
      </c>
      <c r="Q3322" s="122" t="s">
        <v>9227</v>
      </c>
      <c r="R3322" s="16" t="s">
        <v>8904</v>
      </c>
      <c r="S3322" s="10" t="s">
        <v>194</v>
      </c>
      <c r="T3322" s="28" t="s">
        <v>12374</v>
      </c>
      <c r="U3322" s="20" t="s">
        <v>5359</v>
      </c>
      <c r="V3322" s="16" t="s">
        <v>9036</v>
      </c>
      <c r="W3322" s="11" t="s">
        <v>13938</v>
      </c>
      <c r="X3322" s="174">
        <v>2.27</v>
      </c>
      <c r="Y3322" s="174">
        <v>2.9</v>
      </c>
    </row>
    <row r="3323" spans="1:25" ht="15" customHeight="1" x14ac:dyDescent="0.25">
      <c r="A3323" s="20" t="s">
        <v>8003</v>
      </c>
      <c r="B3323" s="14" t="s">
        <v>8004</v>
      </c>
      <c r="C3323" s="71" t="str">
        <f t="shared" si="80"/>
        <v>Product Info</v>
      </c>
      <c r="D3323" s="37" t="s">
        <v>2932</v>
      </c>
      <c r="E3323" s="143">
        <v>1</v>
      </c>
      <c r="F3323" s="12" t="s">
        <v>4992</v>
      </c>
      <c r="G3323" s="38">
        <v>4.1100000000000003</v>
      </c>
      <c r="H3323" s="38">
        <f t="shared" si="81"/>
        <v>2.88</v>
      </c>
      <c r="I3323" s="38">
        <v>2.88</v>
      </c>
      <c r="J3323" s="39"/>
      <c r="K3323" s="12" t="s">
        <v>8905</v>
      </c>
      <c r="L3323" s="22">
        <v>0.14674999999999999</v>
      </c>
      <c r="M3323" s="22" t="s">
        <v>12488</v>
      </c>
      <c r="N3323" s="20" t="s">
        <v>8880</v>
      </c>
      <c r="O3323" s="16" t="s">
        <v>12608</v>
      </c>
      <c r="P3323" s="143" t="s">
        <v>12554</v>
      </c>
      <c r="Q3323" s="122" t="s">
        <v>9227</v>
      </c>
      <c r="R3323" s="16" t="s">
        <v>8904</v>
      </c>
      <c r="S3323" s="10" t="s">
        <v>194</v>
      </c>
      <c r="T3323" s="28" t="s">
        <v>12282</v>
      </c>
      <c r="U3323" s="20" t="s">
        <v>5359</v>
      </c>
      <c r="V3323" s="16" t="s">
        <v>8600</v>
      </c>
      <c r="W3323" s="11" t="s">
        <v>13938</v>
      </c>
      <c r="X3323" s="174">
        <v>2.2599999999999998</v>
      </c>
      <c r="Y3323" s="174">
        <v>2.88</v>
      </c>
    </row>
    <row r="3324" spans="1:25" ht="15" customHeight="1" x14ac:dyDescent="0.25">
      <c r="A3324" s="20" t="s">
        <v>2933</v>
      </c>
      <c r="B3324" s="14" t="s">
        <v>2934</v>
      </c>
      <c r="C3324" s="71" t="str">
        <f t="shared" si="80"/>
        <v>Product Info</v>
      </c>
      <c r="D3324" s="37" t="s">
        <v>2935</v>
      </c>
      <c r="E3324" s="143">
        <v>1</v>
      </c>
      <c r="F3324" s="12" t="s">
        <v>4992</v>
      </c>
      <c r="G3324" s="38">
        <v>5.16</v>
      </c>
      <c r="H3324" s="38">
        <f t="shared" si="81"/>
        <v>3.61</v>
      </c>
      <c r="I3324" s="38">
        <v>3.61</v>
      </c>
      <c r="J3324" s="39"/>
      <c r="K3324" s="143" t="s">
        <v>8905</v>
      </c>
      <c r="L3324" s="22">
        <v>0.20200000000000001</v>
      </c>
      <c r="M3324" s="22" t="s">
        <v>12488</v>
      </c>
      <c r="N3324" s="20" t="s">
        <v>8847</v>
      </c>
      <c r="O3324" s="16" t="s">
        <v>12608</v>
      </c>
      <c r="P3324" s="143" t="s">
        <v>12554</v>
      </c>
      <c r="Q3324" s="121" t="s">
        <v>14285</v>
      </c>
      <c r="R3324" s="16" t="s">
        <v>8904</v>
      </c>
      <c r="S3324" s="10" t="s">
        <v>194</v>
      </c>
      <c r="T3324" s="28" t="s">
        <v>12283</v>
      </c>
      <c r="U3324" s="20" t="s">
        <v>5359</v>
      </c>
      <c r="V3324" s="16" t="s">
        <v>8601</v>
      </c>
      <c r="W3324" s="11" t="s">
        <v>13938</v>
      </c>
      <c r="X3324" s="174">
        <v>2.83</v>
      </c>
      <c r="Y3324" s="174">
        <v>3.61</v>
      </c>
    </row>
    <row r="3325" spans="1:25" ht="15" customHeight="1" x14ac:dyDescent="0.25">
      <c r="A3325" s="20" t="s">
        <v>2936</v>
      </c>
      <c r="B3325" s="14" t="s">
        <v>2937</v>
      </c>
      <c r="C3325" s="71" t="str">
        <f t="shared" si="80"/>
        <v>Product Info</v>
      </c>
      <c r="D3325" s="37" t="s">
        <v>2938</v>
      </c>
      <c r="E3325" s="143">
        <v>1</v>
      </c>
      <c r="F3325" s="12" t="s">
        <v>4992</v>
      </c>
      <c r="G3325" s="38">
        <v>5.44</v>
      </c>
      <c r="H3325" s="38">
        <f t="shared" si="81"/>
        <v>3.81</v>
      </c>
      <c r="I3325" s="38">
        <v>3.81</v>
      </c>
      <c r="J3325" s="39"/>
      <c r="K3325" s="12" t="s">
        <v>8905</v>
      </c>
      <c r="L3325" s="22">
        <v>0.217</v>
      </c>
      <c r="M3325" s="22" t="s">
        <v>12488</v>
      </c>
      <c r="N3325" s="20" t="s">
        <v>8885</v>
      </c>
      <c r="O3325" s="16" t="s">
        <v>12608</v>
      </c>
      <c r="P3325" s="143" t="s">
        <v>12554</v>
      </c>
      <c r="Q3325" s="122" t="s">
        <v>9227</v>
      </c>
      <c r="R3325" s="16" t="s">
        <v>8904</v>
      </c>
      <c r="S3325" s="10" t="s">
        <v>194</v>
      </c>
      <c r="T3325" s="28" t="s">
        <v>12284</v>
      </c>
      <c r="U3325" s="20" t="s">
        <v>5359</v>
      </c>
      <c r="V3325" s="16" t="s">
        <v>8602</v>
      </c>
      <c r="W3325" s="11" t="s">
        <v>13938</v>
      </c>
      <c r="X3325" s="174">
        <v>2.99</v>
      </c>
      <c r="Y3325" s="174">
        <v>3.81</v>
      </c>
    </row>
    <row r="3326" spans="1:25" ht="15" customHeight="1" x14ac:dyDescent="0.25">
      <c r="A3326" s="20" t="s">
        <v>2939</v>
      </c>
      <c r="B3326" s="14" t="s">
        <v>2940</v>
      </c>
      <c r="C3326" s="71" t="str">
        <f t="shared" si="80"/>
        <v>Product Info</v>
      </c>
      <c r="D3326" s="37" t="s">
        <v>2941</v>
      </c>
      <c r="E3326" s="143">
        <v>1</v>
      </c>
      <c r="F3326" s="12" t="s">
        <v>4992</v>
      </c>
      <c r="G3326" s="38">
        <v>6.23</v>
      </c>
      <c r="H3326" s="38">
        <f t="shared" si="81"/>
        <v>4.3600000000000003</v>
      </c>
      <c r="I3326" s="38">
        <v>4.3600000000000003</v>
      </c>
      <c r="J3326" s="39"/>
      <c r="K3326" s="143" t="s">
        <v>8905</v>
      </c>
      <c r="L3326" s="22">
        <v>0.26700000000000002</v>
      </c>
      <c r="M3326" s="22" t="s">
        <v>12488</v>
      </c>
      <c r="N3326" s="20" t="s">
        <v>8886</v>
      </c>
      <c r="O3326" s="16" t="s">
        <v>12608</v>
      </c>
      <c r="P3326" s="143" t="s">
        <v>12554</v>
      </c>
      <c r="Q3326" s="122" t="s">
        <v>9227</v>
      </c>
      <c r="R3326" s="16" t="s">
        <v>8904</v>
      </c>
      <c r="S3326" s="10" t="s">
        <v>194</v>
      </c>
      <c r="T3326" s="28" t="s">
        <v>12285</v>
      </c>
      <c r="U3326" s="20" t="s">
        <v>5359</v>
      </c>
      <c r="V3326" s="16" t="s">
        <v>8603</v>
      </c>
      <c r="W3326" s="11" t="s">
        <v>13938</v>
      </c>
      <c r="X3326" s="174">
        <v>3.42</v>
      </c>
      <c r="Y3326" s="174">
        <v>4.3600000000000003</v>
      </c>
    </row>
    <row r="3327" spans="1:25" ht="15" customHeight="1" x14ac:dyDescent="0.25">
      <c r="A3327" s="20" t="s">
        <v>6680</v>
      </c>
      <c r="B3327" s="14" t="s">
        <v>1304</v>
      </c>
      <c r="C3327" s="71" t="str">
        <f t="shared" si="80"/>
        <v>Product Info</v>
      </c>
      <c r="D3327" s="37" t="s">
        <v>6681</v>
      </c>
      <c r="E3327" s="143">
        <v>1</v>
      </c>
      <c r="F3327" s="12" t="s">
        <v>4992</v>
      </c>
      <c r="G3327" s="38">
        <v>1.99</v>
      </c>
      <c r="H3327" s="38">
        <f t="shared" si="81"/>
        <v>1.39</v>
      </c>
      <c r="I3327" s="38">
        <v>1.39</v>
      </c>
      <c r="J3327" s="39"/>
      <c r="K3327" s="143"/>
      <c r="L3327" s="22">
        <v>2.3199999999999998E-2</v>
      </c>
      <c r="M3327" s="22" t="s">
        <v>12488</v>
      </c>
      <c r="N3327" s="20" t="s">
        <v>8887</v>
      </c>
      <c r="O3327" s="16" t="s">
        <v>12608</v>
      </c>
      <c r="P3327" s="143" t="s">
        <v>12554</v>
      </c>
      <c r="Q3327" s="121" t="s">
        <v>14285</v>
      </c>
      <c r="R3327" s="16" t="s">
        <v>8904</v>
      </c>
      <c r="S3327" s="10" t="s">
        <v>194</v>
      </c>
      <c r="T3327" s="28" t="s">
        <v>12286</v>
      </c>
      <c r="U3327" s="20" t="s">
        <v>5359</v>
      </c>
      <c r="V3327" s="16" t="s">
        <v>8604</v>
      </c>
      <c r="W3327" s="11" t="s">
        <v>13938</v>
      </c>
      <c r="X3327" s="174">
        <v>1.0900000000000001</v>
      </c>
      <c r="Y3327" s="174">
        <v>1.39</v>
      </c>
    </row>
    <row r="3328" spans="1:25" ht="15" customHeight="1" x14ac:dyDescent="0.25">
      <c r="A3328" s="20" t="s">
        <v>2058</v>
      </c>
      <c r="B3328" s="14" t="s">
        <v>1305</v>
      </c>
      <c r="C3328" s="71" t="str">
        <f t="shared" si="80"/>
        <v>Product Info</v>
      </c>
      <c r="D3328" s="37" t="s">
        <v>2059</v>
      </c>
      <c r="E3328" s="143">
        <v>1</v>
      </c>
      <c r="F3328" s="12" t="s">
        <v>4992</v>
      </c>
      <c r="G3328" s="38">
        <v>2.36</v>
      </c>
      <c r="H3328" s="38">
        <f t="shared" si="81"/>
        <v>1.65</v>
      </c>
      <c r="I3328" s="38">
        <v>1.65</v>
      </c>
      <c r="J3328" s="39"/>
      <c r="K3328" s="143"/>
      <c r="L3328" s="22">
        <v>2.92E-2</v>
      </c>
      <c r="M3328" s="22" t="s">
        <v>12488</v>
      </c>
      <c r="N3328" s="20" t="s">
        <v>8887</v>
      </c>
      <c r="O3328" s="16" t="s">
        <v>12608</v>
      </c>
      <c r="P3328" s="143" t="s">
        <v>12554</v>
      </c>
      <c r="Q3328" s="121" t="s">
        <v>14285</v>
      </c>
      <c r="R3328" s="16" t="s">
        <v>8904</v>
      </c>
      <c r="S3328" s="10" t="s">
        <v>194</v>
      </c>
      <c r="T3328" s="28" t="s">
        <v>12287</v>
      </c>
      <c r="U3328" s="20" t="s">
        <v>5359</v>
      </c>
      <c r="V3328" s="16" t="s">
        <v>8605</v>
      </c>
      <c r="W3328" s="11" t="s">
        <v>13938</v>
      </c>
      <c r="X3328" s="174">
        <v>1.3</v>
      </c>
      <c r="Y3328" s="174">
        <v>1.65</v>
      </c>
    </row>
    <row r="3329" spans="1:25" ht="15" customHeight="1" x14ac:dyDescent="0.25">
      <c r="A3329" s="20" t="s">
        <v>2060</v>
      </c>
      <c r="B3329" s="14" t="s">
        <v>1306</v>
      </c>
      <c r="C3329" s="71" t="str">
        <f t="shared" si="80"/>
        <v>Product Info</v>
      </c>
      <c r="D3329" s="37" t="s">
        <v>2061</v>
      </c>
      <c r="E3329" s="143">
        <v>1</v>
      </c>
      <c r="F3329" s="12" t="s">
        <v>4992</v>
      </c>
      <c r="G3329" s="38">
        <v>2.9</v>
      </c>
      <c r="H3329" s="38">
        <f t="shared" si="81"/>
        <v>2.0299999999999998</v>
      </c>
      <c r="I3329" s="38">
        <v>2.0299999999999998</v>
      </c>
      <c r="J3329" s="39"/>
      <c r="K3329" s="143"/>
      <c r="L3329" s="22">
        <v>4.48E-2</v>
      </c>
      <c r="M3329" s="22" t="s">
        <v>14396</v>
      </c>
      <c r="N3329" s="20" t="s">
        <v>8888</v>
      </c>
      <c r="O3329" s="16" t="s">
        <v>13914</v>
      </c>
      <c r="P3329" s="143" t="s">
        <v>12554</v>
      </c>
      <c r="Q3329" s="122" t="s">
        <v>9227</v>
      </c>
      <c r="R3329" s="16" t="s">
        <v>8904</v>
      </c>
      <c r="S3329" s="10" t="s">
        <v>194</v>
      </c>
      <c r="T3329" s="28" t="s">
        <v>12288</v>
      </c>
      <c r="U3329" s="20" t="s">
        <v>5359</v>
      </c>
      <c r="V3329" s="16" t="s">
        <v>8606</v>
      </c>
      <c r="W3329" s="11" t="s">
        <v>13938</v>
      </c>
      <c r="X3329" s="174">
        <v>1.59</v>
      </c>
      <c r="Y3329" s="174">
        <v>2.0299999999999998</v>
      </c>
    </row>
    <row r="3330" spans="1:25" ht="15" customHeight="1" x14ac:dyDescent="0.25">
      <c r="A3330" s="20" t="s">
        <v>2062</v>
      </c>
      <c r="B3330" s="14" t="s">
        <v>1307</v>
      </c>
      <c r="C3330" s="71" t="str">
        <f t="shared" si="80"/>
        <v>Product Info</v>
      </c>
      <c r="D3330" s="37" t="s">
        <v>2885</v>
      </c>
      <c r="E3330" s="143">
        <v>1</v>
      </c>
      <c r="F3330" s="12" t="s">
        <v>4992</v>
      </c>
      <c r="G3330" s="38">
        <v>3.73</v>
      </c>
      <c r="H3330" s="38">
        <f t="shared" si="81"/>
        <v>2.61</v>
      </c>
      <c r="I3330" s="38">
        <v>2.61</v>
      </c>
      <c r="J3330" s="39"/>
      <c r="K3330" s="143"/>
      <c r="L3330" s="22">
        <v>6.9540000000000005E-2</v>
      </c>
      <c r="M3330" s="22" t="s">
        <v>14396</v>
      </c>
      <c r="N3330" s="20" t="s">
        <v>8889</v>
      </c>
      <c r="O3330" s="16" t="s">
        <v>13914</v>
      </c>
      <c r="P3330" s="143" t="s">
        <v>12554</v>
      </c>
      <c r="Q3330" s="121" t="s">
        <v>14285</v>
      </c>
      <c r="R3330" s="16" t="s">
        <v>8904</v>
      </c>
      <c r="S3330" s="10" t="s">
        <v>194</v>
      </c>
      <c r="T3330" s="28" t="s">
        <v>12289</v>
      </c>
      <c r="U3330" s="20" t="s">
        <v>5359</v>
      </c>
      <c r="V3330" s="16" t="s">
        <v>8607</v>
      </c>
      <c r="W3330" s="11" t="s">
        <v>13938</v>
      </c>
      <c r="X3330" s="174">
        <v>2.0499999999999998</v>
      </c>
      <c r="Y3330" s="174">
        <v>2.61</v>
      </c>
    </row>
    <row r="3331" spans="1:25" ht="15" customHeight="1" x14ac:dyDescent="0.25">
      <c r="A3331" s="20" t="s">
        <v>2886</v>
      </c>
      <c r="B3331" s="14" t="s">
        <v>1308</v>
      </c>
      <c r="C3331" s="71" t="str">
        <f t="shared" si="80"/>
        <v>Product Info</v>
      </c>
      <c r="D3331" s="37" t="s">
        <v>2887</v>
      </c>
      <c r="E3331" s="143">
        <v>1</v>
      </c>
      <c r="F3331" s="12" t="s">
        <v>4992</v>
      </c>
      <c r="G3331" s="38">
        <v>4.01</v>
      </c>
      <c r="H3331" s="38">
        <f t="shared" si="81"/>
        <v>2.81</v>
      </c>
      <c r="I3331" s="38">
        <v>2.81</v>
      </c>
      <c r="J3331" s="39"/>
      <c r="K3331" s="143"/>
      <c r="L3331" s="22">
        <v>2.5000000000000001E-2</v>
      </c>
      <c r="M3331" s="22" t="s">
        <v>14396</v>
      </c>
      <c r="N3331" s="20" t="s">
        <v>8882</v>
      </c>
      <c r="O3331" s="16" t="s">
        <v>13914</v>
      </c>
      <c r="P3331" s="143" t="s">
        <v>12554</v>
      </c>
      <c r="Q3331" s="121" t="s">
        <v>14285</v>
      </c>
      <c r="R3331" s="16" t="s">
        <v>8904</v>
      </c>
      <c r="S3331" s="10" t="s">
        <v>194</v>
      </c>
      <c r="T3331" s="28" t="s">
        <v>12290</v>
      </c>
      <c r="U3331" s="20" t="s">
        <v>5359</v>
      </c>
      <c r="V3331" s="16" t="s">
        <v>8608</v>
      </c>
      <c r="W3331" s="11" t="s">
        <v>13938</v>
      </c>
      <c r="X3331" s="174">
        <v>2.2000000000000002</v>
      </c>
      <c r="Y3331" s="174">
        <v>2.81</v>
      </c>
    </row>
    <row r="3332" spans="1:25" ht="15" customHeight="1" x14ac:dyDescent="0.25">
      <c r="A3332" s="20" t="s">
        <v>2888</v>
      </c>
      <c r="B3332" s="14" t="s">
        <v>1309</v>
      </c>
      <c r="C3332" s="71" t="str">
        <f t="shared" si="80"/>
        <v>Product Info</v>
      </c>
      <c r="D3332" s="37" t="s">
        <v>2889</v>
      </c>
      <c r="E3332" s="143">
        <v>1</v>
      </c>
      <c r="F3332" s="12" t="s">
        <v>4992</v>
      </c>
      <c r="G3332" s="38">
        <v>4.99</v>
      </c>
      <c r="H3332" s="38">
        <f t="shared" si="81"/>
        <v>3.49</v>
      </c>
      <c r="I3332" s="38">
        <v>3.49</v>
      </c>
      <c r="J3332" s="39"/>
      <c r="K3332" s="143"/>
      <c r="L3332" s="22">
        <v>0.1176</v>
      </c>
      <c r="M3332" s="22" t="s">
        <v>12488</v>
      </c>
      <c r="N3332" s="20" t="s">
        <v>8890</v>
      </c>
      <c r="O3332" s="16" t="s">
        <v>12608</v>
      </c>
      <c r="P3332" s="143" t="s">
        <v>12554</v>
      </c>
      <c r="Q3332" s="121" t="s">
        <v>14285</v>
      </c>
      <c r="R3332" s="16" t="s">
        <v>8904</v>
      </c>
      <c r="S3332" s="10" t="s">
        <v>194</v>
      </c>
      <c r="T3332" s="28" t="s">
        <v>12291</v>
      </c>
      <c r="U3332" s="20" t="s">
        <v>5359</v>
      </c>
      <c r="V3332" s="16" t="s">
        <v>8609</v>
      </c>
      <c r="W3332" s="11" t="s">
        <v>13938</v>
      </c>
      <c r="X3332" s="174">
        <v>2.74</v>
      </c>
      <c r="Y3332" s="174">
        <v>3.49</v>
      </c>
    </row>
    <row r="3333" spans="1:25" ht="15" customHeight="1" x14ac:dyDescent="0.25">
      <c r="A3333" s="20" t="s">
        <v>5314</v>
      </c>
      <c r="B3333" s="14" t="s">
        <v>1310</v>
      </c>
      <c r="C3333" s="71" t="str">
        <f t="shared" si="80"/>
        <v>Product Info</v>
      </c>
      <c r="D3333" s="37" t="s">
        <v>5315</v>
      </c>
      <c r="E3333" s="143">
        <v>1</v>
      </c>
      <c r="F3333" s="12" t="s">
        <v>4992</v>
      </c>
      <c r="G3333" s="38">
        <v>2.2599999999999998</v>
      </c>
      <c r="H3333" s="38">
        <f t="shared" si="81"/>
        <v>1.58</v>
      </c>
      <c r="I3333" s="38">
        <v>1.58</v>
      </c>
      <c r="J3333" s="39"/>
      <c r="K3333" s="143"/>
      <c r="L3333" s="22">
        <v>2.3E-2</v>
      </c>
      <c r="M3333" s="22" t="s">
        <v>12488</v>
      </c>
      <c r="N3333" s="20" t="s">
        <v>8891</v>
      </c>
      <c r="O3333" s="16" t="s">
        <v>12608</v>
      </c>
      <c r="P3333" s="143" t="s">
        <v>12554</v>
      </c>
      <c r="Q3333" s="121" t="s">
        <v>14285</v>
      </c>
      <c r="R3333" s="16" t="s">
        <v>8904</v>
      </c>
      <c r="S3333" s="10" t="s">
        <v>194</v>
      </c>
      <c r="T3333" s="28" t="s">
        <v>12292</v>
      </c>
      <c r="U3333" s="20" t="s">
        <v>5359</v>
      </c>
      <c r="V3333" s="16" t="s">
        <v>8610</v>
      </c>
      <c r="W3333" s="11" t="s">
        <v>13938</v>
      </c>
      <c r="X3333" s="174">
        <v>1.24</v>
      </c>
      <c r="Y3333" s="174">
        <v>1.58</v>
      </c>
    </row>
    <row r="3334" spans="1:25" ht="15" customHeight="1" x14ac:dyDescent="0.25">
      <c r="A3334" s="20" t="s">
        <v>5201</v>
      </c>
      <c r="B3334" s="14" t="s">
        <v>1311</v>
      </c>
      <c r="C3334" s="71" t="str">
        <f t="shared" ref="C3334:C3397" si="82">HYPERLINK(T3334,U3334)</f>
        <v>Product Info</v>
      </c>
      <c r="D3334" s="37" t="s">
        <v>5202</v>
      </c>
      <c r="E3334" s="143">
        <v>1</v>
      </c>
      <c r="F3334" s="12" t="s">
        <v>4992</v>
      </c>
      <c r="G3334" s="38">
        <v>3.29</v>
      </c>
      <c r="H3334" s="38">
        <f t="shared" si="81"/>
        <v>2.2999999999999998</v>
      </c>
      <c r="I3334" s="38">
        <v>2.2999999999999998</v>
      </c>
      <c r="J3334" s="39"/>
      <c r="K3334" s="12"/>
      <c r="L3334" s="22">
        <v>0.21</v>
      </c>
      <c r="M3334" s="22" t="s">
        <v>12488</v>
      </c>
      <c r="N3334" s="20" t="s">
        <v>8892</v>
      </c>
      <c r="O3334" s="16" t="s">
        <v>12608</v>
      </c>
      <c r="P3334" s="143" t="s">
        <v>12554</v>
      </c>
      <c r="Q3334" s="122" t="s">
        <v>9227</v>
      </c>
      <c r="R3334" s="16" t="s">
        <v>8904</v>
      </c>
      <c r="S3334" s="10" t="s">
        <v>194</v>
      </c>
      <c r="T3334" s="28" t="s">
        <v>12293</v>
      </c>
      <c r="U3334" s="20" t="s">
        <v>5359</v>
      </c>
      <c r="V3334" s="16" t="s">
        <v>8611</v>
      </c>
      <c r="W3334" s="11" t="s">
        <v>13938</v>
      </c>
      <c r="X3334" s="174">
        <v>1.8</v>
      </c>
      <c r="Y3334" s="174">
        <v>2.2999999999999998</v>
      </c>
    </row>
    <row r="3335" spans="1:25" ht="15" customHeight="1" x14ac:dyDescent="0.25">
      <c r="A3335" s="20" t="s">
        <v>5203</v>
      </c>
      <c r="B3335" s="14" t="s">
        <v>1312</v>
      </c>
      <c r="C3335" s="71" t="str">
        <f t="shared" si="82"/>
        <v>Product Info</v>
      </c>
      <c r="D3335" s="37" t="s">
        <v>5204</v>
      </c>
      <c r="E3335" s="143">
        <v>1</v>
      </c>
      <c r="F3335" s="12" t="s">
        <v>4992</v>
      </c>
      <c r="G3335" s="38">
        <v>4.26</v>
      </c>
      <c r="H3335" s="38">
        <f t="shared" si="81"/>
        <v>2.98</v>
      </c>
      <c r="I3335" s="38">
        <v>2.98</v>
      </c>
      <c r="J3335" s="39"/>
      <c r="K3335" s="143" t="s">
        <v>8905</v>
      </c>
      <c r="L3335" s="22">
        <v>0</v>
      </c>
      <c r="M3335" s="22">
        <v>0</v>
      </c>
      <c r="N3335" s="20" t="s">
        <v>14489</v>
      </c>
      <c r="O3335" s="16">
        <v>0</v>
      </c>
      <c r="P3335" s="143" t="s">
        <v>12554</v>
      </c>
      <c r="Q3335" s="121" t="s">
        <v>14285</v>
      </c>
      <c r="R3335" s="16" t="s">
        <v>8904</v>
      </c>
      <c r="S3335" s="10" t="s">
        <v>194</v>
      </c>
      <c r="T3335" s="28" t="s">
        <v>12294</v>
      </c>
      <c r="U3335" s="20" t="s">
        <v>5359</v>
      </c>
      <c r="V3335" s="16" t="s">
        <v>8612</v>
      </c>
      <c r="W3335" s="11" t="s">
        <v>13938</v>
      </c>
      <c r="X3335" s="174">
        <v>2.34</v>
      </c>
      <c r="Y3335" s="174">
        <v>2.98</v>
      </c>
    </row>
    <row r="3336" spans="1:25" ht="15" customHeight="1" x14ac:dyDescent="0.25">
      <c r="A3336" s="20" t="s">
        <v>5205</v>
      </c>
      <c r="B3336" s="14" t="s">
        <v>1313</v>
      </c>
      <c r="C3336" s="71" t="str">
        <f t="shared" si="82"/>
        <v>Product Info</v>
      </c>
      <c r="D3336" s="37" t="s">
        <v>5206</v>
      </c>
      <c r="E3336" s="143">
        <v>1</v>
      </c>
      <c r="F3336" s="12" t="s">
        <v>4992</v>
      </c>
      <c r="G3336" s="38">
        <v>4.54</v>
      </c>
      <c r="H3336" s="38">
        <f t="shared" si="81"/>
        <v>3.18</v>
      </c>
      <c r="I3336" s="38">
        <v>3.18</v>
      </c>
      <c r="J3336" s="39"/>
      <c r="K3336" s="143" t="s">
        <v>8905</v>
      </c>
      <c r="L3336" s="22">
        <v>4.3E-3</v>
      </c>
      <c r="M3336" s="22" t="s">
        <v>12488</v>
      </c>
      <c r="N3336" s="20" t="s">
        <v>8893</v>
      </c>
      <c r="O3336" s="16" t="s">
        <v>12608</v>
      </c>
      <c r="P3336" s="143" t="s">
        <v>12554</v>
      </c>
      <c r="Q3336" s="121" t="s">
        <v>14285</v>
      </c>
      <c r="R3336" s="16" t="s">
        <v>8904</v>
      </c>
      <c r="S3336" s="10" t="s">
        <v>194</v>
      </c>
      <c r="T3336" s="28" t="s">
        <v>12295</v>
      </c>
      <c r="U3336" s="20" t="s">
        <v>5359</v>
      </c>
      <c r="V3336" s="16" t="s">
        <v>8613</v>
      </c>
      <c r="W3336" s="11" t="s">
        <v>13938</v>
      </c>
      <c r="X3336" s="174">
        <v>2.5</v>
      </c>
      <c r="Y3336" s="174">
        <v>3.18</v>
      </c>
    </row>
    <row r="3337" spans="1:25" ht="15" customHeight="1" x14ac:dyDescent="0.25">
      <c r="A3337" s="20" t="s">
        <v>5207</v>
      </c>
      <c r="B3337" s="14" t="s">
        <v>1314</v>
      </c>
      <c r="C3337" s="71" t="str">
        <f t="shared" si="82"/>
        <v>Product Info</v>
      </c>
      <c r="D3337" s="37" t="s">
        <v>5208</v>
      </c>
      <c r="E3337" s="143">
        <v>1</v>
      </c>
      <c r="F3337" s="12" t="s">
        <v>4992</v>
      </c>
      <c r="G3337" s="38">
        <v>5.19</v>
      </c>
      <c r="H3337" s="38">
        <f t="shared" si="81"/>
        <v>3.63</v>
      </c>
      <c r="I3337" s="38">
        <v>3.63</v>
      </c>
      <c r="J3337" s="39"/>
      <c r="K3337" s="143" t="s">
        <v>8905</v>
      </c>
      <c r="L3337" s="22">
        <v>0.33239999999999997</v>
      </c>
      <c r="M3337" s="22" t="s">
        <v>12488</v>
      </c>
      <c r="N3337" s="20" t="s">
        <v>8894</v>
      </c>
      <c r="O3337" s="16" t="s">
        <v>12608</v>
      </c>
      <c r="P3337" s="143" t="s">
        <v>12554</v>
      </c>
      <c r="Q3337" s="121" t="s">
        <v>14285</v>
      </c>
      <c r="R3337" s="16" t="s">
        <v>8904</v>
      </c>
      <c r="S3337" s="10" t="s">
        <v>194</v>
      </c>
      <c r="T3337" s="28" t="s">
        <v>12296</v>
      </c>
      <c r="U3337" s="20" t="s">
        <v>5359</v>
      </c>
      <c r="V3337" s="16" t="s">
        <v>8614</v>
      </c>
      <c r="W3337" s="11" t="s">
        <v>13938</v>
      </c>
      <c r="X3337" s="174">
        <v>2.85</v>
      </c>
      <c r="Y3337" s="174">
        <v>3.63</v>
      </c>
    </row>
    <row r="3338" spans="1:25" ht="15" customHeight="1" x14ac:dyDescent="0.25">
      <c r="A3338" s="20" t="s">
        <v>5209</v>
      </c>
      <c r="B3338" s="14" t="s">
        <v>1315</v>
      </c>
      <c r="C3338" s="71" t="str">
        <f t="shared" si="82"/>
        <v>Product Info</v>
      </c>
      <c r="D3338" s="37" t="s">
        <v>5210</v>
      </c>
      <c r="E3338" s="143">
        <v>1</v>
      </c>
      <c r="F3338" s="12" t="s">
        <v>4992</v>
      </c>
      <c r="G3338" s="38">
        <v>5.7</v>
      </c>
      <c r="H3338" s="38">
        <f t="shared" ref="H3338:H3369" si="83">I3338</f>
        <v>3.99</v>
      </c>
      <c r="I3338" s="38">
        <v>3.99</v>
      </c>
      <c r="J3338" s="39"/>
      <c r="K3338" s="143"/>
      <c r="L3338" s="22">
        <v>0.18</v>
      </c>
      <c r="M3338" s="22" t="s">
        <v>12488</v>
      </c>
      <c r="N3338" s="20" t="s">
        <v>8892</v>
      </c>
      <c r="O3338" s="16" t="s">
        <v>12608</v>
      </c>
      <c r="P3338" s="143" t="s">
        <v>12554</v>
      </c>
      <c r="Q3338" s="122" t="s">
        <v>9227</v>
      </c>
      <c r="R3338" s="16" t="s">
        <v>8904</v>
      </c>
      <c r="S3338" s="10" t="s">
        <v>194</v>
      </c>
      <c r="T3338" s="28" t="s">
        <v>12297</v>
      </c>
      <c r="U3338" s="20" t="s">
        <v>5359</v>
      </c>
      <c r="V3338" s="16" t="s">
        <v>8615</v>
      </c>
      <c r="W3338" s="11" t="s">
        <v>13938</v>
      </c>
      <c r="X3338" s="174">
        <v>3.13</v>
      </c>
      <c r="Y3338" s="174">
        <v>3.99</v>
      </c>
    </row>
    <row r="3339" spans="1:25" ht="15" customHeight="1" x14ac:dyDescent="0.25">
      <c r="A3339" s="20" t="s">
        <v>2942</v>
      </c>
      <c r="B3339" s="14" t="s">
        <v>2943</v>
      </c>
      <c r="C3339" s="71" t="str">
        <f t="shared" si="82"/>
        <v>Product Info</v>
      </c>
      <c r="D3339" s="37" t="s">
        <v>2944</v>
      </c>
      <c r="E3339" s="143">
        <v>1</v>
      </c>
      <c r="F3339" s="12" t="s">
        <v>4992</v>
      </c>
      <c r="G3339" s="38">
        <v>3.96</v>
      </c>
      <c r="H3339" s="38">
        <f t="shared" si="83"/>
        <v>2.77</v>
      </c>
      <c r="I3339" s="38">
        <v>2.77</v>
      </c>
      <c r="J3339" s="39"/>
      <c r="K3339" s="143"/>
      <c r="L3339" s="22">
        <v>0</v>
      </c>
      <c r="M3339" s="22">
        <v>0</v>
      </c>
      <c r="N3339" s="20" t="s">
        <v>14489</v>
      </c>
      <c r="O3339" s="16">
        <v>0</v>
      </c>
      <c r="P3339" s="143" t="s">
        <v>12554</v>
      </c>
      <c r="Q3339" s="121" t="s">
        <v>14285</v>
      </c>
      <c r="R3339" s="16" t="s">
        <v>8904</v>
      </c>
      <c r="S3339" s="10" t="s">
        <v>194</v>
      </c>
      <c r="T3339" s="28" t="s">
        <v>12298</v>
      </c>
      <c r="U3339" s="20" t="s">
        <v>5359</v>
      </c>
      <c r="V3339" s="16" t="s">
        <v>8616</v>
      </c>
      <c r="W3339" s="11" t="s">
        <v>13938</v>
      </c>
      <c r="X3339" s="174">
        <v>2.1800000000000002</v>
      </c>
      <c r="Y3339" s="174">
        <v>2.77</v>
      </c>
    </row>
    <row r="3340" spans="1:25" ht="15" customHeight="1" x14ac:dyDescent="0.25">
      <c r="A3340" s="20" t="s">
        <v>3651</v>
      </c>
      <c r="B3340" s="14" t="s">
        <v>3652</v>
      </c>
      <c r="C3340" s="71" t="str">
        <f t="shared" si="82"/>
        <v>Product Info</v>
      </c>
      <c r="D3340" s="37" t="s">
        <v>3653</v>
      </c>
      <c r="E3340" s="143">
        <v>1</v>
      </c>
      <c r="F3340" s="12" t="s">
        <v>4992</v>
      </c>
      <c r="G3340" s="38">
        <v>4.54</v>
      </c>
      <c r="H3340" s="38">
        <f t="shared" si="83"/>
        <v>3.18</v>
      </c>
      <c r="I3340" s="38">
        <v>3.18</v>
      </c>
      <c r="J3340" s="39"/>
      <c r="K3340" s="143"/>
      <c r="L3340" s="22">
        <v>0</v>
      </c>
      <c r="M3340" s="22">
        <v>0</v>
      </c>
      <c r="N3340" s="20" t="s">
        <v>14489</v>
      </c>
      <c r="O3340" s="16">
        <v>0</v>
      </c>
      <c r="P3340" s="143" t="s">
        <v>12554</v>
      </c>
      <c r="Q3340" s="121" t="s">
        <v>14285</v>
      </c>
      <c r="R3340" s="16" t="s">
        <v>8904</v>
      </c>
      <c r="S3340" s="10" t="s">
        <v>194</v>
      </c>
      <c r="T3340" s="28" t="s">
        <v>12299</v>
      </c>
      <c r="U3340" s="20" t="s">
        <v>5359</v>
      </c>
      <c r="V3340" s="16" t="s">
        <v>8617</v>
      </c>
      <c r="W3340" s="11" t="s">
        <v>13938</v>
      </c>
      <c r="X3340" s="174">
        <v>2.5</v>
      </c>
      <c r="Y3340" s="174">
        <v>3.18</v>
      </c>
    </row>
    <row r="3341" spans="1:25" ht="15" customHeight="1" x14ac:dyDescent="0.25">
      <c r="A3341" s="20" t="s">
        <v>3659</v>
      </c>
      <c r="B3341" s="14" t="s">
        <v>3660</v>
      </c>
      <c r="C3341" s="71" t="str">
        <f t="shared" si="82"/>
        <v>Product Info</v>
      </c>
      <c r="D3341" s="37" t="s">
        <v>3661</v>
      </c>
      <c r="E3341" s="143">
        <v>1</v>
      </c>
      <c r="F3341" s="12" t="s">
        <v>4992</v>
      </c>
      <c r="G3341" s="38">
        <v>5.59</v>
      </c>
      <c r="H3341" s="38">
        <f t="shared" si="83"/>
        <v>3.91</v>
      </c>
      <c r="I3341" s="38">
        <v>3.91</v>
      </c>
      <c r="J3341" s="39"/>
      <c r="K3341" s="143"/>
      <c r="L3341" s="22">
        <v>0</v>
      </c>
      <c r="M3341" s="22">
        <v>0</v>
      </c>
      <c r="N3341" s="20" t="s">
        <v>14489</v>
      </c>
      <c r="O3341" s="16">
        <v>0</v>
      </c>
      <c r="P3341" s="143" t="s">
        <v>12554</v>
      </c>
      <c r="Q3341" s="121" t="s">
        <v>14285</v>
      </c>
      <c r="R3341" s="16" t="s">
        <v>8904</v>
      </c>
      <c r="S3341" s="10" t="s">
        <v>194</v>
      </c>
      <c r="T3341" s="28" t="s">
        <v>12300</v>
      </c>
      <c r="U3341" s="20" t="s">
        <v>5359</v>
      </c>
      <c r="V3341" s="16" t="s">
        <v>8618</v>
      </c>
      <c r="W3341" s="11" t="s">
        <v>13938</v>
      </c>
      <c r="X3341" s="174">
        <v>3.06</v>
      </c>
      <c r="Y3341" s="174">
        <v>3.91</v>
      </c>
    </row>
    <row r="3342" spans="1:25" ht="15" customHeight="1" x14ac:dyDescent="0.25">
      <c r="A3342" s="20" t="s">
        <v>3654</v>
      </c>
      <c r="B3342" s="14" t="s">
        <v>3655</v>
      </c>
      <c r="C3342" s="71" t="str">
        <f t="shared" si="82"/>
        <v>Product Info</v>
      </c>
      <c r="D3342" s="37" t="s">
        <v>3656</v>
      </c>
      <c r="E3342" s="143">
        <v>1</v>
      </c>
      <c r="F3342" s="12" t="s">
        <v>4992</v>
      </c>
      <c r="G3342" s="38">
        <v>16.510000000000002</v>
      </c>
      <c r="H3342" s="38">
        <f t="shared" si="83"/>
        <v>11.56</v>
      </c>
      <c r="I3342" s="38">
        <v>11.56</v>
      </c>
      <c r="J3342" s="39"/>
      <c r="K3342" s="143"/>
      <c r="L3342" s="22">
        <v>0</v>
      </c>
      <c r="M3342" s="22">
        <v>0</v>
      </c>
      <c r="N3342" s="20" t="s">
        <v>14489</v>
      </c>
      <c r="O3342" s="16">
        <v>0</v>
      </c>
      <c r="P3342" s="143" t="s">
        <v>12554</v>
      </c>
      <c r="Q3342" s="121" t="s">
        <v>14285</v>
      </c>
      <c r="R3342" s="16" t="s">
        <v>8904</v>
      </c>
      <c r="S3342" s="10" t="s">
        <v>194</v>
      </c>
      <c r="T3342" s="28" t="s">
        <v>12301</v>
      </c>
      <c r="U3342" s="20" t="s">
        <v>5359</v>
      </c>
      <c r="V3342" s="16" t="s">
        <v>8619</v>
      </c>
      <c r="W3342" s="11" t="s">
        <v>13938</v>
      </c>
      <c r="X3342" s="174">
        <v>9.06</v>
      </c>
      <c r="Y3342" s="174">
        <v>11.56</v>
      </c>
    </row>
    <row r="3343" spans="1:25" ht="15" customHeight="1" x14ac:dyDescent="0.25">
      <c r="A3343" s="20" t="s">
        <v>5364</v>
      </c>
      <c r="B3343" s="14" t="s">
        <v>5365</v>
      </c>
      <c r="C3343" s="71" t="str">
        <f t="shared" si="82"/>
        <v>Product Info</v>
      </c>
      <c r="D3343" s="37" t="s">
        <v>5366</v>
      </c>
      <c r="E3343" s="143">
        <v>1</v>
      </c>
      <c r="F3343" s="12" t="s">
        <v>4992</v>
      </c>
      <c r="G3343" s="38">
        <v>4.3099999999999996</v>
      </c>
      <c r="H3343" s="38">
        <f t="shared" si="83"/>
        <v>3.02</v>
      </c>
      <c r="I3343" s="38">
        <v>3.02</v>
      </c>
      <c r="J3343" s="39"/>
      <c r="K3343" s="143"/>
      <c r="L3343" s="22">
        <v>0.17</v>
      </c>
      <c r="M3343" s="22" t="s">
        <v>14396</v>
      </c>
      <c r="N3343" s="20" t="s">
        <v>8880</v>
      </c>
      <c r="O3343" s="16" t="s">
        <v>13914</v>
      </c>
      <c r="P3343" s="143" t="s">
        <v>12554</v>
      </c>
      <c r="Q3343" s="121" t="s">
        <v>14285</v>
      </c>
      <c r="R3343" s="16" t="s">
        <v>8904</v>
      </c>
      <c r="S3343" s="10" t="s">
        <v>194</v>
      </c>
      <c r="T3343" s="28" t="s">
        <v>12302</v>
      </c>
      <c r="U3343" s="20" t="s">
        <v>5359</v>
      </c>
      <c r="V3343" s="16" t="s">
        <v>8620</v>
      </c>
      <c r="W3343" s="11" t="s">
        <v>13938</v>
      </c>
      <c r="X3343" s="174">
        <v>2.37</v>
      </c>
      <c r="Y3343" s="174">
        <v>3.02</v>
      </c>
    </row>
    <row r="3344" spans="1:25" ht="15" customHeight="1" x14ac:dyDescent="0.25">
      <c r="A3344" s="20" t="s">
        <v>3233</v>
      </c>
      <c r="B3344" s="14" t="s">
        <v>3234</v>
      </c>
      <c r="C3344" s="71" t="str">
        <f t="shared" si="82"/>
        <v>Product Info</v>
      </c>
      <c r="D3344" s="37" t="s">
        <v>3235</v>
      </c>
      <c r="E3344" s="143">
        <v>1</v>
      </c>
      <c r="F3344" s="12" t="s">
        <v>4992</v>
      </c>
      <c r="G3344" s="38">
        <v>4.9000000000000004</v>
      </c>
      <c r="H3344" s="38">
        <f t="shared" si="83"/>
        <v>3.43</v>
      </c>
      <c r="I3344" s="38">
        <v>3.43</v>
      </c>
      <c r="J3344" s="39"/>
      <c r="K3344" s="143"/>
      <c r="L3344" s="22">
        <v>0.16875000000000001</v>
      </c>
      <c r="M3344" s="22" t="s">
        <v>14396</v>
      </c>
      <c r="N3344" s="20" t="s">
        <v>8895</v>
      </c>
      <c r="O3344" s="16" t="s">
        <v>13914</v>
      </c>
      <c r="P3344" s="143" t="s">
        <v>12554</v>
      </c>
      <c r="Q3344" s="121" t="s">
        <v>14285</v>
      </c>
      <c r="R3344" s="16" t="s">
        <v>8904</v>
      </c>
      <c r="S3344" s="10" t="s">
        <v>194</v>
      </c>
      <c r="T3344" s="28" t="s">
        <v>12303</v>
      </c>
      <c r="U3344" s="20" t="s">
        <v>5359</v>
      </c>
      <c r="V3344" s="16" t="s">
        <v>8621</v>
      </c>
      <c r="W3344" s="11" t="s">
        <v>13938</v>
      </c>
      <c r="X3344" s="174">
        <v>2.69</v>
      </c>
      <c r="Y3344" s="174">
        <v>3.43</v>
      </c>
    </row>
    <row r="3345" spans="1:25" ht="15" customHeight="1" x14ac:dyDescent="0.25">
      <c r="A3345" s="20" t="s">
        <v>3302</v>
      </c>
      <c r="B3345" s="14" t="s">
        <v>3303</v>
      </c>
      <c r="C3345" s="71" t="str">
        <f t="shared" si="82"/>
        <v>Product Info</v>
      </c>
      <c r="D3345" s="37" t="s">
        <v>3304</v>
      </c>
      <c r="E3345" s="143">
        <v>1</v>
      </c>
      <c r="F3345" s="12" t="s">
        <v>4992</v>
      </c>
      <c r="G3345" s="38">
        <v>5.8</v>
      </c>
      <c r="H3345" s="38">
        <f t="shared" si="83"/>
        <v>4.0599999999999996</v>
      </c>
      <c r="I3345" s="38">
        <v>4.0599999999999996</v>
      </c>
      <c r="J3345" s="39"/>
      <c r="K3345" s="143"/>
      <c r="L3345" s="22">
        <v>0.26300000000000001</v>
      </c>
      <c r="M3345" s="22" t="s">
        <v>12488</v>
      </c>
      <c r="N3345" s="20" t="s">
        <v>8880</v>
      </c>
      <c r="O3345" s="16" t="s">
        <v>12608</v>
      </c>
      <c r="P3345" s="143" t="s">
        <v>12554</v>
      </c>
      <c r="Q3345" s="121" t="s">
        <v>14285</v>
      </c>
      <c r="R3345" s="16" t="s">
        <v>8904</v>
      </c>
      <c r="S3345" s="10" t="s">
        <v>194</v>
      </c>
      <c r="T3345" s="28" t="s">
        <v>12304</v>
      </c>
      <c r="U3345" s="20" t="s">
        <v>5359</v>
      </c>
      <c r="V3345" s="16" t="s">
        <v>8622</v>
      </c>
      <c r="W3345" s="11" t="s">
        <v>13938</v>
      </c>
      <c r="X3345" s="174">
        <v>3.18</v>
      </c>
      <c r="Y3345" s="174">
        <v>4.0599999999999996</v>
      </c>
    </row>
    <row r="3346" spans="1:25" ht="15" customHeight="1" x14ac:dyDescent="0.25">
      <c r="A3346" s="20" t="s">
        <v>3305</v>
      </c>
      <c r="B3346" s="14" t="s">
        <v>3306</v>
      </c>
      <c r="C3346" s="71" t="str">
        <f t="shared" si="82"/>
        <v>Product Info</v>
      </c>
      <c r="D3346" s="37" t="s">
        <v>3307</v>
      </c>
      <c r="E3346" s="143">
        <v>1</v>
      </c>
      <c r="F3346" s="12" t="s">
        <v>4992</v>
      </c>
      <c r="G3346" s="38">
        <v>6.07</v>
      </c>
      <c r="H3346" s="38">
        <f t="shared" si="83"/>
        <v>4.25</v>
      </c>
      <c r="I3346" s="38">
        <v>4.25</v>
      </c>
      <c r="J3346" s="39"/>
      <c r="K3346" s="143"/>
      <c r="L3346" s="22">
        <v>0.26</v>
      </c>
      <c r="M3346" s="22" t="s">
        <v>12488</v>
      </c>
      <c r="N3346" s="20" t="s">
        <v>8880</v>
      </c>
      <c r="O3346" s="16" t="s">
        <v>12608</v>
      </c>
      <c r="P3346" s="143" t="s">
        <v>12554</v>
      </c>
      <c r="Q3346" s="121" t="s">
        <v>14285</v>
      </c>
      <c r="R3346" s="16" t="s">
        <v>8904</v>
      </c>
      <c r="S3346" s="10" t="s">
        <v>194</v>
      </c>
      <c r="T3346" s="28" t="s">
        <v>12305</v>
      </c>
      <c r="U3346" s="20" t="s">
        <v>5359</v>
      </c>
      <c r="V3346" s="16" t="s">
        <v>8623</v>
      </c>
      <c r="W3346" s="11" t="s">
        <v>13938</v>
      </c>
      <c r="X3346" s="174">
        <v>3.34</v>
      </c>
      <c r="Y3346" s="174">
        <v>4.25</v>
      </c>
    </row>
    <row r="3347" spans="1:25" ht="15" customHeight="1" x14ac:dyDescent="0.25">
      <c r="A3347" s="20" t="s">
        <v>2697</v>
      </c>
      <c r="B3347" s="14" t="s">
        <v>2698</v>
      </c>
      <c r="C3347" s="71" t="str">
        <f t="shared" si="82"/>
        <v>Product Info</v>
      </c>
      <c r="D3347" s="37" t="s">
        <v>2699</v>
      </c>
      <c r="E3347" s="143">
        <v>1</v>
      </c>
      <c r="F3347" s="12" t="s">
        <v>4992</v>
      </c>
      <c r="G3347" s="38">
        <v>9.39</v>
      </c>
      <c r="H3347" s="38">
        <f t="shared" si="83"/>
        <v>6.57</v>
      </c>
      <c r="I3347" s="38">
        <v>6.57</v>
      </c>
      <c r="J3347" s="39"/>
      <c r="K3347" s="143"/>
      <c r="L3347" s="22">
        <v>0.44500000000000001</v>
      </c>
      <c r="M3347" s="22" t="s">
        <v>12488</v>
      </c>
      <c r="N3347" s="20" t="s">
        <v>8896</v>
      </c>
      <c r="O3347" s="16" t="s">
        <v>12608</v>
      </c>
      <c r="P3347" s="143" t="s">
        <v>12554</v>
      </c>
      <c r="Q3347" s="121" t="s">
        <v>14285</v>
      </c>
      <c r="R3347" s="16" t="s">
        <v>8904</v>
      </c>
      <c r="S3347" s="10" t="s">
        <v>194</v>
      </c>
      <c r="T3347" s="28" t="s">
        <v>12306</v>
      </c>
      <c r="U3347" s="20" t="s">
        <v>5359</v>
      </c>
      <c r="V3347" s="16" t="s">
        <v>8624</v>
      </c>
      <c r="W3347" s="11" t="s">
        <v>13938</v>
      </c>
      <c r="X3347" s="174">
        <v>5.15</v>
      </c>
      <c r="Y3347" s="174">
        <v>6.57</v>
      </c>
    </row>
    <row r="3348" spans="1:25" ht="15" customHeight="1" x14ac:dyDescent="0.25">
      <c r="A3348" s="20" t="s">
        <v>2700</v>
      </c>
      <c r="B3348" s="14" t="s">
        <v>2701</v>
      </c>
      <c r="C3348" s="71" t="str">
        <f t="shared" si="82"/>
        <v>Product Info</v>
      </c>
      <c r="D3348" s="37" t="s">
        <v>3613</v>
      </c>
      <c r="E3348" s="143">
        <v>1</v>
      </c>
      <c r="F3348" s="12" t="s">
        <v>4992</v>
      </c>
      <c r="G3348" s="38">
        <v>9.39</v>
      </c>
      <c r="H3348" s="38">
        <f t="shared" si="83"/>
        <v>6.57</v>
      </c>
      <c r="I3348" s="38">
        <v>6.57</v>
      </c>
      <c r="J3348" s="39"/>
      <c r="K3348" s="143"/>
      <c r="L3348" s="22">
        <v>0.49258299999999999</v>
      </c>
      <c r="M3348" s="22" t="s">
        <v>14396</v>
      </c>
      <c r="N3348" s="20" t="s">
        <v>8897</v>
      </c>
      <c r="O3348" s="16" t="s">
        <v>13914</v>
      </c>
      <c r="P3348" s="143" t="s">
        <v>12554</v>
      </c>
      <c r="Q3348" s="121" t="s">
        <v>14285</v>
      </c>
      <c r="R3348" s="16" t="s">
        <v>8904</v>
      </c>
      <c r="S3348" s="10" t="s">
        <v>194</v>
      </c>
      <c r="T3348" s="28" t="s">
        <v>12307</v>
      </c>
      <c r="U3348" s="20" t="s">
        <v>5359</v>
      </c>
      <c r="V3348" s="16" t="s">
        <v>8625</v>
      </c>
      <c r="W3348" s="11" t="s">
        <v>13938</v>
      </c>
      <c r="X3348" s="174">
        <v>5.15</v>
      </c>
      <c r="Y3348" s="174">
        <v>6.57</v>
      </c>
    </row>
    <row r="3349" spans="1:25" ht="15" customHeight="1" x14ac:dyDescent="0.25">
      <c r="A3349" s="20" t="s">
        <v>4276</v>
      </c>
      <c r="B3349" s="14" t="s">
        <v>4277</v>
      </c>
      <c r="C3349" s="71" t="str">
        <f t="shared" si="82"/>
        <v>Product Info</v>
      </c>
      <c r="D3349" s="37" t="s">
        <v>4278</v>
      </c>
      <c r="E3349" s="143">
        <v>1</v>
      </c>
      <c r="F3349" s="12" t="s">
        <v>4992</v>
      </c>
      <c r="G3349" s="38">
        <v>17.41</v>
      </c>
      <c r="H3349" s="38">
        <f t="shared" si="83"/>
        <v>12.19</v>
      </c>
      <c r="I3349" s="38">
        <v>12.19</v>
      </c>
      <c r="J3349" s="39"/>
      <c r="K3349" s="143"/>
      <c r="L3349" s="22">
        <v>0.87</v>
      </c>
      <c r="M3349" s="22" t="s">
        <v>14396</v>
      </c>
      <c r="N3349" s="20" t="s">
        <v>8898</v>
      </c>
      <c r="O3349" s="16" t="s">
        <v>13914</v>
      </c>
      <c r="P3349" s="143" t="s">
        <v>12554</v>
      </c>
      <c r="Q3349" s="121" t="s">
        <v>14285</v>
      </c>
      <c r="R3349" s="16" t="s">
        <v>8904</v>
      </c>
      <c r="S3349" s="10" t="s">
        <v>194</v>
      </c>
      <c r="T3349" s="28" t="s">
        <v>12308</v>
      </c>
      <c r="U3349" s="20" t="s">
        <v>5359</v>
      </c>
      <c r="V3349" s="16" t="s">
        <v>8626</v>
      </c>
      <c r="W3349" s="11" t="s">
        <v>13938</v>
      </c>
      <c r="X3349" s="174">
        <v>9.56</v>
      </c>
      <c r="Y3349" s="174">
        <v>12.19</v>
      </c>
    </row>
    <row r="3350" spans="1:25" ht="15" customHeight="1" x14ac:dyDescent="0.25">
      <c r="A3350" s="20" t="s">
        <v>4279</v>
      </c>
      <c r="B3350" s="14" t="s">
        <v>4280</v>
      </c>
      <c r="C3350" s="71" t="str">
        <f t="shared" si="82"/>
        <v>Product Info</v>
      </c>
      <c r="D3350" s="37" t="s">
        <v>4281</v>
      </c>
      <c r="E3350" s="143">
        <v>1</v>
      </c>
      <c r="F3350" s="12" t="s">
        <v>4992</v>
      </c>
      <c r="G3350" s="38">
        <v>39.840000000000003</v>
      </c>
      <c r="H3350" s="38">
        <f t="shared" si="83"/>
        <v>27.89</v>
      </c>
      <c r="I3350" s="38">
        <v>27.89</v>
      </c>
      <c r="J3350" s="39"/>
      <c r="K3350" s="143"/>
      <c r="L3350" s="22">
        <v>3.3300000000000003E-2</v>
      </c>
      <c r="M3350" s="22" t="s">
        <v>12488</v>
      </c>
      <c r="N3350" s="20" t="s">
        <v>8880</v>
      </c>
      <c r="O3350" s="16" t="s">
        <v>12608</v>
      </c>
      <c r="P3350" s="143" t="s">
        <v>12554</v>
      </c>
      <c r="Q3350" s="121" t="s">
        <v>14285</v>
      </c>
      <c r="R3350" s="16" t="s">
        <v>8904</v>
      </c>
      <c r="S3350" s="10" t="s">
        <v>194</v>
      </c>
      <c r="T3350" s="28" t="s">
        <v>12309</v>
      </c>
      <c r="U3350" s="20" t="s">
        <v>5359</v>
      </c>
      <c r="V3350" s="16" t="s">
        <v>8627</v>
      </c>
      <c r="W3350" s="11" t="s">
        <v>13938</v>
      </c>
      <c r="X3350" s="174">
        <v>21.87</v>
      </c>
      <c r="Y3350" s="174">
        <v>27.89</v>
      </c>
    </row>
    <row r="3351" spans="1:25" ht="15" customHeight="1" x14ac:dyDescent="0.25">
      <c r="A3351" s="20" t="s">
        <v>4282</v>
      </c>
      <c r="B3351" s="14" t="s">
        <v>4283</v>
      </c>
      <c r="C3351" s="71" t="str">
        <f t="shared" si="82"/>
        <v>Product Info</v>
      </c>
      <c r="D3351" s="37" t="s">
        <v>4284</v>
      </c>
      <c r="E3351" s="143">
        <v>1</v>
      </c>
      <c r="F3351" s="12" t="s">
        <v>4992</v>
      </c>
      <c r="G3351" s="38">
        <v>8.67</v>
      </c>
      <c r="H3351" s="38">
        <f t="shared" si="83"/>
        <v>6.07</v>
      </c>
      <c r="I3351" s="38">
        <v>6.07</v>
      </c>
      <c r="J3351" s="39"/>
      <c r="K3351" s="143"/>
      <c r="L3351" s="22">
        <v>0.34100000000000003</v>
      </c>
      <c r="M3351" s="22" t="s">
        <v>12488</v>
      </c>
      <c r="N3351" s="20" t="s">
        <v>8886</v>
      </c>
      <c r="O3351" s="16" t="s">
        <v>12608</v>
      </c>
      <c r="P3351" s="143" t="s">
        <v>12554</v>
      </c>
      <c r="Q3351" s="121" t="s">
        <v>14285</v>
      </c>
      <c r="R3351" s="16" t="s">
        <v>8904</v>
      </c>
      <c r="S3351" s="10" t="s">
        <v>194</v>
      </c>
      <c r="T3351" s="28" t="s">
        <v>12310</v>
      </c>
      <c r="U3351" s="20" t="s">
        <v>5359</v>
      </c>
      <c r="V3351" s="16" t="s">
        <v>8628</v>
      </c>
      <c r="W3351" s="11" t="s">
        <v>13938</v>
      </c>
      <c r="X3351" s="174">
        <v>4.76</v>
      </c>
      <c r="Y3351" s="174">
        <v>6.07</v>
      </c>
    </row>
    <row r="3352" spans="1:25" ht="15" customHeight="1" x14ac:dyDescent="0.25">
      <c r="A3352" s="20" t="s">
        <v>3750</v>
      </c>
      <c r="B3352" s="14" t="s">
        <v>3540</v>
      </c>
      <c r="C3352" s="71" t="str">
        <f t="shared" si="82"/>
        <v>Product Info</v>
      </c>
      <c r="D3352" s="37" t="s">
        <v>3541</v>
      </c>
      <c r="E3352" s="143">
        <v>1</v>
      </c>
      <c r="F3352" s="12" t="s">
        <v>4992</v>
      </c>
      <c r="G3352" s="38">
        <v>8.1999999999999993</v>
      </c>
      <c r="H3352" s="38">
        <f t="shared" si="83"/>
        <v>5.74</v>
      </c>
      <c r="I3352" s="38">
        <v>5.74</v>
      </c>
      <c r="J3352" s="39"/>
      <c r="K3352" s="12" t="s">
        <v>8905</v>
      </c>
      <c r="L3352" s="22">
        <v>0.39300000000000002</v>
      </c>
      <c r="M3352" s="22" t="s">
        <v>12488</v>
      </c>
      <c r="N3352" s="20" t="s">
        <v>8899</v>
      </c>
      <c r="O3352" s="16" t="s">
        <v>12608</v>
      </c>
      <c r="P3352" s="143" t="s">
        <v>12554</v>
      </c>
      <c r="Q3352" s="122" t="s">
        <v>9227</v>
      </c>
      <c r="R3352" s="16" t="s">
        <v>8904</v>
      </c>
      <c r="S3352" s="10" t="s">
        <v>194</v>
      </c>
      <c r="T3352" s="28" t="s">
        <v>12311</v>
      </c>
      <c r="U3352" s="20" t="s">
        <v>5359</v>
      </c>
      <c r="V3352" s="16" t="s">
        <v>8629</v>
      </c>
      <c r="W3352" s="11" t="s">
        <v>13938</v>
      </c>
      <c r="X3352" s="174">
        <v>4.5</v>
      </c>
      <c r="Y3352" s="174">
        <v>5.74</v>
      </c>
    </row>
    <row r="3353" spans="1:25" ht="15" customHeight="1" x14ac:dyDescent="0.25">
      <c r="A3353" s="20" t="s">
        <v>4285</v>
      </c>
      <c r="B3353" s="14" t="s">
        <v>4286</v>
      </c>
      <c r="C3353" s="71" t="str">
        <f t="shared" si="82"/>
        <v>Product Info</v>
      </c>
      <c r="D3353" s="37" t="s">
        <v>4287</v>
      </c>
      <c r="E3353" s="143">
        <v>1</v>
      </c>
      <c r="F3353" s="12" t="s">
        <v>4992</v>
      </c>
      <c r="G3353" s="38">
        <v>11.73</v>
      </c>
      <c r="H3353" s="38">
        <f t="shared" si="83"/>
        <v>8.2100000000000009</v>
      </c>
      <c r="I3353" s="38">
        <v>8.2100000000000009</v>
      </c>
      <c r="J3353" s="39"/>
      <c r="K3353" s="12" t="s">
        <v>8905</v>
      </c>
      <c r="L3353" s="22">
        <v>0.627</v>
      </c>
      <c r="M3353" s="22" t="s">
        <v>14396</v>
      </c>
      <c r="N3353" s="20" t="s">
        <v>8900</v>
      </c>
      <c r="O3353" s="16" t="s">
        <v>12608</v>
      </c>
      <c r="P3353" s="143" t="s">
        <v>12554</v>
      </c>
      <c r="Q3353" s="122" t="s">
        <v>9227</v>
      </c>
      <c r="R3353" s="16" t="s">
        <v>8904</v>
      </c>
      <c r="S3353" s="10" t="s">
        <v>194</v>
      </c>
      <c r="T3353" s="28" t="s">
        <v>12312</v>
      </c>
      <c r="U3353" s="20" t="s">
        <v>5359</v>
      </c>
      <c r="V3353" s="16" t="s">
        <v>8630</v>
      </c>
      <c r="W3353" s="11" t="s">
        <v>13938</v>
      </c>
      <c r="X3353" s="174">
        <v>6.44</v>
      </c>
      <c r="Y3353" s="174">
        <v>8.2100000000000009</v>
      </c>
    </row>
    <row r="3354" spans="1:25" ht="15" customHeight="1" x14ac:dyDescent="0.25">
      <c r="A3354" s="20" t="s">
        <v>4313</v>
      </c>
      <c r="B3354" s="14" t="s">
        <v>4314</v>
      </c>
      <c r="C3354" s="71" t="str">
        <f t="shared" si="82"/>
        <v>Product Info</v>
      </c>
      <c r="D3354" s="37" t="s">
        <v>4315</v>
      </c>
      <c r="E3354" s="143">
        <v>1</v>
      </c>
      <c r="F3354" s="12" t="s">
        <v>4992</v>
      </c>
      <c r="G3354" s="38">
        <v>20.399999999999999</v>
      </c>
      <c r="H3354" s="38">
        <f t="shared" si="83"/>
        <v>14.28</v>
      </c>
      <c r="I3354" s="38">
        <v>14.28</v>
      </c>
      <c r="J3354" s="39"/>
      <c r="K3354" s="143"/>
      <c r="L3354" s="22">
        <v>0</v>
      </c>
      <c r="M3354" s="22">
        <v>0</v>
      </c>
      <c r="N3354" s="20" t="s">
        <v>14489</v>
      </c>
      <c r="O3354" s="16">
        <v>0</v>
      </c>
      <c r="P3354" s="143" t="s">
        <v>12554</v>
      </c>
      <c r="Q3354" s="121" t="s">
        <v>14285</v>
      </c>
      <c r="R3354" s="16" t="s">
        <v>8904</v>
      </c>
      <c r="S3354" s="10" t="s">
        <v>194</v>
      </c>
      <c r="T3354" s="28" t="s">
        <v>12313</v>
      </c>
      <c r="U3354" s="20" t="s">
        <v>5359</v>
      </c>
      <c r="V3354" s="16" t="s">
        <v>8631</v>
      </c>
      <c r="W3354" s="11" t="s">
        <v>13938</v>
      </c>
      <c r="X3354" s="174">
        <v>11.2</v>
      </c>
      <c r="Y3354" s="174">
        <v>14.28</v>
      </c>
    </row>
    <row r="3355" spans="1:25" ht="15" customHeight="1" x14ac:dyDescent="0.25">
      <c r="A3355" s="20" t="s">
        <v>4316</v>
      </c>
      <c r="B3355" s="14" t="s">
        <v>4317</v>
      </c>
      <c r="C3355" s="71" t="str">
        <f t="shared" si="82"/>
        <v>Product Info</v>
      </c>
      <c r="D3355" s="37" t="s">
        <v>4318</v>
      </c>
      <c r="E3355" s="143">
        <v>1</v>
      </c>
      <c r="F3355" s="12" t="s">
        <v>4992</v>
      </c>
      <c r="G3355" s="38">
        <v>19.46</v>
      </c>
      <c r="H3355" s="38">
        <f t="shared" si="83"/>
        <v>13.62</v>
      </c>
      <c r="I3355" s="38">
        <v>13.62</v>
      </c>
      <c r="J3355" s="39"/>
      <c r="K3355" s="12" t="s">
        <v>8905</v>
      </c>
      <c r="L3355" s="22">
        <v>0.19400000000000001</v>
      </c>
      <c r="M3355" s="22" t="s">
        <v>12488</v>
      </c>
      <c r="N3355" s="20" t="s">
        <v>8901</v>
      </c>
      <c r="O3355" s="16" t="s">
        <v>12608</v>
      </c>
      <c r="P3355" s="143" t="s">
        <v>12554</v>
      </c>
      <c r="Q3355" s="122" t="s">
        <v>9227</v>
      </c>
      <c r="R3355" s="16" t="s">
        <v>8904</v>
      </c>
      <c r="S3355" s="10" t="s">
        <v>194</v>
      </c>
      <c r="T3355" s="28" t="s">
        <v>12314</v>
      </c>
      <c r="U3355" s="20" t="s">
        <v>5359</v>
      </c>
      <c r="V3355" s="16" t="s">
        <v>8632</v>
      </c>
      <c r="W3355" s="11" t="s">
        <v>13938</v>
      </c>
      <c r="X3355" s="174">
        <v>10.68</v>
      </c>
      <c r="Y3355" s="174">
        <v>13.62</v>
      </c>
    </row>
    <row r="3356" spans="1:25" ht="15" customHeight="1" x14ac:dyDescent="0.25">
      <c r="A3356" s="20" t="s">
        <v>4850</v>
      </c>
      <c r="B3356" s="14" t="s">
        <v>4851</v>
      </c>
      <c r="C3356" s="71" t="str">
        <f t="shared" si="82"/>
        <v>Product Info</v>
      </c>
      <c r="D3356" s="37" t="s">
        <v>4852</v>
      </c>
      <c r="E3356" s="143">
        <v>1</v>
      </c>
      <c r="F3356" s="12" t="s">
        <v>4992</v>
      </c>
      <c r="G3356" s="38">
        <v>38.9</v>
      </c>
      <c r="H3356" s="38">
        <f t="shared" si="83"/>
        <v>27.23</v>
      </c>
      <c r="I3356" s="38">
        <v>27.23</v>
      </c>
      <c r="J3356" s="39"/>
      <c r="K3356" s="143"/>
      <c r="L3356" s="22">
        <v>1.6319999999999999</v>
      </c>
      <c r="M3356" s="22" t="s">
        <v>12488</v>
      </c>
      <c r="N3356" s="20" t="s">
        <v>8902</v>
      </c>
      <c r="O3356" s="16" t="s">
        <v>12608</v>
      </c>
      <c r="P3356" s="143" t="s">
        <v>12554</v>
      </c>
      <c r="Q3356" s="122" t="s">
        <v>9227</v>
      </c>
      <c r="R3356" s="16" t="s">
        <v>8904</v>
      </c>
      <c r="S3356" s="10" t="s">
        <v>194</v>
      </c>
      <c r="T3356" s="28" t="s">
        <v>12315</v>
      </c>
      <c r="U3356" s="20" t="s">
        <v>5359</v>
      </c>
      <c r="V3356" s="16" t="s">
        <v>8633</v>
      </c>
      <c r="W3356" s="11" t="s">
        <v>13938</v>
      </c>
      <c r="X3356" s="174">
        <v>21.36</v>
      </c>
      <c r="Y3356" s="174">
        <v>27.23</v>
      </c>
    </row>
    <row r="3357" spans="1:25" ht="15" customHeight="1" x14ac:dyDescent="0.25">
      <c r="A3357" s="20" t="s">
        <v>3572</v>
      </c>
      <c r="B3357" s="14" t="s">
        <v>3573</v>
      </c>
      <c r="C3357" s="71" t="str">
        <f t="shared" si="82"/>
        <v>Product Info</v>
      </c>
      <c r="D3357" s="37" t="s">
        <v>3574</v>
      </c>
      <c r="E3357" s="143">
        <v>1</v>
      </c>
      <c r="F3357" s="12" t="s">
        <v>4992</v>
      </c>
      <c r="G3357" s="38">
        <v>5.6</v>
      </c>
      <c r="H3357" s="38">
        <f t="shared" si="83"/>
        <v>3.92</v>
      </c>
      <c r="I3357" s="38">
        <v>3.92</v>
      </c>
      <c r="J3357" s="39"/>
      <c r="K3357" s="143"/>
      <c r="L3357" s="22">
        <v>0.16</v>
      </c>
      <c r="M3357" s="22" t="s">
        <v>12488</v>
      </c>
      <c r="N3357" s="20" t="s">
        <v>8884</v>
      </c>
      <c r="O3357" s="16" t="s">
        <v>12608</v>
      </c>
      <c r="P3357" s="143" t="s">
        <v>12554</v>
      </c>
      <c r="Q3357" s="121" t="s">
        <v>14285</v>
      </c>
      <c r="R3357" s="16" t="s">
        <v>8904</v>
      </c>
      <c r="S3357" s="10" t="s">
        <v>194</v>
      </c>
      <c r="T3357" s="28" t="s">
        <v>12316</v>
      </c>
      <c r="U3357" s="20" t="s">
        <v>5359</v>
      </c>
      <c r="V3357" s="16" t="s">
        <v>8634</v>
      </c>
      <c r="W3357" s="11" t="s">
        <v>13938</v>
      </c>
      <c r="X3357" s="174">
        <v>3.07</v>
      </c>
      <c r="Y3357" s="174">
        <v>3.92</v>
      </c>
    </row>
    <row r="3358" spans="1:25" ht="15" customHeight="1" x14ac:dyDescent="0.25">
      <c r="A3358" s="20" t="s">
        <v>5997</v>
      </c>
      <c r="B3358" s="14" t="s">
        <v>5998</v>
      </c>
      <c r="C3358" s="71" t="str">
        <f t="shared" si="82"/>
        <v>Product Info</v>
      </c>
      <c r="D3358" s="37" t="s">
        <v>5999</v>
      </c>
      <c r="E3358" s="143">
        <v>1</v>
      </c>
      <c r="F3358" s="12" t="s">
        <v>4992</v>
      </c>
      <c r="G3358" s="38">
        <v>6.94</v>
      </c>
      <c r="H3358" s="38">
        <f t="shared" si="83"/>
        <v>4.8600000000000003</v>
      </c>
      <c r="I3358" s="38">
        <v>4.8600000000000003</v>
      </c>
      <c r="J3358" s="39"/>
      <c r="K3358" s="143"/>
      <c r="L3358" s="22">
        <v>0.16600000000000001</v>
      </c>
      <c r="M3358" s="22" t="s">
        <v>12488</v>
      </c>
      <c r="N3358" s="20" t="s">
        <v>8826</v>
      </c>
      <c r="O3358" s="16" t="s">
        <v>12608</v>
      </c>
      <c r="P3358" s="143" t="s">
        <v>12554</v>
      </c>
      <c r="Q3358" s="121" t="s">
        <v>14285</v>
      </c>
      <c r="R3358" s="16" t="s">
        <v>8904</v>
      </c>
      <c r="S3358" s="10" t="s">
        <v>194</v>
      </c>
      <c r="T3358" s="28" t="s">
        <v>12317</v>
      </c>
      <c r="U3358" s="20" t="s">
        <v>5359</v>
      </c>
      <c r="V3358" s="16" t="s">
        <v>8635</v>
      </c>
      <c r="W3358" s="11" t="s">
        <v>13938</v>
      </c>
      <c r="X3358" s="174">
        <v>3.81</v>
      </c>
      <c r="Y3358" s="174">
        <v>4.8600000000000003</v>
      </c>
    </row>
    <row r="3359" spans="1:25" ht="15" customHeight="1" x14ac:dyDescent="0.25">
      <c r="A3359" s="20" t="s">
        <v>6000</v>
      </c>
      <c r="B3359" s="14" t="s">
        <v>6001</v>
      </c>
      <c r="C3359" s="71" t="str">
        <f t="shared" si="82"/>
        <v>Product Info</v>
      </c>
      <c r="D3359" s="37" t="s">
        <v>6002</v>
      </c>
      <c r="E3359" s="143">
        <v>1</v>
      </c>
      <c r="F3359" s="12" t="s">
        <v>4992</v>
      </c>
      <c r="G3359" s="38">
        <v>6.57</v>
      </c>
      <c r="H3359" s="38">
        <f t="shared" si="83"/>
        <v>4.5999999999999996</v>
      </c>
      <c r="I3359" s="38">
        <v>4.5999999999999996</v>
      </c>
      <c r="J3359" s="39"/>
      <c r="K3359" s="143"/>
      <c r="L3359" s="22">
        <v>0</v>
      </c>
      <c r="M3359" s="22">
        <v>0</v>
      </c>
      <c r="N3359" s="20" t="s">
        <v>14489</v>
      </c>
      <c r="O3359" s="16">
        <v>0</v>
      </c>
      <c r="P3359" s="143" t="s">
        <v>12554</v>
      </c>
      <c r="Q3359" s="121" t="s">
        <v>14285</v>
      </c>
      <c r="R3359" s="16" t="s">
        <v>8904</v>
      </c>
      <c r="S3359" s="10" t="s">
        <v>194</v>
      </c>
      <c r="T3359" s="28" t="s">
        <v>12318</v>
      </c>
      <c r="U3359" s="20" t="s">
        <v>5359</v>
      </c>
      <c r="V3359" s="16" t="s">
        <v>8636</v>
      </c>
      <c r="W3359" s="11" t="s">
        <v>13938</v>
      </c>
      <c r="X3359" s="174">
        <v>3.61</v>
      </c>
      <c r="Y3359" s="174">
        <v>4.5999999999999996</v>
      </c>
    </row>
    <row r="3360" spans="1:25" ht="15" customHeight="1" x14ac:dyDescent="0.25">
      <c r="A3360" s="20" t="s">
        <v>4796</v>
      </c>
      <c r="B3360" s="14" t="s">
        <v>2577</v>
      </c>
      <c r="C3360" s="71" t="str">
        <f t="shared" si="82"/>
        <v>Product Info</v>
      </c>
      <c r="D3360" s="37" t="s">
        <v>2578</v>
      </c>
      <c r="E3360" s="143">
        <v>1</v>
      </c>
      <c r="F3360" s="12" t="s">
        <v>4992</v>
      </c>
      <c r="G3360" s="38">
        <v>10.07</v>
      </c>
      <c r="H3360" s="38">
        <f t="shared" si="83"/>
        <v>7.05</v>
      </c>
      <c r="I3360" s="38">
        <v>7.05</v>
      </c>
      <c r="J3360" s="39"/>
      <c r="K3360" s="143"/>
      <c r="L3360" s="22">
        <v>4.3E-3</v>
      </c>
      <c r="M3360" s="22" t="s">
        <v>12488</v>
      </c>
      <c r="N3360" s="20" t="s">
        <v>8884</v>
      </c>
      <c r="O3360" s="16" t="s">
        <v>12608</v>
      </c>
      <c r="P3360" s="143" t="s">
        <v>12554</v>
      </c>
      <c r="Q3360" s="121" t="s">
        <v>14285</v>
      </c>
      <c r="R3360" s="16" t="s">
        <v>8904</v>
      </c>
      <c r="S3360" s="10" t="s">
        <v>194</v>
      </c>
      <c r="T3360" s="28" t="s">
        <v>12319</v>
      </c>
      <c r="U3360" s="20" t="s">
        <v>5359</v>
      </c>
      <c r="V3360" s="16" t="s">
        <v>8637</v>
      </c>
      <c r="W3360" s="11" t="s">
        <v>13938</v>
      </c>
      <c r="X3360" s="174">
        <v>5.53</v>
      </c>
      <c r="Y3360" s="174">
        <v>7.05</v>
      </c>
    </row>
    <row r="3361" spans="1:25" ht="15" customHeight="1" x14ac:dyDescent="0.25">
      <c r="A3361" s="20" t="s">
        <v>3104</v>
      </c>
      <c r="B3361" s="14" t="s">
        <v>1088</v>
      </c>
      <c r="C3361" s="71" t="str">
        <f t="shared" si="82"/>
        <v>Product Info</v>
      </c>
      <c r="D3361" s="37" t="s">
        <v>1089</v>
      </c>
      <c r="E3361" s="143">
        <v>1</v>
      </c>
      <c r="F3361" s="12" t="s">
        <v>4992</v>
      </c>
      <c r="G3361" s="38">
        <v>19.600000000000001</v>
      </c>
      <c r="H3361" s="38">
        <f t="shared" si="83"/>
        <v>13.72</v>
      </c>
      <c r="I3361" s="38">
        <v>13.72</v>
      </c>
      <c r="J3361" s="39"/>
      <c r="K3361" s="143"/>
      <c r="L3361" s="22">
        <v>2.1499999999999998E-2</v>
      </c>
      <c r="M3361" s="22" t="s">
        <v>12488</v>
      </c>
      <c r="N3361" s="20" t="s">
        <v>8880</v>
      </c>
      <c r="O3361" s="16" t="s">
        <v>12608</v>
      </c>
      <c r="P3361" s="143" t="s">
        <v>12554</v>
      </c>
      <c r="Q3361" s="121" t="s">
        <v>14285</v>
      </c>
      <c r="R3361" s="16" t="s">
        <v>8904</v>
      </c>
      <c r="S3361" s="10" t="s">
        <v>194</v>
      </c>
      <c r="T3361" s="28" t="s">
        <v>12320</v>
      </c>
      <c r="U3361" s="20" t="s">
        <v>5359</v>
      </c>
      <c r="V3361" s="16" t="s">
        <v>8638</v>
      </c>
      <c r="W3361" s="11" t="s">
        <v>13938</v>
      </c>
      <c r="X3361" s="174">
        <v>10.76</v>
      </c>
      <c r="Y3361" s="174">
        <v>13.72</v>
      </c>
    </row>
    <row r="3362" spans="1:25" ht="15" customHeight="1" x14ac:dyDescent="0.25">
      <c r="A3362" s="20" t="s">
        <v>1090</v>
      </c>
      <c r="B3362" s="14" t="s">
        <v>1091</v>
      </c>
      <c r="C3362" s="71" t="str">
        <f t="shared" si="82"/>
        <v>Product Info</v>
      </c>
      <c r="D3362" s="37" t="s">
        <v>1092</v>
      </c>
      <c r="E3362" s="143">
        <v>1</v>
      </c>
      <c r="F3362" s="12" t="s">
        <v>4992</v>
      </c>
      <c r="G3362" s="38">
        <v>6.31</v>
      </c>
      <c r="H3362" s="38">
        <f t="shared" si="83"/>
        <v>4.42</v>
      </c>
      <c r="I3362" s="38">
        <v>4.42</v>
      </c>
      <c r="J3362" s="39"/>
      <c r="K3362" s="143" t="s">
        <v>8905</v>
      </c>
      <c r="L3362" s="22">
        <v>0</v>
      </c>
      <c r="M3362" s="22">
        <v>0</v>
      </c>
      <c r="N3362" s="20" t="s">
        <v>14489</v>
      </c>
      <c r="O3362" s="16">
        <v>0</v>
      </c>
      <c r="P3362" s="143" t="s">
        <v>12554</v>
      </c>
      <c r="Q3362" s="121" t="s">
        <v>14285</v>
      </c>
      <c r="R3362" s="16" t="s">
        <v>8904</v>
      </c>
      <c r="S3362" s="10" t="s">
        <v>194</v>
      </c>
      <c r="T3362" s="28" t="s">
        <v>12321</v>
      </c>
      <c r="U3362" s="20" t="s">
        <v>5359</v>
      </c>
      <c r="V3362" s="16" t="s">
        <v>8639</v>
      </c>
      <c r="W3362" s="11" t="s">
        <v>13938</v>
      </c>
      <c r="X3362" s="174">
        <v>3.46</v>
      </c>
      <c r="Y3362" s="174">
        <v>4.42</v>
      </c>
    </row>
    <row r="3363" spans="1:25" ht="15" customHeight="1" x14ac:dyDescent="0.25">
      <c r="A3363" s="20" t="s">
        <v>1093</v>
      </c>
      <c r="B3363" s="14" t="s">
        <v>1094</v>
      </c>
      <c r="C3363" s="71" t="str">
        <f t="shared" si="82"/>
        <v>Product Info</v>
      </c>
      <c r="D3363" s="37" t="s">
        <v>4937</v>
      </c>
      <c r="E3363" s="143">
        <v>1</v>
      </c>
      <c r="F3363" s="12" t="s">
        <v>4992</v>
      </c>
      <c r="G3363" s="38">
        <v>7.26</v>
      </c>
      <c r="H3363" s="38">
        <f t="shared" si="83"/>
        <v>5.08</v>
      </c>
      <c r="I3363" s="38">
        <v>5.08</v>
      </c>
      <c r="J3363" s="39"/>
      <c r="K3363" s="143" t="s">
        <v>8905</v>
      </c>
      <c r="L3363" s="22">
        <v>2.3400000000000001E-2</v>
      </c>
      <c r="M3363" s="22" t="s">
        <v>12488</v>
      </c>
      <c r="N3363" s="20" t="s">
        <v>8894</v>
      </c>
      <c r="O3363" s="16" t="s">
        <v>12608</v>
      </c>
      <c r="P3363" s="143" t="s">
        <v>12554</v>
      </c>
      <c r="Q3363" s="122" t="s">
        <v>9227</v>
      </c>
      <c r="R3363" s="16" t="s">
        <v>8904</v>
      </c>
      <c r="S3363" s="10" t="s">
        <v>194</v>
      </c>
      <c r="T3363" s="28" t="s">
        <v>12322</v>
      </c>
      <c r="U3363" s="20" t="s">
        <v>5359</v>
      </c>
      <c r="V3363" s="16" t="s">
        <v>8640</v>
      </c>
      <c r="W3363" s="11" t="s">
        <v>13938</v>
      </c>
      <c r="X3363" s="174">
        <v>3.98</v>
      </c>
      <c r="Y3363" s="174">
        <v>5.08</v>
      </c>
    </row>
    <row r="3364" spans="1:25" ht="15" customHeight="1" x14ac:dyDescent="0.25">
      <c r="A3364" s="20" t="s">
        <v>4962</v>
      </c>
      <c r="B3364" s="14" t="s">
        <v>4963</v>
      </c>
      <c r="C3364" s="71" t="str">
        <f t="shared" si="82"/>
        <v>Product Info</v>
      </c>
      <c r="D3364" s="37" t="s">
        <v>4964</v>
      </c>
      <c r="E3364" s="143">
        <v>1</v>
      </c>
      <c r="F3364" s="12" t="s">
        <v>4992</v>
      </c>
      <c r="G3364" s="38">
        <v>10.79</v>
      </c>
      <c r="H3364" s="38">
        <f t="shared" si="83"/>
        <v>7.55</v>
      </c>
      <c r="I3364" s="38">
        <v>7.55</v>
      </c>
      <c r="J3364" s="39"/>
      <c r="K3364" s="12" t="s">
        <v>8905</v>
      </c>
      <c r="L3364" s="22">
        <v>4.5100000000000001E-3</v>
      </c>
      <c r="M3364" s="22" t="s">
        <v>12488</v>
      </c>
      <c r="N3364" s="20" t="s">
        <v>8894</v>
      </c>
      <c r="O3364" s="16" t="s">
        <v>12608</v>
      </c>
      <c r="P3364" s="143" t="s">
        <v>12554</v>
      </c>
      <c r="Q3364" s="122" t="s">
        <v>9227</v>
      </c>
      <c r="R3364" s="16" t="s">
        <v>8904</v>
      </c>
      <c r="S3364" s="10" t="s">
        <v>194</v>
      </c>
      <c r="T3364" s="28" t="s">
        <v>12323</v>
      </c>
      <c r="U3364" s="20" t="s">
        <v>5359</v>
      </c>
      <c r="V3364" s="16" t="s">
        <v>8641</v>
      </c>
      <c r="W3364" s="11" t="s">
        <v>13938</v>
      </c>
      <c r="X3364" s="174">
        <v>5.92</v>
      </c>
      <c r="Y3364" s="174">
        <v>7.55</v>
      </c>
    </row>
    <row r="3365" spans="1:25" ht="15" customHeight="1" x14ac:dyDescent="0.25">
      <c r="A3365" s="20" t="s">
        <v>4965</v>
      </c>
      <c r="B3365" s="14" t="s">
        <v>4966</v>
      </c>
      <c r="C3365" s="71" t="str">
        <f t="shared" si="82"/>
        <v>Product Info</v>
      </c>
      <c r="D3365" s="37" t="s">
        <v>4967</v>
      </c>
      <c r="E3365" s="143">
        <v>1</v>
      </c>
      <c r="F3365" s="12" t="s">
        <v>4992</v>
      </c>
      <c r="G3365" s="38">
        <v>20.23</v>
      </c>
      <c r="H3365" s="38">
        <f t="shared" si="83"/>
        <v>14.16</v>
      </c>
      <c r="I3365" s="38">
        <v>14.16</v>
      </c>
      <c r="J3365" s="39"/>
      <c r="K3365" s="143"/>
      <c r="L3365" s="22">
        <v>0</v>
      </c>
      <c r="M3365" s="22">
        <v>0</v>
      </c>
      <c r="N3365" s="20" t="s">
        <v>14489</v>
      </c>
      <c r="O3365" s="16">
        <v>0</v>
      </c>
      <c r="P3365" s="143" t="s">
        <v>12554</v>
      </c>
      <c r="Q3365" s="121" t="s">
        <v>14285</v>
      </c>
      <c r="R3365" s="16" t="s">
        <v>8904</v>
      </c>
      <c r="S3365" s="10" t="s">
        <v>194</v>
      </c>
      <c r="T3365" s="28" t="s">
        <v>12324</v>
      </c>
      <c r="U3365" s="20" t="s">
        <v>5359</v>
      </c>
      <c r="V3365" s="16" t="s">
        <v>8642</v>
      </c>
      <c r="W3365" s="11" t="s">
        <v>13938</v>
      </c>
      <c r="X3365" s="174">
        <v>11.1</v>
      </c>
      <c r="Y3365" s="174">
        <v>14.16</v>
      </c>
    </row>
    <row r="3366" spans="1:25" ht="15" customHeight="1" x14ac:dyDescent="0.25">
      <c r="A3366" s="20" t="s">
        <v>6677</v>
      </c>
      <c r="B3366" s="14" t="s">
        <v>6678</v>
      </c>
      <c r="C3366" s="71" t="str">
        <f t="shared" si="82"/>
        <v>Product Info</v>
      </c>
      <c r="D3366" s="37" t="s">
        <v>6679</v>
      </c>
      <c r="E3366" s="143">
        <v>1</v>
      </c>
      <c r="F3366" s="12" t="s">
        <v>4992</v>
      </c>
      <c r="G3366" s="38">
        <v>27.03</v>
      </c>
      <c r="H3366" s="38">
        <f t="shared" si="83"/>
        <v>18.920000000000002</v>
      </c>
      <c r="I3366" s="38">
        <v>18.920000000000002</v>
      </c>
      <c r="J3366" s="39"/>
      <c r="K3366" s="143"/>
      <c r="L3366" s="22">
        <v>0.45500000000000002</v>
      </c>
      <c r="M3366" s="22" t="s">
        <v>12488</v>
      </c>
      <c r="N3366" s="20" t="s">
        <v>8903</v>
      </c>
      <c r="O3366" s="16" t="s">
        <v>12608</v>
      </c>
      <c r="P3366" s="143" t="s">
        <v>12554</v>
      </c>
      <c r="Q3366" s="121" t="s">
        <v>14285</v>
      </c>
      <c r="R3366" s="16" t="s">
        <v>8904</v>
      </c>
      <c r="S3366" s="10" t="s">
        <v>194</v>
      </c>
      <c r="T3366" s="28" t="s">
        <v>12325</v>
      </c>
      <c r="U3366" s="20" t="s">
        <v>5359</v>
      </c>
      <c r="V3366" s="16" t="s">
        <v>8643</v>
      </c>
      <c r="W3366" s="11" t="s">
        <v>13938</v>
      </c>
      <c r="X3366" s="174">
        <v>14.84</v>
      </c>
      <c r="Y3366" s="174">
        <v>18.920000000000002</v>
      </c>
    </row>
    <row r="3367" spans="1:25" s="64" customFormat="1" ht="15" customHeight="1" x14ac:dyDescent="0.25">
      <c r="A3367" s="20" t="s">
        <v>6800</v>
      </c>
      <c r="B3367" s="14" t="s">
        <v>6801</v>
      </c>
      <c r="C3367" s="71" t="str">
        <f t="shared" si="82"/>
        <v>Product Info</v>
      </c>
      <c r="D3367" s="37" t="s">
        <v>6807</v>
      </c>
      <c r="E3367" s="143">
        <v>5</v>
      </c>
      <c r="F3367" s="12" t="s">
        <v>4992</v>
      </c>
      <c r="G3367" s="38">
        <v>73.36</v>
      </c>
      <c r="H3367" s="38">
        <f t="shared" si="83"/>
        <v>51.35</v>
      </c>
      <c r="I3367" s="38">
        <v>51.35</v>
      </c>
      <c r="J3367" s="39"/>
      <c r="K3367" s="12" t="s">
        <v>8905</v>
      </c>
      <c r="L3367" s="22">
        <v>12</v>
      </c>
      <c r="M3367" s="22" t="s">
        <v>12488</v>
      </c>
      <c r="N3367" s="20" t="s">
        <v>9352</v>
      </c>
      <c r="O3367" s="16" t="s">
        <v>12608</v>
      </c>
      <c r="P3367" s="143">
        <v>755</v>
      </c>
      <c r="Q3367" s="122" t="s">
        <v>14461</v>
      </c>
      <c r="R3367" s="16" t="s">
        <v>8904</v>
      </c>
      <c r="S3367" s="10" t="s">
        <v>194</v>
      </c>
      <c r="T3367" s="28" t="s">
        <v>12326</v>
      </c>
      <c r="U3367" s="20" t="s">
        <v>5359</v>
      </c>
      <c r="V3367" s="16" t="s">
        <v>6800</v>
      </c>
      <c r="W3367" s="11" t="s">
        <v>14433</v>
      </c>
      <c r="X3367" s="174">
        <v>32.72</v>
      </c>
      <c r="Y3367" s="174">
        <v>51.35</v>
      </c>
    </row>
    <row r="3368" spans="1:25" s="64" customFormat="1" ht="15" customHeight="1" x14ac:dyDescent="0.25">
      <c r="A3368" s="20" t="s">
        <v>6798</v>
      </c>
      <c r="B3368" s="14" t="s">
        <v>6799</v>
      </c>
      <c r="C3368" s="71" t="str">
        <f t="shared" si="82"/>
        <v>Product Info</v>
      </c>
      <c r="D3368" s="37" t="s">
        <v>6808</v>
      </c>
      <c r="E3368" s="143">
        <v>15</v>
      </c>
      <c r="F3368" s="12" t="s">
        <v>4992</v>
      </c>
      <c r="G3368" s="38">
        <v>19.100000000000001</v>
      </c>
      <c r="H3368" s="38">
        <f t="shared" si="83"/>
        <v>13.37</v>
      </c>
      <c r="I3368" s="38">
        <v>13.37</v>
      </c>
      <c r="J3368" s="39"/>
      <c r="K3368" s="12" t="s">
        <v>8905</v>
      </c>
      <c r="L3368" s="22">
        <v>9.1</v>
      </c>
      <c r="M3368" s="22" t="s">
        <v>12488</v>
      </c>
      <c r="N3368" s="20" t="s">
        <v>8817</v>
      </c>
      <c r="O3368" s="16" t="s">
        <v>12608</v>
      </c>
      <c r="P3368" s="143">
        <v>755</v>
      </c>
      <c r="Q3368" s="122" t="s">
        <v>14461</v>
      </c>
      <c r="R3368" s="16" t="s">
        <v>8904</v>
      </c>
      <c r="S3368" s="10" t="s">
        <v>194</v>
      </c>
      <c r="T3368" s="28" t="s">
        <v>12327</v>
      </c>
      <c r="U3368" s="20" t="s">
        <v>5359</v>
      </c>
      <c r="V3368" s="16" t="s">
        <v>6798</v>
      </c>
      <c r="W3368" s="11" t="s">
        <v>14433</v>
      </c>
      <c r="X3368" s="174">
        <v>8.52</v>
      </c>
      <c r="Y3368" s="174">
        <v>13.37</v>
      </c>
    </row>
    <row r="3369" spans="1:25" ht="15" customHeight="1" x14ac:dyDescent="0.25">
      <c r="A3369" s="20" t="s">
        <v>6796</v>
      </c>
      <c r="B3369" s="14" t="s">
        <v>6797</v>
      </c>
      <c r="C3369" s="71" t="str">
        <f t="shared" si="82"/>
        <v>Product Info</v>
      </c>
      <c r="D3369" s="37" t="s">
        <v>6809</v>
      </c>
      <c r="E3369" s="143">
        <v>9</v>
      </c>
      <c r="F3369" s="12" t="s">
        <v>4992</v>
      </c>
      <c r="G3369" s="38">
        <v>28.83</v>
      </c>
      <c r="H3369" s="38">
        <f t="shared" si="83"/>
        <v>20.18</v>
      </c>
      <c r="I3369" s="38">
        <v>20.18</v>
      </c>
      <c r="J3369" s="39"/>
      <c r="K3369" s="143"/>
      <c r="L3369" s="22">
        <v>8.1</v>
      </c>
      <c r="M3369" s="22" t="s">
        <v>12488</v>
      </c>
      <c r="N3369" s="20" t="s">
        <v>8814</v>
      </c>
      <c r="O3369" s="16" t="s">
        <v>12608</v>
      </c>
      <c r="P3369" s="143">
        <v>755</v>
      </c>
      <c r="Q3369" s="121" t="s">
        <v>14285</v>
      </c>
      <c r="R3369" s="16" t="s">
        <v>8904</v>
      </c>
      <c r="S3369" s="10" t="s">
        <v>194</v>
      </c>
      <c r="T3369" s="28" t="s">
        <v>12328</v>
      </c>
      <c r="U3369" s="20" t="s">
        <v>5359</v>
      </c>
      <c r="V3369" s="16" t="s">
        <v>6796</v>
      </c>
      <c r="W3369" s="11" t="s">
        <v>14433</v>
      </c>
      <c r="X3369" s="174">
        <v>12.86</v>
      </c>
      <c r="Y3369" s="174">
        <v>20.18</v>
      </c>
    </row>
    <row r="3370" spans="1:25" ht="15" customHeight="1" x14ac:dyDescent="0.25">
      <c r="A3370" s="20" t="s">
        <v>252</v>
      </c>
      <c r="B3370" s="14" t="s">
        <v>253</v>
      </c>
      <c r="C3370" s="71" t="str">
        <f t="shared" si="82"/>
        <v>Product Info</v>
      </c>
      <c r="D3370" s="37" t="s">
        <v>254</v>
      </c>
      <c r="E3370" s="143">
        <v>50</v>
      </c>
      <c r="F3370" s="12" t="s">
        <v>4992</v>
      </c>
      <c r="G3370" s="38">
        <v>39.840000000000003</v>
      </c>
      <c r="H3370" s="38">
        <f t="shared" ref="H3370:H3401" si="84">I3370</f>
        <v>27.89</v>
      </c>
      <c r="I3370" s="38">
        <v>27.89</v>
      </c>
      <c r="J3370" s="39"/>
      <c r="K3370" s="143"/>
      <c r="L3370" s="22">
        <v>73</v>
      </c>
      <c r="M3370" s="22" t="s">
        <v>12488</v>
      </c>
      <c r="N3370" s="20" t="s">
        <v>9584</v>
      </c>
      <c r="O3370" s="16" t="s">
        <v>12608</v>
      </c>
      <c r="P3370" s="143">
        <v>755</v>
      </c>
      <c r="Q3370" s="122" t="s">
        <v>12421</v>
      </c>
      <c r="R3370" s="16" t="s">
        <v>8904</v>
      </c>
      <c r="S3370" s="10" t="s">
        <v>194</v>
      </c>
      <c r="T3370" s="28" t="s">
        <v>12329</v>
      </c>
      <c r="U3370" s="20" t="s">
        <v>5359</v>
      </c>
      <c r="V3370" s="16" t="s">
        <v>252</v>
      </c>
      <c r="W3370" s="11" t="s">
        <v>14433</v>
      </c>
      <c r="X3370" s="174">
        <v>17.77</v>
      </c>
      <c r="Y3370" s="174">
        <v>27.89</v>
      </c>
    </row>
    <row r="3371" spans="1:25" ht="15" customHeight="1" x14ac:dyDescent="0.25">
      <c r="A3371" s="20" t="s">
        <v>5875</v>
      </c>
      <c r="B3371" s="14" t="s">
        <v>5876</v>
      </c>
      <c r="C3371" s="71" t="str">
        <f t="shared" si="82"/>
        <v>Product Info</v>
      </c>
      <c r="D3371" s="37" t="s">
        <v>6810</v>
      </c>
      <c r="E3371" s="143">
        <v>25</v>
      </c>
      <c r="F3371" s="12" t="s">
        <v>4992</v>
      </c>
      <c r="G3371" s="38">
        <v>15.44</v>
      </c>
      <c r="H3371" s="38">
        <f t="shared" si="84"/>
        <v>10.81</v>
      </c>
      <c r="I3371" s="38">
        <v>10.81</v>
      </c>
      <c r="J3371" s="39"/>
      <c r="K3371" s="12" t="s">
        <v>8905</v>
      </c>
      <c r="L3371" s="22">
        <v>0.186</v>
      </c>
      <c r="M3371" s="22" t="s">
        <v>12488</v>
      </c>
      <c r="N3371" s="20" t="s">
        <v>9316</v>
      </c>
      <c r="O3371" s="16" t="s">
        <v>12608</v>
      </c>
      <c r="P3371" s="143">
        <v>755</v>
      </c>
      <c r="Q3371" s="122" t="s">
        <v>14461</v>
      </c>
      <c r="R3371" s="16" t="s">
        <v>8904</v>
      </c>
      <c r="S3371" s="10" t="s">
        <v>194</v>
      </c>
      <c r="T3371" s="28" t="s">
        <v>12330</v>
      </c>
      <c r="U3371" s="20" t="s">
        <v>5359</v>
      </c>
      <c r="V3371" s="16" t="s">
        <v>5875</v>
      </c>
      <c r="W3371" s="11" t="s">
        <v>14433</v>
      </c>
      <c r="X3371" s="174">
        <v>6.88</v>
      </c>
      <c r="Y3371" s="174">
        <v>10.81</v>
      </c>
    </row>
    <row r="3372" spans="1:25" s="64" customFormat="1" ht="15" customHeight="1" x14ac:dyDescent="0.25">
      <c r="A3372" s="20" t="s">
        <v>5873</v>
      </c>
      <c r="B3372" s="14" t="s">
        <v>5874</v>
      </c>
      <c r="C3372" s="71" t="str">
        <f t="shared" si="82"/>
        <v>Product Info</v>
      </c>
      <c r="D3372" s="37" t="s">
        <v>6811</v>
      </c>
      <c r="E3372" s="143">
        <v>50</v>
      </c>
      <c r="F3372" s="12" t="s">
        <v>4992</v>
      </c>
      <c r="G3372" s="38">
        <v>2.5299999999999998</v>
      </c>
      <c r="H3372" s="38">
        <f t="shared" si="84"/>
        <v>1.77</v>
      </c>
      <c r="I3372" s="38">
        <v>1.77</v>
      </c>
      <c r="J3372" s="39"/>
      <c r="K3372" s="12" t="s">
        <v>8905</v>
      </c>
      <c r="L3372" s="22">
        <v>1.2</v>
      </c>
      <c r="M3372" s="22" t="s">
        <v>12488</v>
      </c>
      <c r="N3372" s="20" t="s">
        <v>8865</v>
      </c>
      <c r="O3372" s="16" t="s">
        <v>12608</v>
      </c>
      <c r="P3372" s="143">
        <v>755</v>
      </c>
      <c r="Q3372" s="122" t="s">
        <v>14461</v>
      </c>
      <c r="R3372" s="16" t="s">
        <v>8904</v>
      </c>
      <c r="S3372" s="10" t="s">
        <v>194</v>
      </c>
      <c r="T3372" s="28" t="s">
        <v>12331</v>
      </c>
      <c r="U3372" s="20" t="s">
        <v>5359</v>
      </c>
      <c r="V3372" s="16" t="s">
        <v>5873</v>
      </c>
      <c r="W3372" s="11" t="s">
        <v>14433</v>
      </c>
      <c r="X3372" s="174">
        <v>1.1200000000000001</v>
      </c>
      <c r="Y3372" s="174">
        <v>1.77</v>
      </c>
    </row>
    <row r="3373" spans="1:25" s="64" customFormat="1" ht="15" customHeight="1" x14ac:dyDescent="0.25">
      <c r="A3373" s="20" t="s">
        <v>5871</v>
      </c>
      <c r="B3373" s="14" t="s">
        <v>5872</v>
      </c>
      <c r="C3373" s="71" t="str">
        <f t="shared" si="82"/>
        <v>Product Info</v>
      </c>
      <c r="D3373" s="37" t="s">
        <v>6812</v>
      </c>
      <c r="E3373" s="143">
        <v>50</v>
      </c>
      <c r="F3373" s="12" t="s">
        <v>4992</v>
      </c>
      <c r="G3373" s="38">
        <v>4.7300000000000004</v>
      </c>
      <c r="H3373" s="38">
        <f t="shared" si="84"/>
        <v>3.31</v>
      </c>
      <c r="I3373" s="38">
        <v>3.31</v>
      </c>
      <c r="J3373" s="39"/>
      <c r="K3373" s="143"/>
      <c r="L3373" s="22">
        <v>2.2000000000000002</v>
      </c>
      <c r="M3373" s="22" t="s">
        <v>12488</v>
      </c>
      <c r="N3373" s="20" t="s">
        <v>9306</v>
      </c>
      <c r="O3373" s="16" t="s">
        <v>12608</v>
      </c>
      <c r="P3373" s="143">
        <v>755</v>
      </c>
      <c r="Q3373" s="122" t="s">
        <v>9227</v>
      </c>
      <c r="R3373" s="16" t="s">
        <v>8904</v>
      </c>
      <c r="S3373" s="10" t="s">
        <v>194</v>
      </c>
      <c r="T3373" s="28" t="s">
        <v>12332</v>
      </c>
      <c r="U3373" s="20" t="s">
        <v>5359</v>
      </c>
      <c r="V3373" s="16" t="s">
        <v>5871</v>
      </c>
      <c r="W3373" s="11" t="s">
        <v>14433</v>
      </c>
      <c r="X3373" s="174">
        <v>2.11</v>
      </c>
      <c r="Y3373" s="174">
        <v>3.31</v>
      </c>
    </row>
    <row r="3374" spans="1:25" s="64" customFormat="1" ht="15" customHeight="1" x14ac:dyDescent="0.25">
      <c r="A3374" s="20" t="s">
        <v>6805</v>
      </c>
      <c r="B3374" s="14" t="s">
        <v>6806</v>
      </c>
      <c r="C3374" s="71" t="str">
        <f t="shared" si="82"/>
        <v>Product Info</v>
      </c>
      <c r="D3374" s="37" t="s">
        <v>6813</v>
      </c>
      <c r="E3374" s="143">
        <v>5</v>
      </c>
      <c r="F3374" s="12" t="s">
        <v>4992</v>
      </c>
      <c r="G3374" s="38">
        <v>112.04</v>
      </c>
      <c r="H3374" s="38">
        <f t="shared" si="84"/>
        <v>78.430000000000007</v>
      </c>
      <c r="I3374" s="38">
        <v>78.430000000000007</v>
      </c>
      <c r="J3374" s="39"/>
      <c r="K3374" s="143"/>
      <c r="L3374" s="22">
        <v>12.92</v>
      </c>
      <c r="M3374" s="22" t="s">
        <v>12488</v>
      </c>
      <c r="N3374" s="20" t="s">
        <v>9352</v>
      </c>
      <c r="O3374" s="16" t="s">
        <v>12608</v>
      </c>
      <c r="P3374" s="143">
        <v>755</v>
      </c>
      <c r="Q3374" s="122" t="s">
        <v>9227</v>
      </c>
      <c r="R3374" s="16" t="s">
        <v>8904</v>
      </c>
      <c r="S3374" s="10" t="s">
        <v>194</v>
      </c>
      <c r="T3374" s="28" t="s">
        <v>12333</v>
      </c>
      <c r="U3374" s="20" t="s">
        <v>5359</v>
      </c>
      <c r="V3374" s="16" t="s">
        <v>6805</v>
      </c>
      <c r="W3374" s="11" t="s">
        <v>14433</v>
      </c>
      <c r="X3374" s="174">
        <v>49.97</v>
      </c>
      <c r="Y3374" s="174">
        <v>78.430000000000007</v>
      </c>
    </row>
    <row r="3375" spans="1:25" ht="15" customHeight="1" x14ac:dyDescent="0.25">
      <c r="A3375" s="20" t="s">
        <v>6803</v>
      </c>
      <c r="B3375" s="14" t="s">
        <v>6804</v>
      </c>
      <c r="C3375" s="71" t="str">
        <f t="shared" si="82"/>
        <v>Product Info</v>
      </c>
      <c r="D3375" s="37" t="s">
        <v>6814</v>
      </c>
      <c r="E3375" s="143">
        <v>10</v>
      </c>
      <c r="F3375" s="12" t="s">
        <v>4992</v>
      </c>
      <c r="G3375" s="38">
        <v>32.69</v>
      </c>
      <c r="H3375" s="38">
        <f t="shared" si="84"/>
        <v>22.88</v>
      </c>
      <c r="I3375" s="38">
        <v>22.88</v>
      </c>
      <c r="J3375" s="39"/>
      <c r="K3375" s="143"/>
      <c r="L3375" s="22">
        <v>18</v>
      </c>
      <c r="M3375" s="22" t="s">
        <v>12488</v>
      </c>
      <c r="N3375" s="20" t="s">
        <v>9242</v>
      </c>
      <c r="O3375" s="16" t="s">
        <v>12608</v>
      </c>
      <c r="P3375" s="143">
        <v>755</v>
      </c>
      <c r="Q3375" s="122" t="s">
        <v>12421</v>
      </c>
      <c r="R3375" s="16" t="s">
        <v>8904</v>
      </c>
      <c r="S3375" s="10" t="s">
        <v>194</v>
      </c>
      <c r="T3375" s="28" t="s">
        <v>12334</v>
      </c>
      <c r="U3375" s="20" t="s">
        <v>5359</v>
      </c>
      <c r="V3375" s="16" t="s">
        <v>6803</v>
      </c>
      <c r="W3375" s="11" t="s">
        <v>14433</v>
      </c>
      <c r="X3375" s="174">
        <v>14.58</v>
      </c>
      <c r="Y3375" s="174">
        <v>22.88</v>
      </c>
    </row>
    <row r="3376" spans="1:25" ht="15" customHeight="1" x14ac:dyDescent="0.25">
      <c r="A3376" s="20" t="s">
        <v>6802</v>
      </c>
      <c r="B3376" s="14" t="s">
        <v>255</v>
      </c>
      <c r="C3376" s="71" t="str">
        <f t="shared" si="82"/>
        <v>Product Info</v>
      </c>
      <c r="D3376" s="37" t="s">
        <v>6815</v>
      </c>
      <c r="E3376" s="143">
        <v>20</v>
      </c>
      <c r="F3376" s="12" t="s">
        <v>4992</v>
      </c>
      <c r="G3376" s="38">
        <v>49.29</v>
      </c>
      <c r="H3376" s="38">
        <f t="shared" si="84"/>
        <v>34.5</v>
      </c>
      <c r="I3376" s="38">
        <v>34.5</v>
      </c>
      <c r="J3376" s="39"/>
      <c r="K3376" s="143"/>
      <c r="L3376" s="22">
        <v>50</v>
      </c>
      <c r="M3376" s="22" t="s">
        <v>12488</v>
      </c>
      <c r="N3376" s="20" t="s">
        <v>9585</v>
      </c>
      <c r="O3376" s="16" t="s">
        <v>12608</v>
      </c>
      <c r="P3376" s="143">
        <v>755</v>
      </c>
      <c r="Q3376" s="121" t="s">
        <v>14285</v>
      </c>
      <c r="R3376" s="16" t="s">
        <v>8904</v>
      </c>
      <c r="S3376" s="10" t="s">
        <v>194</v>
      </c>
      <c r="T3376" s="28" t="s">
        <v>12335</v>
      </c>
      <c r="U3376" s="20" t="s">
        <v>5359</v>
      </c>
      <c r="V3376" s="16" t="s">
        <v>6802</v>
      </c>
      <c r="W3376" s="11" t="s">
        <v>14433</v>
      </c>
      <c r="X3376" s="174">
        <v>21.98</v>
      </c>
      <c r="Y3376" s="174">
        <v>34.5</v>
      </c>
    </row>
    <row r="3377" spans="1:25" ht="15" customHeight="1" x14ac:dyDescent="0.25">
      <c r="A3377" s="20" t="s">
        <v>5879</v>
      </c>
      <c r="B3377" s="14" t="s">
        <v>5880</v>
      </c>
      <c r="C3377" s="71" t="str">
        <f t="shared" si="82"/>
        <v>Product Info</v>
      </c>
      <c r="D3377" s="37" t="s">
        <v>6816</v>
      </c>
      <c r="E3377" s="143">
        <v>25</v>
      </c>
      <c r="F3377" s="12" t="s">
        <v>4992</v>
      </c>
      <c r="G3377" s="38">
        <v>16.010000000000002</v>
      </c>
      <c r="H3377" s="38">
        <f t="shared" si="84"/>
        <v>11.21</v>
      </c>
      <c r="I3377" s="38">
        <v>11.21</v>
      </c>
      <c r="J3377" s="39"/>
      <c r="K3377" s="12" t="s">
        <v>8905</v>
      </c>
      <c r="L3377" s="22">
        <v>12</v>
      </c>
      <c r="M3377" s="22" t="s">
        <v>12488</v>
      </c>
      <c r="N3377" s="20" t="s">
        <v>9316</v>
      </c>
      <c r="O3377" s="16" t="s">
        <v>12608</v>
      </c>
      <c r="P3377" s="143">
        <v>755</v>
      </c>
      <c r="Q3377" s="122" t="s">
        <v>14461</v>
      </c>
      <c r="R3377" s="16" t="s">
        <v>8904</v>
      </c>
      <c r="S3377" s="10" t="s">
        <v>194</v>
      </c>
      <c r="T3377" s="28" t="s">
        <v>12336</v>
      </c>
      <c r="U3377" s="20" t="s">
        <v>5359</v>
      </c>
      <c r="V3377" s="16" t="s">
        <v>5879</v>
      </c>
      <c r="W3377" s="11" t="s">
        <v>14433</v>
      </c>
      <c r="X3377" s="174">
        <v>7.14</v>
      </c>
      <c r="Y3377" s="174">
        <v>11.21</v>
      </c>
    </row>
    <row r="3378" spans="1:25" ht="15" customHeight="1" x14ac:dyDescent="0.25">
      <c r="A3378" s="20" t="s">
        <v>5877</v>
      </c>
      <c r="B3378" s="14" t="s">
        <v>5878</v>
      </c>
      <c r="C3378" s="71" t="str">
        <f t="shared" si="82"/>
        <v>Product Info</v>
      </c>
      <c r="D3378" s="37" t="s">
        <v>6817</v>
      </c>
      <c r="E3378" s="143">
        <v>50</v>
      </c>
      <c r="F3378" s="12" t="s">
        <v>4992</v>
      </c>
      <c r="G3378" s="38">
        <v>2.81</v>
      </c>
      <c r="H3378" s="38">
        <f t="shared" si="84"/>
        <v>1.97</v>
      </c>
      <c r="I3378" s="38">
        <v>1.97</v>
      </c>
      <c r="J3378" s="39"/>
      <c r="K3378" s="12" t="s">
        <v>8905</v>
      </c>
      <c r="L3378" s="22">
        <v>3</v>
      </c>
      <c r="M3378" s="22" t="s">
        <v>12488</v>
      </c>
      <c r="N3378" s="20" t="s">
        <v>9304</v>
      </c>
      <c r="O3378" s="16" t="s">
        <v>12608</v>
      </c>
      <c r="P3378" s="143">
        <v>755</v>
      </c>
      <c r="Q3378" s="122" t="s">
        <v>9227</v>
      </c>
      <c r="R3378" s="16" t="s">
        <v>8904</v>
      </c>
      <c r="S3378" s="10" t="s">
        <v>194</v>
      </c>
      <c r="T3378" s="28" t="s">
        <v>12337</v>
      </c>
      <c r="U3378" s="20" t="s">
        <v>5359</v>
      </c>
      <c r="V3378" s="16" t="s">
        <v>5877</v>
      </c>
      <c r="W3378" s="11" t="s">
        <v>14433</v>
      </c>
      <c r="X3378" s="174">
        <v>1.25</v>
      </c>
      <c r="Y3378" s="174">
        <v>1.97</v>
      </c>
    </row>
    <row r="3379" spans="1:25" ht="15" customHeight="1" x14ac:dyDescent="0.25">
      <c r="A3379" s="20" t="s">
        <v>1234</v>
      </c>
      <c r="B3379" s="14" t="s">
        <v>185</v>
      </c>
      <c r="C3379" s="71" t="str">
        <f t="shared" si="82"/>
        <v>Product Info</v>
      </c>
      <c r="D3379" s="37" t="s">
        <v>196</v>
      </c>
      <c r="E3379" s="143">
        <v>50</v>
      </c>
      <c r="F3379" s="12" t="s">
        <v>4992</v>
      </c>
      <c r="G3379" s="38">
        <v>5.31</v>
      </c>
      <c r="H3379" s="38">
        <f t="shared" si="84"/>
        <v>3.72</v>
      </c>
      <c r="I3379" s="38">
        <v>3.72</v>
      </c>
      <c r="J3379" s="39"/>
      <c r="K3379" s="143"/>
      <c r="L3379" s="22">
        <v>6</v>
      </c>
      <c r="M3379" s="22" t="s">
        <v>12488</v>
      </c>
      <c r="N3379" s="20" t="s">
        <v>9306</v>
      </c>
      <c r="O3379" s="16" t="s">
        <v>12608</v>
      </c>
      <c r="P3379" s="143">
        <v>755</v>
      </c>
      <c r="Q3379" s="122" t="s">
        <v>12421</v>
      </c>
      <c r="R3379" s="16" t="s">
        <v>8904</v>
      </c>
      <c r="S3379" s="10" t="s">
        <v>194</v>
      </c>
      <c r="T3379" s="28" t="s">
        <v>12338</v>
      </c>
      <c r="U3379" s="20" t="s">
        <v>5359</v>
      </c>
      <c r="V3379" s="16" t="s">
        <v>1234</v>
      </c>
      <c r="W3379" s="11" t="s">
        <v>14433</v>
      </c>
      <c r="X3379" s="174">
        <v>2.37</v>
      </c>
      <c r="Y3379" s="174">
        <v>3.72</v>
      </c>
    </row>
    <row r="3380" spans="1:25" ht="15" customHeight="1" x14ac:dyDescent="0.25">
      <c r="A3380" s="20" t="s">
        <v>5887</v>
      </c>
      <c r="B3380" s="14" t="s">
        <v>5888</v>
      </c>
      <c r="C3380" s="71" t="str">
        <f t="shared" si="82"/>
        <v>Product Info</v>
      </c>
      <c r="D3380" s="37" t="s">
        <v>6818</v>
      </c>
      <c r="E3380" s="143">
        <v>25</v>
      </c>
      <c r="F3380" s="12" t="s">
        <v>4992</v>
      </c>
      <c r="G3380" s="38">
        <v>16.61</v>
      </c>
      <c r="H3380" s="38">
        <f t="shared" si="84"/>
        <v>11.63</v>
      </c>
      <c r="I3380" s="38">
        <v>11.63</v>
      </c>
      <c r="J3380" s="39"/>
      <c r="K3380" s="12" t="s">
        <v>8905</v>
      </c>
      <c r="L3380" s="22">
        <v>0.45</v>
      </c>
      <c r="M3380" s="22" t="s">
        <v>12488</v>
      </c>
      <c r="N3380" s="20" t="s">
        <v>9324</v>
      </c>
      <c r="O3380" s="16" t="s">
        <v>12608</v>
      </c>
      <c r="P3380" s="143">
        <v>755</v>
      </c>
      <c r="Q3380" s="122" t="s">
        <v>14461</v>
      </c>
      <c r="R3380" s="16" t="s">
        <v>8904</v>
      </c>
      <c r="S3380" s="10" t="s">
        <v>194</v>
      </c>
      <c r="T3380" s="28" t="s">
        <v>12339</v>
      </c>
      <c r="U3380" s="20" t="s">
        <v>5359</v>
      </c>
      <c r="V3380" s="16" t="s">
        <v>5887</v>
      </c>
      <c r="W3380" s="11" t="s">
        <v>14433</v>
      </c>
      <c r="X3380" s="174">
        <v>7.41</v>
      </c>
      <c r="Y3380" s="174">
        <v>11.63</v>
      </c>
    </row>
    <row r="3381" spans="1:25" ht="15" customHeight="1" x14ac:dyDescent="0.25">
      <c r="A3381" s="20" t="s">
        <v>5885</v>
      </c>
      <c r="B3381" s="14" t="s">
        <v>5886</v>
      </c>
      <c r="C3381" s="71" t="str">
        <f t="shared" si="82"/>
        <v>Product Info</v>
      </c>
      <c r="D3381" s="37" t="s">
        <v>6819</v>
      </c>
      <c r="E3381" s="143">
        <v>50</v>
      </c>
      <c r="F3381" s="12" t="s">
        <v>4992</v>
      </c>
      <c r="G3381" s="38">
        <v>3.06</v>
      </c>
      <c r="H3381" s="38">
        <f t="shared" si="84"/>
        <v>2.14</v>
      </c>
      <c r="I3381" s="38">
        <v>2.14</v>
      </c>
      <c r="J3381" s="39"/>
      <c r="K3381" s="143" t="s">
        <v>8905</v>
      </c>
      <c r="L3381" s="22">
        <v>4</v>
      </c>
      <c r="M3381" s="22" t="s">
        <v>12488</v>
      </c>
      <c r="N3381" s="20" t="s">
        <v>9306</v>
      </c>
      <c r="O3381" s="16" t="s">
        <v>12608</v>
      </c>
      <c r="P3381" s="143">
        <v>755</v>
      </c>
      <c r="Q3381" s="122" t="s">
        <v>14461</v>
      </c>
      <c r="R3381" s="16" t="s">
        <v>8904</v>
      </c>
      <c r="S3381" s="10" t="s">
        <v>194</v>
      </c>
      <c r="T3381" s="28" t="s">
        <v>12340</v>
      </c>
      <c r="U3381" s="20" t="s">
        <v>5359</v>
      </c>
      <c r="V3381" s="16" t="s">
        <v>5885</v>
      </c>
      <c r="W3381" s="11" t="s">
        <v>14433</v>
      </c>
      <c r="X3381" s="174">
        <v>1.37</v>
      </c>
      <c r="Y3381" s="174">
        <v>2.14</v>
      </c>
    </row>
    <row r="3382" spans="1:25" ht="15" customHeight="1" x14ac:dyDescent="0.25">
      <c r="A3382" s="20" t="s">
        <v>5883</v>
      </c>
      <c r="B3382" s="14" t="s">
        <v>5884</v>
      </c>
      <c r="C3382" s="71" t="str">
        <f t="shared" si="82"/>
        <v>Product Info</v>
      </c>
      <c r="D3382" s="37" t="s">
        <v>6820</v>
      </c>
      <c r="E3382" s="143">
        <v>50</v>
      </c>
      <c r="F3382" s="12" t="s">
        <v>4992</v>
      </c>
      <c r="G3382" s="38">
        <v>3.46</v>
      </c>
      <c r="H3382" s="38">
        <f t="shared" si="84"/>
        <v>2.42</v>
      </c>
      <c r="I3382" s="38">
        <v>2.42</v>
      </c>
      <c r="J3382" s="39"/>
      <c r="K3382" s="143"/>
      <c r="L3382" s="22">
        <v>6</v>
      </c>
      <c r="M3382" s="22" t="s">
        <v>12488</v>
      </c>
      <c r="N3382" s="20" t="s">
        <v>9586</v>
      </c>
      <c r="O3382" s="16" t="s">
        <v>12608</v>
      </c>
      <c r="P3382" s="143">
        <v>755</v>
      </c>
      <c r="Q3382" s="122" t="s">
        <v>14461</v>
      </c>
      <c r="R3382" s="16" t="s">
        <v>8904</v>
      </c>
      <c r="S3382" s="10" t="s">
        <v>194</v>
      </c>
      <c r="T3382" s="28" t="s">
        <v>12341</v>
      </c>
      <c r="U3382" s="20" t="s">
        <v>5359</v>
      </c>
      <c r="V3382" s="16" t="s">
        <v>5883</v>
      </c>
      <c r="W3382" s="11" t="s">
        <v>14433</v>
      </c>
      <c r="X3382" s="174">
        <v>1.55</v>
      </c>
      <c r="Y3382" s="174">
        <v>2.42</v>
      </c>
    </row>
    <row r="3383" spans="1:25" ht="15" customHeight="1" x14ac:dyDescent="0.25">
      <c r="A3383" s="20" t="s">
        <v>5881</v>
      </c>
      <c r="B3383" s="14" t="s">
        <v>5882</v>
      </c>
      <c r="C3383" s="71" t="str">
        <f t="shared" si="82"/>
        <v>Product Info</v>
      </c>
      <c r="D3383" s="37" t="s">
        <v>6821</v>
      </c>
      <c r="E3383" s="143">
        <v>50</v>
      </c>
      <c r="F3383" s="12" t="s">
        <v>4992</v>
      </c>
      <c r="G3383" s="38">
        <v>4.59</v>
      </c>
      <c r="H3383" s="38">
        <f t="shared" si="84"/>
        <v>3.21</v>
      </c>
      <c r="I3383" s="38">
        <v>3.21</v>
      </c>
      <c r="J3383" s="39"/>
      <c r="K3383" s="143"/>
      <c r="L3383" s="22">
        <v>8</v>
      </c>
      <c r="M3383" s="22" t="s">
        <v>12488</v>
      </c>
      <c r="N3383" s="20" t="s">
        <v>9586</v>
      </c>
      <c r="O3383" s="16" t="s">
        <v>12608</v>
      </c>
      <c r="P3383" s="143">
        <v>755</v>
      </c>
      <c r="Q3383" s="122" t="s">
        <v>14461</v>
      </c>
      <c r="R3383" s="16" t="s">
        <v>8904</v>
      </c>
      <c r="S3383" s="10" t="s">
        <v>194</v>
      </c>
      <c r="T3383" s="28" t="s">
        <v>12342</v>
      </c>
      <c r="U3383" s="20" t="s">
        <v>5359</v>
      </c>
      <c r="V3383" s="16" t="s">
        <v>5881</v>
      </c>
      <c r="W3383" s="11" t="s">
        <v>14433</v>
      </c>
      <c r="X3383" s="174">
        <v>2.0499999999999998</v>
      </c>
      <c r="Y3383" s="174">
        <v>3.21</v>
      </c>
    </row>
    <row r="3384" spans="1:25" ht="15" customHeight="1" x14ac:dyDescent="0.25">
      <c r="A3384" s="20" t="s">
        <v>5895</v>
      </c>
      <c r="B3384" s="14" t="s">
        <v>5896</v>
      </c>
      <c r="C3384" s="71" t="str">
        <f t="shared" si="82"/>
        <v>Product Info</v>
      </c>
      <c r="D3384" s="37" t="s">
        <v>6822</v>
      </c>
      <c r="E3384" s="143">
        <v>25</v>
      </c>
      <c r="F3384" s="12" t="s">
        <v>4992</v>
      </c>
      <c r="G3384" s="38">
        <v>21.49</v>
      </c>
      <c r="H3384" s="38">
        <f t="shared" si="84"/>
        <v>15.04</v>
      </c>
      <c r="I3384" s="38">
        <v>15.04</v>
      </c>
      <c r="J3384" s="39"/>
      <c r="K3384" s="12" t="s">
        <v>8905</v>
      </c>
      <c r="L3384" s="22">
        <v>2</v>
      </c>
      <c r="M3384" s="22" t="s">
        <v>12488</v>
      </c>
      <c r="N3384" s="20" t="s">
        <v>9352</v>
      </c>
      <c r="O3384" s="16" t="s">
        <v>12608</v>
      </c>
      <c r="P3384" s="143">
        <v>755</v>
      </c>
      <c r="Q3384" s="122" t="s">
        <v>14461</v>
      </c>
      <c r="R3384" s="16" t="s">
        <v>8904</v>
      </c>
      <c r="S3384" s="10" t="s">
        <v>194</v>
      </c>
      <c r="T3384" s="28" t="s">
        <v>12343</v>
      </c>
      <c r="U3384" s="20" t="s">
        <v>5359</v>
      </c>
      <c r="V3384" s="16" t="s">
        <v>5895</v>
      </c>
      <c r="W3384" s="11" t="s">
        <v>14433</v>
      </c>
      <c r="X3384" s="174">
        <v>9.58</v>
      </c>
      <c r="Y3384" s="174">
        <v>15.04</v>
      </c>
    </row>
    <row r="3385" spans="1:25" ht="15" customHeight="1" x14ac:dyDescent="0.25">
      <c r="A3385" s="20" t="s">
        <v>5893</v>
      </c>
      <c r="B3385" s="14" t="s">
        <v>5894</v>
      </c>
      <c r="C3385" s="71" t="str">
        <f t="shared" si="82"/>
        <v>Product Info</v>
      </c>
      <c r="D3385" s="37" t="s">
        <v>6823</v>
      </c>
      <c r="E3385" s="143">
        <v>50</v>
      </c>
      <c r="F3385" s="12" t="s">
        <v>4992</v>
      </c>
      <c r="G3385" s="38">
        <v>3.99</v>
      </c>
      <c r="H3385" s="38">
        <f t="shared" si="84"/>
        <v>2.79</v>
      </c>
      <c r="I3385" s="38">
        <v>2.79</v>
      </c>
      <c r="J3385" s="39"/>
      <c r="K3385" s="143"/>
      <c r="L3385" s="22">
        <v>4.5750000000000002</v>
      </c>
      <c r="M3385" s="22" t="s">
        <v>12488</v>
      </c>
      <c r="N3385" s="20" t="s">
        <v>9241</v>
      </c>
      <c r="O3385" s="16" t="s">
        <v>12608</v>
      </c>
      <c r="P3385" s="143">
        <v>755</v>
      </c>
      <c r="Q3385" s="122" t="s">
        <v>9227</v>
      </c>
      <c r="R3385" s="16" t="s">
        <v>8904</v>
      </c>
      <c r="S3385" s="10" t="s">
        <v>194</v>
      </c>
      <c r="T3385" s="28" t="s">
        <v>12344</v>
      </c>
      <c r="U3385" s="20" t="s">
        <v>5359</v>
      </c>
      <c r="V3385" s="16" t="s">
        <v>5893</v>
      </c>
      <c r="W3385" s="11" t="s">
        <v>14433</v>
      </c>
      <c r="X3385" s="174">
        <v>1.77</v>
      </c>
      <c r="Y3385" s="174">
        <v>2.79</v>
      </c>
    </row>
    <row r="3386" spans="1:25" ht="15" customHeight="1" x14ac:dyDescent="0.25">
      <c r="A3386" s="20" t="s">
        <v>5891</v>
      </c>
      <c r="B3386" s="14" t="s">
        <v>5892</v>
      </c>
      <c r="C3386" s="71" t="str">
        <f t="shared" si="82"/>
        <v>Product Info</v>
      </c>
      <c r="D3386" s="37" t="s">
        <v>6824</v>
      </c>
      <c r="E3386" s="143">
        <v>50</v>
      </c>
      <c r="F3386" s="12" t="s">
        <v>4992</v>
      </c>
      <c r="G3386" s="38">
        <v>4.84</v>
      </c>
      <c r="H3386" s="38">
        <f t="shared" si="84"/>
        <v>3.39</v>
      </c>
      <c r="I3386" s="38">
        <v>3.39</v>
      </c>
      <c r="J3386" s="39"/>
      <c r="K3386" s="143" t="s">
        <v>8905</v>
      </c>
      <c r="L3386" s="22">
        <v>6.9</v>
      </c>
      <c r="M3386" s="22" t="s">
        <v>12488</v>
      </c>
      <c r="N3386" s="20" t="s">
        <v>9241</v>
      </c>
      <c r="O3386" s="16" t="s">
        <v>12608</v>
      </c>
      <c r="P3386" s="143">
        <v>755</v>
      </c>
      <c r="Q3386" s="122" t="s">
        <v>14461</v>
      </c>
      <c r="R3386" s="16" t="s">
        <v>8904</v>
      </c>
      <c r="S3386" s="10" t="s">
        <v>194</v>
      </c>
      <c r="T3386" s="28" t="s">
        <v>12345</v>
      </c>
      <c r="U3386" s="20" t="s">
        <v>5359</v>
      </c>
      <c r="V3386" s="16" t="s">
        <v>5891</v>
      </c>
      <c r="W3386" s="11" t="s">
        <v>14433</v>
      </c>
      <c r="X3386" s="174">
        <v>2.16</v>
      </c>
      <c r="Y3386" s="174">
        <v>3.39</v>
      </c>
    </row>
    <row r="3387" spans="1:25" ht="15" customHeight="1" x14ac:dyDescent="0.25">
      <c r="A3387" s="20" t="s">
        <v>5889</v>
      </c>
      <c r="B3387" s="14" t="s">
        <v>5890</v>
      </c>
      <c r="C3387" s="71" t="str">
        <f t="shared" si="82"/>
        <v>Product Info</v>
      </c>
      <c r="D3387" s="37" t="s">
        <v>6825</v>
      </c>
      <c r="E3387" s="143">
        <v>50</v>
      </c>
      <c r="F3387" s="12" t="s">
        <v>4992</v>
      </c>
      <c r="G3387" s="38">
        <v>5.89</v>
      </c>
      <c r="H3387" s="38">
        <f t="shared" si="84"/>
        <v>4.12</v>
      </c>
      <c r="I3387" s="38">
        <v>4.12</v>
      </c>
      <c r="J3387" s="39"/>
      <c r="K3387" s="143"/>
      <c r="L3387" s="22">
        <v>9.1999999999999993</v>
      </c>
      <c r="M3387" s="22" t="s">
        <v>12488</v>
      </c>
      <c r="N3387" s="20" t="s">
        <v>9587</v>
      </c>
      <c r="O3387" s="16" t="s">
        <v>12608</v>
      </c>
      <c r="P3387" s="143">
        <v>755</v>
      </c>
      <c r="Q3387" s="122" t="s">
        <v>9227</v>
      </c>
      <c r="R3387" s="16" t="s">
        <v>8904</v>
      </c>
      <c r="S3387" s="10" t="s">
        <v>194</v>
      </c>
      <c r="T3387" s="28" t="s">
        <v>12346</v>
      </c>
      <c r="U3387" s="20" t="s">
        <v>5359</v>
      </c>
      <c r="V3387" s="16" t="s">
        <v>5889</v>
      </c>
      <c r="W3387" s="11" t="s">
        <v>14433</v>
      </c>
      <c r="X3387" s="174">
        <v>2.63</v>
      </c>
      <c r="Y3387" s="174">
        <v>4.12</v>
      </c>
    </row>
    <row r="3388" spans="1:25" ht="15" customHeight="1" x14ac:dyDescent="0.25">
      <c r="A3388" s="20" t="s">
        <v>5905</v>
      </c>
      <c r="B3388" s="14" t="s">
        <v>5906</v>
      </c>
      <c r="C3388" s="71" t="str">
        <f t="shared" si="82"/>
        <v>Product Info</v>
      </c>
      <c r="D3388" s="37" t="s">
        <v>6826</v>
      </c>
      <c r="E3388" s="143">
        <v>10</v>
      </c>
      <c r="F3388" s="12" t="s">
        <v>4992</v>
      </c>
      <c r="G3388" s="38">
        <v>28.51</v>
      </c>
      <c r="H3388" s="38">
        <f t="shared" si="84"/>
        <v>19.96</v>
      </c>
      <c r="I3388" s="38">
        <v>19.96</v>
      </c>
      <c r="J3388" s="39"/>
      <c r="K3388" s="12" t="s">
        <v>8905</v>
      </c>
      <c r="L3388" s="22">
        <v>8.93</v>
      </c>
      <c r="M3388" s="22" t="s">
        <v>12488</v>
      </c>
      <c r="N3388" s="20" t="s">
        <v>9324</v>
      </c>
      <c r="O3388" s="16" t="s">
        <v>12608</v>
      </c>
      <c r="P3388" s="143">
        <v>755</v>
      </c>
      <c r="Q3388" s="122" t="s">
        <v>14461</v>
      </c>
      <c r="R3388" s="16" t="s">
        <v>8904</v>
      </c>
      <c r="S3388" s="10" t="s">
        <v>194</v>
      </c>
      <c r="T3388" s="28" t="s">
        <v>12347</v>
      </c>
      <c r="U3388" s="20" t="s">
        <v>5359</v>
      </c>
      <c r="V3388" s="16" t="s">
        <v>5905</v>
      </c>
      <c r="W3388" s="11" t="s">
        <v>14433</v>
      </c>
      <c r="X3388" s="174">
        <v>12.71</v>
      </c>
      <c r="Y3388" s="174">
        <v>19.96</v>
      </c>
    </row>
    <row r="3389" spans="1:25" ht="15" customHeight="1" x14ac:dyDescent="0.25">
      <c r="A3389" s="20" t="s">
        <v>5903</v>
      </c>
      <c r="B3389" s="14" t="s">
        <v>5904</v>
      </c>
      <c r="C3389" s="71" t="str">
        <f t="shared" si="82"/>
        <v>Product Info</v>
      </c>
      <c r="D3389" s="37" t="s">
        <v>6827</v>
      </c>
      <c r="E3389" s="143">
        <v>40</v>
      </c>
      <c r="F3389" s="12" t="s">
        <v>4992</v>
      </c>
      <c r="G3389" s="38">
        <v>5.33</v>
      </c>
      <c r="H3389" s="38">
        <f t="shared" si="84"/>
        <v>3.73</v>
      </c>
      <c r="I3389" s="38">
        <v>3.73</v>
      </c>
      <c r="J3389" s="39"/>
      <c r="K3389" s="143"/>
      <c r="L3389" s="22">
        <v>9.5299999999999994</v>
      </c>
      <c r="M3389" s="22" t="s">
        <v>12488</v>
      </c>
      <c r="N3389" s="20" t="s">
        <v>9586</v>
      </c>
      <c r="O3389" s="16" t="s">
        <v>12608</v>
      </c>
      <c r="P3389" s="143">
        <v>755</v>
      </c>
      <c r="Q3389" s="122" t="s">
        <v>12421</v>
      </c>
      <c r="R3389" s="16" t="s">
        <v>8904</v>
      </c>
      <c r="S3389" s="10" t="s">
        <v>194</v>
      </c>
      <c r="T3389" s="28" t="s">
        <v>12348</v>
      </c>
      <c r="U3389" s="20" t="s">
        <v>5359</v>
      </c>
      <c r="V3389" s="16" t="s">
        <v>5903</v>
      </c>
      <c r="W3389" s="11" t="s">
        <v>14433</v>
      </c>
      <c r="X3389" s="174">
        <v>2.37</v>
      </c>
      <c r="Y3389" s="174">
        <v>3.73</v>
      </c>
    </row>
    <row r="3390" spans="1:25" ht="15" customHeight="1" x14ac:dyDescent="0.25">
      <c r="A3390" s="20" t="s">
        <v>5901</v>
      </c>
      <c r="B3390" s="14" t="s">
        <v>5902</v>
      </c>
      <c r="C3390" s="71" t="str">
        <f t="shared" si="82"/>
        <v>Product Info</v>
      </c>
      <c r="D3390" s="37" t="s">
        <v>6828</v>
      </c>
      <c r="E3390" s="143">
        <v>40</v>
      </c>
      <c r="F3390" s="12" t="s">
        <v>4992</v>
      </c>
      <c r="G3390" s="38">
        <v>6.47</v>
      </c>
      <c r="H3390" s="38">
        <f t="shared" si="84"/>
        <v>4.53</v>
      </c>
      <c r="I3390" s="38">
        <v>4.53</v>
      </c>
      <c r="J3390" s="39"/>
      <c r="K3390" s="143"/>
      <c r="L3390" s="22">
        <v>14.31</v>
      </c>
      <c r="M3390" s="22" t="s">
        <v>12488</v>
      </c>
      <c r="N3390" s="20" t="s">
        <v>9241</v>
      </c>
      <c r="O3390" s="16" t="s">
        <v>12608</v>
      </c>
      <c r="P3390" s="143">
        <v>755</v>
      </c>
      <c r="Q3390" s="122" t="s">
        <v>14461</v>
      </c>
      <c r="R3390" s="16" t="s">
        <v>8904</v>
      </c>
      <c r="S3390" s="10" t="s">
        <v>194</v>
      </c>
      <c r="T3390" s="28" t="s">
        <v>12349</v>
      </c>
      <c r="U3390" s="20" t="s">
        <v>5359</v>
      </c>
      <c r="V3390" s="16" t="s">
        <v>5901</v>
      </c>
      <c r="W3390" s="11" t="s">
        <v>14433</v>
      </c>
      <c r="X3390" s="174">
        <v>2.89</v>
      </c>
      <c r="Y3390" s="174">
        <v>4.53</v>
      </c>
    </row>
    <row r="3391" spans="1:25" ht="15" customHeight="1" x14ac:dyDescent="0.25">
      <c r="A3391" s="20" t="s">
        <v>5899</v>
      </c>
      <c r="B3391" s="14" t="s">
        <v>5900</v>
      </c>
      <c r="C3391" s="71" t="str">
        <f t="shared" si="82"/>
        <v>Product Info</v>
      </c>
      <c r="D3391" s="37" t="s">
        <v>6829</v>
      </c>
      <c r="E3391" s="143">
        <v>40</v>
      </c>
      <c r="F3391" s="12" t="s">
        <v>4992</v>
      </c>
      <c r="G3391" s="38">
        <v>8.3699999999999992</v>
      </c>
      <c r="H3391" s="38">
        <f t="shared" si="84"/>
        <v>5.86</v>
      </c>
      <c r="I3391" s="38">
        <v>5.86</v>
      </c>
      <c r="J3391" s="39"/>
      <c r="K3391" s="143"/>
      <c r="L3391" s="22">
        <v>15.9</v>
      </c>
      <c r="M3391" s="22" t="s">
        <v>12488</v>
      </c>
      <c r="N3391" s="20" t="s">
        <v>9241</v>
      </c>
      <c r="O3391" s="16" t="s">
        <v>12608</v>
      </c>
      <c r="P3391" s="143">
        <v>755</v>
      </c>
      <c r="Q3391" s="121" t="s">
        <v>14285</v>
      </c>
      <c r="R3391" s="16" t="s">
        <v>8904</v>
      </c>
      <c r="S3391" s="10" t="s">
        <v>194</v>
      </c>
      <c r="T3391" s="28" t="s">
        <v>12350</v>
      </c>
      <c r="U3391" s="20" t="s">
        <v>5359</v>
      </c>
      <c r="V3391" s="16" t="s">
        <v>5899</v>
      </c>
      <c r="W3391" s="11" t="s">
        <v>14433</v>
      </c>
      <c r="X3391" s="174">
        <v>3.73</v>
      </c>
      <c r="Y3391" s="174">
        <v>5.86</v>
      </c>
    </row>
    <row r="3392" spans="1:25" ht="15" customHeight="1" x14ac:dyDescent="0.25">
      <c r="A3392" s="20" t="s">
        <v>5897</v>
      </c>
      <c r="B3392" s="14" t="s">
        <v>5898</v>
      </c>
      <c r="C3392" s="71" t="str">
        <f t="shared" si="82"/>
        <v>Product Info</v>
      </c>
      <c r="D3392" s="37" t="s">
        <v>6830</v>
      </c>
      <c r="E3392" s="143">
        <v>40</v>
      </c>
      <c r="F3392" s="12" t="s">
        <v>4992</v>
      </c>
      <c r="G3392" s="38">
        <v>7.79</v>
      </c>
      <c r="H3392" s="38">
        <f t="shared" si="84"/>
        <v>5.45</v>
      </c>
      <c r="I3392" s="38">
        <v>5.45</v>
      </c>
      <c r="J3392" s="39"/>
      <c r="K3392" s="143"/>
      <c r="L3392" s="22">
        <v>19.2</v>
      </c>
      <c r="M3392" s="22" t="s">
        <v>12488</v>
      </c>
      <c r="N3392" s="20" t="s">
        <v>9241</v>
      </c>
      <c r="O3392" s="16" t="s">
        <v>12608</v>
      </c>
      <c r="P3392" s="143">
        <v>755</v>
      </c>
      <c r="Q3392" s="122" t="s">
        <v>14461</v>
      </c>
      <c r="R3392" s="16" t="s">
        <v>8904</v>
      </c>
      <c r="S3392" s="10" t="s">
        <v>194</v>
      </c>
      <c r="T3392" s="28" t="s">
        <v>12351</v>
      </c>
      <c r="U3392" s="20" t="s">
        <v>5359</v>
      </c>
      <c r="V3392" s="16" t="s">
        <v>5897</v>
      </c>
      <c r="W3392" s="11" t="s">
        <v>14433</v>
      </c>
      <c r="X3392" s="174">
        <v>3.48</v>
      </c>
      <c r="Y3392" s="174">
        <v>5.45</v>
      </c>
    </row>
    <row r="3393" spans="1:25" ht="15" customHeight="1" x14ac:dyDescent="0.25">
      <c r="A3393" s="20" t="s">
        <v>5915</v>
      </c>
      <c r="B3393" s="14" t="s">
        <v>6783</v>
      </c>
      <c r="C3393" s="71" t="str">
        <f t="shared" si="82"/>
        <v>Product Info</v>
      </c>
      <c r="D3393" s="37" t="s">
        <v>6831</v>
      </c>
      <c r="E3393" s="143">
        <v>100</v>
      </c>
      <c r="F3393" s="12" t="s">
        <v>4992</v>
      </c>
      <c r="G3393" s="38">
        <v>4.04</v>
      </c>
      <c r="H3393" s="38">
        <f t="shared" si="84"/>
        <v>2.83</v>
      </c>
      <c r="I3393" s="38">
        <v>2.83</v>
      </c>
      <c r="J3393" s="39"/>
      <c r="K3393" s="143"/>
      <c r="L3393" s="22">
        <v>11.2</v>
      </c>
      <c r="M3393" s="22" t="s">
        <v>12488</v>
      </c>
      <c r="N3393" s="20" t="s">
        <v>8817</v>
      </c>
      <c r="O3393" s="16" t="s">
        <v>12608</v>
      </c>
      <c r="P3393" s="143">
        <v>755</v>
      </c>
      <c r="Q3393" s="122" t="s">
        <v>12421</v>
      </c>
      <c r="R3393" s="16" t="s">
        <v>8904</v>
      </c>
      <c r="S3393" s="10" t="s">
        <v>194</v>
      </c>
      <c r="T3393" s="28" t="s">
        <v>12352</v>
      </c>
      <c r="U3393" s="20" t="s">
        <v>5359</v>
      </c>
      <c r="V3393" s="16" t="s">
        <v>5915</v>
      </c>
      <c r="W3393" s="11" t="s">
        <v>14433</v>
      </c>
      <c r="X3393" s="174">
        <v>1.8</v>
      </c>
      <c r="Y3393" s="174">
        <v>2.83</v>
      </c>
    </row>
    <row r="3394" spans="1:25" ht="15" customHeight="1" x14ac:dyDescent="0.25">
      <c r="A3394" s="20" t="s">
        <v>5913</v>
      </c>
      <c r="B3394" s="14" t="s">
        <v>5914</v>
      </c>
      <c r="C3394" s="71" t="str">
        <f t="shared" si="82"/>
        <v>Product Info</v>
      </c>
      <c r="D3394" s="37" t="s">
        <v>6832</v>
      </c>
      <c r="E3394" s="143">
        <v>10</v>
      </c>
      <c r="F3394" s="12" t="s">
        <v>4992</v>
      </c>
      <c r="G3394" s="38">
        <v>33.31</v>
      </c>
      <c r="H3394" s="38">
        <f t="shared" si="84"/>
        <v>23.32</v>
      </c>
      <c r="I3394" s="38">
        <v>23.32</v>
      </c>
      <c r="J3394" s="39"/>
      <c r="K3394" s="12" t="s">
        <v>8905</v>
      </c>
      <c r="L3394" s="22">
        <v>2</v>
      </c>
      <c r="M3394" s="22" t="s">
        <v>12488</v>
      </c>
      <c r="N3394" s="20" t="s">
        <v>9352</v>
      </c>
      <c r="O3394" s="16" t="s">
        <v>12608</v>
      </c>
      <c r="P3394" s="143">
        <v>755</v>
      </c>
      <c r="Q3394" s="122" t="s">
        <v>14461</v>
      </c>
      <c r="R3394" s="16" t="s">
        <v>8904</v>
      </c>
      <c r="S3394" s="10" t="s">
        <v>194</v>
      </c>
      <c r="T3394" s="28" t="s">
        <v>12353</v>
      </c>
      <c r="U3394" s="20" t="s">
        <v>5359</v>
      </c>
      <c r="V3394" s="16" t="s">
        <v>5913</v>
      </c>
      <c r="W3394" s="11" t="s">
        <v>14433</v>
      </c>
      <c r="X3394" s="174">
        <v>14.86</v>
      </c>
      <c r="Y3394" s="174">
        <v>23.32</v>
      </c>
    </row>
    <row r="3395" spans="1:25" ht="15" customHeight="1" x14ac:dyDescent="0.25">
      <c r="A3395" s="20" t="s">
        <v>5911</v>
      </c>
      <c r="B3395" s="14" t="s">
        <v>5912</v>
      </c>
      <c r="C3395" s="71" t="str">
        <f t="shared" si="82"/>
        <v>Product Info</v>
      </c>
      <c r="D3395" s="37" t="s">
        <v>6833</v>
      </c>
      <c r="E3395" s="143">
        <v>25</v>
      </c>
      <c r="F3395" s="12" t="s">
        <v>4992</v>
      </c>
      <c r="G3395" s="38">
        <v>7.63</v>
      </c>
      <c r="H3395" s="38">
        <f t="shared" si="84"/>
        <v>5.34</v>
      </c>
      <c r="I3395" s="38">
        <v>5.34</v>
      </c>
      <c r="J3395" s="39"/>
      <c r="K3395" s="143"/>
      <c r="L3395" s="22">
        <v>4.88</v>
      </c>
      <c r="M3395" s="22" t="s">
        <v>12488</v>
      </c>
      <c r="N3395" s="20" t="s">
        <v>9241</v>
      </c>
      <c r="O3395" s="16" t="s">
        <v>12608</v>
      </c>
      <c r="P3395" s="143">
        <v>755</v>
      </c>
      <c r="Q3395" s="121" t="s">
        <v>14285</v>
      </c>
      <c r="R3395" s="16" t="s">
        <v>8904</v>
      </c>
      <c r="S3395" s="10" t="s">
        <v>194</v>
      </c>
      <c r="T3395" s="28" t="s">
        <v>12354</v>
      </c>
      <c r="U3395" s="20" t="s">
        <v>5359</v>
      </c>
      <c r="V3395" s="16" t="s">
        <v>5911</v>
      </c>
      <c r="W3395" s="11" t="s">
        <v>14433</v>
      </c>
      <c r="X3395" s="174">
        <v>3.41</v>
      </c>
      <c r="Y3395" s="174">
        <v>5.34</v>
      </c>
    </row>
    <row r="3396" spans="1:25" ht="13.2" x14ac:dyDescent="0.25">
      <c r="A3396" s="20" t="s">
        <v>5909</v>
      </c>
      <c r="B3396" s="14" t="s">
        <v>5910</v>
      </c>
      <c r="C3396" s="71" t="str">
        <f t="shared" si="82"/>
        <v>Product Info</v>
      </c>
      <c r="D3396" s="37" t="s">
        <v>6834</v>
      </c>
      <c r="E3396" s="143">
        <v>30</v>
      </c>
      <c r="F3396" s="12" t="s">
        <v>4992</v>
      </c>
      <c r="G3396" s="38">
        <v>8.33</v>
      </c>
      <c r="H3396" s="38">
        <f t="shared" si="84"/>
        <v>5.83</v>
      </c>
      <c r="I3396" s="38">
        <v>5.83</v>
      </c>
      <c r="J3396" s="39"/>
      <c r="K3396" s="143"/>
      <c r="L3396" s="22">
        <v>7.33</v>
      </c>
      <c r="M3396" s="22" t="s">
        <v>12488</v>
      </c>
      <c r="N3396" s="20" t="s">
        <v>9241</v>
      </c>
      <c r="O3396" s="16" t="s">
        <v>12608</v>
      </c>
      <c r="P3396" s="143">
        <v>755</v>
      </c>
      <c r="Q3396" s="122" t="s">
        <v>14461</v>
      </c>
      <c r="R3396" s="16" t="s">
        <v>8904</v>
      </c>
      <c r="S3396" s="10" t="s">
        <v>194</v>
      </c>
      <c r="T3396" s="28" t="s">
        <v>12355</v>
      </c>
      <c r="U3396" s="20" t="s">
        <v>5359</v>
      </c>
      <c r="V3396" s="16" t="s">
        <v>5909</v>
      </c>
      <c r="W3396" s="11" t="s">
        <v>14433</v>
      </c>
      <c r="X3396" s="174">
        <v>3.71</v>
      </c>
      <c r="Y3396" s="174">
        <v>5.83</v>
      </c>
    </row>
    <row r="3397" spans="1:25" ht="13.2" x14ac:dyDescent="0.25">
      <c r="A3397" s="20" t="s">
        <v>5907</v>
      </c>
      <c r="B3397" s="14" t="s">
        <v>5908</v>
      </c>
      <c r="C3397" s="71" t="str">
        <f t="shared" si="82"/>
        <v>Product Info</v>
      </c>
      <c r="D3397" s="37" t="s">
        <v>6835</v>
      </c>
      <c r="E3397" s="143">
        <v>30</v>
      </c>
      <c r="F3397" s="12" t="s">
        <v>4992</v>
      </c>
      <c r="G3397" s="38">
        <v>10.97</v>
      </c>
      <c r="H3397" s="38">
        <f t="shared" si="84"/>
        <v>7.68</v>
      </c>
      <c r="I3397" s="38">
        <v>7.68</v>
      </c>
      <c r="J3397" s="39"/>
      <c r="K3397" s="143" t="s">
        <v>8905</v>
      </c>
      <c r="L3397" s="22">
        <v>9.7799999999999994</v>
      </c>
      <c r="M3397" s="22" t="s">
        <v>12488</v>
      </c>
      <c r="N3397" s="20" t="s">
        <v>8817</v>
      </c>
      <c r="O3397" s="16" t="s">
        <v>12608</v>
      </c>
      <c r="P3397" s="143">
        <v>755</v>
      </c>
      <c r="Q3397" s="122" t="s">
        <v>14461</v>
      </c>
      <c r="R3397" s="16" t="s">
        <v>8904</v>
      </c>
      <c r="S3397" s="10" t="s">
        <v>194</v>
      </c>
      <c r="T3397" s="28" t="s">
        <v>12356</v>
      </c>
      <c r="U3397" s="20" t="s">
        <v>5359</v>
      </c>
      <c r="V3397" s="16" t="s">
        <v>5907</v>
      </c>
      <c r="W3397" s="11" t="s">
        <v>14433</v>
      </c>
      <c r="X3397" s="174">
        <v>4.8899999999999997</v>
      </c>
      <c r="Y3397" s="174">
        <v>7.68</v>
      </c>
    </row>
    <row r="3398" spans="1:25" ht="13.5" customHeight="1" x14ac:dyDescent="0.25">
      <c r="A3398" s="20" t="s">
        <v>6794</v>
      </c>
      <c r="B3398" s="14" t="s">
        <v>6795</v>
      </c>
      <c r="C3398" s="71" t="str">
        <f t="shared" ref="C3398:C3403" si="85">HYPERLINK(T3398,U3398)</f>
        <v>Product Info</v>
      </c>
      <c r="D3398" s="37" t="s">
        <v>6836</v>
      </c>
      <c r="E3398" s="143">
        <v>10</v>
      </c>
      <c r="F3398" s="12" t="s">
        <v>4992</v>
      </c>
      <c r="G3398" s="38">
        <v>43.73</v>
      </c>
      <c r="H3398" s="38">
        <f t="shared" si="84"/>
        <v>30.61</v>
      </c>
      <c r="I3398" s="38">
        <v>30.61</v>
      </c>
      <c r="J3398" s="39"/>
      <c r="K3398" s="12" t="s">
        <v>8905</v>
      </c>
      <c r="L3398" s="22">
        <v>2</v>
      </c>
      <c r="M3398" s="22" t="s">
        <v>12488</v>
      </c>
      <c r="N3398" s="20" t="s">
        <v>9352</v>
      </c>
      <c r="O3398" s="16" t="s">
        <v>12608</v>
      </c>
      <c r="P3398" s="143">
        <v>755</v>
      </c>
      <c r="Q3398" s="122" t="s">
        <v>14461</v>
      </c>
      <c r="R3398" s="16" t="s">
        <v>8904</v>
      </c>
      <c r="S3398" s="10" t="s">
        <v>194</v>
      </c>
      <c r="T3398" s="74" t="s">
        <v>12357</v>
      </c>
      <c r="U3398" s="20" t="s">
        <v>5359</v>
      </c>
      <c r="V3398" s="75" t="s">
        <v>6794</v>
      </c>
      <c r="W3398" s="11" t="s">
        <v>14433</v>
      </c>
      <c r="X3398" s="174">
        <v>19.510000000000002</v>
      </c>
      <c r="Y3398" s="174">
        <v>30.61</v>
      </c>
    </row>
    <row r="3399" spans="1:25" s="169" customFormat="1" ht="13.5" customHeight="1" x14ac:dyDescent="0.3">
      <c r="A3399" s="20" t="s">
        <v>6792</v>
      </c>
      <c r="B3399" s="14" t="s">
        <v>6793</v>
      </c>
      <c r="C3399" s="71" t="str">
        <f t="shared" si="85"/>
        <v>Product Info</v>
      </c>
      <c r="D3399" s="37" t="s">
        <v>6837</v>
      </c>
      <c r="E3399" s="143">
        <v>25</v>
      </c>
      <c r="F3399" s="12" t="s">
        <v>4992</v>
      </c>
      <c r="G3399" s="38">
        <v>9.11</v>
      </c>
      <c r="H3399" s="38">
        <f t="shared" si="84"/>
        <v>6.38</v>
      </c>
      <c r="I3399" s="38">
        <v>6.38</v>
      </c>
      <c r="J3399" s="39"/>
      <c r="K3399" s="143"/>
      <c r="L3399" s="22">
        <v>5.4</v>
      </c>
      <c r="M3399" s="22" t="s">
        <v>12488</v>
      </c>
      <c r="N3399" s="20" t="s">
        <v>9241</v>
      </c>
      <c r="O3399" s="16" t="s">
        <v>12608</v>
      </c>
      <c r="P3399" s="143">
        <v>755</v>
      </c>
      <c r="Q3399" s="27" t="s">
        <v>14285</v>
      </c>
      <c r="R3399" s="16" t="s">
        <v>8904</v>
      </c>
      <c r="S3399" s="10" t="s">
        <v>194</v>
      </c>
      <c r="T3399" s="74" t="s">
        <v>12358</v>
      </c>
      <c r="U3399" s="20" t="s">
        <v>5359</v>
      </c>
      <c r="V3399" s="75" t="s">
        <v>6792</v>
      </c>
      <c r="W3399" s="11" t="s">
        <v>14433</v>
      </c>
      <c r="X3399" s="174">
        <v>4.07</v>
      </c>
      <c r="Y3399" s="174">
        <v>6.38</v>
      </c>
    </row>
    <row r="3400" spans="1:25" s="169" customFormat="1" ht="13.5" customHeight="1" x14ac:dyDescent="0.3">
      <c r="A3400" s="20" t="s">
        <v>6790</v>
      </c>
      <c r="B3400" s="14" t="s">
        <v>6791</v>
      </c>
      <c r="C3400" s="71" t="str">
        <f t="shared" si="85"/>
        <v>Product Info</v>
      </c>
      <c r="D3400" s="37" t="s">
        <v>6838</v>
      </c>
      <c r="E3400" s="143">
        <v>15</v>
      </c>
      <c r="F3400" s="12" t="s">
        <v>4992</v>
      </c>
      <c r="G3400" s="38">
        <v>13.31</v>
      </c>
      <c r="H3400" s="38">
        <f t="shared" si="84"/>
        <v>9.32</v>
      </c>
      <c r="I3400" s="38">
        <v>9.32</v>
      </c>
      <c r="J3400" s="39"/>
      <c r="K3400" s="143"/>
      <c r="L3400" s="22">
        <v>6.3</v>
      </c>
      <c r="M3400" s="22" t="s">
        <v>12488</v>
      </c>
      <c r="N3400" s="20" t="s">
        <v>9241</v>
      </c>
      <c r="O3400" s="16" t="s">
        <v>12608</v>
      </c>
      <c r="P3400" s="143">
        <v>755</v>
      </c>
      <c r="Q3400" s="80" t="s">
        <v>14461</v>
      </c>
      <c r="R3400" s="16" t="s">
        <v>8904</v>
      </c>
      <c r="S3400" s="10" t="s">
        <v>194</v>
      </c>
      <c r="T3400" s="74" t="s">
        <v>12359</v>
      </c>
      <c r="U3400" s="20" t="s">
        <v>5359</v>
      </c>
      <c r="V3400" s="75" t="s">
        <v>6790</v>
      </c>
      <c r="W3400" s="11" t="s">
        <v>14433</v>
      </c>
      <c r="X3400" s="174">
        <v>5.94</v>
      </c>
      <c r="Y3400" s="174">
        <v>9.32</v>
      </c>
    </row>
    <row r="3401" spans="1:25" ht="13.5" customHeight="1" x14ac:dyDescent="0.25">
      <c r="A3401" s="20" t="s">
        <v>6788</v>
      </c>
      <c r="B3401" s="14" t="s">
        <v>6789</v>
      </c>
      <c r="C3401" s="71" t="str">
        <f t="shared" si="85"/>
        <v>Product Info</v>
      </c>
      <c r="D3401" s="37" t="s">
        <v>6839</v>
      </c>
      <c r="E3401" s="143">
        <v>50</v>
      </c>
      <c r="F3401" s="12" t="s">
        <v>4992</v>
      </c>
      <c r="G3401" s="38">
        <v>16.53</v>
      </c>
      <c r="H3401" s="38">
        <f t="shared" si="84"/>
        <v>11.57</v>
      </c>
      <c r="I3401" s="38">
        <v>11.57</v>
      </c>
      <c r="J3401" s="39"/>
      <c r="K3401" s="143"/>
      <c r="L3401" s="22">
        <v>26.9</v>
      </c>
      <c r="M3401" s="22" t="s">
        <v>12488</v>
      </c>
      <c r="N3401" s="20" t="s">
        <v>9585</v>
      </c>
      <c r="O3401" s="16" t="s">
        <v>13914</v>
      </c>
      <c r="P3401" s="143">
        <v>755</v>
      </c>
      <c r="Q3401" s="27" t="s">
        <v>14285</v>
      </c>
      <c r="R3401" s="16" t="s">
        <v>8904</v>
      </c>
      <c r="S3401" s="10" t="s">
        <v>194</v>
      </c>
      <c r="T3401" s="74" t="s">
        <v>12360</v>
      </c>
      <c r="U3401" s="20" t="s">
        <v>5359</v>
      </c>
      <c r="V3401" s="75" t="s">
        <v>6788</v>
      </c>
      <c r="W3401" s="11" t="s">
        <v>14433</v>
      </c>
      <c r="X3401" s="174">
        <v>7.38</v>
      </c>
      <c r="Y3401" s="174">
        <v>11.57</v>
      </c>
    </row>
    <row r="3402" spans="1:25" ht="13.5" customHeight="1" x14ac:dyDescent="0.25">
      <c r="A3402" s="20" t="s">
        <v>6786</v>
      </c>
      <c r="B3402" s="14" t="s">
        <v>6787</v>
      </c>
      <c r="C3402" s="71" t="str">
        <f t="shared" si="85"/>
        <v>Product Info</v>
      </c>
      <c r="D3402" s="37" t="s">
        <v>6840</v>
      </c>
      <c r="E3402" s="143">
        <v>15</v>
      </c>
      <c r="F3402" s="12" t="s">
        <v>4992</v>
      </c>
      <c r="G3402" s="38">
        <v>19.66</v>
      </c>
      <c r="H3402" s="38">
        <f t="shared" ref="H3402:H3433" si="86">I3402</f>
        <v>13.76</v>
      </c>
      <c r="I3402" s="38">
        <v>13.76</v>
      </c>
      <c r="J3402" s="39"/>
      <c r="K3402" s="143"/>
      <c r="L3402" s="22">
        <v>9</v>
      </c>
      <c r="M3402" s="22" t="s">
        <v>12488</v>
      </c>
      <c r="N3402" s="20" t="s">
        <v>8814</v>
      </c>
      <c r="O3402" s="16" t="s">
        <v>12608</v>
      </c>
      <c r="P3402" s="143">
        <v>755</v>
      </c>
      <c r="Q3402" s="80" t="s">
        <v>12421</v>
      </c>
      <c r="R3402" s="16" t="s">
        <v>8904</v>
      </c>
      <c r="S3402" s="10" t="s">
        <v>194</v>
      </c>
      <c r="T3402" s="74" t="s">
        <v>12361</v>
      </c>
      <c r="U3402" s="20" t="s">
        <v>5359</v>
      </c>
      <c r="V3402" s="75" t="s">
        <v>6786</v>
      </c>
      <c r="W3402" s="11" t="s">
        <v>14433</v>
      </c>
      <c r="X3402" s="174">
        <v>8.77</v>
      </c>
      <c r="Y3402" s="174">
        <v>13.76</v>
      </c>
    </row>
    <row r="3403" spans="1:25" ht="13.5" customHeight="1" x14ac:dyDescent="0.25">
      <c r="A3403" s="20" t="s">
        <v>6784</v>
      </c>
      <c r="B3403" s="14" t="s">
        <v>6785</v>
      </c>
      <c r="C3403" s="71" t="str">
        <f t="shared" si="85"/>
        <v>Product Info</v>
      </c>
      <c r="D3403" s="37" t="s">
        <v>6841</v>
      </c>
      <c r="E3403" s="143">
        <v>10</v>
      </c>
      <c r="F3403" s="12" t="s">
        <v>4992</v>
      </c>
      <c r="G3403" s="38">
        <v>24.19</v>
      </c>
      <c r="H3403" s="38">
        <f t="shared" si="86"/>
        <v>16.93</v>
      </c>
      <c r="I3403" s="38">
        <v>16.93</v>
      </c>
      <c r="J3403" s="39"/>
      <c r="K3403" s="143"/>
      <c r="L3403" s="22">
        <v>8</v>
      </c>
      <c r="M3403" s="22" t="s">
        <v>12488</v>
      </c>
      <c r="N3403" s="20" t="s">
        <v>9588</v>
      </c>
      <c r="O3403" s="16" t="s">
        <v>12608</v>
      </c>
      <c r="P3403" s="143">
        <v>755</v>
      </c>
      <c r="Q3403" s="80" t="s">
        <v>12421</v>
      </c>
      <c r="R3403" s="16" t="s">
        <v>8904</v>
      </c>
      <c r="S3403" s="10" t="s">
        <v>194</v>
      </c>
      <c r="T3403" s="74" t="s">
        <v>12362</v>
      </c>
      <c r="U3403" s="20" t="s">
        <v>5359</v>
      </c>
      <c r="V3403" s="75" t="s">
        <v>6784</v>
      </c>
      <c r="W3403" s="11" t="s">
        <v>14433</v>
      </c>
      <c r="X3403" s="174">
        <v>10.78</v>
      </c>
      <c r="Y3403" s="174">
        <v>16.93</v>
      </c>
    </row>
  </sheetData>
  <autoFilter ref="A5:Y3403" xr:uid="{80C79B58-2B56-46CD-ABC1-656DADA9D6DC}"/>
  <sortState ref="A6:W3397">
    <sortCondition ref="B6:B3397"/>
  </sortState>
  <hyperlinks>
    <hyperlink ref="T1531" r:id="rId1" xr:uid="{00000000-0004-0000-0000-000000000000}"/>
    <hyperlink ref="T3161" r:id="rId2" xr:uid="{00000000-0004-0000-0000-000001000000}"/>
    <hyperlink ref="T397" r:id="rId3" xr:uid="{00000000-0004-0000-0000-000002000000}"/>
    <hyperlink ref="T402" r:id="rId4" xr:uid="{00000000-0004-0000-0000-000003000000}"/>
    <hyperlink ref="T97" r:id="rId5" xr:uid="{00000000-0004-0000-0000-000004000000}"/>
    <hyperlink ref="T407" r:id="rId6" xr:uid="{00000000-0004-0000-0000-000005000000}"/>
    <hyperlink ref="T2868" r:id="rId7" xr:uid="{00000000-0004-0000-0000-000006000000}"/>
    <hyperlink ref="T391" r:id="rId8" xr:uid="{00000000-0004-0000-0000-00000B000000}"/>
    <hyperlink ref="T392" r:id="rId9" xr:uid="{00000000-0004-0000-0000-00000C000000}"/>
    <hyperlink ref="T393" r:id="rId10" xr:uid="{00000000-0004-0000-0000-00000D000000}"/>
    <hyperlink ref="T394" r:id="rId11" xr:uid="{00000000-0004-0000-0000-00000E000000}"/>
    <hyperlink ref="T386" r:id="rId12" xr:uid="{00000000-0004-0000-0000-00000F000000}"/>
    <hyperlink ref="T387" r:id="rId13" xr:uid="{00000000-0004-0000-0000-000010000000}"/>
    <hyperlink ref="T388" r:id="rId14" xr:uid="{00000000-0004-0000-0000-000011000000}"/>
    <hyperlink ref="T389" r:id="rId15" xr:uid="{00000000-0004-0000-0000-000012000000}"/>
    <hyperlink ref="T155" r:id="rId16" xr:uid="{00000000-0004-0000-0000-000013000000}"/>
    <hyperlink ref="T154" r:id="rId17" xr:uid="{00000000-0004-0000-0000-000014000000}"/>
    <hyperlink ref="T153" r:id="rId18" xr:uid="{00000000-0004-0000-0000-000015000000}"/>
    <hyperlink ref="T121" r:id="rId19" xr:uid="{00000000-0004-0000-0000-000016000000}"/>
    <hyperlink ref="T129" r:id="rId20" xr:uid="{00000000-0004-0000-0000-000017000000}"/>
    <hyperlink ref="T128" r:id="rId21" xr:uid="{00000000-0004-0000-0000-000018000000}"/>
    <hyperlink ref="T120" r:id="rId22" xr:uid="{00000000-0004-0000-0000-000019000000}"/>
    <hyperlink ref="T119" r:id="rId23" xr:uid="{00000000-0004-0000-0000-00001A000000}"/>
    <hyperlink ref="T123" r:id="rId24" xr:uid="{00000000-0004-0000-0000-00001B000000}"/>
    <hyperlink ref="T117" r:id="rId25" xr:uid="{00000000-0004-0000-0000-00001C000000}"/>
    <hyperlink ref="T126" r:id="rId26" xr:uid="{00000000-0004-0000-0000-00001D000000}"/>
    <hyperlink ref="T2215" r:id="rId27" xr:uid="{00000000-0004-0000-0000-00001E000000}"/>
    <hyperlink ref="T122" r:id="rId28" xr:uid="{00000000-0004-0000-0000-00001F000000}"/>
    <hyperlink ref="T116" r:id="rId29" xr:uid="{00000000-0004-0000-0000-000020000000}"/>
    <hyperlink ref="T166" r:id="rId30" xr:uid="{00000000-0004-0000-0000-000021000000}"/>
    <hyperlink ref="T2889" r:id="rId31" xr:uid="{00000000-0004-0000-0000-000022000000}"/>
    <hyperlink ref="V404" r:id="rId32" display="javascript:__doPostBack('ctl00$MainContent$dgvSearchResults$ctl04$lnkPartNumber','')" xr:uid="{00000000-0004-0000-0000-000023000000}"/>
    <hyperlink ref="V400" r:id="rId33" display="javascript:__doPostBack('ctl00$MainContent$dgvSearchResults$ctl03$lnkPartNumber','')" xr:uid="{00000000-0004-0000-0000-000024000000}"/>
    <hyperlink ref="T250" r:id="rId34" xr:uid="{00000000-0004-0000-0000-000025000000}"/>
    <hyperlink ref="T178" r:id="rId35" xr:uid="{00000000-0004-0000-0000-000026000000}"/>
    <hyperlink ref="T179" r:id="rId36" xr:uid="{00000000-0004-0000-0000-000027000000}"/>
    <hyperlink ref="T180" r:id="rId37" xr:uid="{00000000-0004-0000-0000-000028000000}"/>
    <hyperlink ref="T3357" r:id="rId38" xr:uid="{00000000-0004-0000-0000-000029000000}"/>
    <hyperlink ref="T3356" r:id="rId39" xr:uid="{00000000-0004-0000-0000-00002A000000}"/>
    <hyperlink ref="T3355" r:id="rId40" xr:uid="{00000000-0004-0000-0000-00002B000000}"/>
    <hyperlink ref="T3354" r:id="rId41" xr:uid="{00000000-0004-0000-0000-00002C000000}"/>
    <hyperlink ref="T3353" r:id="rId42" xr:uid="{00000000-0004-0000-0000-00002D000000}"/>
    <hyperlink ref="T3352" r:id="rId43" xr:uid="{00000000-0004-0000-0000-00002E000000}"/>
    <hyperlink ref="T3351" r:id="rId44" xr:uid="{00000000-0004-0000-0000-00002F000000}"/>
    <hyperlink ref="T3350" r:id="rId45" xr:uid="{00000000-0004-0000-0000-000030000000}"/>
    <hyperlink ref="T3349" r:id="rId46" xr:uid="{00000000-0004-0000-0000-000031000000}"/>
    <hyperlink ref="T3358" r:id="rId47" xr:uid="{00000000-0004-0000-0000-000032000000}"/>
    <hyperlink ref="T3359" r:id="rId48" xr:uid="{00000000-0004-0000-0000-000033000000}"/>
    <hyperlink ref="T183" r:id="rId49" xr:uid="{00000000-0004-0000-0000-000034000000}"/>
    <hyperlink ref="T3366" r:id="rId50" xr:uid="{00000000-0004-0000-0000-000035000000}"/>
    <hyperlink ref="T3365" r:id="rId51" xr:uid="{00000000-0004-0000-0000-000036000000}"/>
    <hyperlink ref="T3364" r:id="rId52" xr:uid="{00000000-0004-0000-0000-000037000000}"/>
    <hyperlink ref="T3362" r:id="rId53" xr:uid="{00000000-0004-0000-0000-000038000000}"/>
    <hyperlink ref="T3361" r:id="rId54" xr:uid="{00000000-0004-0000-0000-000039000000}"/>
    <hyperlink ref="T3360" r:id="rId55" xr:uid="{00000000-0004-0000-0000-00003A000000}"/>
    <hyperlink ref="T3363" r:id="rId56" xr:uid="{00000000-0004-0000-0000-00003B000000}"/>
    <hyperlink ref="T3348" r:id="rId57" xr:uid="{00000000-0004-0000-0000-00003C000000}"/>
    <hyperlink ref="T3347" r:id="rId58" xr:uid="{00000000-0004-0000-0000-00003D000000}"/>
    <hyperlink ref="T3346" r:id="rId59" xr:uid="{00000000-0004-0000-0000-00003E000000}"/>
    <hyperlink ref="T3345" r:id="rId60" xr:uid="{00000000-0004-0000-0000-00003F000000}"/>
    <hyperlink ref="T3344" r:id="rId61" xr:uid="{00000000-0004-0000-0000-000040000000}"/>
    <hyperlink ref="T3343" r:id="rId62" xr:uid="{00000000-0004-0000-0000-000041000000}"/>
    <hyperlink ref="T3340" r:id="rId63" xr:uid="{00000000-0004-0000-0000-000042000000}"/>
    <hyperlink ref="T3341" r:id="rId64" xr:uid="{00000000-0004-0000-0000-000043000000}"/>
    <hyperlink ref="T3342" r:id="rId65" xr:uid="{00000000-0004-0000-0000-000044000000}"/>
    <hyperlink ref="T3339" r:id="rId66" xr:uid="{00000000-0004-0000-0000-000045000000}"/>
    <hyperlink ref="T3338" r:id="rId67" xr:uid="{00000000-0004-0000-0000-000046000000}"/>
    <hyperlink ref="T3337" r:id="rId68" xr:uid="{00000000-0004-0000-0000-000047000000}"/>
    <hyperlink ref="T3336" r:id="rId69" xr:uid="{00000000-0004-0000-0000-000048000000}"/>
    <hyperlink ref="T3335" r:id="rId70" xr:uid="{00000000-0004-0000-0000-000049000000}"/>
    <hyperlink ref="T3334" r:id="rId71" xr:uid="{00000000-0004-0000-0000-00004A000000}"/>
    <hyperlink ref="T3333" r:id="rId72" xr:uid="{00000000-0004-0000-0000-00004B000000}"/>
    <hyperlink ref="T3332" r:id="rId73" xr:uid="{00000000-0004-0000-0000-00004C000000}"/>
    <hyperlink ref="T3331" r:id="rId74" xr:uid="{00000000-0004-0000-0000-00004D000000}"/>
    <hyperlink ref="T3330" r:id="rId75" xr:uid="{00000000-0004-0000-0000-00004E000000}"/>
    <hyperlink ref="T3329" r:id="rId76" xr:uid="{00000000-0004-0000-0000-00004F000000}"/>
    <hyperlink ref="T3328" r:id="rId77" xr:uid="{00000000-0004-0000-0000-000050000000}"/>
    <hyperlink ref="T3327" r:id="rId78" xr:uid="{00000000-0004-0000-0000-000051000000}"/>
    <hyperlink ref="T3326" r:id="rId79" xr:uid="{00000000-0004-0000-0000-000052000000}"/>
    <hyperlink ref="T3325" r:id="rId80" xr:uid="{00000000-0004-0000-0000-000053000000}"/>
    <hyperlink ref="T3324" r:id="rId81" xr:uid="{00000000-0004-0000-0000-000054000000}"/>
    <hyperlink ref="T3323" r:id="rId82" xr:uid="{00000000-0004-0000-0000-000055000000}"/>
    <hyperlink ref="T3322" r:id="rId83" xr:uid="{00000000-0004-0000-0000-000056000000}"/>
    <hyperlink ref="T3321" r:id="rId84" xr:uid="{00000000-0004-0000-0000-000057000000}"/>
    <hyperlink ref="T3320" r:id="rId85" xr:uid="{00000000-0004-0000-0000-000058000000}"/>
    <hyperlink ref="T3319" r:id="rId86" xr:uid="{00000000-0004-0000-0000-000059000000}"/>
    <hyperlink ref="T3318" r:id="rId87" xr:uid="{00000000-0004-0000-0000-00005A000000}"/>
    <hyperlink ref="T3317" r:id="rId88" xr:uid="{00000000-0004-0000-0000-00005B000000}"/>
    <hyperlink ref="T3316" r:id="rId89" xr:uid="{00000000-0004-0000-0000-00005C000000}"/>
    <hyperlink ref="T3315" r:id="rId90" xr:uid="{00000000-0004-0000-0000-00005D000000}"/>
    <hyperlink ref="T3314" r:id="rId91" xr:uid="{00000000-0004-0000-0000-00005E000000}"/>
    <hyperlink ref="T3313" r:id="rId92" xr:uid="{00000000-0004-0000-0000-00005F000000}"/>
    <hyperlink ref="T3312" r:id="rId93" xr:uid="{00000000-0004-0000-0000-000060000000}"/>
    <hyperlink ref="T3311" r:id="rId94" xr:uid="{00000000-0004-0000-0000-000061000000}"/>
    <hyperlink ref="T3310" r:id="rId95" xr:uid="{00000000-0004-0000-0000-000062000000}"/>
    <hyperlink ref="T3309" r:id="rId96" xr:uid="{00000000-0004-0000-0000-000063000000}"/>
    <hyperlink ref="T3308" r:id="rId97" xr:uid="{00000000-0004-0000-0000-000064000000}"/>
    <hyperlink ref="T3307" r:id="rId98" xr:uid="{00000000-0004-0000-0000-000065000000}"/>
    <hyperlink ref="T3306" r:id="rId99" xr:uid="{00000000-0004-0000-0000-000066000000}"/>
    <hyperlink ref="T12" r:id="rId100" xr:uid="{00000000-0004-0000-0000-000067000000}"/>
    <hyperlink ref="T3226" r:id="rId101" xr:uid="{00000000-0004-0000-0000-000068000000}"/>
    <hyperlink ref="T3225" r:id="rId102" xr:uid="{00000000-0004-0000-0000-000069000000}"/>
    <hyperlink ref="T2887" r:id="rId103" xr:uid="{00000000-0004-0000-0000-00006A000000}"/>
    <hyperlink ref="T364" r:id="rId104" xr:uid="{00000000-0004-0000-0000-00006B000000}"/>
    <hyperlink ref="T1606" r:id="rId105" xr:uid="{00000000-0004-0000-0000-00006C000000}"/>
    <hyperlink ref="T1382" r:id="rId106" xr:uid="{00000000-0004-0000-0000-00006D000000}"/>
    <hyperlink ref="T1381" r:id="rId107" xr:uid="{00000000-0004-0000-0000-00006E000000}"/>
    <hyperlink ref="T1380" r:id="rId108" xr:uid="{00000000-0004-0000-0000-00006F000000}"/>
    <hyperlink ref="T1379" r:id="rId109" xr:uid="{00000000-0004-0000-0000-000070000000}"/>
    <hyperlink ref="T1378" r:id="rId110" xr:uid="{00000000-0004-0000-0000-000071000000}"/>
    <hyperlink ref="T1087" r:id="rId111" xr:uid="{00000000-0004-0000-0000-000072000000}"/>
    <hyperlink ref="T1086" r:id="rId112" xr:uid="{00000000-0004-0000-0000-000073000000}"/>
    <hyperlink ref="T1377" r:id="rId113" xr:uid="{00000000-0004-0000-0000-000074000000}"/>
    <hyperlink ref="T915" r:id="rId114" xr:uid="{00000000-0004-0000-0000-000075000000}"/>
    <hyperlink ref="T911" r:id="rId115" xr:uid="{00000000-0004-0000-0000-000076000000}"/>
    <hyperlink ref="T909" r:id="rId116" xr:uid="{00000000-0004-0000-0000-000077000000}"/>
    <hyperlink ref="T908" r:id="rId117" xr:uid="{00000000-0004-0000-0000-000078000000}"/>
    <hyperlink ref="T916" r:id="rId118" xr:uid="{00000000-0004-0000-0000-000079000000}"/>
    <hyperlink ref="T907" r:id="rId119" xr:uid="{00000000-0004-0000-0000-00007A000000}"/>
    <hyperlink ref="T905" r:id="rId120" xr:uid="{00000000-0004-0000-0000-00007B000000}"/>
    <hyperlink ref="T904" r:id="rId121" xr:uid="{00000000-0004-0000-0000-00007C000000}"/>
    <hyperlink ref="T906" r:id="rId122" xr:uid="{00000000-0004-0000-0000-00007D000000}"/>
    <hyperlink ref="T1230" r:id="rId123" xr:uid="{00000000-0004-0000-0000-00007E000000}"/>
    <hyperlink ref="T1231" r:id="rId124" xr:uid="{00000000-0004-0000-0000-00007F000000}"/>
    <hyperlink ref="T1232" r:id="rId125" xr:uid="{00000000-0004-0000-0000-000080000000}"/>
    <hyperlink ref="T1233" r:id="rId126" xr:uid="{00000000-0004-0000-0000-000081000000}"/>
    <hyperlink ref="T1234" r:id="rId127" xr:uid="{00000000-0004-0000-0000-000082000000}"/>
    <hyperlink ref="T1235" r:id="rId128" xr:uid="{00000000-0004-0000-0000-000083000000}"/>
    <hyperlink ref="T1236" r:id="rId129" xr:uid="{00000000-0004-0000-0000-000084000000}"/>
    <hyperlink ref="T1237" r:id="rId130" xr:uid="{00000000-0004-0000-0000-000085000000}"/>
    <hyperlink ref="T1229" r:id="rId131" xr:uid="{00000000-0004-0000-0000-000086000000}"/>
    <hyperlink ref="T1228" r:id="rId132" xr:uid="{00000000-0004-0000-0000-000087000000}"/>
    <hyperlink ref="T1227" r:id="rId133" xr:uid="{00000000-0004-0000-0000-000088000000}"/>
    <hyperlink ref="T449" r:id="rId134" xr:uid="{00000000-0004-0000-0000-000089000000}"/>
    <hyperlink ref="T67" r:id="rId135" xr:uid="{00000000-0004-0000-0000-00008A000000}"/>
    <hyperlink ref="T185" r:id="rId136" xr:uid="{00000000-0004-0000-0000-00008B000000}"/>
    <hyperlink ref="T186" r:id="rId137" xr:uid="{00000000-0004-0000-0000-00008C000000}"/>
    <hyperlink ref="T187" r:id="rId138" xr:uid="{00000000-0004-0000-0000-00008D000000}"/>
    <hyperlink ref="T182" r:id="rId139" xr:uid="{00000000-0004-0000-0000-00008E000000}"/>
    <hyperlink ref="T188" r:id="rId140" xr:uid="{00000000-0004-0000-0000-000090000000}"/>
    <hyperlink ref="T181" r:id="rId141" xr:uid="{00000000-0004-0000-0000-000091000000}"/>
    <hyperlink ref="T150" r:id="rId142" xr:uid="{00000000-0004-0000-0000-000092000000}"/>
    <hyperlink ref="T1576" r:id="rId143" xr:uid="{00000000-0004-0000-0000-000093000000}"/>
    <hyperlink ref="T1579" r:id="rId144" xr:uid="{00000000-0004-0000-0000-000094000000}"/>
    <hyperlink ref="T2370" r:id="rId145" xr:uid="{00000000-0004-0000-0000-000095000000}"/>
    <hyperlink ref="T2371" r:id="rId146" xr:uid="{00000000-0004-0000-0000-000096000000}"/>
    <hyperlink ref="T2372" r:id="rId147" xr:uid="{00000000-0004-0000-0000-000097000000}"/>
    <hyperlink ref="T2373" r:id="rId148" xr:uid="{00000000-0004-0000-0000-000098000000}"/>
    <hyperlink ref="T2374" r:id="rId149" xr:uid="{00000000-0004-0000-0000-000099000000}"/>
    <hyperlink ref="T2375" r:id="rId150" xr:uid="{00000000-0004-0000-0000-00009A000000}"/>
    <hyperlink ref="T2519" r:id="rId151" xr:uid="{00000000-0004-0000-0000-00009B000000}"/>
    <hyperlink ref="T2979" r:id="rId152" xr:uid="{00000000-0004-0000-0000-00009C000000}"/>
    <hyperlink ref="T2368" r:id="rId153" xr:uid="{00000000-0004-0000-0000-00009D000000}"/>
    <hyperlink ref="T593" r:id="rId154" xr:uid="{00000000-0004-0000-0000-00009E000000}"/>
    <hyperlink ref="T2982" r:id="rId155" xr:uid="{00000000-0004-0000-0000-00009F000000}"/>
    <hyperlink ref="T2900" r:id="rId156" xr:uid="{00000000-0004-0000-0000-0000A0000000}"/>
    <hyperlink ref="T9" r:id="rId157" xr:uid="{00000000-0004-0000-0000-0000A1000000}"/>
    <hyperlink ref="T189" r:id="rId158" xr:uid="{00000000-0004-0000-0000-0000A2000000}"/>
    <hyperlink ref="T6" r:id="rId159" xr:uid="{00000000-0004-0000-0000-0000A3000000}"/>
    <hyperlink ref="T110" r:id="rId160" xr:uid="{00000000-0004-0000-0000-0000A4000000}"/>
    <hyperlink ref="T362" r:id="rId161" xr:uid="{00000000-0004-0000-0000-0000A5000000}"/>
    <hyperlink ref="T8" r:id="rId162" xr:uid="{00000000-0004-0000-0000-0000A6000000}"/>
    <hyperlink ref="T2899" r:id="rId163" xr:uid="{00000000-0004-0000-0000-0000A7000000}"/>
    <hyperlink ref="T390" r:id="rId164" xr:uid="{00000000-0004-0000-0000-0000A8000000}"/>
    <hyperlink ref="T177" r:id="rId165" xr:uid="{00000000-0004-0000-0000-0000A9000000}"/>
    <hyperlink ref="T190" r:id="rId166" xr:uid="{00000000-0004-0000-0000-0000AA000000}"/>
    <hyperlink ref="T191" r:id="rId167" xr:uid="{00000000-0004-0000-0000-0000AB000000}"/>
    <hyperlink ref="T192" r:id="rId168" xr:uid="{00000000-0004-0000-0000-0000AC000000}"/>
    <hyperlink ref="T193" r:id="rId169" xr:uid="{00000000-0004-0000-0000-0000AD000000}"/>
    <hyperlink ref="T194" r:id="rId170" xr:uid="{00000000-0004-0000-0000-0000AE000000}"/>
    <hyperlink ref="T195" r:id="rId171" xr:uid="{00000000-0004-0000-0000-0000AF000000}"/>
    <hyperlink ref="T196" r:id="rId172" xr:uid="{00000000-0004-0000-0000-0000B0000000}"/>
    <hyperlink ref="T109" r:id="rId173" xr:uid="{00000000-0004-0000-0000-0000B1000000}"/>
    <hyperlink ref="T290" r:id="rId174" xr:uid="{00000000-0004-0000-0000-0000B2000000}"/>
    <hyperlink ref="T291" r:id="rId175" xr:uid="{00000000-0004-0000-0000-0000B3000000}"/>
    <hyperlink ref="T292" r:id="rId176" xr:uid="{00000000-0004-0000-0000-0000B4000000}"/>
    <hyperlink ref="T293" r:id="rId177" xr:uid="{00000000-0004-0000-0000-0000B5000000}"/>
    <hyperlink ref="T294" r:id="rId178" xr:uid="{00000000-0004-0000-0000-0000B6000000}"/>
    <hyperlink ref="T295" r:id="rId179" xr:uid="{00000000-0004-0000-0000-0000B7000000}"/>
    <hyperlink ref="T296" r:id="rId180" xr:uid="{00000000-0004-0000-0000-0000B8000000}"/>
    <hyperlink ref="T297" r:id="rId181" xr:uid="{00000000-0004-0000-0000-0000B9000000}"/>
    <hyperlink ref="T298" r:id="rId182" xr:uid="{00000000-0004-0000-0000-0000BA000000}"/>
    <hyperlink ref="T299" r:id="rId183" xr:uid="{00000000-0004-0000-0000-0000BB000000}"/>
    <hyperlink ref="T300" r:id="rId184" xr:uid="{00000000-0004-0000-0000-0000BC000000}"/>
    <hyperlink ref="T301" r:id="rId185" xr:uid="{00000000-0004-0000-0000-0000BD000000}"/>
    <hyperlink ref="T302" r:id="rId186" xr:uid="{00000000-0004-0000-0000-0000BE000000}"/>
    <hyperlink ref="T303" r:id="rId187" xr:uid="{00000000-0004-0000-0000-0000BF000000}"/>
    <hyperlink ref="T304" r:id="rId188" xr:uid="{00000000-0004-0000-0000-0000C0000000}"/>
    <hyperlink ref="T305" r:id="rId189" xr:uid="{00000000-0004-0000-0000-0000C1000000}"/>
    <hyperlink ref="T306" r:id="rId190" xr:uid="{00000000-0004-0000-0000-0000C2000000}"/>
    <hyperlink ref="T308" r:id="rId191" xr:uid="{00000000-0004-0000-0000-0000C3000000}"/>
    <hyperlink ref="T307" r:id="rId192" xr:uid="{00000000-0004-0000-0000-0000C4000000}"/>
    <hyperlink ref="T309" r:id="rId193" xr:uid="{00000000-0004-0000-0000-0000C5000000}"/>
    <hyperlink ref="T310" r:id="rId194" xr:uid="{00000000-0004-0000-0000-0000C6000000}"/>
    <hyperlink ref="T311" r:id="rId195" xr:uid="{00000000-0004-0000-0000-0000C7000000}"/>
    <hyperlink ref="T312" r:id="rId196" xr:uid="{00000000-0004-0000-0000-0000C8000000}"/>
    <hyperlink ref="T313" r:id="rId197" xr:uid="{00000000-0004-0000-0000-0000C9000000}"/>
    <hyperlink ref="T314" r:id="rId198" xr:uid="{00000000-0004-0000-0000-0000CA000000}"/>
    <hyperlink ref="T315" r:id="rId199" xr:uid="{00000000-0004-0000-0000-0000CB000000}"/>
    <hyperlink ref="T316" r:id="rId200" xr:uid="{00000000-0004-0000-0000-0000CC000000}"/>
    <hyperlink ref="T317" r:id="rId201" xr:uid="{00000000-0004-0000-0000-0000CD000000}"/>
    <hyperlink ref="T318" r:id="rId202" xr:uid="{00000000-0004-0000-0000-0000CE000000}"/>
    <hyperlink ref="T319" r:id="rId203" xr:uid="{00000000-0004-0000-0000-0000CF000000}"/>
    <hyperlink ref="T320" r:id="rId204" xr:uid="{00000000-0004-0000-0000-0000D0000000}"/>
    <hyperlink ref="T321" r:id="rId205" xr:uid="{00000000-0004-0000-0000-0000D1000000}"/>
    <hyperlink ref="T322" r:id="rId206" xr:uid="{00000000-0004-0000-0000-0000D2000000}"/>
    <hyperlink ref="T323" r:id="rId207" xr:uid="{00000000-0004-0000-0000-0000D3000000}"/>
    <hyperlink ref="T324" r:id="rId208" xr:uid="{00000000-0004-0000-0000-0000D4000000}"/>
    <hyperlink ref="T325" r:id="rId209" xr:uid="{00000000-0004-0000-0000-0000D5000000}"/>
    <hyperlink ref="T326" r:id="rId210" xr:uid="{00000000-0004-0000-0000-0000D6000000}"/>
    <hyperlink ref="T327" r:id="rId211" xr:uid="{00000000-0004-0000-0000-0000D7000000}"/>
    <hyperlink ref="T328" r:id="rId212" xr:uid="{00000000-0004-0000-0000-0000D8000000}"/>
    <hyperlink ref="T329" r:id="rId213" xr:uid="{00000000-0004-0000-0000-0000D9000000}"/>
    <hyperlink ref="T330" r:id="rId214" xr:uid="{00000000-0004-0000-0000-0000DA000000}"/>
    <hyperlink ref="T331" r:id="rId215" xr:uid="{00000000-0004-0000-0000-0000DB000000}"/>
    <hyperlink ref="T332" r:id="rId216" xr:uid="{00000000-0004-0000-0000-0000DC000000}"/>
    <hyperlink ref="T333" r:id="rId217" xr:uid="{00000000-0004-0000-0000-0000DD000000}"/>
    <hyperlink ref="T503" r:id="rId218" xr:uid="{00000000-0004-0000-0000-0000DF000000}"/>
    <hyperlink ref="T1047" r:id="rId219" xr:uid="{00000000-0004-0000-0000-0000E0000000}"/>
    <hyperlink ref="T1075" r:id="rId220" xr:uid="{00000000-0004-0000-0000-0000E1000000}"/>
    <hyperlink ref="T244" r:id="rId221" xr:uid="{00000000-0004-0000-0000-0000E2000000}"/>
    <hyperlink ref="T245" r:id="rId222" xr:uid="{00000000-0004-0000-0000-0000E3000000}"/>
    <hyperlink ref="T246" r:id="rId223" xr:uid="{00000000-0004-0000-0000-0000E4000000}"/>
    <hyperlink ref="T408" r:id="rId224" xr:uid="{00000000-0004-0000-0000-0000E5000000}"/>
    <hyperlink ref="T2559" r:id="rId225" xr:uid="{E4866E9F-5157-4DA0-AB0B-6CD5680B619E}"/>
    <hyperlink ref="T2357" r:id="rId226" xr:uid="{2A91E9D2-9497-4B36-B6E7-AC9931E5DABD}"/>
    <hyperlink ref="T2593" r:id="rId227" xr:uid="{75A2CC79-FD30-4398-90F1-9810E7C875DA}"/>
    <hyperlink ref="T2547" r:id="rId228" xr:uid="{D04020D8-FE91-4259-8F61-269918E522C4}"/>
    <hyperlink ref="T3151" r:id="rId229" xr:uid="{9C30D790-BC0D-41E7-BD41-920404AA500B}"/>
    <hyperlink ref="T2548" r:id="rId230" xr:uid="{39386B41-5A6E-46F3-B5C7-6A6DEE5A643E}"/>
    <hyperlink ref="T2517" r:id="rId231" xr:uid="{2180FC26-71D7-41E5-9878-684C9EB14BB6}"/>
    <hyperlink ref="T2594" r:id="rId232" xr:uid="{44C278EB-114F-40B8-8870-B781ED61DC1F}"/>
    <hyperlink ref="T2678" r:id="rId233" xr:uid="{07FB66A8-4C51-4ED0-8EB6-59E595715E97}"/>
    <hyperlink ref="T2728" r:id="rId234" xr:uid="{F001578C-7C44-41B4-BD03-FF8D26BB8BF9}"/>
    <hyperlink ref="T2755" r:id="rId235" xr:uid="{2A1E852C-DD24-49A3-BE92-37C9573D4A5C}"/>
    <hyperlink ref="T2768" r:id="rId236" xr:uid="{6D5497D1-BB4B-4664-B22C-64FA07483F0C}"/>
    <hyperlink ref="T2364" r:id="rId237" xr:uid="{9F64FC08-7313-4813-A1E5-A749F505687C}"/>
    <hyperlink ref="T2661" r:id="rId238" xr:uid="{EB6017B2-4FDC-49C1-A116-3963FFF7F5C6}"/>
    <hyperlink ref="T2625" r:id="rId239" xr:uid="{BFB0F594-4080-4C32-913F-236F6CD6F9C6}"/>
    <hyperlink ref="T2654" r:id="rId240" xr:uid="{C9937BAD-3CFB-4CFC-B439-596FE8874E3B}"/>
    <hyperlink ref="T2581" r:id="rId241" xr:uid="{CF021086-8CBB-451C-BE84-68AD019B68E5}"/>
    <hyperlink ref="T2499" r:id="rId242" xr:uid="{BF6334F6-D69C-4429-B926-DFED27B3B17C}"/>
    <hyperlink ref="T2564" r:id="rId243" xr:uid="{CE280044-5036-4E34-9CC9-E3BCA62B1C37}"/>
    <hyperlink ref="T1152" r:id="rId244" xr:uid="{2BCEA844-DA3E-4A0B-986E-68254705B679}"/>
    <hyperlink ref="T1149" r:id="rId245" xr:uid="{5FDAD099-BB04-4928-BE06-5BF617F3F0AF}"/>
    <hyperlink ref="T2878" r:id="rId246" xr:uid="{6A9AC1CF-7AEE-42A4-BD9D-B94FEAA81B2E}"/>
    <hyperlink ref="T3027" r:id="rId247" xr:uid="{5EE73CC8-1C50-4DE4-834C-45E41C1C9F21}"/>
    <hyperlink ref="T2905" r:id="rId248" xr:uid="{554E86AE-81A1-42A4-8AC5-3AFFF48EC2AE}"/>
    <hyperlink ref="T2884" r:id="rId249" xr:uid="{E18790EB-57AA-4719-BEB8-1D196AAB84D5}"/>
    <hyperlink ref="T2879" r:id="rId250" xr:uid="{E8FA428B-2810-4022-A21D-B8D9548BCF77}"/>
    <hyperlink ref="T2880" r:id="rId251" xr:uid="{FEDA3C5D-853C-4801-8DBC-2D545696D653}"/>
    <hyperlink ref="T2881" r:id="rId252" xr:uid="{3057FAC1-D0C7-479C-B5F6-6C63E3D78B55}"/>
    <hyperlink ref="T420" r:id="rId253" xr:uid="{015F6697-3877-4825-B637-A12706EB7D37}"/>
    <hyperlink ref="T2915" r:id="rId254" xr:uid="{5C9CCBE9-C437-479E-B873-A51A67439780}"/>
    <hyperlink ref="T2327" r:id="rId255" xr:uid="{9DA671A6-6DD2-4D30-97B0-CB91B4D15C6C}"/>
    <hyperlink ref="T426" r:id="rId256" xr:uid="{563051C1-E9BA-463C-9567-C9C3C29556A1}"/>
  </hyperlinks>
  <pageMargins left="0.25" right="0.25" top="0.75" bottom="0.75" header="0.3" footer="0.3"/>
  <pageSetup fitToHeight="90" orientation="landscape" r:id="rId257"/>
  <headerFooter>
    <oddFooter>&amp;CTE Confidential and Proprietary Information. Do not reproduce or disclose to any third party without permission.</oddFooter>
  </headerFooter>
  <customProperties>
    <customPr name="EpmWorksheetKeyString_GUID" r:id="rId258"/>
  </customProperties>
  <drawing r:id="rId25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date xmlns="0e9a40e2-e18f-4aac-8778-7fd47a9a30e3">NEW 2019 PRICING</Update>
    <_dlc_DocId xmlns="b3c9f06d-60ca-4509-b1f1-0af1327ec150">YQYVX3ZXUAFS-360950421-1115</_dlc_DocId>
    <_dlc_DocIdUrl xmlns="b3c9f06d-60ca-4509-b1f1-0af1327ec150">
      <Url>https://teams.connect.te.com/sites/epdsales/Pricing/_layouts/15/DocIdRedir.aspx?ID=YQYVX3ZXUAFS-360950421-1115</Url>
      <Description>YQYVX3ZXUAFS-360950421-1115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AFE21DB52C2F4A818B9850B2F11AB6" ma:contentTypeVersion="3" ma:contentTypeDescription="Create a new document." ma:contentTypeScope="" ma:versionID="93cc265fe2794ca78d67215683d28793">
  <xsd:schema xmlns:xsd="http://www.w3.org/2001/XMLSchema" xmlns:xs="http://www.w3.org/2001/XMLSchema" xmlns:p="http://schemas.microsoft.com/office/2006/metadata/properties" xmlns:ns2="0e9a40e2-e18f-4aac-8778-7fd47a9a30e3" xmlns:ns3="b3c9f06d-60ca-4509-b1f1-0af1327ec150" targetNamespace="http://schemas.microsoft.com/office/2006/metadata/properties" ma:root="true" ma:fieldsID="f12596c3eb8255ff5e64184a7475e65d" ns2:_="" ns3:_="">
    <xsd:import namespace="0e9a40e2-e18f-4aac-8778-7fd47a9a30e3"/>
    <xsd:import namespace="b3c9f06d-60ca-4509-b1f1-0af1327ec150"/>
    <xsd:element name="properties">
      <xsd:complexType>
        <xsd:sequence>
          <xsd:element name="documentManagement">
            <xsd:complexType>
              <xsd:all>
                <xsd:element ref="ns2:Update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9a40e2-e18f-4aac-8778-7fd47a9a30e3" elementFormDefault="qualified">
    <xsd:import namespace="http://schemas.microsoft.com/office/2006/documentManagement/types"/>
    <xsd:import namespace="http://schemas.microsoft.com/office/infopath/2007/PartnerControls"/>
    <xsd:element name="Update" ma:index="8" nillable="true" ma:displayName="Update" ma:internalName="Updat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9f06d-60ca-4509-b1f1-0af1327ec150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1D16C7-2CEC-44E6-A7FD-86B6DE3B94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AB9EBB-CCBE-41BD-8771-3E9EB08C0A5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1D569D8-C25C-4F6F-8970-69004845E11B}">
  <ds:schemaRefs>
    <ds:schemaRef ds:uri="http://purl.org/dc/terms/"/>
    <ds:schemaRef ds:uri="0e9a40e2-e18f-4aac-8778-7fd47a9a30e3"/>
    <ds:schemaRef ds:uri="http://schemas.microsoft.com/office/2006/documentManagement/types"/>
    <ds:schemaRef ds:uri="http://schemas.microsoft.com/office/infopath/2007/PartnerControls"/>
    <ds:schemaRef ds:uri="b3c9f06d-60ca-4509-b1f1-0af1327ec150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3357A5EE-D2B8-4D42-BCBE-CE0FB5D60FDB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CB32DDCF-1F47-4BFE-B395-64B7CD0986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9a40e2-e18f-4aac-8778-7fd47a9a30e3"/>
    <ds:schemaRef ds:uri="b3c9f06d-60ca-4509-b1f1-0af1327ec1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 Energy USA 5.1.19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Scherer, Carl M</dc:creator>
  <cp:lastModifiedBy>Scherer, Carl M</cp:lastModifiedBy>
  <cp:lastPrinted>2019-05-01T21:07:13Z</cp:lastPrinted>
  <dcterms:created xsi:type="dcterms:W3CDTF">2010-11-21T01:45:53Z</dcterms:created>
  <dcterms:modified xsi:type="dcterms:W3CDTF">2019-05-10T02:51:03Z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_dlc_DocId">
    <vt:lpwstr>YQYVX3ZXUAFS-360950421-14</vt:lpwstr>
  </property>
  <property fmtid="{D5CDD505-2E9C-101B-9397-08002B2CF9AE}" pid="4" name="_dlc_DocIdItemGuid">
    <vt:lpwstr>d9796c52-4151-413b-8edb-e7a941cdcb8d</vt:lpwstr>
  </property>
  <property fmtid="{D5CDD505-2E9C-101B-9397-08002B2CF9AE}" pid="5" name="_dlc_DocIdUrl">
    <vt:lpwstr>https://teams.connect.te.com/sites/epdsales/Pricing/_layouts/15/DocIdRedir.aspx?ID=YQYVX3ZXUAFS-360950421-14, YQYVX3ZXUAFS-360950421-14</vt:lpwstr>
  </property>
  <property fmtid="{D5CDD505-2E9C-101B-9397-08002B2CF9AE}" pid="6" name="ContentTypeId">
    <vt:lpwstr>0x010100DEAFE21DB52C2F4A818B9850B2F11AB6</vt:lpwstr>
  </property>
  <property fmtid="{D5CDD505-2E9C-101B-9397-08002B2CF9AE}" pid="7" name="Order">
    <vt:r8>5000</vt:r8>
  </property>
  <property fmtid="{D5CDD505-2E9C-101B-9397-08002B2CF9AE}" pid="8" name="xd_ProgID">
    <vt:lpwstr/>
  </property>
  <property fmtid="{D5CDD505-2E9C-101B-9397-08002B2CF9AE}" pid="9" name="TemplateUrl">
    <vt:lpwstr/>
  </property>
</Properties>
</file>